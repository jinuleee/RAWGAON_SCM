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wgaoncorp1-my.sharepoint.com/personal/francis_lee_rawgaon_com/Documents/바탕 화면/새 폴더/"/>
    </mc:Choice>
  </mc:AlternateContent>
  <xr:revisionPtr revIDLastSave="29" documentId="8_{329CB8DF-CBE4-41F3-BF8B-4B0936210B40}" xr6:coauthVersionLast="47" xr6:coauthVersionMax="47" xr10:uidLastSave="{5000B7D1-71A5-491E-A26B-4764ED3A737E}"/>
  <bookViews>
    <workbookView xWindow="-120" yWindow="-120" windowWidth="29040" windowHeight="15720" activeTab="8" xr2:uid="{2B3850F8-000B-49EB-BF1D-6345CEBCB976}"/>
  </bookViews>
  <sheets>
    <sheet name="대시보드" sheetId="2" r:id="rId1"/>
    <sheet name="제품마스터" sheetId="3" r:id="rId2"/>
    <sheet name="채널매핑" sheetId="4" r:id="rId3"/>
    <sheet name="원본데이터_SK" sheetId="6" r:id="rId4"/>
    <sheet name="정규화데이터" sheetId="7" r:id="rId5"/>
    <sheet name="정규화데이터 (2)" sheetId="17" r:id="rId6"/>
    <sheet name="재고현황" sheetId="8" r:id="rId7"/>
    <sheet name="손익분석" sheetId="9" r:id="rId8"/>
    <sheet name="물류비용" sheetId="10" r:id="rId9"/>
    <sheet name="원본데이터_쿠팡" sheetId="11" r:id="rId10"/>
    <sheet name="원본데이터_네이버" sheetId="12" r:id="rId11"/>
    <sheet name="원본데이터_카카오" sheetId="13" r:id="rId12"/>
    <sheet name="원본데이터_리씽크" sheetId="14" r:id="rId13"/>
    <sheet name="시스템 가이드" sheetId="15" r:id="rId14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7" l="1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005" i="17"/>
  <c r="C1006" i="17"/>
  <c r="C1007" i="17"/>
  <c r="C1008" i="17"/>
  <c r="C1009" i="17"/>
  <c r="C1010" i="17"/>
  <c r="C1011" i="17"/>
  <c r="C1012" i="17"/>
  <c r="C1013" i="17"/>
  <c r="C1014" i="17"/>
  <c r="C1015" i="17"/>
  <c r="C1016" i="17"/>
  <c r="C1017" i="17"/>
  <c r="C1018" i="17"/>
  <c r="C1019" i="17"/>
  <c r="C1020" i="17"/>
  <c r="C1021" i="17"/>
  <c r="C1022" i="17"/>
  <c r="C1023" i="17"/>
  <c r="C1024" i="17"/>
  <c r="C1025" i="17"/>
  <c r="C1026" i="17"/>
  <c r="C1027" i="17"/>
  <c r="C1028" i="17"/>
  <c r="C1029" i="17"/>
  <c r="C1030" i="17"/>
  <c r="C1031" i="17"/>
  <c r="C1032" i="17"/>
  <c r="C1033" i="17"/>
  <c r="C1034" i="17"/>
  <c r="C1035" i="17"/>
  <c r="C1036" i="17"/>
  <c r="C1037" i="17"/>
  <c r="C1038" i="17"/>
  <c r="C1039" i="17"/>
  <c r="C1040" i="17"/>
  <c r="C1041" i="17"/>
  <c r="C1042" i="17"/>
  <c r="C1043" i="17"/>
  <c r="C1044" i="17"/>
  <c r="C1045" i="17"/>
  <c r="C1046" i="17"/>
  <c r="C1047" i="17"/>
  <c r="C1048" i="17"/>
  <c r="C1049" i="17"/>
  <c r="C1050" i="17"/>
  <c r="C1051" i="17"/>
  <c r="C1052" i="17"/>
  <c r="C1053" i="17"/>
  <c r="C1054" i="17"/>
  <c r="C1055" i="17"/>
  <c r="C1056" i="17"/>
  <c r="C1057" i="17"/>
  <c r="C1058" i="17"/>
  <c r="C1059" i="17"/>
  <c r="C1060" i="17"/>
  <c r="C1061" i="17"/>
  <c r="C1062" i="17"/>
  <c r="C1063" i="17"/>
  <c r="C1064" i="17"/>
  <c r="C1065" i="17"/>
  <c r="C1066" i="17"/>
  <c r="C1067" i="17"/>
  <c r="C1068" i="17"/>
  <c r="C1069" i="17"/>
  <c r="C1070" i="17"/>
  <c r="C1071" i="17"/>
  <c r="C1072" i="17"/>
  <c r="C1073" i="17"/>
  <c r="C1074" i="17"/>
  <c r="C1075" i="17"/>
  <c r="C1076" i="17"/>
  <c r="C1077" i="17"/>
  <c r="C1078" i="17"/>
  <c r="C1079" i="17"/>
  <c r="C1080" i="17"/>
  <c r="C1081" i="17"/>
  <c r="C1082" i="17"/>
  <c r="C1083" i="17"/>
  <c r="C1084" i="17"/>
  <c r="C1085" i="17"/>
  <c r="C1086" i="17"/>
  <c r="C1087" i="17"/>
  <c r="C1088" i="17"/>
  <c r="C1089" i="17"/>
  <c r="C1090" i="17"/>
  <c r="C1091" i="17"/>
  <c r="C1092" i="17"/>
  <c r="C1093" i="17"/>
  <c r="C1094" i="17"/>
  <c r="C1095" i="17"/>
  <c r="C1096" i="17"/>
  <c r="C1097" i="17"/>
  <c r="C1098" i="17"/>
  <c r="C1099" i="17"/>
  <c r="C1100" i="17"/>
  <c r="C1101" i="17"/>
  <c r="C1102" i="17"/>
  <c r="C1103" i="17"/>
  <c r="C1104" i="17"/>
  <c r="C1105" i="17"/>
  <c r="C1106" i="17"/>
  <c r="C1107" i="17"/>
  <c r="C1108" i="17"/>
  <c r="C1109" i="17"/>
  <c r="C1110" i="17"/>
  <c r="C1111" i="17"/>
  <c r="C1112" i="17"/>
  <c r="C1113" i="17"/>
  <c r="C1114" i="17"/>
  <c r="C1115" i="17"/>
  <c r="C1116" i="17"/>
  <c r="C1117" i="17"/>
  <c r="C1118" i="17"/>
  <c r="C1119" i="17"/>
  <c r="C1120" i="17"/>
  <c r="C1121" i="17"/>
  <c r="C1122" i="17"/>
  <c r="C1123" i="17"/>
  <c r="C1124" i="17"/>
  <c r="C1125" i="17"/>
  <c r="C1126" i="17"/>
  <c r="C1127" i="17"/>
  <c r="C1128" i="17"/>
  <c r="C1129" i="17"/>
  <c r="C1130" i="17"/>
  <c r="C1131" i="17"/>
  <c r="C1132" i="17"/>
  <c r="C1133" i="17"/>
  <c r="C1134" i="17"/>
  <c r="C1135" i="17"/>
  <c r="C1136" i="17"/>
  <c r="C1137" i="17"/>
  <c r="C1138" i="17"/>
  <c r="C1139" i="17"/>
  <c r="C1140" i="17"/>
  <c r="C1141" i="17"/>
  <c r="C1142" i="17"/>
  <c r="C1143" i="17"/>
  <c r="C1144" i="17"/>
  <c r="C1145" i="17"/>
  <c r="C1146" i="17"/>
  <c r="C1147" i="17"/>
  <c r="C1148" i="17"/>
  <c r="C1149" i="17"/>
  <c r="C1150" i="17"/>
  <c r="C1151" i="17"/>
  <c r="C1152" i="17"/>
  <c r="C1153" i="17"/>
  <c r="C1154" i="17"/>
  <c r="C1155" i="17"/>
  <c r="C1156" i="17"/>
  <c r="C1157" i="17"/>
  <c r="C1158" i="17"/>
  <c r="C1159" i="17"/>
  <c r="C1160" i="17"/>
  <c r="C1161" i="17"/>
  <c r="C1162" i="17"/>
  <c r="C1163" i="17"/>
  <c r="C1164" i="17"/>
  <c r="C1165" i="17"/>
  <c r="C1166" i="17"/>
  <c r="C1167" i="17"/>
  <c r="C1168" i="17"/>
  <c r="C1169" i="17"/>
  <c r="C1170" i="17"/>
  <c r="C1171" i="17"/>
  <c r="C1172" i="17"/>
  <c r="C1173" i="17"/>
  <c r="C1174" i="17"/>
  <c r="C1175" i="17"/>
  <c r="C1176" i="17"/>
  <c r="C1177" i="17"/>
  <c r="C1178" i="17"/>
  <c r="C1179" i="17"/>
  <c r="C1180" i="17"/>
  <c r="C1181" i="17"/>
  <c r="C1182" i="17"/>
  <c r="C1183" i="17"/>
  <c r="C1184" i="17"/>
  <c r="C1185" i="17"/>
  <c r="C1186" i="17"/>
  <c r="C1187" i="17"/>
  <c r="C1188" i="17"/>
  <c r="C1189" i="17"/>
  <c r="C1190" i="17"/>
  <c r="C1191" i="17"/>
  <c r="C1192" i="17"/>
  <c r="C1193" i="17"/>
  <c r="C1194" i="17"/>
  <c r="C1195" i="17"/>
  <c r="C1196" i="17"/>
  <c r="C1197" i="17"/>
  <c r="C1198" i="17"/>
  <c r="C1199" i="17"/>
  <c r="C1200" i="17"/>
  <c r="C1201" i="17"/>
  <c r="C1202" i="17"/>
  <c r="C1203" i="17"/>
  <c r="C1204" i="17"/>
  <c r="C1205" i="17"/>
  <c r="C1206" i="17"/>
  <c r="C1207" i="17"/>
  <c r="C1208" i="17"/>
  <c r="C1209" i="17"/>
  <c r="C1210" i="17"/>
  <c r="C1211" i="17"/>
  <c r="C1212" i="17"/>
  <c r="C1213" i="17"/>
  <c r="C1214" i="17"/>
  <c r="C1215" i="17"/>
  <c r="C1216" i="17"/>
  <c r="C1217" i="17"/>
  <c r="C1218" i="17"/>
  <c r="C1219" i="17"/>
  <c r="C1220" i="17"/>
  <c r="C1221" i="17"/>
  <c r="C1222" i="17"/>
  <c r="C1223" i="17"/>
  <c r="C1224" i="17"/>
  <c r="C1225" i="17"/>
  <c r="C1226" i="17"/>
  <c r="C1227" i="17"/>
  <c r="C1228" i="17"/>
  <c r="C1229" i="17"/>
  <c r="C1230" i="17"/>
  <c r="C1231" i="17"/>
  <c r="C1232" i="17"/>
  <c r="C1233" i="17"/>
  <c r="C1234" i="17"/>
  <c r="C1235" i="17"/>
  <c r="C1236" i="17"/>
  <c r="C1237" i="17"/>
  <c r="C1238" i="17"/>
  <c r="C1239" i="17"/>
  <c r="C1240" i="17"/>
  <c r="C1241" i="17"/>
  <c r="C1242" i="17"/>
  <c r="C1243" i="17"/>
  <c r="C1244" i="17"/>
  <c r="C1245" i="17"/>
  <c r="C1246" i="17"/>
  <c r="C1247" i="17"/>
  <c r="C1248" i="17"/>
  <c r="C1249" i="17"/>
  <c r="C1250" i="17"/>
  <c r="C1251" i="17"/>
  <c r="C1252" i="17"/>
  <c r="C1253" i="17"/>
  <c r="C1254" i="17"/>
  <c r="C1255" i="17"/>
  <c r="C1256" i="17"/>
  <c r="C1257" i="17"/>
  <c r="C1258" i="17"/>
  <c r="C1259" i="17"/>
  <c r="C1260" i="17"/>
  <c r="C1261" i="17"/>
  <c r="C1262" i="17"/>
  <c r="C1263" i="17"/>
  <c r="C1264" i="17"/>
  <c r="C1265" i="17"/>
  <c r="C1266" i="17"/>
  <c r="C1267" i="17"/>
  <c r="C1268" i="17"/>
  <c r="C1269" i="17"/>
  <c r="C1270" i="17"/>
  <c r="C1271" i="17"/>
  <c r="C1272" i="17"/>
  <c r="C1273" i="17"/>
  <c r="C1274" i="17"/>
  <c r="C1275" i="17"/>
  <c r="C1276" i="17"/>
  <c r="C1277" i="17"/>
  <c r="C1278" i="17"/>
  <c r="C1279" i="17"/>
  <c r="C1280" i="17"/>
  <c r="C1281" i="17"/>
  <c r="C1282" i="17"/>
  <c r="C1283" i="17"/>
  <c r="C1284" i="17"/>
  <c r="C1285" i="17"/>
  <c r="C1286" i="17"/>
  <c r="C1287" i="17"/>
  <c r="C1288" i="17"/>
  <c r="C1289" i="17"/>
  <c r="C1290" i="17"/>
  <c r="C1291" i="17"/>
  <c r="C1292" i="17"/>
  <c r="C1293" i="17"/>
  <c r="C1294" i="17"/>
  <c r="C1295" i="17"/>
  <c r="C1296" i="17"/>
  <c r="C1297" i="17"/>
  <c r="C1298" i="17"/>
  <c r="C1299" i="17"/>
  <c r="C1300" i="17"/>
  <c r="C1301" i="17"/>
  <c r="C1302" i="17"/>
  <c r="C1303" i="17"/>
  <c r="C1304" i="17"/>
  <c r="C1305" i="17"/>
  <c r="C1306" i="17"/>
  <c r="C1307" i="17"/>
  <c r="C1308" i="17"/>
  <c r="C1309" i="17"/>
  <c r="C1310" i="17"/>
  <c r="C1311" i="17"/>
  <c r="C1312" i="17"/>
  <c r="C1313" i="17"/>
  <c r="C1314" i="17"/>
  <c r="C1315" i="17"/>
  <c r="C1316" i="17"/>
  <c r="C1317" i="17"/>
  <c r="C1318" i="17"/>
  <c r="C1319" i="17"/>
  <c r="C1320" i="17"/>
  <c r="C1321" i="17"/>
  <c r="C1322" i="17"/>
  <c r="C1323" i="17"/>
  <c r="C1324" i="17"/>
  <c r="C1325" i="17"/>
  <c r="C1326" i="17"/>
  <c r="C1327" i="17"/>
  <c r="C1328" i="17"/>
  <c r="C1329" i="17"/>
  <c r="C1330" i="17"/>
  <c r="C1331" i="17"/>
  <c r="C1332" i="17"/>
  <c r="C1333" i="17"/>
  <c r="C1334" i="17"/>
  <c r="C1335" i="17"/>
  <c r="C1336" i="17"/>
  <c r="C1337" i="17"/>
  <c r="C1338" i="17"/>
  <c r="C1339" i="17"/>
  <c r="C1340" i="17"/>
  <c r="C1341" i="17"/>
  <c r="C1342" i="17"/>
  <c r="C1343" i="17"/>
  <c r="C1344" i="17"/>
  <c r="C1345" i="17"/>
  <c r="C1346" i="17"/>
  <c r="C1347" i="17"/>
  <c r="C1348" i="17"/>
  <c r="C1349" i="17"/>
  <c r="C1350" i="17"/>
  <c r="C1351" i="17"/>
  <c r="C1352" i="17"/>
  <c r="C1353" i="17"/>
  <c r="C1354" i="17"/>
  <c r="C1355" i="17"/>
  <c r="C1356" i="17"/>
  <c r="C1357" i="17"/>
  <c r="C1358" i="17"/>
  <c r="C1359" i="17"/>
  <c r="C1360" i="17"/>
  <c r="C1361" i="17"/>
  <c r="C1362" i="17"/>
  <c r="C1363" i="17"/>
  <c r="C1364" i="17"/>
  <c r="C1365" i="17"/>
  <c r="C1366" i="17"/>
  <c r="C1367" i="17"/>
  <c r="C1368" i="17"/>
  <c r="C1369" i="17"/>
  <c r="C1370" i="17"/>
  <c r="C1371" i="17"/>
  <c r="C1372" i="17"/>
  <c r="C1373" i="17"/>
  <c r="C1374" i="17"/>
  <c r="C1375" i="17"/>
  <c r="C1376" i="17"/>
  <c r="C1377" i="17"/>
  <c r="C1378" i="17"/>
  <c r="C1379" i="17"/>
  <c r="C1380" i="17"/>
  <c r="C1381" i="17"/>
  <c r="C1382" i="17"/>
  <c r="C1383" i="17"/>
  <c r="C1384" i="17"/>
  <c r="C1385" i="17"/>
  <c r="C1386" i="17"/>
  <c r="C1387" i="17"/>
  <c r="C1388" i="17"/>
  <c r="C1389" i="17"/>
  <c r="C1390" i="17"/>
  <c r="C1391" i="17"/>
  <c r="C1392" i="17"/>
  <c r="C1393" i="17"/>
  <c r="C1394" i="17"/>
  <c r="C1395" i="17"/>
  <c r="C1396" i="17"/>
  <c r="C1397" i="17"/>
  <c r="C1398" i="17"/>
  <c r="C1399" i="17"/>
  <c r="C1400" i="17"/>
  <c r="C1401" i="17"/>
  <c r="C1402" i="17"/>
  <c r="C1403" i="17"/>
  <c r="C1404" i="17"/>
  <c r="C1405" i="17"/>
  <c r="C1406" i="17"/>
  <c r="C1407" i="17"/>
  <c r="C1408" i="17"/>
  <c r="C1409" i="17"/>
  <c r="C1410" i="17"/>
  <c r="C1411" i="17"/>
  <c r="C1412" i="17"/>
  <c r="C1413" i="17"/>
  <c r="C1414" i="17"/>
  <c r="C1415" i="17"/>
  <c r="C1416" i="17"/>
  <c r="C1417" i="17"/>
  <c r="C1418" i="17"/>
  <c r="C1419" i="17"/>
  <c r="C1420" i="17"/>
  <c r="C1421" i="17"/>
  <c r="C1422" i="17"/>
  <c r="C1423" i="17"/>
  <c r="C1424" i="17"/>
  <c r="C1425" i="17"/>
  <c r="C1426" i="17"/>
  <c r="C1427" i="17"/>
  <c r="C1428" i="17"/>
  <c r="C1429" i="17"/>
  <c r="C1430" i="17"/>
  <c r="C1431" i="17"/>
  <c r="C1432" i="17"/>
  <c r="C1433" i="17"/>
  <c r="C1434" i="17"/>
  <c r="C1435" i="17"/>
  <c r="C1436" i="17"/>
  <c r="C1437" i="17"/>
  <c r="C1438" i="17"/>
  <c r="C1439" i="17"/>
  <c r="C1440" i="17"/>
  <c r="C1441" i="17"/>
  <c r="C1442" i="17"/>
  <c r="C1443" i="17"/>
  <c r="C1444" i="17"/>
  <c r="C1445" i="17"/>
  <c r="C1446" i="17"/>
  <c r="C1447" i="17"/>
  <c r="C1448" i="17"/>
  <c r="C1449" i="17"/>
  <c r="C1450" i="17"/>
  <c r="C1451" i="17"/>
  <c r="C1452" i="17"/>
  <c r="C1453" i="17"/>
  <c r="C1454" i="17"/>
  <c r="C1455" i="17"/>
  <c r="C1456" i="17"/>
  <c r="C1457" i="17"/>
  <c r="C1458" i="17"/>
  <c r="C1459" i="17"/>
  <c r="C1460" i="17"/>
  <c r="C1461" i="17"/>
  <c r="C1462" i="17"/>
  <c r="C1463" i="17"/>
  <c r="C1464" i="17"/>
  <c r="C1465" i="17"/>
  <c r="C1466" i="17"/>
  <c r="C1467" i="17"/>
  <c r="C1468" i="17"/>
  <c r="C1469" i="17"/>
  <c r="C1470" i="17"/>
  <c r="C1471" i="17"/>
  <c r="C1472" i="17"/>
  <c r="C1473" i="17"/>
  <c r="C1474" i="17"/>
  <c r="C1475" i="17"/>
  <c r="C1476" i="17"/>
  <c r="C1477" i="17"/>
  <c r="C1478" i="17"/>
  <c r="C1479" i="17"/>
  <c r="C1480" i="17"/>
  <c r="C1481" i="17"/>
  <c r="C1482" i="17"/>
  <c r="C1483" i="17"/>
  <c r="C1484" i="17"/>
  <c r="C1485" i="17"/>
  <c r="C1486" i="17"/>
  <c r="C1487" i="17"/>
  <c r="C1488" i="17"/>
  <c r="C1489" i="17"/>
  <c r="C1490" i="17"/>
  <c r="C1491" i="17"/>
  <c r="C1492" i="17"/>
  <c r="C1493" i="17"/>
  <c r="C1494" i="17"/>
  <c r="C1495" i="17"/>
  <c r="C1496" i="17"/>
  <c r="C1497" i="17"/>
  <c r="C1498" i="17"/>
  <c r="C1499" i="17"/>
  <c r="C1500" i="17"/>
  <c r="C1501" i="17"/>
  <c r="C1502" i="17"/>
  <c r="C1503" i="17"/>
  <c r="C1504" i="17"/>
  <c r="C1505" i="17"/>
  <c r="C1506" i="17"/>
  <c r="C1507" i="17"/>
  <c r="C1508" i="17"/>
  <c r="C1509" i="17"/>
  <c r="C1510" i="17"/>
  <c r="C1511" i="17"/>
  <c r="C1512" i="17"/>
  <c r="C1513" i="17"/>
  <c r="C1514" i="17"/>
  <c r="C1515" i="17"/>
  <c r="C1516" i="17"/>
  <c r="C1517" i="17"/>
  <c r="C1518" i="17"/>
  <c r="C1519" i="17"/>
  <c r="C1520" i="17"/>
  <c r="C1521" i="17"/>
  <c r="C1522" i="17"/>
  <c r="C1523" i="17"/>
  <c r="C1524" i="17"/>
  <c r="C1525" i="17"/>
  <c r="C1526" i="17"/>
  <c r="C1527" i="17"/>
  <c r="C1528" i="17"/>
  <c r="C1529" i="17"/>
  <c r="C1530" i="17"/>
  <c r="C1531" i="17"/>
  <c r="C1532" i="17"/>
  <c r="C1533" i="17"/>
  <c r="C1534" i="17"/>
  <c r="C1535" i="17"/>
  <c r="C1536" i="17"/>
  <c r="C1537" i="17"/>
  <c r="C1538" i="17"/>
  <c r="C1539" i="17"/>
  <c r="C1540" i="17"/>
  <c r="C1541" i="17"/>
  <c r="C1542" i="17"/>
  <c r="C1543" i="17"/>
  <c r="C1544" i="17"/>
  <c r="C1545" i="17"/>
  <c r="C2" i="17"/>
  <c r="C24" i="2"/>
  <c r="D24" i="2"/>
  <c r="B24" i="2"/>
  <c r="D19" i="2"/>
  <c r="C19" i="2"/>
  <c r="B19" i="2"/>
  <c r="B45" i="15" a="1"/>
  <c r="B45" i="15" s="1"/>
  <c r="B36" i="15"/>
  <c r="B35" i="15"/>
  <c r="B34" i="15" a="1"/>
  <c r="B34" i="15" s="1"/>
  <c r="B33" i="15" a="1"/>
  <c r="B33" i="15" s="1"/>
  <c r="B32" i="15" a="1"/>
  <c r="B32" i="15" s="1"/>
  <c r="B31" i="15" a="1"/>
  <c r="B31" i="15" s="1"/>
  <c r="G15" i="2"/>
  <c r="G16" i="2" s="1"/>
  <c r="G14" i="2"/>
  <c r="G13" i="2"/>
  <c r="H10" i="2"/>
  <c r="H9" i="2"/>
  <c r="H8" i="2"/>
  <c r="H7" i="2"/>
  <c r="H6" i="2"/>
  <c r="G9" i="2"/>
  <c r="G8" i="2"/>
  <c r="G7" i="2"/>
  <c r="G6" i="2"/>
  <c r="B10" i="2"/>
  <c r="D8" i="2"/>
  <c r="B8" i="2"/>
  <c r="B7" i="2"/>
  <c r="D6" i="2"/>
  <c r="B6" i="2"/>
  <c r="L1545" i="9"/>
  <c r="K1545" i="9"/>
  <c r="J1545" i="9"/>
  <c r="I1545" i="9"/>
  <c r="H1545" i="9"/>
  <c r="G1545" i="9"/>
  <c r="F1545" i="9"/>
  <c r="E1545" i="9"/>
  <c r="D1545" i="9"/>
  <c r="C1545" i="9"/>
  <c r="B1545" i="9"/>
  <c r="A1545" i="9"/>
  <c r="L1544" i="9"/>
  <c r="K1544" i="9"/>
  <c r="J1544" i="9"/>
  <c r="I1544" i="9"/>
  <c r="H1544" i="9"/>
  <c r="G1544" i="9"/>
  <c r="F1544" i="9"/>
  <c r="E1544" i="9"/>
  <c r="D1544" i="9"/>
  <c r="C1544" i="9"/>
  <c r="B1544" i="9"/>
  <c r="A1544" i="9"/>
  <c r="L1543" i="9"/>
  <c r="K1543" i="9"/>
  <c r="J1543" i="9"/>
  <c r="I1543" i="9"/>
  <c r="H1543" i="9"/>
  <c r="G1543" i="9"/>
  <c r="F1543" i="9"/>
  <c r="E1543" i="9"/>
  <c r="D1543" i="9"/>
  <c r="C1543" i="9"/>
  <c r="B1543" i="9"/>
  <c r="A1543" i="9"/>
  <c r="L1542" i="9"/>
  <c r="K1542" i="9"/>
  <c r="J1542" i="9"/>
  <c r="I1542" i="9"/>
  <c r="H1542" i="9"/>
  <c r="G1542" i="9"/>
  <c r="F1542" i="9"/>
  <c r="E1542" i="9"/>
  <c r="D1542" i="9"/>
  <c r="C1542" i="9"/>
  <c r="B1542" i="9"/>
  <c r="A1542" i="9"/>
  <c r="L1541" i="9"/>
  <c r="K1541" i="9"/>
  <c r="J1541" i="9"/>
  <c r="I1541" i="9"/>
  <c r="H1541" i="9"/>
  <c r="G1541" i="9"/>
  <c r="F1541" i="9"/>
  <c r="E1541" i="9"/>
  <c r="D1541" i="9"/>
  <c r="C1541" i="9"/>
  <c r="B1541" i="9"/>
  <c r="A1541" i="9"/>
  <c r="L1540" i="9"/>
  <c r="K1540" i="9"/>
  <c r="J1540" i="9"/>
  <c r="I1540" i="9"/>
  <c r="H1540" i="9"/>
  <c r="G1540" i="9"/>
  <c r="F1540" i="9"/>
  <c r="E1540" i="9"/>
  <c r="D1540" i="9"/>
  <c r="C1540" i="9"/>
  <c r="B1540" i="9"/>
  <c r="A1540" i="9"/>
  <c r="L1539" i="9"/>
  <c r="K1539" i="9"/>
  <c r="J1539" i="9"/>
  <c r="I1539" i="9"/>
  <c r="H1539" i="9"/>
  <c r="G1539" i="9"/>
  <c r="F1539" i="9"/>
  <c r="E1539" i="9"/>
  <c r="D1539" i="9"/>
  <c r="C1539" i="9"/>
  <c r="B1539" i="9"/>
  <c r="A1539" i="9"/>
  <c r="L1538" i="9"/>
  <c r="K1538" i="9"/>
  <c r="J1538" i="9"/>
  <c r="I1538" i="9"/>
  <c r="H1538" i="9"/>
  <c r="G1538" i="9"/>
  <c r="F1538" i="9"/>
  <c r="E1538" i="9"/>
  <c r="D1538" i="9"/>
  <c r="C1538" i="9"/>
  <c r="B1538" i="9"/>
  <c r="A1538" i="9"/>
  <c r="L1537" i="9"/>
  <c r="K1537" i="9"/>
  <c r="J1537" i="9"/>
  <c r="I1537" i="9"/>
  <c r="H1537" i="9"/>
  <c r="G1537" i="9"/>
  <c r="F1537" i="9"/>
  <c r="E1537" i="9"/>
  <c r="D1537" i="9"/>
  <c r="C1537" i="9"/>
  <c r="B1537" i="9"/>
  <c r="A1537" i="9"/>
  <c r="L1536" i="9"/>
  <c r="K1536" i="9"/>
  <c r="J1536" i="9"/>
  <c r="I1536" i="9"/>
  <c r="H1536" i="9"/>
  <c r="G1536" i="9"/>
  <c r="F1536" i="9"/>
  <c r="E1536" i="9"/>
  <c r="D1536" i="9"/>
  <c r="C1536" i="9"/>
  <c r="B1536" i="9"/>
  <c r="A1536" i="9"/>
  <c r="L1535" i="9"/>
  <c r="K1535" i="9"/>
  <c r="J1535" i="9"/>
  <c r="I1535" i="9"/>
  <c r="H1535" i="9"/>
  <c r="G1535" i="9"/>
  <c r="F1535" i="9"/>
  <c r="E1535" i="9"/>
  <c r="D1535" i="9"/>
  <c r="C1535" i="9"/>
  <c r="B1535" i="9"/>
  <c r="A1535" i="9"/>
  <c r="M1534" i="9"/>
  <c r="L1534" i="9"/>
  <c r="K1534" i="9"/>
  <c r="J1534" i="9"/>
  <c r="I1534" i="9"/>
  <c r="H1534" i="9"/>
  <c r="G1534" i="9"/>
  <c r="F1534" i="9"/>
  <c r="E1534" i="9"/>
  <c r="D1534" i="9"/>
  <c r="C1534" i="9"/>
  <c r="B1534" i="9"/>
  <c r="A1534" i="9"/>
  <c r="L1533" i="9"/>
  <c r="M1533" i="9" s="1"/>
  <c r="K1533" i="9"/>
  <c r="J1533" i="9"/>
  <c r="I1533" i="9"/>
  <c r="H1533" i="9"/>
  <c r="G1533" i="9"/>
  <c r="F1533" i="9"/>
  <c r="E1533" i="9"/>
  <c r="D1533" i="9"/>
  <c r="C1533" i="9"/>
  <c r="B1533" i="9"/>
  <c r="A1533" i="9"/>
  <c r="L1532" i="9"/>
  <c r="M1532" i="9" s="1"/>
  <c r="K1532" i="9"/>
  <c r="J1532" i="9"/>
  <c r="I1532" i="9"/>
  <c r="H1532" i="9"/>
  <c r="G1532" i="9"/>
  <c r="F1532" i="9"/>
  <c r="E1532" i="9"/>
  <c r="D1532" i="9"/>
  <c r="C1532" i="9"/>
  <c r="B1532" i="9"/>
  <c r="A1532" i="9"/>
  <c r="L1531" i="9"/>
  <c r="K1531" i="9"/>
  <c r="J1531" i="9"/>
  <c r="I1531" i="9"/>
  <c r="H1531" i="9"/>
  <c r="G1531" i="9"/>
  <c r="F1531" i="9"/>
  <c r="E1531" i="9"/>
  <c r="D1531" i="9"/>
  <c r="C1531" i="9"/>
  <c r="B1531" i="9"/>
  <c r="A1531" i="9"/>
  <c r="L1530" i="9"/>
  <c r="K1530" i="9"/>
  <c r="J1530" i="9"/>
  <c r="I1530" i="9"/>
  <c r="H1530" i="9"/>
  <c r="G1530" i="9"/>
  <c r="F1530" i="9"/>
  <c r="E1530" i="9"/>
  <c r="D1530" i="9"/>
  <c r="C1530" i="9"/>
  <c r="B1530" i="9"/>
  <c r="A1530" i="9"/>
  <c r="L1529" i="9"/>
  <c r="K1529" i="9"/>
  <c r="J1529" i="9"/>
  <c r="I1529" i="9"/>
  <c r="H1529" i="9"/>
  <c r="G1529" i="9"/>
  <c r="F1529" i="9"/>
  <c r="E1529" i="9"/>
  <c r="D1529" i="9"/>
  <c r="C1529" i="9"/>
  <c r="B1529" i="9"/>
  <c r="A1529" i="9"/>
  <c r="L1528" i="9"/>
  <c r="K1528" i="9"/>
  <c r="J1528" i="9"/>
  <c r="I1528" i="9"/>
  <c r="H1528" i="9"/>
  <c r="G1528" i="9"/>
  <c r="F1528" i="9"/>
  <c r="E1528" i="9"/>
  <c r="D1528" i="9"/>
  <c r="C1528" i="9"/>
  <c r="B1528" i="9"/>
  <c r="A1528" i="9"/>
  <c r="L1527" i="9"/>
  <c r="K1527" i="9"/>
  <c r="J1527" i="9"/>
  <c r="I1527" i="9"/>
  <c r="H1527" i="9"/>
  <c r="G1527" i="9"/>
  <c r="F1527" i="9"/>
  <c r="E1527" i="9"/>
  <c r="D1527" i="9"/>
  <c r="C1527" i="9"/>
  <c r="B1527" i="9"/>
  <c r="A1527" i="9"/>
  <c r="M1526" i="9"/>
  <c r="L1526" i="9"/>
  <c r="K1526" i="9"/>
  <c r="J1526" i="9"/>
  <c r="I1526" i="9"/>
  <c r="H1526" i="9"/>
  <c r="G1526" i="9"/>
  <c r="F1526" i="9"/>
  <c r="E1526" i="9"/>
  <c r="D1526" i="9"/>
  <c r="C1526" i="9"/>
  <c r="B1526" i="9"/>
  <c r="A1526" i="9"/>
  <c r="L1525" i="9"/>
  <c r="M1525" i="9" s="1"/>
  <c r="K1525" i="9"/>
  <c r="J1525" i="9"/>
  <c r="I1525" i="9"/>
  <c r="H1525" i="9"/>
  <c r="G1525" i="9"/>
  <c r="F1525" i="9"/>
  <c r="E1525" i="9"/>
  <c r="D1525" i="9"/>
  <c r="C1525" i="9"/>
  <c r="B1525" i="9"/>
  <c r="A1525" i="9"/>
  <c r="L1524" i="9"/>
  <c r="M1524" i="9" s="1"/>
  <c r="K1524" i="9"/>
  <c r="J1524" i="9"/>
  <c r="I1524" i="9"/>
  <c r="H1524" i="9"/>
  <c r="G1524" i="9"/>
  <c r="F1524" i="9"/>
  <c r="E1524" i="9"/>
  <c r="D1524" i="9"/>
  <c r="C1524" i="9"/>
  <c r="B1524" i="9"/>
  <c r="A1524" i="9"/>
  <c r="L1523" i="9"/>
  <c r="K1523" i="9"/>
  <c r="J1523" i="9"/>
  <c r="I1523" i="9"/>
  <c r="H1523" i="9"/>
  <c r="G1523" i="9"/>
  <c r="F1523" i="9"/>
  <c r="E1523" i="9"/>
  <c r="D1523" i="9"/>
  <c r="C1523" i="9"/>
  <c r="B1523" i="9"/>
  <c r="A1523" i="9"/>
  <c r="L1522" i="9"/>
  <c r="K1522" i="9"/>
  <c r="J1522" i="9"/>
  <c r="I1522" i="9"/>
  <c r="H1522" i="9"/>
  <c r="G1522" i="9"/>
  <c r="F1522" i="9"/>
  <c r="E1522" i="9"/>
  <c r="D1522" i="9"/>
  <c r="C1522" i="9"/>
  <c r="B1522" i="9"/>
  <c r="A1522" i="9"/>
  <c r="L1521" i="9"/>
  <c r="K1521" i="9"/>
  <c r="J1521" i="9"/>
  <c r="I1521" i="9"/>
  <c r="H1521" i="9"/>
  <c r="G1521" i="9"/>
  <c r="F1521" i="9"/>
  <c r="E1521" i="9"/>
  <c r="D1521" i="9"/>
  <c r="C1521" i="9"/>
  <c r="B1521" i="9"/>
  <c r="A1521" i="9"/>
  <c r="M1520" i="9"/>
  <c r="L1520" i="9"/>
  <c r="K1520" i="9"/>
  <c r="J1520" i="9"/>
  <c r="I1520" i="9"/>
  <c r="H1520" i="9"/>
  <c r="G1520" i="9"/>
  <c r="F1520" i="9"/>
  <c r="E1520" i="9"/>
  <c r="D1520" i="9"/>
  <c r="C1520" i="9"/>
  <c r="B1520" i="9"/>
  <c r="A1520" i="9"/>
  <c r="L1519" i="9"/>
  <c r="M1519" i="9" s="1"/>
  <c r="K1519" i="9"/>
  <c r="J1519" i="9"/>
  <c r="I1519" i="9"/>
  <c r="H1519" i="9"/>
  <c r="G1519" i="9"/>
  <c r="F1519" i="9"/>
  <c r="E1519" i="9"/>
  <c r="D1519" i="9"/>
  <c r="C1519" i="9"/>
  <c r="B1519" i="9"/>
  <c r="A1519" i="9"/>
  <c r="L1518" i="9"/>
  <c r="M1518" i="9" s="1"/>
  <c r="K1518" i="9"/>
  <c r="J1518" i="9"/>
  <c r="I1518" i="9"/>
  <c r="H1518" i="9"/>
  <c r="G1518" i="9"/>
  <c r="F1518" i="9"/>
  <c r="E1518" i="9"/>
  <c r="D1518" i="9"/>
  <c r="C1518" i="9"/>
  <c r="B1518" i="9"/>
  <c r="A1518" i="9"/>
  <c r="L1517" i="9"/>
  <c r="K1517" i="9"/>
  <c r="J1517" i="9"/>
  <c r="I1517" i="9"/>
  <c r="H1517" i="9"/>
  <c r="G1517" i="9"/>
  <c r="F1517" i="9"/>
  <c r="E1517" i="9"/>
  <c r="D1517" i="9"/>
  <c r="C1517" i="9"/>
  <c r="B1517" i="9"/>
  <c r="A1517" i="9"/>
  <c r="L1516" i="9"/>
  <c r="K1516" i="9"/>
  <c r="J1516" i="9"/>
  <c r="I1516" i="9"/>
  <c r="H1516" i="9"/>
  <c r="G1516" i="9"/>
  <c r="F1516" i="9"/>
  <c r="E1516" i="9"/>
  <c r="D1516" i="9"/>
  <c r="C1516" i="9"/>
  <c r="B1516" i="9"/>
  <c r="A1516" i="9"/>
  <c r="L1515" i="9"/>
  <c r="K1515" i="9"/>
  <c r="J1515" i="9"/>
  <c r="I1515" i="9"/>
  <c r="H1515" i="9"/>
  <c r="G1515" i="9"/>
  <c r="F1515" i="9"/>
  <c r="E1515" i="9"/>
  <c r="D1515" i="9"/>
  <c r="C1515" i="9"/>
  <c r="B1515" i="9"/>
  <c r="A1515" i="9"/>
  <c r="L1514" i="9"/>
  <c r="K1514" i="9"/>
  <c r="J1514" i="9"/>
  <c r="I1514" i="9"/>
  <c r="H1514" i="9"/>
  <c r="G1514" i="9"/>
  <c r="F1514" i="9"/>
  <c r="E1514" i="9"/>
  <c r="D1514" i="9"/>
  <c r="C1514" i="9"/>
  <c r="B1514" i="9"/>
  <c r="A1514" i="9"/>
  <c r="L1513" i="9"/>
  <c r="K1513" i="9"/>
  <c r="J1513" i="9"/>
  <c r="I1513" i="9"/>
  <c r="H1513" i="9"/>
  <c r="G1513" i="9"/>
  <c r="F1513" i="9"/>
  <c r="E1513" i="9"/>
  <c r="D1513" i="9"/>
  <c r="C1513" i="9"/>
  <c r="B1513" i="9"/>
  <c r="A1513" i="9"/>
  <c r="M1512" i="9"/>
  <c r="L1512" i="9"/>
  <c r="K1512" i="9"/>
  <c r="J1512" i="9"/>
  <c r="I1512" i="9"/>
  <c r="H1512" i="9"/>
  <c r="G1512" i="9"/>
  <c r="F1512" i="9"/>
  <c r="E1512" i="9"/>
  <c r="D1512" i="9"/>
  <c r="C1512" i="9"/>
  <c r="B1512" i="9"/>
  <c r="A1512" i="9"/>
  <c r="L1511" i="9"/>
  <c r="M1511" i="9" s="1"/>
  <c r="K1511" i="9"/>
  <c r="J1511" i="9"/>
  <c r="I1511" i="9"/>
  <c r="H1511" i="9"/>
  <c r="G1511" i="9"/>
  <c r="F1511" i="9"/>
  <c r="E1511" i="9"/>
  <c r="D1511" i="9"/>
  <c r="C1511" i="9"/>
  <c r="B1511" i="9"/>
  <c r="A1511" i="9"/>
  <c r="M1510" i="9"/>
  <c r="L1510" i="9"/>
  <c r="K1510" i="9"/>
  <c r="J1510" i="9"/>
  <c r="I1510" i="9"/>
  <c r="H1510" i="9"/>
  <c r="G1510" i="9"/>
  <c r="F1510" i="9"/>
  <c r="E1510" i="9"/>
  <c r="D1510" i="9"/>
  <c r="C1510" i="9"/>
  <c r="B1510" i="9"/>
  <c r="A1510" i="9"/>
  <c r="L1509" i="9"/>
  <c r="K1509" i="9"/>
  <c r="J1509" i="9"/>
  <c r="I1509" i="9"/>
  <c r="H1509" i="9"/>
  <c r="G1509" i="9"/>
  <c r="F1509" i="9"/>
  <c r="E1509" i="9"/>
  <c r="D1509" i="9"/>
  <c r="C1509" i="9"/>
  <c r="B1509" i="9"/>
  <c r="A1509" i="9"/>
  <c r="L1508" i="9"/>
  <c r="K1508" i="9"/>
  <c r="J1508" i="9"/>
  <c r="I1508" i="9"/>
  <c r="H1508" i="9"/>
  <c r="G1508" i="9"/>
  <c r="F1508" i="9"/>
  <c r="E1508" i="9"/>
  <c r="D1508" i="9"/>
  <c r="C1508" i="9"/>
  <c r="B1508" i="9"/>
  <c r="A1508" i="9"/>
  <c r="L1507" i="9"/>
  <c r="K1507" i="9"/>
  <c r="J1507" i="9"/>
  <c r="I1507" i="9"/>
  <c r="H1507" i="9"/>
  <c r="G1507" i="9"/>
  <c r="F1507" i="9"/>
  <c r="E1507" i="9"/>
  <c r="D1507" i="9"/>
  <c r="C1507" i="9"/>
  <c r="B1507" i="9"/>
  <c r="A1507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A1506" i="9"/>
  <c r="L1505" i="9"/>
  <c r="M1505" i="9" s="1"/>
  <c r="K1505" i="9"/>
  <c r="J1505" i="9"/>
  <c r="I1505" i="9"/>
  <c r="H1505" i="9"/>
  <c r="G1505" i="9"/>
  <c r="F1505" i="9"/>
  <c r="E1505" i="9"/>
  <c r="D1505" i="9"/>
  <c r="C1505" i="9"/>
  <c r="B1505" i="9"/>
  <c r="A1505" i="9"/>
  <c r="L1504" i="9"/>
  <c r="M1504" i="9" s="1"/>
  <c r="K1504" i="9"/>
  <c r="J1504" i="9"/>
  <c r="I1504" i="9"/>
  <c r="H1504" i="9"/>
  <c r="G1504" i="9"/>
  <c r="F1504" i="9"/>
  <c r="E1504" i="9"/>
  <c r="D1504" i="9"/>
  <c r="C1504" i="9"/>
  <c r="B1504" i="9"/>
  <c r="A1504" i="9"/>
  <c r="L1503" i="9"/>
  <c r="K1503" i="9"/>
  <c r="J1503" i="9"/>
  <c r="I1503" i="9"/>
  <c r="H1503" i="9"/>
  <c r="G1503" i="9"/>
  <c r="F1503" i="9"/>
  <c r="E1503" i="9"/>
  <c r="D1503" i="9"/>
  <c r="C1503" i="9"/>
  <c r="B1503" i="9"/>
  <c r="A1503" i="9"/>
  <c r="L1502" i="9"/>
  <c r="K1502" i="9"/>
  <c r="J1502" i="9"/>
  <c r="I1502" i="9"/>
  <c r="H1502" i="9"/>
  <c r="G1502" i="9"/>
  <c r="F1502" i="9"/>
  <c r="E1502" i="9"/>
  <c r="D1502" i="9"/>
  <c r="C1502" i="9"/>
  <c r="B1502" i="9"/>
  <c r="A1502" i="9"/>
  <c r="L1501" i="9"/>
  <c r="K1501" i="9"/>
  <c r="J1501" i="9"/>
  <c r="I1501" i="9"/>
  <c r="H1501" i="9"/>
  <c r="G1501" i="9"/>
  <c r="F1501" i="9"/>
  <c r="E1501" i="9"/>
  <c r="D1501" i="9"/>
  <c r="C1501" i="9"/>
  <c r="B1501" i="9"/>
  <c r="A1501" i="9"/>
  <c r="L1500" i="9"/>
  <c r="K1500" i="9"/>
  <c r="J1500" i="9"/>
  <c r="I1500" i="9"/>
  <c r="H1500" i="9"/>
  <c r="G1500" i="9"/>
  <c r="F1500" i="9"/>
  <c r="E1500" i="9"/>
  <c r="D1500" i="9"/>
  <c r="C1500" i="9"/>
  <c r="B1500" i="9"/>
  <c r="A1500" i="9"/>
  <c r="L1499" i="9"/>
  <c r="K1499" i="9"/>
  <c r="J1499" i="9"/>
  <c r="I1499" i="9"/>
  <c r="H1499" i="9"/>
  <c r="G1499" i="9"/>
  <c r="F1499" i="9"/>
  <c r="E1499" i="9"/>
  <c r="D1499" i="9"/>
  <c r="C1499" i="9"/>
  <c r="B1499" i="9"/>
  <c r="A1499" i="9"/>
  <c r="M1498" i="9"/>
  <c r="L1498" i="9"/>
  <c r="K1498" i="9"/>
  <c r="J1498" i="9"/>
  <c r="I1498" i="9"/>
  <c r="H1498" i="9"/>
  <c r="G1498" i="9"/>
  <c r="F1498" i="9"/>
  <c r="E1498" i="9"/>
  <c r="D1498" i="9"/>
  <c r="C1498" i="9"/>
  <c r="B1498" i="9"/>
  <c r="A1498" i="9"/>
  <c r="L1497" i="9"/>
  <c r="M1497" i="9" s="1"/>
  <c r="K1497" i="9"/>
  <c r="J1497" i="9"/>
  <c r="I1497" i="9"/>
  <c r="H1497" i="9"/>
  <c r="G1497" i="9"/>
  <c r="F1497" i="9"/>
  <c r="E1497" i="9"/>
  <c r="D1497" i="9"/>
  <c r="C1497" i="9"/>
  <c r="B1497" i="9"/>
  <c r="A1497" i="9"/>
  <c r="M1496" i="9"/>
  <c r="L1496" i="9"/>
  <c r="K1496" i="9"/>
  <c r="J1496" i="9"/>
  <c r="I1496" i="9"/>
  <c r="H1496" i="9"/>
  <c r="G1496" i="9"/>
  <c r="F1496" i="9"/>
  <c r="E1496" i="9"/>
  <c r="D1496" i="9"/>
  <c r="C1496" i="9"/>
  <c r="B1496" i="9"/>
  <c r="A1496" i="9"/>
  <c r="L1495" i="9"/>
  <c r="K1495" i="9"/>
  <c r="J1495" i="9"/>
  <c r="I1495" i="9"/>
  <c r="H1495" i="9"/>
  <c r="G1495" i="9"/>
  <c r="F1495" i="9"/>
  <c r="E1495" i="9"/>
  <c r="D1495" i="9"/>
  <c r="C1495" i="9"/>
  <c r="B1495" i="9"/>
  <c r="A1495" i="9"/>
  <c r="L1494" i="9"/>
  <c r="K1494" i="9"/>
  <c r="J1494" i="9"/>
  <c r="I1494" i="9"/>
  <c r="H1494" i="9"/>
  <c r="G1494" i="9"/>
  <c r="F1494" i="9"/>
  <c r="E1494" i="9"/>
  <c r="D1494" i="9"/>
  <c r="C1494" i="9"/>
  <c r="B1494" i="9"/>
  <c r="A1494" i="9"/>
  <c r="L1493" i="9"/>
  <c r="K1493" i="9"/>
  <c r="J1493" i="9"/>
  <c r="I1493" i="9"/>
  <c r="H1493" i="9"/>
  <c r="G1493" i="9"/>
  <c r="F1493" i="9"/>
  <c r="E1493" i="9"/>
  <c r="D1493" i="9"/>
  <c r="C1493" i="9"/>
  <c r="B1493" i="9"/>
  <c r="A1493" i="9"/>
  <c r="M1492" i="9"/>
  <c r="L1492" i="9"/>
  <c r="K1492" i="9"/>
  <c r="J1492" i="9"/>
  <c r="I1492" i="9"/>
  <c r="H1492" i="9"/>
  <c r="G1492" i="9"/>
  <c r="F1492" i="9"/>
  <c r="E1492" i="9"/>
  <c r="D1492" i="9"/>
  <c r="C1492" i="9"/>
  <c r="B1492" i="9"/>
  <c r="A1492" i="9"/>
  <c r="M1491" i="9"/>
  <c r="L1491" i="9"/>
  <c r="K1491" i="9"/>
  <c r="J1491" i="9"/>
  <c r="I1491" i="9"/>
  <c r="H1491" i="9"/>
  <c r="G1491" i="9"/>
  <c r="F1491" i="9"/>
  <c r="E1491" i="9"/>
  <c r="D1491" i="9"/>
  <c r="C1491" i="9"/>
  <c r="B1491" i="9"/>
  <c r="A1491" i="9"/>
  <c r="L1490" i="9"/>
  <c r="M1490" i="9" s="1"/>
  <c r="K1490" i="9"/>
  <c r="J1490" i="9"/>
  <c r="I1490" i="9"/>
  <c r="H1490" i="9"/>
  <c r="G1490" i="9"/>
  <c r="F1490" i="9"/>
  <c r="E1490" i="9"/>
  <c r="D1490" i="9"/>
  <c r="C1490" i="9"/>
  <c r="B1490" i="9"/>
  <c r="A1490" i="9"/>
  <c r="L1489" i="9"/>
  <c r="K1489" i="9"/>
  <c r="J1489" i="9"/>
  <c r="I1489" i="9"/>
  <c r="H1489" i="9"/>
  <c r="G1489" i="9"/>
  <c r="F1489" i="9"/>
  <c r="E1489" i="9"/>
  <c r="D1489" i="9"/>
  <c r="C1489" i="9"/>
  <c r="B1489" i="9"/>
  <c r="A1489" i="9"/>
  <c r="L1488" i="9"/>
  <c r="K1488" i="9"/>
  <c r="J1488" i="9"/>
  <c r="I1488" i="9"/>
  <c r="H1488" i="9"/>
  <c r="G1488" i="9"/>
  <c r="F1488" i="9"/>
  <c r="E1488" i="9"/>
  <c r="D1488" i="9"/>
  <c r="C1488" i="9"/>
  <c r="B1488" i="9"/>
  <c r="A1488" i="9"/>
  <c r="L1487" i="9"/>
  <c r="K1487" i="9"/>
  <c r="J1487" i="9"/>
  <c r="I1487" i="9"/>
  <c r="H1487" i="9"/>
  <c r="G1487" i="9"/>
  <c r="F1487" i="9"/>
  <c r="E1487" i="9"/>
  <c r="D1487" i="9"/>
  <c r="C1487" i="9"/>
  <c r="B1487" i="9"/>
  <c r="A1487" i="9"/>
  <c r="L1486" i="9"/>
  <c r="K1486" i="9"/>
  <c r="J1486" i="9"/>
  <c r="I1486" i="9"/>
  <c r="H1486" i="9"/>
  <c r="G1486" i="9"/>
  <c r="F1486" i="9"/>
  <c r="E1486" i="9"/>
  <c r="D1486" i="9"/>
  <c r="C1486" i="9"/>
  <c r="B1486" i="9"/>
  <c r="A1486" i="9"/>
  <c r="L1485" i="9"/>
  <c r="K1485" i="9"/>
  <c r="J1485" i="9"/>
  <c r="I1485" i="9"/>
  <c r="H1485" i="9"/>
  <c r="G1485" i="9"/>
  <c r="F1485" i="9"/>
  <c r="E1485" i="9"/>
  <c r="D1485" i="9"/>
  <c r="C1485" i="9"/>
  <c r="B1485" i="9"/>
  <c r="A1485" i="9"/>
  <c r="M1484" i="9"/>
  <c r="L1484" i="9"/>
  <c r="K1484" i="9"/>
  <c r="J1484" i="9"/>
  <c r="I1484" i="9"/>
  <c r="H1484" i="9"/>
  <c r="G1484" i="9"/>
  <c r="F1484" i="9"/>
  <c r="E1484" i="9"/>
  <c r="D1484" i="9"/>
  <c r="C1484" i="9"/>
  <c r="B1484" i="9"/>
  <c r="A1484" i="9"/>
  <c r="M1483" i="9"/>
  <c r="L1483" i="9"/>
  <c r="K1483" i="9"/>
  <c r="J1483" i="9"/>
  <c r="I1483" i="9"/>
  <c r="H1483" i="9"/>
  <c r="G1483" i="9"/>
  <c r="F1483" i="9"/>
  <c r="E1483" i="9"/>
  <c r="D1483" i="9"/>
  <c r="C1483" i="9"/>
  <c r="B1483" i="9"/>
  <c r="A1483" i="9"/>
  <c r="M1482" i="9"/>
  <c r="L1482" i="9"/>
  <c r="K1482" i="9"/>
  <c r="J1482" i="9"/>
  <c r="I1482" i="9"/>
  <c r="H1482" i="9"/>
  <c r="G1482" i="9"/>
  <c r="F1482" i="9"/>
  <c r="E1482" i="9"/>
  <c r="D1482" i="9"/>
  <c r="C1482" i="9"/>
  <c r="B1482" i="9"/>
  <c r="A1482" i="9"/>
  <c r="L1481" i="9"/>
  <c r="K1481" i="9"/>
  <c r="J1481" i="9"/>
  <c r="I1481" i="9"/>
  <c r="H1481" i="9"/>
  <c r="G1481" i="9"/>
  <c r="F1481" i="9"/>
  <c r="E1481" i="9"/>
  <c r="D1481" i="9"/>
  <c r="C1481" i="9"/>
  <c r="B1481" i="9"/>
  <c r="A1481" i="9"/>
  <c r="L1480" i="9"/>
  <c r="K1480" i="9"/>
  <c r="J1480" i="9"/>
  <c r="I1480" i="9"/>
  <c r="H1480" i="9"/>
  <c r="G1480" i="9"/>
  <c r="F1480" i="9"/>
  <c r="E1480" i="9"/>
  <c r="D1480" i="9"/>
  <c r="C1480" i="9"/>
  <c r="B1480" i="9"/>
  <c r="A1480" i="9"/>
  <c r="L1479" i="9"/>
  <c r="K1479" i="9"/>
  <c r="J1479" i="9"/>
  <c r="I1479" i="9"/>
  <c r="H1479" i="9"/>
  <c r="G1479" i="9"/>
  <c r="F1479" i="9"/>
  <c r="E1479" i="9"/>
  <c r="D1479" i="9"/>
  <c r="C1479" i="9"/>
  <c r="B1479" i="9"/>
  <c r="A1479" i="9"/>
  <c r="M1478" i="9"/>
  <c r="L1478" i="9"/>
  <c r="K1478" i="9"/>
  <c r="J1478" i="9"/>
  <c r="I1478" i="9"/>
  <c r="H1478" i="9"/>
  <c r="G1478" i="9"/>
  <c r="F1478" i="9"/>
  <c r="E1478" i="9"/>
  <c r="D1478" i="9"/>
  <c r="C1478" i="9"/>
  <c r="B1478" i="9"/>
  <c r="A1478" i="9"/>
  <c r="L1477" i="9"/>
  <c r="M1477" i="9" s="1"/>
  <c r="K1477" i="9"/>
  <c r="J1477" i="9"/>
  <c r="I1477" i="9"/>
  <c r="H1477" i="9"/>
  <c r="G1477" i="9"/>
  <c r="F1477" i="9"/>
  <c r="E1477" i="9"/>
  <c r="D1477" i="9"/>
  <c r="C1477" i="9"/>
  <c r="B1477" i="9"/>
  <c r="A1477" i="9"/>
  <c r="M1476" i="9"/>
  <c r="L1476" i="9"/>
  <c r="K1476" i="9"/>
  <c r="J1476" i="9"/>
  <c r="I1476" i="9"/>
  <c r="H1476" i="9"/>
  <c r="G1476" i="9"/>
  <c r="F1476" i="9"/>
  <c r="E1476" i="9"/>
  <c r="D1476" i="9"/>
  <c r="C1476" i="9"/>
  <c r="B1476" i="9"/>
  <c r="A1476" i="9"/>
  <c r="L1475" i="9"/>
  <c r="K1475" i="9"/>
  <c r="J1475" i="9"/>
  <c r="I1475" i="9"/>
  <c r="H1475" i="9"/>
  <c r="G1475" i="9"/>
  <c r="F1475" i="9"/>
  <c r="E1475" i="9"/>
  <c r="D1475" i="9"/>
  <c r="C1475" i="9"/>
  <c r="B1475" i="9"/>
  <c r="A1475" i="9"/>
  <c r="L1474" i="9"/>
  <c r="K1474" i="9"/>
  <c r="J1474" i="9"/>
  <c r="I1474" i="9"/>
  <c r="H1474" i="9"/>
  <c r="G1474" i="9"/>
  <c r="F1474" i="9"/>
  <c r="E1474" i="9"/>
  <c r="D1474" i="9"/>
  <c r="C1474" i="9"/>
  <c r="B1474" i="9"/>
  <c r="A1474" i="9"/>
  <c r="L1473" i="9"/>
  <c r="K1473" i="9"/>
  <c r="J1473" i="9"/>
  <c r="I1473" i="9"/>
  <c r="H1473" i="9"/>
  <c r="G1473" i="9"/>
  <c r="F1473" i="9"/>
  <c r="E1473" i="9"/>
  <c r="D1473" i="9"/>
  <c r="C1473" i="9"/>
  <c r="B1473" i="9"/>
  <c r="A1473" i="9"/>
  <c r="L1472" i="9"/>
  <c r="K1472" i="9"/>
  <c r="J1472" i="9"/>
  <c r="I1472" i="9"/>
  <c r="H1472" i="9"/>
  <c r="G1472" i="9"/>
  <c r="F1472" i="9"/>
  <c r="E1472" i="9"/>
  <c r="D1472" i="9"/>
  <c r="C1472" i="9"/>
  <c r="B1472" i="9"/>
  <c r="A1472" i="9"/>
  <c r="L1471" i="9"/>
  <c r="K1471" i="9"/>
  <c r="J1471" i="9"/>
  <c r="I1471" i="9"/>
  <c r="H1471" i="9"/>
  <c r="G1471" i="9"/>
  <c r="F1471" i="9"/>
  <c r="E1471" i="9"/>
  <c r="D1471" i="9"/>
  <c r="C1471" i="9"/>
  <c r="B1471" i="9"/>
  <c r="A1471" i="9"/>
  <c r="M1470" i="9"/>
  <c r="L1470" i="9"/>
  <c r="K1470" i="9"/>
  <c r="J1470" i="9"/>
  <c r="I1470" i="9"/>
  <c r="H1470" i="9"/>
  <c r="G1470" i="9"/>
  <c r="F1470" i="9"/>
  <c r="E1470" i="9"/>
  <c r="D1470" i="9"/>
  <c r="C1470" i="9"/>
  <c r="B1470" i="9"/>
  <c r="A1470" i="9"/>
  <c r="M1469" i="9"/>
  <c r="L1469" i="9"/>
  <c r="K1469" i="9"/>
  <c r="J1469" i="9"/>
  <c r="I1469" i="9"/>
  <c r="H1469" i="9"/>
  <c r="G1469" i="9"/>
  <c r="F1469" i="9"/>
  <c r="E1469" i="9"/>
  <c r="D1469" i="9"/>
  <c r="C1469" i="9"/>
  <c r="B1469" i="9"/>
  <c r="A1469" i="9"/>
  <c r="L1468" i="9"/>
  <c r="M1468" i="9" s="1"/>
  <c r="K1468" i="9"/>
  <c r="J1468" i="9"/>
  <c r="I1468" i="9"/>
  <c r="H1468" i="9"/>
  <c r="G1468" i="9"/>
  <c r="F1468" i="9"/>
  <c r="E1468" i="9"/>
  <c r="D1468" i="9"/>
  <c r="C1468" i="9"/>
  <c r="B1468" i="9"/>
  <c r="A1468" i="9"/>
  <c r="L1467" i="9"/>
  <c r="K1467" i="9"/>
  <c r="J1467" i="9"/>
  <c r="I1467" i="9"/>
  <c r="H1467" i="9"/>
  <c r="G1467" i="9"/>
  <c r="F1467" i="9"/>
  <c r="E1467" i="9"/>
  <c r="D1467" i="9"/>
  <c r="C1467" i="9"/>
  <c r="B1467" i="9"/>
  <c r="A1467" i="9"/>
  <c r="L1466" i="9"/>
  <c r="K1466" i="9"/>
  <c r="J1466" i="9"/>
  <c r="I1466" i="9"/>
  <c r="H1466" i="9"/>
  <c r="G1466" i="9"/>
  <c r="F1466" i="9"/>
  <c r="E1466" i="9"/>
  <c r="D1466" i="9"/>
  <c r="C1466" i="9"/>
  <c r="B1466" i="9"/>
  <c r="A1466" i="9"/>
  <c r="L1465" i="9"/>
  <c r="K1465" i="9"/>
  <c r="J1465" i="9"/>
  <c r="I1465" i="9"/>
  <c r="H1465" i="9"/>
  <c r="G1465" i="9"/>
  <c r="F1465" i="9"/>
  <c r="E1465" i="9"/>
  <c r="D1465" i="9"/>
  <c r="C1465" i="9"/>
  <c r="B1465" i="9"/>
  <c r="A1465" i="9"/>
  <c r="M1464" i="9"/>
  <c r="L1464" i="9"/>
  <c r="K1464" i="9"/>
  <c r="J1464" i="9"/>
  <c r="I1464" i="9"/>
  <c r="H1464" i="9"/>
  <c r="G1464" i="9"/>
  <c r="F1464" i="9"/>
  <c r="E1464" i="9"/>
  <c r="D1464" i="9"/>
  <c r="C1464" i="9"/>
  <c r="B1464" i="9"/>
  <c r="A1464" i="9"/>
  <c r="L1463" i="9"/>
  <c r="M1463" i="9" s="1"/>
  <c r="K1463" i="9"/>
  <c r="J1463" i="9"/>
  <c r="I1463" i="9"/>
  <c r="H1463" i="9"/>
  <c r="G1463" i="9"/>
  <c r="F1463" i="9"/>
  <c r="E1463" i="9"/>
  <c r="D1463" i="9"/>
  <c r="C1463" i="9"/>
  <c r="B1463" i="9"/>
  <c r="A1463" i="9"/>
  <c r="L1462" i="9"/>
  <c r="M1462" i="9" s="1"/>
  <c r="K1462" i="9"/>
  <c r="J1462" i="9"/>
  <c r="I1462" i="9"/>
  <c r="H1462" i="9"/>
  <c r="G1462" i="9"/>
  <c r="F1462" i="9"/>
  <c r="E1462" i="9"/>
  <c r="D1462" i="9"/>
  <c r="C1462" i="9"/>
  <c r="B1462" i="9"/>
  <c r="A1462" i="9"/>
  <c r="L1461" i="9"/>
  <c r="K1461" i="9"/>
  <c r="J1461" i="9"/>
  <c r="I1461" i="9"/>
  <c r="H1461" i="9"/>
  <c r="G1461" i="9"/>
  <c r="F1461" i="9"/>
  <c r="E1461" i="9"/>
  <c r="D1461" i="9"/>
  <c r="C1461" i="9"/>
  <c r="B1461" i="9"/>
  <c r="A1461" i="9"/>
  <c r="L1460" i="9"/>
  <c r="K1460" i="9"/>
  <c r="J1460" i="9"/>
  <c r="I1460" i="9"/>
  <c r="H1460" i="9"/>
  <c r="G1460" i="9"/>
  <c r="F1460" i="9"/>
  <c r="E1460" i="9"/>
  <c r="D1460" i="9"/>
  <c r="C1460" i="9"/>
  <c r="B1460" i="9"/>
  <c r="A1460" i="9"/>
  <c r="L1459" i="9"/>
  <c r="K1459" i="9"/>
  <c r="J1459" i="9"/>
  <c r="I1459" i="9"/>
  <c r="H1459" i="9"/>
  <c r="G1459" i="9"/>
  <c r="F1459" i="9"/>
  <c r="E1459" i="9"/>
  <c r="D1459" i="9"/>
  <c r="C1459" i="9"/>
  <c r="B1459" i="9"/>
  <c r="A1459" i="9"/>
  <c r="L1458" i="9"/>
  <c r="K1458" i="9"/>
  <c r="J1458" i="9"/>
  <c r="I1458" i="9"/>
  <c r="H1458" i="9"/>
  <c r="G1458" i="9"/>
  <c r="F1458" i="9"/>
  <c r="E1458" i="9"/>
  <c r="D1458" i="9"/>
  <c r="C1458" i="9"/>
  <c r="B1458" i="9"/>
  <c r="A1458" i="9"/>
  <c r="L1457" i="9"/>
  <c r="K1457" i="9"/>
  <c r="J1457" i="9"/>
  <c r="I1457" i="9"/>
  <c r="H1457" i="9"/>
  <c r="G1457" i="9"/>
  <c r="F1457" i="9"/>
  <c r="E1457" i="9"/>
  <c r="D1457" i="9"/>
  <c r="C1457" i="9"/>
  <c r="B1457" i="9"/>
  <c r="A1457" i="9"/>
  <c r="L1456" i="9"/>
  <c r="K1456" i="9"/>
  <c r="J1456" i="9"/>
  <c r="I1456" i="9"/>
  <c r="H1456" i="9"/>
  <c r="G1456" i="9"/>
  <c r="F1456" i="9"/>
  <c r="E1456" i="9"/>
  <c r="D1456" i="9"/>
  <c r="C1456" i="9"/>
  <c r="B1456" i="9"/>
  <c r="A1456" i="9"/>
  <c r="L1455" i="9"/>
  <c r="K1455" i="9"/>
  <c r="J1455" i="9"/>
  <c r="I1455" i="9"/>
  <c r="H1455" i="9"/>
  <c r="G1455" i="9"/>
  <c r="F1455" i="9"/>
  <c r="E1455" i="9"/>
  <c r="D1455" i="9"/>
  <c r="C1455" i="9"/>
  <c r="B1455" i="9"/>
  <c r="A1455" i="9"/>
  <c r="L1454" i="9"/>
  <c r="K1454" i="9"/>
  <c r="J1454" i="9"/>
  <c r="I1454" i="9"/>
  <c r="H1454" i="9"/>
  <c r="G1454" i="9"/>
  <c r="F1454" i="9"/>
  <c r="E1454" i="9"/>
  <c r="D1454" i="9"/>
  <c r="C1454" i="9"/>
  <c r="B1454" i="9"/>
  <c r="A1454" i="9"/>
  <c r="L1453" i="9"/>
  <c r="K1453" i="9"/>
  <c r="J1453" i="9"/>
  <c r="I1453" i="9"/>
  <c r="H1453" i="9"/>
  <c r="G1453" i="9"/>
  <c r="F1453" i="9"/>
  <c r="E1453" i="9"/>
  <c r="D1453" i="9"/>
  <c r="C1453" i="9"/>
  <c r="B1453" i="9"/>
  <c r="A1453" i="9"/>
  <c r="L1452" i="9"/>
  <c r="K1452" i="9"/>
  <c r="J1452" i="9"/>
  <c r="I1452" i="9"/>
  <c r="H1452" i="9"/>
  <c r="G1452" i="9"/>
  <c r="F1452" i="9"/>
  <c r="E1452" i="9"/>
  <c r="D1452" i="9"/>
  <c r="C1452" i="9"/>
  <c r="B1452" i="9"/>
  <c r="A1452" i="9"/>
  <c r="L1451" i="9"/>
  <c r="K1451" i="9"/>
  <c r="J1451" i="9"/>
  <c r="I1451" i="9"/>
  <c r="H1451" i="9"/>
  <c r="G1451" i="9"/>
  <c r="F1451" i="9"/>
  <c r="E1451" i="9"/>
  <c r="D1451" i="9"/>
  <c r="C1451" i="9"/>
  <c r="B1451" i="9"/>
  <c r="A1451" i="9"/>
  <c r="L1450" i="9"/>
  <c r="K1450" i="9"/>
  <c r="J1450" i="9"/>
  <c r="I1450" i="9"/>
  <c r="H1450" i="9"/>
  <c r="G1450" i="9"/>
  <c r="F1450" i="9"/>
  <c r="E1450" i="9"/>
  <c r="D1450" i="9"/>
  <c r="C1450" i="9"/>
  <c r="B1450" i="9"/>
  <c r="A1450" i="9"/>
  <c r="L1449" i="9"/>
  <c r="K1449" i="9"/>
  <c r="J1449" i="9"/>
  <c r="I1449" i="9"/>
  <c r="H1449" i="9"/>
  <c r="G1449" i="9"/>
  <c r="F1449" i="9"/>
  <c r="E1449" i="9"/>
  <c r="D1449" i="9"/>
  <c r="C1449" i="9"/>
  <c r="B1449" i="9"/>
  <c r="A1449" i="9"/>
  <c r="L1448" i="9"/>
  <c r="K1448" i="9"/>
  <c r="J1448" i="9"/>
  <c r="I1448" i="9"/>
  <c r="H1448" i="9"/>
  <c r="G1448" i="9"/>
  <c r="F1448" i="9"/>
  <c r="E1448" i="9"/>
  <c r="D1448" i="9"/>
  <c r="C1448" i="9"/>
  <c r="B1448" i="9"/>
  <c r="A1448" i="9"/>
  <c r="L1447" i="9"/>
  <c r="K1447" i="9"/>
  <c r="J1447" i="9"/>
  <c r="I1447" i="9"/>
  <c r="H1447" i="9"/>
  <c r="G1447" i="9"/>
  <c r="F1447" i="9"/>
  <c r="E1447" i="9"/>
  <c r="D1447" i="9"/>
  <c r="C1447" i="9"/>
  <c r="B1447" i="9"/>
  <c r="A1447" i="9"/>
  <c r="L1446" i="9"/>
  <c r="K1446" i="9"/>
  <c r="J1446" i="9"/>
  <c r="I1446" i="9"/>
  <c r="H1446" i="9"/>
  <c r="G1446" i="9"/>
  <c r="F1446" i="9"/>
  <c r="E1446" i="9"/>
  <c r="D1446" i="9"/>
  <c r="C1446" i="9"/>
  <c r="B1446" i="9"/>
  <c r="A1446" i="9"/>
  <c r="L1445" i="9"/>
  <c r="K1445" i="9"/>
  <c r="J1445" i="9"/>
  <c r="I1445" i="9"/>
  <c r="H1445" i="9"/>
  <c r="G1445" i="9"/>
  <c r="F1445" i="9"/>
  <c r="E1445" i="9"/>
  <c r="D1445" i="9"/>
  <c r="C1445" i="9"/>
  <c r="B1445" i="9"/>
  <c r="A1445" i="9"/>
  <c r="L1444" i="9"/>
  <c r="K1444" i="9"/>
  <c r="J1444" i="9"/>
  <c r="I1444" i="9"/>
  <c r="H1444" i="9"/>
  <c r="G1444" i="9"/>
  <c r="F1444" i="9"/>
  <c r="E1444" i="9"/>
  <c r="D1444" i="9"/>
  <c r="C1444" i="9"/>
  <c r="B1444" i="9"/>
  <c r="A1444" i="9"/>
  <c r="L1443" i="9"/>
  <c r="K1443" i="9"/>
  <c r="J1443" i="9"/>
  <c r="I1443" i="9"/>
  <c r="H1443" i="9"/>
  <c r="G1443" i="9"/>
  <c r="F1443" i="9"/>
  <c r="E1443" i="9"/>
  <c r="D1443" i="9"/>
  <c r="C1443" i="9"/>
  <c r="B1443" i="9"/>
  <c r="A1443" i="9"/>
  <c r="L1442" i="9"/>
  <c r="K1442" i="9"/>
  <c r="J1442" i="9"/>
  <c r="I1442" i="9"/>
  <c r="H1442" i="9"/>
  <c r="G1442" i="9"/>
  <c r="F1442" i="9"/>
  <c r="E1442" i="9"/>
  <c r="D1442" i="9"/>
  <c r="C1442" i="9"/>
  <c r="B1442" i="9"/>
  <c r="A1442" i="9"/>
  <c r="L1441" i="9"/>
  <c r="K1441" i="9"/>
  <c r="J1441" i="9"/>
  <c r="I1441" i="9"/>
  <c r="H1441" i="9"/>
  <c r="G1441" i="9"/>
  <c r="F1441" i="9"/>
  <c r="E1441" i="9"/>
  <c r="D1441" i="9"/>
  <c r="C1441" i="9"/>
  <c r="B1441" i="9"/>
  <c r="A1441" i="9"/>
  <c r="L1440" i="9"/>
  <c r="K1440" i="9"/>
  <c r="J1440" i="9"/>
  <c r="I1440" i="9"/>
  <c r="H1440" i="9"/>
  <c r="G1440" i="9"/>
  <c r="F1440" i="9"/>
  <c r="E1440" i="9"/>
  <c r="D1440" i="9"/>
  <c r="C1440" i="9"/>
  <c r="B1440" i="9"/>
  <c r="A1440" i="9"/>
  <c r="L1439" i="9"/>
  <c r="K1439" i="9"/>
  <c r="J1439" i="9"/>
  <c r="I1439" i="9"/>
  <c r="H1439" i="9"/>
  <c r="G1439" i="9"/>
  <c r="F1439" i="9"/>
  <c r="E1439" i="9"/>
  <c r="D1439" i="9"/>
  <c r="C1439" i="9"/>
  <c r="B1439" i="9"/>
  <c r="A1439" i="9"/>
  <c r="L1438" i="9"/>
  <c r="K1438" i="9"/>
  <c r="J1438" i="9"/>
  <c r="I1438" i="9"/>
  <c r="H1438" i="9"/>
  <c r="G1438" i="9"/>
  <c r="F1438" i="9"/>
  <c r="E1438" i="9"/>
  <c r="D1438" i="9"/>
  <c r="C1438" i="9"/>
  <c r="B1438" i="9"/>
  <c r="A1438" i="9"/>
  <c r="L1437" i="9"/>
  <c r="K1437" i="9"/>
  <c r="J1437" i="9"/>
  <c r="I1437" i="9"/>
  <c r="H1437" i="9"/>
  <c r="G1437" i="9"/>
  <c r="F1437" i="9"/>
  <c r="E1437" i="9"/>
  <c r="D1437" i="9"/>
  <c r="C1437" i="9"/>
  <c r="B1437" i="9"/>
  <c r="A1437" i="9"/>
  <c r="L1436" i="9"/>
  <c r="K1436" i="9"/>
  <c r="J1436" i="9"/>
  <c r="I1436" i="9"/>
  <c r="H1436" i="9"/>
  <c r="G1436" i="9"/>
  <c r="F1436" i="9"/>
  <c r="E1436" i="9"/>
  <c r="D1436" i="9"/>
  <c r="C1436" i="9"/>
  <c r="B1436" i="9"/>
  <c r="A1436" i="9"/>
  <c r="L1435" i="9"/>
  <c r="K1435" i="9"/>
  <c r="J1435" i="9"/>
  <c r="I1435" i="9"/>
  <c r="H1435" i="9"/>
  <c r="G1435" i="9"/>
  <c r="F1435" i="9"/>
  <c r="E1435" i="9"/>
  <c r="D1435" i="9"/>
  <c r="C1435" i="9"/>
  <c r="B1435" i="9"/>
  <c r="A1435" i="9"/>
  <c r="L1434" i="9"/>
  <c r="K1434" i="9"/>
  <c r="J1434" i="9"/>
  <c r="I1434" i="9"/>
  <c r="H1434" i="9"/>
  <c r="G1434" i="9"/>
  <c r="F1434" i="9"/>
  <c r="E1434" i="9"/>
  <c r="D1434" i="9"/>
  <c r="C1434" i="9"/>
  <c r="B1434" i="9"/>
  <c r="A1434" i="9"/>
  <c r="L1433" i="9"/>
  <c r="K1433" i="9"/>
  <c r="J1433" i="9"/>
  <c r="I1433" i="9"/>
  <c r="H1433" i="9"/>
  <c r="G1433" i="9"/>
  <c r="F1433" i="9"/>
  <c r="E1433" i="9"/>
  <c r="D1433" i="9"/>
  <c r="C1433" i="9"/>
  <c r="B1433" i="9"/>
  <c r="A1433" i="9"/>
  <c r="L1432" i="9"/>
  <c r="K1432" i="9"/>
  <c r="J1432" i="9"/>
  <c r="I1432" i="9"/>
  <c r="H1432" i="9"/>
  <c r="G1432" i="9"/>
  <c r="F1432" i="9"/>
  <c r="E1432" i="9"/>
  <c r="D1432" i="9"/>
  <c r="C1432" i="9"/>
  <c r="B1432" i="9"/>
  <c r="A1432" i="9"/>
  <c r="L1431" i="9"/>
  <c r="K1431" i="9"/>
  <c r="J1431" i="9"/>
  <c r="I1431" i="9"/>
  <c r="H1431" i="9"/>
  <c r="G1431" i="9"/>
  <c r="F1431" i="9"/>
  <c r="E1431" i="9"/>
  <c r="D1431" i="9"/>
  <c r="C1431" i="9"/>
  <c r="B1431" i="9"/>
  <c r="A1431" i="9"/>
  <c r="L1430" i="9"/>
  <c r="K1430" i="9"/>
  <c r="J1430" i="9"/>
  <c r="I1430" i="9"/>
  <c r="H1430" i="9"/>
  <c r="G1430" i="9"/>
  <c r="F1430" i="9"/>
  <c r="E1430" i="9"/>
  <c r="D1430" i="9"/>
  <c r="C1430" i="9"/>
  <c r="B1430" i="9"/>
  <c r="A1430" i="9"/>
  <c r="L1429" i="9"/>
  <c r="K1429" i="9"/>
  <c r="J1429" i="9"/>
  <c r="I1429" i="9"/>
  <c r="H1429" i="9"/>
  <c r="G1429" i="9"/>
  <c r="F1429" i="9"/>
  <c r="E1429" i="9"/>
  <c r="D1429" i="9"/>
  <c r="C1429" i="9"/>
  <c r="B1429" i="9"/>
  <c r="A1429" i="9"/>
  <c r="L1428" i="9"/>
  <c r="K1428" i="9"/>
  <c r="J1428" i="9"/>
  <c r="I1428" i="9"/>
  <c r="H1428" i="9"/>
  <c r="G1428" i="9"/>
  <c r="F1428" i="9"/>
  <c r="E1428" i="9"/>
  <c r="D1428" i="9"/>
  <c r="C1428" i="9"/>
  <c r="B1428" i="9"/>
  <c r="A1428" i="9"/>
  <c r="L1427" i="9"/>
  <c r="K1427" i="9"/>
  <c r="J1427" i="9"/>
  <c r="I1427" i="9"/>
  <c r="H1427" i="9"/>
  <c r="G1427" i="9"/>
  <c r="F1427" i="9"/>
  <c r="E1427" i="9"/>
  <c r="D1427" i="9"/>
  <c r="C1427" i="9"/>
  <c r="B1427" i="9"/>
  <c r="A1427" i="9"/>
  <c r="L1426" i="9"/>
  <c r="K1426" i="9"/>
  <c r="J1426" i="9"/>
  <c r="I1426" i="9"/>
  <c r="H1426" i="9"/>
  <c r="G1426" i="9"/>
  <c r="F1426" i="9"/>
  <c r="E1426" i="9"/>
  <c r="D1426" i="9"/>
  <c r="C1426" i="9"/>
  <c r="B1426" i="9"/>
  <c r="A1426" i="9"/>
  <c r="L1425" i="9"/>
  <c r="K1425" i="9"/>
  <c r="J1425" i="9"/>
  <c r="I1425" i="9"/>
  <c r="H1425" i="9"/>
  <c r="G1425" i="9"/>
  <c r="F1425" i="9"/>
  <c r="E1425" i="9"/>
  <c r="D1425" i="9"/>
  <c r="C1425" i="9"/>
  <c r="B1425" i="9"/>
  <c r="A1425" i="9"/>
  <c r="L1424" i="9"/>
  <c r="K1424" i="9"/>
  <c r="J1424" i="9"/>
  <c r="I1424" i="9"/>
  <c r="H1424" i="9"/>
  <c r="G1424" i="9"/>
  <c r="F1424" i="9"/>
  <c r="E1424" i="9"/>
  <c r="D1424" i="9"/>
  <c r="C1424" i="9"/>
  <c r="B1424" i="9"/>
  <c r="A1424" i="9"/>
  <c r="M1423" i="9"/>
  <c r="L1423" i="9"/>
  <c r="K1423" i="9"/>
  <c r="J1423" i="9"/>
  <c r="I1423" i="9"/>
  <c r="H1423" i="9"/>
  <c r="G1423" i="9"/>
  <c r="F1423" i="9"/>
  <c r="E1423" i="9"/>
  <c r="D1423" i="9"/>
  <c r="C1423" i="9"/>
  <c r="B1423" i="9"/>
  <c r="A1423" i="9"/>
  <c r="M1422" i="9"/>
  <c r="L1422" i="9"/>
  <c r="K1422" i="9"/>
  <c r="J1422" i="9"/>
  <c r="I1422" i="9"/>
  <c r="H1422" i="9"/>
  <c r="G1422" i="9"/>
  <c r="F1422" i="9"/>
  <c r="E1422" i="9"/>
  <c r="D1422" i="9"/>
  <c r="C1422" i="9"/>
  <c r="B1422" i="9"/>
  <c r="A1422" i="9"/>
  <c r="M1421" i="9"/>
  <c r="L1421" i="9"/>
  <c r="K1421" i="9"/>
  <c r="J1421" i="9"/>
  <c r="I1421" i="9"/>
  <c r="H1421" i="9"/>
  <c r="G1421" i="9"/>
  <c r="F1421" i="9"/>
  <c r="E1421" i="9"/>
  <c r="D1421" i="9"/>
  <c r="C1421" i="9"/>
  <c r="B1421" i="9"/>
  <c r="A1421" i="9"/>
  <c r="L1420" i="9"/>
  <c r="K1420" i="9"/>
  <c r="J1420" i="9"/>
  <c r="I1420" i="9"/>
  <c r="H1420" i="9"/>
  <c r="G1420" i="9"/>
  <c r="F1420" i="9"/>
  <c r="E1420" i="9"/>
  <c r="D1420" i="9"/>
  <c r="C1420" i="9"/>
  <c r="B1420" i="9"/>
  <c r="A1420" i="9"/>
  <c r="L1419" i="9"/>
  <c r="K1419" i="9"/>
  <c r="J1419" i="9"/>
  <c r="I1419" i="9"/>
  <c r="H1419" i="9"/>
  <c r="G1419" i="9"/>
  <c r="F1419" i="9"/>
  <c r="E1419" i="9"/>
  <c r="D1419" i="9"/>
  <c r="C1419" i="9"/>
  <c r="B1419" i="9"/>
  <c r="A1419" i="9"/>
  <c r="L1418" i="9"/>
  <c r="K1418" i="9"/>
  <c r="J1418" i="9"/>
  <c r="I1418" i="9"/>
  <c r="H1418" i="9"/>
  <c r="G1418" i="9"/>
  <c r="F1418" i="9"/>
  <c r="E1418" i="9"/>
  <c r="D1418" i="9"/>
  <c r="C1418" i="9"/>
  <c r="B1418" i="9"/>
  <c r="A1418" i="9"/>
  <c r="L1417" i="9"/>
  <c r="M1417" i="9" s="1"/>
  <c r="K1417" i="9"/>
  <c r="J1417" i="9"/>
  <c r="I1417" i="9"/>
  <c r="H1417" i="9"/>
  <c r="G1417" i="9"/>
  <c r="F1417" i="9"/>
  <c r="E1417" i="9"/>
  <c r="D1417" i="9"/>
  <c r="C1417" i="9"/>
  <c r="B1417" i="9"/>
  <c r="A1417" i="9"/>
  <c r="L1416" i="9"/>
  <c r="M1416" i="9" s="1"/>
  <c r="K1416" i="9"/>
  <c r="J1416" i="9"/>
  <c r="I1416" i="9"/>
  <c r="H1416" i="9"/>
  <c r="G1416" i="9"/>
  <c r="F1416" i="9"/>
  <c r="E1416" i="9"/>
  <c r="D1416" i="9"/>
  <c r="C1416" i="9"/>
  <c r="B1416" i="9"/>
  <c r="A1416" i="9"/>
  <c r="L1415" i="9"/>
  <c r="K1415" i="9"/>
  <c r="J1415" i="9"/>
  <c r="I1415" i="9"/>
  <c r="H1415" i="9"/>
  <c r="G1415" i="9"/>
  <c r="F1415" i="9"/>
  <c r="E1415" i="9"/>
  <c r="D1415" i="9"/>
  <c r="C1415" i="9"/>
  <c r="B1415" i="9"/>
  <c r="A1415" i="9"/>
  <c r="L1414" i="9"/>
  <c r="K1414" i="9"/>
  <c r="J1414" i="9"/>
  <c r="I1414" i="9"/>
  <c r="H1414" i="9"/>
  <c r="G1414" i="9"/>
  <c r="F1414" i="9"/>
  <c r="E1414" i="9"/>
  <c r="D1414" i="9"/>
  <c r="C1414" i="9"/>
  <c r="B1414" i="9"/>
  <c r="A1414" i="9"/>
  <c r="L1413" i="9"/>
  <c r="K1413" i="9"/>
  <c r="J1413" i="9"/>
  <c r="I1413" i="9"/>
  <c r="H1413" i="9"/>
  <c r="G1413" i="9"/>
  <c r="F1413" i="9"/>
  <c r="E1413" i="9"/>
  <c r="D1413" i="9"/>
  <c r="C1413" i="9"/>
  <c r="B1413" i="9"/>
  <c r="A1413" i="9"/>
  <c r="L1412" i="9"/>
  <c r="K1412" i="9"/>
  <c r="J1412" i="9"/>
  <c r="I1412" i="9"/>
  <c r="H1412" i="9"/>
  <c r="G1412" i="9"/>
  <c r="F1412" i="9"/>
  <c r="E1412" i="9"/>
  <c r="D1412" i="9"/>
  <c r="C1412" i="9"/>
  <c r="B1412" i="9"/>
  <c r="A1412" i="9"/>
  <c r="L1411" i="9"/>
  <c r="K1411" i="9"/>
  <c r="J1411" i="9"/>
  <c r="I1411" i="9"/>
  <c r="H1411" i="9"/>
  <c r="G1411" i="9"/>
  <c r="F1411" i="9"/>
  <c r="E1411" i="9"/>
  <c r="D1411" i="9"/>
  <c r="C1411" i="9"/>
  <c r="B1411" i="9"/>
  <c r="A1411" i="9"/>
  <c r="L1410" i="9"/>
  <c r="K1410" i="9"/>
  <c r="J1410" i="9"/>
  <c r="I1410" i="9"/>
  <c r="H1410" i="9"/>
  <c r="G1410" i="9"/>
  <c r="F1410" i="9"/>
  <c r="E1410" i="9"/>
  <c r="D1410" i="9"/>
  <c r="C1410" i="9"/>
  <c r="B1410" i="9"/>
  <c r="A1410" i="9"/>
  <c r="M1409" i="9"/>
  <c r="L1409" i="9"/>
  <c r="K1409" i="9"/>
  <c r="J1409" i="9"/>
  <c r="I1409" i="9"/>
  <c r="H1409" i="9"/>
  <c r="G1409" i="9"/>
  <c r="F1409" i="9"/>
  <c r="E1409" i="9"/>
  <c r="D1409" i="9"/>
  <c r="C1409" i="9"/>
  <c r="B1409" i="9"/>
  <c r="A1409" i="9"/>
  <c r="L1408" i="9"/>
  <c r="M1408" i="9" s="1"/>
  <c r="K1408" i="9"/>
  <c r="J1408" i="9"/>
  <c r="I1408" i="9"/>
  <c r="H1408" i="9"/>
  <c r="G1408" i="9"/>
  <c r="F1408" i="9"/>
  <c r="E1408" i="9"/>
  <c r="D1408" i="9"/>
  <c r="C1408" i="9"/>
  <c r="B1408" i="9"/>
  <c r="A1408" i="9"/>
  <c r="L1407" i="9"/>
  <c r="M1407" i="9" s="1"/>
  <c r="K1407" i="9"/>
  <c r="J1407" i="9"/>
  <c r="I1407" i="9"/>
  <c r="H1407" i="9"/>
  <c r="G1407" i="9"/>
  <c r="F1407" i="9"/>
  <c r="E1407" i="9"/>
  <c r="D1407" i="9"/>
  <c r="C1407" i="9"/>
  <c r="B1407" i="9"/>
  <c r="A1407" i="9"/>
  <c r="L1406" i="9"/>
  <c r="K1406" i="9"/>
  <c r="J1406" i="9"/>
  <c r="I1406" i="9"/>
  <c r="H1406" i="9"/>
  <c r="G1406" i="9"/>
  <c r="F1406" i="9"/>
  <c r="E1406" i="9"/>
  <c r="D1406" i="9"/>
  <c r="C1406" i="9"/>
  <c r="B1406" i="9"/>
  <c r="A1406" i="9"/>
  <c r="L1405" i="9"/>
  <c r="K1405" i="9"/>
  <c r="J1405" i="9"/>
  <c r="I1405" i="9"/>
  <c r="H1405" i="9"/>
  <c r="G1405" i="9"/>
  <c r="F1405" i="9"/>
  <c r="E1405" i="9"/>
  <c r="D1405" i="9"/>
  <c r="C1405" i="9"/>
  <c r="B1405" i="9"/>
  <c r="A1405" i="9"/>
  <c r="M1404" i="9"/>
  <c r="L1404" i="9"/>
  <c r="K1404" i="9"/>
  <c r="J1404" i="9"/>
  <c r="I1404" i="9"/>
  <c r="H1404" i="9"/>
  <c r="G1404" i="9"/>
  <c r="F1404" i="9"/>
  <c r="E1404" i="9"/>
  <c r="D1404" i="9"/>
  <c r="C1404" i="9"/>
  <c r="B1404" i="9"/>
  <c r="A1404" i="9"/>
  <c r="M1403" i="9"/>
  <c r="L1403" i="9"/>
  <c r="K1403" i="9"/>
  <c r="J1403" i="9"/>
  <c r="I1403" i="9"/>
  <c r="H1403" i="9"/>
  <c r="G1403" i="9"/>
  <c r="F1403" i="9"/>
  <c r="E1403" i="9"/>
  <c r="D1403" i="9"/>
  <c r="C1403" i="9"/>
  <c r="B1403" i="9"/>
  <c r="A1403" i="9"/>
  <c r="L1402" i="9"/>
  <c r="M1402" i="9" s="1"/>
  <c r="K1402" i="9"/>
  <c r="J1402" i="9"/>
  <c r="I1402" i="9"/>
  <c r="H1402" i="9"/>
  <c r="G1402" i="9"/>
  <c r="F1402" i="9"/>
  <c r="E1402" i="9"/>
  <c r="D1402" i="9"/>
  <c r="C1402" i="9"/>
  <c r="B1402" i="9"/>
  <c r="A1402" i="9"/>
  <c r="L1401" i="9"/>
  <c r="K1401" i="9"/>
  <c r="J1401" i="9"/>
  <c r="I1401" i="9"/>
  <c r="H1401" i="9"/>
  <c r="G1401" i="9"/>
  <c r="F1401" i="9"/>
  <c r="E1401" i="9"/>
  <c r="D1401" i="9"/>
  <c r="C1401" i="9"/>
  <c r="B1401" i="9"/>
  <c r="A1401" i="9"/>
  <c r="L1400" i="9"/>
  <c r="K1400" i="9"/>
  <c r="J1400" i="9"/>
  <c r="I1400" i="9"/>
  <c r="H1400" i="9"/>
  <c r="G1400" i="9"/>
  <c r="F1400" i="9"/>
  <c r="E1400" i="9"/>
  <c r="D1400" i="9"/>
  <c r="C1400" i="9"/>
  <c r="B1400" i="9"/>
  <c r="A1400" i="9"/>
  <c r="L1399" i="9"/>
  <c r="K1399" i="9"/>
  <c r="J1399" i="9"/>
  <c r="I1399" i="9"/>
  <c r="H1399" i="9"/>
  <c r="G1399" i="9"/>
  <c r="F1399" i="9"/>
  <c r="E1399" i="9"/>
  <c r="D1399" i="9"/>
  <c r="C1399" i="9"/>
  <c r="B1399" i="9"/>
  <c r="A1399" i="9"/>
  <c r="L1398" i="9"/>
  <c r="K1398" i="9"/>
  <c r="J1398" i="9"/>
  <c r="I1398" i="9"/>
  <c r="H1398" i="9"/>
  <c r="G1398" i="9"/>
  <c r="F1398" i="9"/>
  <c r="E1398" i="9"/>
  <c r="D1398" i="9"/>
  <c r="C1398" i="9"/>
  <c r="B1398" i="9"/>
  <c r="A1398" i="9"/>
  <c r="L1397" i="9"/>
  <c r="K1397" i="9"/>
  <c r="J1397" i="9"/>
  <c r="I1397" i="9"/>
  <c r="H1397" i="9"/>
  <c r="G1397" i="9"/>
  <c r="F1397" i="9"/>
  <c r="E1397" i="9"/>
  <c r="D1397" i="9"/>
  <c r="C1397" i="9"/>
  <c r="B1397" i="9"/>
  <c r="A1397" i="9"/>
  <c r="L1396" i="9"/>
  <c r="K1396" i="9"/>
  <c r="J1396" i="9"/>
  <c r="I1396" i="9"/>
  <c r="H1396" i="9"/>
  <c r="G1396" i="9"/>
  <c r="F1396" i="9"/>
  <c r="E1396" i="9"/>
  <c r="D1396" i="9"/>
  <c r="C1396" i="9"/>
  <c r="B1396" i="9"/>
  <c r="A1396" i="9"/>
  <c r="M1395" i="9"/>
  <c r="L1395" i="9"/>
  <c r="K1395" i="9"/>
  <c r="J1395" i="9"/>
  <c r="I1395" i="9"/>
  <c r="H1395" i="9"/>
  <c r="G1395" i="9"/>
  <c r="F1395" i="9"/>
  <c r="E1395" i="9"/>
  <c r="D1395" i="9"/>
  <c r="C1395" i="9"/>
  <c r="B1395" i="9"/>
  <c r="A1395" i="9"/>
  <c r="L1394" i="9"/>
  <c r="M1394" i="9" s="1"/>
  <c r="K1394" i="9"/>
  <c r="J1394" i="9"/>
  <c r="I1394" i="9"/>
  <c r="H1394" i="9"/>
  <c r="G1394" i="9"/>
  <c r="F1394" i="9"/>
  <c r="E1394" i="9"/>
  <c r="D1394" i="9"/>
  <c r="C1394" i="9"/>
  <c r="B1394" i="9"/>
  <c r="A1394" i="9"/>
  <c r="L1393" i="9"/>
  <c r="M1393" i="9" s="1"/>
  <c r="K1393" i="9"/>
  <c r="J1393" i="9"/>
  <c r="I1393" i="9"/>
  <c r="H1393" i="9"/>
  <c r="G1393" i="9"/>
  <c r="F1393" i="9"/>
  <c r="E1393" i="9"/>
  <c r="D1393" i="9"/>
  <c r="C1393" i="9"/>
  <c r="B1393" i="9"/>
  <c r="A1393" i="9"/>
  <c r="L1392" i="9"/>
  <c r="K1392" i="9"/>
  <c r="J1392" i="9"/>
  <c r="I1392" i="9"/>
  <c r="H1392" i="9"/>
  <c r="G1392" i="9"/>
  <c r="F1392" i="9"/>
  <c r="E1392" i="9"/>
  <c r="D1392" i="9"/>
  <c r="C1392" i="9"/>
  <c r="B1392" i="9"/>
  <c r="A1392" i="9"/>
  <c r="L1391" i="9"/>
  <c r="K1391" i="9"/>
  <c r="J1391" i="9"/>
  <c r="I1391" i="9"/>
  <c r="H1391" i="9"/>
  <c r="G1391" i="9"/>
  <c r="F1391" i="9"/>
  <c r="E1391" i="9"/>
  <c r="D1391" i="9"/>
  <c r="C1391" i="9"/>
  <c r="B1391" i="9"/>
  <c r="A1391" i="9"/>
  <c r="L1390" i="9"/>
  <c r="K1390" i="9"/>
  <c r="J1390" i="9"/>
  <c r="I1390" i="9"/>
  <c r="H1390" i="9"/>
  <c r="G1390" i="9"/>
  <c r="F1390" i="9"/>
  <c r="E1390" i="9"/>
  <c r="D1390" i="9"/>
  <c r="C1390" i="9"/>
  <c r="B1390" i="9"/>
  <c r="A1390" i="9"/>
  <c r="L1389" i="9"/>
  <c r="M1389" i="9" s="1"/>
  <c r="K1389" i="9"/>
  <c r="J1389" i="9"/>
  <c r="I1389" i="9"/>
  <c r="H1389" i="9"/>
  <c r="G1389" i="9"/>
  <c r="F1389" i="9"/>
  <c r="E1389" i="9"/>
  <c r="D1389" i="9"/>
  <c r="C1389" i="9"/>
  <c r="B1389" i="9"/>
  <c r="A1389" i="9"/>
  <c r="M1388" i="9"/>
  <c r="L1388" i="9"/>
  <c r="K1388" i="9"/>
  <c r="J1388" i="9"/>
  <c r="I1388" i="9"/>
  <c r="H1388" i="9"/>
  <c r="G1388" i="9"/>
  <c r="F1388" i="9"/>
  <c r="E1388" i="9"/>
  <c r="D1388" i="9"/>
  <c r="C1388" i="9"/>
  <c r="B1388" i="9"/>
  <c r="A1388" i="9"/>
  <c r="L1387" i="9"/>
  <c r="K1387" i="9"/>
  <c r="J1387" i="9"/>
  <c r="I1387" i="9"/>
  <c r="H1387" i="9"/>
  <c r="G1387" i="9"/>
  <c r="F1387" i="9"/>
  <c r="E1387" i="9"/>
  <c r="D1387" i="9"/>
  <c r="C1387" i="9"/>
  <c r="B1387" i="9"/>
  <c r="A1387" i="9"/>
  <c r="L1386" i="9"/>
  <c r="K1386" i="9"/>
  <c r="J1386" i="9"/>
  <c r="I1386" i="9"/>
  <c r="H1386" i="9"/>
  <c r="G1386" i="9"/>
  <c r="F1386" i="9"/>
  <c r="E1386" i="9"/>
  <c r="D1386" i="9"/>
  <c r="C1386" i="9"/>
  <c r="B1386" i="9"/>
  <c r="A1386" i="9"/>
  <c r="L1385" i="9"/>
  <c r="K1385" i="9"/>
  <c r="J1385" i="9"/>
  <c r="I1385" i="9"/>
  <c r="H1385" i="9"/>
  <c r="G1385" i="9"/>
  <c r="F1385" i="9"/>
  <c r="E1385" i="9"/>
  <c r="D1385" i="9"/>
  <c r="C1385" i="9"/>
  <c r="B1385" i="9"/>
  <c r="A1385" i="9"/>
  <c r="L1384" i="9"/>
  <c r="K1384" i="9"/>
  <c r="J1384" i="9"/>
  <c r="I1384" i="9"/>
  <c r="H1384" i="9"/>
  <c r="G1384" i="9"/>
  <c r="F1384" i="9"/>
  <c r="E1384" i="9"/>
  <c r="D1384" i="9"/>
  <c r="C1384" i="9"/>
  <c r="B1384" i="9"/>
  <c r="A1384" i="9"/>
  <c r="L1383" i="9"/>
  <c r="K1383" i="9"/>
  <c r="J1383" i="9"/>
  <c r="I1383" i="9"/>
  <c r="H1383" i="9"/>
  <c r="G1383" i="9"/>
  <c r="F1383" i="9"/>
  <c r="E1383" i="9"/>
  <c r="D1383" i="9"/>
  <c r="C1383" i="9"/>
  <c r="B1383" i="9"/>
  <c r="A1383" i="9"/>
  <c r="L1382" i="9"/>
  <c r="K1382" i="9"/>
  <c r="J1382" i="9"/>
  <c r="I1382" i="9"/>
  <c r="H1382" i="9"/>
  <c r="G1382" i="9"/>
  <c r="F1382" i="9"/>
  <c r="E1382" i="9"/>
  <c r="D1382" i="9"/>
  <c r="C1382" i="9"/>
  <c r="B1382" i="9"/>
  <c r="A1382" i="9"/>
  <c r="L1381" i="9"/>
  <c r="K1381" i="9"/>
  <c r="J1381" i="9"/>
  <c r="I1381" i="9"/>
  <c r="H1381" i="9"/>
  <c r="G1381" i="9"/>
  <c r="F1381" i="9"/>
  <c r="E1381" i="9"/>
  <c r="D1381" i="9"/>
  <c r="C1381" i="9"/>
  <c r="B1381" i="9"/>
  <c r="A1381" i="9"/>
  <c r="L1380" i="9"/>
  <c r="K1380" i="9"/>
  <c r="J1380" i="9"/>
  <c r="I1380" i="9"/>
  <c r="H1380" i="9"/>
  <c r="G1380" i="9"/>
  <c r="F1380" i="9"/>
  <c r="E1380" i="9"/>
  <c r="D1380" i="9"/>
  <c r="C1380" i="9"/>
  <c r="B1380" i="9"/>
  <c r="A1380" i="9"/>
  <c r="L1379" i="9"/>
  <c r="K1379" i="9"/>
  <c r="J1379" i="9"/>
  <c r="I1379" i="9"/>
  <c r="H1379" i="9"/>
  <c r="G1379" i="9"/>
  <c r="F1379" i="9"/>
  <c r="E1379" i="9"/>
  <c r="D1379" i="9"/>
  <c r="C1379" i="9"/>
  <c r="B1379" i="9"/>
  <c r="A1379" i="9"/>
  <c r="L1378" i="9"/>
  <c r="K1378" i="9"/>
  <c r="J1378" i="9"/>
  <c r="I1378" i="9"/>
  <c r="H1378" i="9"/>
  <c r="G1378" i="9"/>
  <c r="F1378" i="9"/>
  <c r="E1378" i="9"/>
  <c r="D1378" i="9"/>
  <c r="C1378" i="9"/>
  <c r="B1378" i="9"/>
  <c r="A1378" i="9"/>
  <c r="L1377" i="9"/>
  <c r="K1377" i="9"/>
  <c r="J1377" i="9"/>
  <c r="I1377" i="9"/>
  <c r="H1377" i="9"/>
  <c r="G1377" i="9"/>
  <c r="F1377" i="9"/>
  <c r="E1377" i="9"/>
  <c r="D1377" i="9"/>
  <c r="C1377" i="9"/>
  <c r="B1377" i="9"/>
  <c r="A1377" i="9"/>
  <c r="L1376" i="9"/>
  <c r="K1376" i="9"/>
  <c r="J1376" i="9"/>
  <c r="I1376" i="9"/>
  <c r="H1376" i="9"/>
  <c r="G1376" i="9"/>
  <c r="F1376" i="9"/>
  <c r="E1376" i="9"/>
  <c r="D1376" i="9"/>
  <c r="C1376" i="9"/>
  <c r="B1376" i="9"/>
  <c r="A1376" i="9"/>
  <c r="L1375" i="9"/>
  <c r="K1375" i="9"/>
  <c r="J1375" i="9"/>
  <c r="I1375" i="9"/>
  <c r="H1375" i="9"/>
  <c r="G1375" i="9"/>
  <c r="F1375" i="9"/>
  <c r="E1375" i="9"/>
  <c r="D1375" i="9"/>
  <c r="C1375" i="9"/>
  <c r="B1375" i="9"/>
  <c r="A1375" i="9"/>
  <c r="L1374" i="9"/>
  <c r="K1374" i="9"/>
  <c r="J1374" i="9"/>
  <c r="I1374" i="9"/>
  <c r="H1374" i="9"/>
  <c r="G1374" i="9"/>
  <c r="F1374" i="9"/>
  <c r="E1374" i="9"/>
  <c r="D1374" i="9"/>
  <c r="C1374" i="9"/>
  <c r="B1374" i="9"/>
  <c r="A1374" i="9"/>
  <c r="L1373" i="9"/>
  <c r="K1373" i="9"/>
  <c r="J1373" i="9"/>
  <c r="I1373" i="9"/>
  <c r="H1373" i="9"/>
  <c r="G1373" i="9"/>
  <c r="F1373" i="9"/>
  <c r="E1373" i="9"/>
  <c r="D1373" i="9"/>
  <c r="C1373" i="9"/>
  <c r="B1373" i="9"/>
  <c r="A1373" i="9"/>
  <c r="L1372" i="9"/>
  <c r="K1372" i="9"/>
  <c r="J1372" i="9"/>
  <c r="I1372" i="9"/>
  <c r="H1372" i="9"/>
  <c r="G1372" i="9"/>
  <c r="F1372" i="9"/>
  <c r="E1372" i="9"/>
  <c r="D1372" i="9"/>
  <c r="C1372" i="9"/>
  <c r="B1372" i="9"/>
  <c r="A1372" i="9"/>
  <c r="L1371" i="9"/>
  <c r="K1371" i="9"/>
  <c r="J1371" i="9"/>
  <c r="I1371" i="9"/>
  <c r="H1371" i="9"/>
  <c r="G1371" i="9"/>
  <c r="F1371" i="9"/>
  <c r="E1371" i="9"/>
  <c r="D1371" i="9"/>
  <c r="C1371" i="9"/>
  <c r="B1371" i="9"/>
  <c r="A1371" i="9"/>
  <c r="L1370" i="9"/>
  <c r="K1370" i="9"/>
  <c r="J1370" i="9"/>
  <c r="I1370" i="9"/>
  <c r="H1370" i="9"/>
  <c r="G1370" i="9"/>
  <c r="F1370" i="9"/>
  <c r="E1370" i="9"/>
  <c r="D1370" i="9"/>
  <c r="C1370" i="9"/>
  <c r="B1370" i="9"/>
  <c r="A1370" i="9"/>
  <c r="L1369" i="9"/>
  <c r="K1369" i="9"/>
  <c r="J1369" i="9"/>
  <c r="I1369" i="9"/>
  <c r="H1369" i="9"/>
  <c r="G1369" i="9"/>
  <c r="F1369" i="9"/>
  <c r="E1369" i="9"/>
  <c r="D1369" i="9"/>
  <c r="C1369" i="9"/>
  <c r="B1369" i="9"/>
  <c r="A1369" i="9"/>
  <c r="L1368" i="9"/>
  <c r="K1368" i="9"/>
  <c r="J1368" i="9"/>
  <c r="I1368" i="9"/>
  <c r="H1368" i="9"/>
  <c r="G1368" i="9"/>
  <c r="F1368" i="9"/>
  <c r="E1368" i="9"/>
  <c r="D1368" i="9"/>
  <c r="C1368" i="9"/>
  <c r="B1368" i="9"/>
  <c r="A1368" i="9"/>
  <c r="L1367" i="9"/>
  <c r="K1367" i="9"/>
  <c r="J1367" i="9"/>
  <c r="I1367" i="9"/>
  <c r="H1367" i="9"/>
  <c r="G1367" i="9"/>
  <c r="F1367" i="9"/>
  <c r="E1367" i="9"/>
  <c r="D1367" i="9"/>
  <c r="C1367" i="9"/>
  <c r="B1367" i="9"/>
  <c r="A1367" i="9"/>
  <c r="L1366" i="9"/>
  <c r="K1366" i="9"/>
  <c r="J1366" i="9"/>
  <c r="I1366" i="9"/>
  <c r="H1366" i="9"/>
  <c r="G1366" i="9"/>
  <c r="F1366" i="9"/>
  <c r="E1366" i="9"/>
  <c r="D1366" i="9"/>
  <c r="C1366" i="9"/>
  <c r="B1366" i="9"/>
  <c r="A1366" i="9"/>
  <c r="L1365" i="9"/>
  <c r="K1365" i="9"/>
  <c r="J1365" i="9"/>
  <c r="I1365" i="9"/>
  <c r="H1365" i="9"/>
  <c r="G1365" i="9"/>
  <c r="F1365" i="9"/>
  <c r="E1365" i="9"/>
  <c r="D1365" i="9"/>
  <c r="C1365" i="9"/>
  <c r="B1365" i="9"/>
  <c r="A1365" i="9"/>
  <c r="L1364" i="9"/>
  <c r="K1364" i="9"/>
  <c r="J1364" i="9"/>
  <c r="I1364" i="9"/>
  <c r="H1364" i="9"/>
  <c r="G1364" i="9"/>
  <c r="F1364" i="9"/>
  <c r="E1364" i="9"/>
  <c r="D1364" i="9"/>
  <c r="C1364" i="9"/>
  <c r="B1364" i="9"/>
  <c r="A1364" i="9"/>
  <c r="L1363" i="9"/>
  <c r="K1363" i="9"/>
  <c r="J1363" i="9"/>
  <c r="I1363" i="9"/>
  <c r="H1363" i="9"/>
  <c r="G1363" i="9"/>
  <c r="F1363" i="9"/>
  <c r="E1363" i="9"/>
  <c r="D1363" i="9"/>
  <c r="C1363" i="9"/>
  <c r="B1363" i="9"/>
  <c r="A1363" i="9"/>
  <c r="L1362" i="9"/>
  <c r="K1362" i="9"/>
  <c r="J1362" i="9"/>
  <c r="I1362" i="9"/>
  <c r="H1362" i="9"/>
  <c r="G1362" i="9"/>
  <c r="F1362" i="9"/>
  <c r="E1362" i="9"/>
  <c r="D1362" i="9"/>
  <c r="C1362" i="9"/>
  <c r="B1362" i="9"/>
  <c r="A1362" i="9"/>
  <c r="L1361" i="9"/>
  <c r="K1361" i="9"/>
  <c r="J1361" i="9"/>
  <c r="I1361" i="9"/>
  <c r="H1361" i="9"/>
  <c r="G1361" i="9"/>
  <c r="F1361" i="9"/>
  <c r="E1361" i="9"/>
  <c r="D1361" i="9"/>
  <c r="C1361" i="9"/>
  <c r="B1361" i="9"/>
  <c r="A1361" i="9"/>
  <c r="L1360" i="9"/>
  <c r="K1360" i="9"/>
  <c r="J1360" i="9"/>
  <c r="I1360" i="9"/>
  <c r="H1360" i="9"/>
  <c r="G1360" i="9"/>
  <c r="F1360" i="9"/>
  <c r="E1360" i="9"/>
  <c r="D1360" i="9"/>
  <c r="C1360" i="9"/>
  <c r="B1360" i="9"/>
  <c r="A1360" i="9"/>
  <c r="L1359" i="9"/>
  <c r="K1359" i="9"/>
  <c r="J1359" i="9"/>
  <c r="I1359" i="9"/>
  <c r="H1359" i="9"/>
  <c r="G1359" i="9"/>
  <c r="F1359" i="9"/>
  <c r="E1359" i="9"/>
  <c r="D1359" i="9"/>
  <c r="C1359" i="9"/>
  <c r="B1359" i="9"/>
  <c r="A1359" i="9"/>
  <c r="L1358" i="9"/>
  <c r="K1358" i="9"/>
  <c r="J1358" i="9"/>
  <c r="I1358" i="9"/>
  <c r="H1358" i="9"/>
  <c r="G1358" i="9"/>
  <c r="F1358" i="9"/>
  <c r="E1358" i="9"/>
  <c r="D1358" i="9"/>
  <c r="C1358" i="9"/>
  <c r="B1358" i="9"/>
  <c r="A1358" i="9"/>
  <c r="L1357" i="9"/>
  <c r="K1357" i="9"/>
  <c r="J1357" i="9"/>
  <c r="I1357" i="9"/>
  <c r="H1357" i="9"/>
  <c r="G1357" i="9"/>
  <c r="F1357" i="9"/>
  <c r="E1357" i="9"/>
  <c r="D1357" i="9"/>
  <c r="C1357" i="9"/>
  <c r="B1357" i="9"/>
  <c r="A1357" i="9"/>
  <c r="L1356" i="9"/>
  <c r="K1356" i="9"/>
  <c r="J1356" i="9"/>
  <c r="I1356" i="9"/>
  <c r="H1356" i="9"/>
  <c r="G1356" i="9"/>
  <c r="F1356" i="9"/>
  <c r="E1356" i="9"/>
  <c r="D1356" i="9"/>
  <c r="C1356" i="9"/>
  <c r="B1356" i="9"/>
  <c r="A1356" i="9"/>
  <c r="L1355" i="9"/>
  <c r="K1355" i="9"/>
  <c r="J1355" i="9"/>
  <c r="I1355" i="9"/>
  <c r="H1355" i="9"/>
  <c r="G1355" i="9"/>
  <c r="F1355" i="9"/>
  <c r="E1355" i="9"/>
  <c r="D1355" i="9"/>
  <c r="C1355" i="9"/>
  <c r="B1355" i="9"/>
  <c r="A1355" i="9"/>
  <c r="L1354" i="9"/>
  <c r="K1354" i="9"/>
  <c r="J1354" i="9"/>
  <c r="I1354" i="9"/>
  <c r="H1354" i="9"/>
  <c r="G1354" i="9"/>
  <c r="F1354" i="9"/>
  <c r="E1354" i="9"/>
  <c r="D1354" i="9"/>
  <c r="C1354" i="9"/>
  <c r="B1354" i="9"/>
  <c r="A1354" i="9"/>
  <c r="L1353" i="9"/>
  <c r="K1353" i="9"/>
  <c r="J1353" i="9"/>
  <c r="I1353" i="9"/>
  <c r="H1353" i="9"/>
  <c r="G1353" i="9"/>
  <c r="F1353" i="9"/>
  <c r="E1353" i="9"/>
  <c r="D1353" i="9"/>
  <c r="C1353" i="9"/>
  <c r="B1353" i="9"/>
  <c r="A1353" i="9"/>
  <c r="L1352" i="9"/>
  <c r="K1352" i="9"/>
  <c r="J1352" i="9"/>
  <c r="I1352" i="9"/>
  <c r="H1352" i="9"/>
  <c r="G1352" i="9"/>
  <c r="F1352" i="9"/>
  <c r="E1352" i="9"/>
  <c r="D1352" i="9"/>
  <c r="C1352" i="9"/>
  <c r="B1352" i="9"/>
  <c r="A1352" i="9"/>
  <c r="L1351" i="9"/>
  <c r="K1351" i="9"/>
  <c r="J1351" i="9"/>
  <c r="I1351" i="9"/>
  <c r="H1351" i="9"/>
  <c r="G1351" i="9"/>
  <c r="F1351" i="9"/>
  <c r="E1351" i="9"/>
  <c r="D1351" i="9"/>
  <c r="C1351" i="9"/>
  <c r="B1351" i="9"/>
  <c r="A1351" i="9"/>
  <c r="L1350" i="9"/>
  <c r="K1350" i="9"/>
  <c r="J1350" i="9"/>
  <c r="I1350" i="9"/>
  <c r="H1350" i="9"/>
  <c r="G1350" i="9"/>
  <c r="F1350" i="9"/>
  <c r="E1350" i="9"/>
  <c r="D1350" i="9"/>
  <c r="C1350" i="9"/>
  <c r="B1350" i="9"/>
  <c r="A1350" i="9"/>
  <c r="L1349" i="9"/>
  <c r="K1349" i="9"/>
  <c r="J1349" i="9"/>
  <c r="I1349" i="9"/>
  <c r="H1349" i="9"/>
  <c r="G1349" i="9"/>
  <c r="F1349" i="9"/>
  <c r="E1349" i="9"/>
  <c r="D1349" i="9"/>
  <c r="C1349" i="9"/>
  <c r="B1349" i="9"/>
  <c r="A1349" i="9"/>
  <c r="L1348" i="9"/>
  <c r="K1348" i="9"/>
  <c r="J1348" i="9"/>
  <c r="I1348" i="9"/>
  <c r="H1348" i="9"/>
  <c r="G1348" i="9"/>
  <c r="F1348" i="9"/>
  <c r="E1348" i="9"/>
  <c r="D1348" i="9"/>
  <c r="C1348" i="9"/>
  <c r="B1348" i="9"/>
  <c r="A1348" i="9"/>
  <c r="L1347" i="9"/>
  <c r="K1347" i="9"/>
  <c r="J1347" i="9"/>
  <c r="I1347" i="9"/>
  <c r="H1347" i="9"/>
  <c r="G1347" i="9"/>
  <c r="F1347" i="9"/>
  <c r="E1347" i="9"/>
  <c r="D1347" i="9"/>
  <c r="C1347" i="9"/>
  <c r="B1347" i="9"/>
  <c r="A1347" i="9"/>
  <c r="L1346" i="9"/>
  <c r="K1346" i="9"/>
  <c r="J1346" i="9"/>
  <c r="I1346" i="9"/>
  <c r="H1346" i="9"/>
  <c r="G1346" i="9"/>
  <c r="F1346" i="9"/>
  <c r="E1346" i="9"/>
  <c r="D1346" i="9"/>
  <c r="C1346" i="9"/>
  <c r="B1346" i="9"/>
  <c r="A1346" i="9"/>
  <c r="L1345" i="9"/>
  <c r="K1345" i="9"/>
  <c r="J1345" i="9"/>
  <c r="I1345" i="9"/>
  <c r="H1345" i="9"/>
  <c r="G1345" i="9"/>
  <c r="F1345" i="9"/>
  <c r="E1345" i="9"/>
  <c r="D1345" i="9"/>
  <c r="C1345" i="9"/>
  <c r="B1345" i="9"/>
  <c r="A1345" i="9"/>
  <c r="L1344" i="9"/>
  <c r="K1344" i="9"/>
  <c r="J1344" i="9"/>
  <c r="I1344" i="9"/>
  <c r="H1344" i="9"/>
  <c r="G1344" i="9"/>
  <c r="F1344" i="9"/>
  <c r="E1344" i="9"/>
  <c r="D1344" i="9"/>
  <c r="C1344" i="9"/>
  <c r="B1344" i="9"/>
  <c r="A1344" i="9"/>
  <c r="L1343" i="9"/>
  <c r="K1343" i="9"/>
  <c r="J1343" i="9"/>
  <c r="I1343" i="9"/>
  <c r="H1343" i="9"/>
  <c r="G1343" i="9"/>
  <c r="F1343" i="9"/>
  <c r="E1343" i="9"/>
  <c r="D1343" i="9"/>
  <c r="C1343" i="9"/>
  <c r="B1343" i="9"/>
  <c r="A1343" i="9"/>
  <c r="L1342" i="9"/>
  <c r="K1342" i="9"/>
  <c r="J1342" i="9"/>
  <c r="I1342" i="9"/>
  <c r="H1342" i="9"/>
  <c r="G1342" i="9"/>
  <c r="F1342" i="9"/>
  <c r="E1342" i="9"/>
  <c r="D1342" i="9"/>
  <c r="C1342" i="9"/>
  <c r="B1342" i="9"/>
  <c r="A1342" i="9"/>
  <c r="L1341" i="9"/>
  <c r="K1341" i="9"/>
  <c r="J1341" i="9"/>
  <c r="I1341" i="9"/>
  <c r="H1341" i="9"/>
  <c r="G1341" i="9"/>
  <c r="F1341" i="9"/>
  <c r="E1341" i="9"/>
  <c r="D1341" i="9"/>
  <c r="C1341" i="9"/>
  <c r="B1341" i="9"/>
  <c r="A1341" i="9"/>
  <c r="L1340" i="9"/>
  <c r="K1340" i="9"/>
  <c r="J1340" i="9"/>
  <c r="I1340" i="9"/>
  <c r="H1340" i="9"/>
  <c r="G1340" i="9"/>
  <c r="F1340" i="9"/>
  <c r="E1340" i="9"/>
  <c r="D1340" i="9"/>
  <c r="C1340" i="9"/>
  <c r="B1340" i="9"/>
  <c r="A1340" i="9"/>
  <c r="L1339" i="9"/>
  <c r="K1339" i="9"/>
  <c r="J1339" i="9"/>
  <c r="I1339" i="9"/>
  <c r="H1339" i="9"/>
  <c r="G1339" i="9"/>
  <c r="F1339" i="9"/>
  <c r="E1339" i="9"/>
  <c r="D1339" i="9"/>
  <c r="C1339" i="9"/>
  <c r="B1339" i="9"/>
  <c r="A1339" i="9"/>
  <c r="L1338" i="9"/>
  <c r="K1338" i="9"/>
  <c r="J1338" i="9"/>
  <c r="I1338" i="9"/>
  <c r="H1338" i="9"/>
  <c r="G1338" i="9"/>
  <c r="F1338" i="9"/>
  <c r="E1338" i="9"/>
  <c r="D1338" i="9"/>
  <c r="C1338" i="9"/>
  <c r="B1338" i="9"/>
  <c r="A1338" i="9"/>
  <c r="L1337" i="9"/>
  <c r="K1337" i="9"/>
  <c r="J1337" i="9"/>
  <c r="I1337" i="9"/>
  <c r="H1337" i="9"/>
  <c r="G1337" i="9"/>
  <c r="F1337" i="9"/>
  <c r="E1337" i="9"/>
  <c r="D1337" i="9"/>
  <c r="C1337" i="9"/>
  <c r="B1337" i="9"/>
  <c r="A1337" i="9"/>
  <c r="L1336" i="9"/>
  <c r="K1336" i="9"/>
  <c r="J1336" i="9"/>
  <c r="I1336" i="9"/>
  <c r="H1336" i="9"/>
  <c r="G1336" i="9"/>
  <c r="F1336" i="9"/>
  <c r="E1336" i="9"/>
  <c r="D1336" i="9"/>
  <c r="C1336" i="9"/>
  <c r="B1336" i="9"/>
  <c r="A1336" i="9"/>
  <c r="L1335" i="9"/>
  <c r="K1335" i="9"/>
  <c r="J1335" i="9"/>
  <c r="I1335" i="9"/>
  <c r="H1335" i="9"/>
  <c r="G1335" i="9"/>
  <c r="F1335" i="9"/>
  <c r="E1335" i="9"/>
  <c r="D1335" i="9"/>
  <c r="C1335" i="9"/>
  <c r="B1335" i="9"/>
  <c r="A1335" i="9"/>
  <c r="L1334" i="9"/>
  <c r="K1334" i="9"/>
  <c r="J1334" i="9"/>
  <c r="I1334" i="9"/>
  <c r="H1334" i="9"/>
  <c r="G1334" i="9"/>
  <c r="F1334" i="9"/>
  <c r="E1334" i="9"/>
  <c r="D1334" i="9"/>
  <c r="C1334" i="9"/>
  <c r="B1334" i="9"/>
  <c r="A1334" i="9"/>
  <c r="L1333" i="9"/>
  <c r="K1333" i="9"/>
  <c r="J1333" i="9"/>
  <c r="I1333" i="9"/>
  <c r="H1333" i="9"/>
  <c r="G1333" i="9"/>
  <c r="F1333" i="9"/>
  <c r="E1333" i="9"/>
  <c r="D1333" i="9"/>
  <c r="C1333" i="9"/>
  <c r="B1333" i="9"/>
  <c r="A1333" i="9"/>
  <c r="L1332" i="9"/>
  <c r="K1332" i="9"/>
  <c r="J1332" i="9"/>
  <c r="I1332" i="9"/>
  <c r="H1332" i="9"/>
  <c r="G1332" i="9"/>
  <c r="F1332" i="9"/>
  <c r="E1332" i="9"/>
  <c r="D1332" i="9"/>
  <c r="C1332" i="9"/>
  <c r="B1332" i="9"/>
  <c r="A1332" i="9"/>
  <c r="L1331" i="9"/>
  <c r="K1331" i="9"/>
  <c r="J1331" i="9"/>
  <c r="I1331" i="9"/>
  <c r="H1331" i="9"/>
  <c r="G1331" i="9"/>
  <c r="F1331" i="9"/>
  <c r="E1331" i="9"/>
  <c r="D1331" i="9"/>
  <c r="C1331" i="9"/>
  <c r="B1331" i="9"/>
  <c r="A1331" i="9"/>
  <c r="L1330" i="9"/>
  <c r="K1330" i="9"/>
  <c r="J1330" i="9"/>
  <c r="I1330" i="9"/>
  <c r="H1330" i="9"/>
  <c r="G1330" i="9"/>
  <c r="F1330" i="9"/>
  <c r="E1330" i="9"/>
  <c r="D1330" i="9"/>
  <c r="C1330" i="9"/>
  <c r="B1330" i="9"/>
  <c r="A1330" i="9"/>
  <c r="L1329" i="9"/>
  <c r="K1329" i="9"/>
  <c r="J1329" i="9"/>
  <c r="I1329" i="9"/>
  <c r="H1329" i="9"/>
  <c r="G1329" i="9"/>
  <c r="F1329" i="9"/>
  <c r="E1329" i="9"/>
  <c r="D1329" i="9"/>
  <c r="C1329" i="9"/>
  <c r="B1329" i="9"/>
  <c r="A1329" i="9"/>
  <c r="L1328" i="9"/>
  <c r="K1328" i="9"/>
  <c r="J1328" i="9"/>
  <c r="I1328" i="9"/>
  <c r="H1328" i="9"/>
  <c r="G1328" i="9"/>
  <c r="F1328" i="9"/>
  <c r="E1328" i="9"/>
  <c r="D1328" i="9"/>
  <c r="C1328" i="9"/>
  <c r="B1328" i="9"/>
  <c r="A1328" i="9"/>
  <c r="L1327" i="9"/>
  <c r="K1327" i="9"/>
  <c r="J1327" i="9"/>
  <c r="I1327" i="9"/>
  <c r="H1327" i="9"/>
  <c r="G1327" i="9"/>
  <c r="F1327" i="9"/>
  <c r="E1327" i="9"/>
  <c r="D1327" i="9"/>
  <c r="C1327" i="9"/>
  <c r="B1327" i="9"/>
  <c r="A1327" i="9"/>
  <c r="L1326" i="9"/>
  <c r="K1326" i="9"/>
  <c r="J1326" i="9"/>
  <c r="I1326" i="9"/>
  <c r="H1326" i="9"/>
  <c r="G1326" i="9"/>
  <c r="F1326" i="9"/>
  <c r="E1326" i="9"/>
  <c r="D1326" i="9"/>
  <c r="C1326" i="9"/>
  <c r="B1326" i="9"/>
  <c r="A1326" i="9"/>
  <c r="L1325" i="9"/>
  <c r="K1325" i="9"/>
  <c r="J1325" i="9"/>
  <c r="I1325" i="9"/>
  <c r="H1325" i="9"/>
  <c r="G1325" i="9"/>
  <c r="F1325" i="9"/>
  <c r="E1325" i="9"/>
  <c r="D1325" i="9"/>
  <c r="C1325" i="9"/>
  <c r="B1325" i="9"/>
  <c r="A1325" i="9"/>
  <c r="L1324" i="9"/>
  <c r="K1324" i="9"/>
  <c r="J1324" i="9"/>
  <c r="I1324" i="9"/>
  <c r="H1324" i="9"/>
  <c r="G1324" i="9"/>
  <c r="F1324" i="9"/>
  <c r="E1324" i="9"/>
  <c r="D1324" i="9"/>
  <c r="C1324" i="9"/>
  <c r="B1324" i="9"/>
  <c r="A1324" i="9"/>
  <c r="L1323" i="9"/>
  <c r="K1323" i="9"/>
  <c r="J1323" i="9"/>
  <c r="I1323" i="9"/>
  <c r="H1323" i="9"/>
  <c r="G1323" i="9"/>
  <c r="F1323" i="9"/>
  <c r="E1323" i="9"/>
  <c r="D1323" i="9"/>
  <c r="C1323" i="9"/>
  <c r="B1323" i="9"/>
  <c r="A1323" i="9"/>
  <c r="L1322" i="9"/>
  <c r="K1322" i="9"/>
  <c r="J1322" i="9"/>
  <c r="I1322" i="9"/>
  <c r="H1322" i="9"/>
  <c r="G1322" i="9"/>
  <c r="F1322" i="9"/>
  <c r="E1322" i="9"/>
  <c r="D1322" i="9"/>
  <c r="C1322" i="9"/>
  <c r="B1322" i="9"/>
  <c r="A1322" i="9"/>
  <c r="L1321" i="9"/>
  <c r="K1321" i="9"/>
  <c r="J1321" i="9"/>
  <c r="I1321" i="9"/>
  <c r="H1321" i="9"/>
  <c r="G1321" i="9"/>
  <c r="F1321" i="9"/>
  <c r="E1321" i="9"/>
  <c r="D1321" i="9"/>
  <c r="C1321" i="9"/>
  <c r="B1321" i="9"/>
  <c r="A1321" i="9"/>
  <c r="L1320" i="9"/>
  <c r="K1320" i="9"/>
  <c r="J1320" i="9"/>
  <c r="I1320" i="9"/>
  <c r="H1320" i="9"/>
  <c r="G1320" i="9"/>
  <c r="F1320" i="9"/>
  <c r="E1320" i="9"/>
  <c r="D1320" i="9"/>
  <c r="C1320" i="9"/>
  <c r="B1320" i="9"/>
  <c r="A1320" i="9"/>
  <c r="L1319" i="9"/>
  <c r="K1319" i="9"/>
  <c r="J1319" i="9"/>
  <c r="I1319" i="9"/>
  <c r="H1319" i="9"/>
  <c r="G1319" i="9"/>
  <c r="F1319" i="9"/>
  <c r="E1319" i="9"/>
  <c r="D1319" i="9"/>
  <c r="C1319" i="9"/>
  <c r="B1319" i="9"/>
  <c r="A1319" i="9"/>
  <c r="L1318" i="9"/>
  <c r="K1318" i="9"/>
  <c r="J1318" i="9"/>
  <c r="I1318" i="9"/>
  <c r="H1318" i="9"/>
  <c r="G1318" i="9"/>
  <c r="F1318" i="9"/>
  <c r="E1318" i="9"/>
  <c r="D1318" i="9"/>
  <c r="C1318" i="9"/>
  <c r="B1318" i="9"/>
  <c r="A1318" i="9"/>
  <c r="L1317" i="9"/>
  <c r="K1317" i="9"/>
  <c r="J1317" i="9"/>
  <c r="I1317" i="9"/>
  <c r="H1317" i="9"/>
  <c r="G1317" i="9"/>
  <c r="F1317" i="9"/>
  <c r="E1317" i="9"/>
  <c r="D1317" i="9"/>
  <c r="C1317" i="9"/>
  <c r="B1317" i="9"/>
  <c r="A1317" i="9"/>
  <c r="L1316" i="9"/>
  <c r="K1316" i="9"/>
  <c r="J1316" i="9"/>
  <c r="I1316" i="9"/>
  <c r="H1316" i="9"/>
  <c r="G1316" i="9"/>
  <c r="F1316" i="9"/>
  <c r="E1316" i="9"/>
  <c r="D1316" i="9"/>
  <c r="C1316" i="9"/>
  <c r="B1316" i="9"/>
  <c r="A1316" i="9"/>
  <c r="L1315" i="9"/>
  <c r="K1315" i="9"/>
  <c r="J1315" i="9"/>
  <c r="I1315" i="9"/>
  <c r="H1315" i="9"/>
  <c r="G1315" i="9"/>
  <c r="F1315" i="9"/>
  <c r="E1315" i="9"/>
  <c r="D1315" i="9"/>
  <c r="C1315" i="9"/>
  <c r="B1315" i="9"/>
  <c r="A1315" i="9"/>
  <c r="L1314" i="9"/>
  <c r="K1314" i="9"/>
  <c r="J1314" i="9"/>
  <c r="I1314" i="9"/>
  <c r="H1314" i="9"/>
  <c r="G1314" i="9"/>
  <c r="F1314" i="9"/>
  <c r="E1314" i="9"/>
  <c r="D1314" i="9"/>
  <c r="C1314" i="9"/>
  <c r="B1314" i="9"/>
  <c r="A1314" i="9"/>
  <c r="L1313" i="9"/>
  <c r="K1313" i="9"/>
  <c r="J1313" i="9"/>
  <c r="I1313" i="9"/>
  <c r="H1313" i="9"/>
  <c r="G1313" i="9"/>
  <c r="F1313" i="9"/>
  <c r="E1313" i="9"/>
  <c r="D1313" i="9"/>
  <c r="C1313" i="9"/>
  <c r="B1313" i="9"/>
  <c r="A1313" i="9"/>
  <c r="L1312" i="9"/>
  <c r="K1312" i="9"/>
  <c r="J1312" i="9"/>
  <c r="I1312" i="9"/>
  <c r="H1312" i="9"/>
  <c r="G1312" i="9"/>
  <c r="F1312" i="9"/>
  <c r="E1312" i="9"/>
  <c r="D1312" i="9"/>
  <c r="C1312" i="9"/>
  <c r="B1312" i="9"/>
  <c r="A1312" i="9"/>
  <c r="L1311" i="9"/>
  <c r="K1311" i="9"/>
  <c r="J1311" i="9"/>
  <c r="I1311" i="9"/>
  <c r="H1311" i="9"/>
  <c r="G1311" i="9"/>
  <c r="F1311" i="9"/>
  <c r="E1311" i="9"/>
  <c r="D1311" i="9"/>
  <c r="C1311" i="9"/>
  <c r="B1311" i="9"/>
  <c r="A1311" i="9"/>
  <c r="L1310" i="9"/>
  <c r="M1310" i="9" s="1"/>
  <c r="K1310" i="9"/>
  <c r="J1310" i="9"/>
  <c r="I1310" i="9"/>
  <c r="H1310" i="9"/>
  <c r="G1310" i="9"/>
  <c r="F1310" i="9"/>
  <c r="E1310" i="9"/>
  <c r="D1310" i="9"/>
  <c r="C1310" i="9"/>
  <c r="B1310" i="9"/>
  <c r="A1310" i="9"/>
  <c r="L1309" i="9"/>
  <c r="K1309" i="9"/>
  <c r="J1309" i="9"/>
  <c r="I1309" i="9"/>
  <c r="H1309" i="9"/>
  <c r="G1309" i="9"/>
  <c r="F1309" i="9"/>
  <c r="E1309" i="9"/>
  <c r="D1309" i="9"/>
  <c r="C1309" i="9"/>
  <c r="B1309" i="9"/>
  <c r="A1309" i="9"/>
  <c r="L1308" i="9"/>
  <c r="K1308" i="9"/>
  <c r="J1308" i="9"/>
  <c r="I1308" i="9"/>
  <c r="H1308" i="9"/>
  <c r="G1308" i="9"/>
  <c r="F1308" i="9"/>
  <c r="E1308" i="9"/>
  <c r="D1308" i="9"/>
  <c r="C1308" i="9"/>
  <c r="B1308" i="9"/>
  <c r="A1308" i="9"/>
  <c r="L1307" i="9"/>
  <c r="K1307" i="9"/>
  <c r="J1307" i="9"/>
  <c r="M1307" i="9" s="1"/>
  <c r="I1307" i="9"/>
  <c r="H1307" i="9"/>
  <c r="G1307" i="9"/>
  <c r="F1307" i="9"/>
  <c r="E1307" i="9"/>
  <c r="D1307" i="9"/>
  <c r="C1307" i="9"/>
  <c r="B1307" i="9"/>
  <c r="A1307" i="9"/>
  <c r="M1306" i="9"/>
  <c r="L1306" i="9"/>
  <c r="K1306" i="9"/>
  <c r="J1306" i="9"/>
  <c r="I1306" i="9"/>
  <c r="H1306" i="9"/>
  <c r="G1306" i="9"/>
  <c r="F1306" i="9"/>
  <c r="E1306" i="9"/>
  <c r="D1306" i="9"/>
  <c r="C1306" i="9"/>
  <c r="B1306" i="9"/>
  <c r="A1306" i="9"/>
  <c r="L1305" i="9"/>
  <c r="M1305" i="9" s="1"/>
  <c r="K1305" i="9"/>
  <c r="J1305" i="9"/>
  <c r="I1305" i="9"/>
  <c r="H1305" i="9"/>
  <c r="G1305" i="9"/>
  <c r="F1305" i="9"/>
  <c r="E1305" i="9"/>
  <c r="D1305" i="9"/>
  <c r="C1305" i="9"/>
  <c r="B1305" i="9"/>
  <c r="A1305" i="9"/>
  <c r="M1304" i="9"/>
  <c r="L1304" i="9"/>
  <c r="K1304" i="9"/>
  <c r="J1304" i="9"/>
  <c r="I1304" i="9"/>
  <c r="H1304" i="9"/>
  <c r="G1304" i="9"/>
  <c r="F1304" i="9"/>
  <c r="E1304" i="9"/>
  <c r="D1304" i="9"/>
  <c r="C1304" i="9"/>
  <c r="B1304" i="9"/>
  <c r="A1304" i="9"/>
  <c r="L1303" i="9"/>
  <c r="K1303" i="9"/>
  <c r="J1303" i="9"/>
  <c r="I1303" i="9"/>
  <c r="H1303" i="9"/>
  <c r="G1303" i="9"/>
  <c r="F1303" i="9"/>
  <c r="E1303" i="9"/>
  <c r="D1303" i="9"/>
  <c r="C1303" i="9"/>
  <c r="B1303" i="9"/>
  <c r="A1303" i="9"/>
  <c r="L1302" i="9"/>
  <c r="K1302" i="9"/>
  <c r="J1302" i="9"/>
  <c r="I1302" i="9"/>
  <c r="H1302" i="9"/>
  <c r="G1302" i="9"/>
  <c r="F1302" i="9"/>
  <c r="E1302" i="9"/>
  <c r="D1302" i="9"/>
  <c r="C1302" i="9"/>
  <c r="B1302" i="9"/>
  <c r="A1302" i="9"/>
  <c r="L1301" i="9"/>
  <c r="K1301" i="9"/>
  <c r="J1301" i="9"/>
  <c r="I1301" i="9"/>
  <c r="H1301" i="9"/>
  <c r="G1301" i="9"/>
  <c r="F1301" i="9"/>
  <c r="E1301" i="9"/>
  <c r="D1301" i="9"/>
  <c r="C1301" i="9"/>
  <c r="B1301" i="9"/>
  <c r="A1301" i="9"/>
  <c r="L1300" i="9"/>
  <c r="K1300" i="9"/>
  <c r="J1300" i="9"/>
  <c r="I1300" i="9"/>
  <c r="H1300" i="9"/>
  <c r="G1300" i="9"/>
  <c r="F1300" i="9"/>
  <c r="E1300" i="9"/>
  <c r="D1300" i="9"/>
  <c r="C1300" i="9"/>
  <c r="B1300" i="9"/>
  <c r="A1300" i="9"/>
  <c r="L1299" i="9"/>
  <c r="K1299" i="9"/>
  <c r="J1299" i="9"/>
  <c r="I1299" i="9"/>
  <c r="H1299" i="9"/>
  <c r="G1299" i="9"/>
  <c r="F1299" i="9"/>
  <c r="E1299" i="9"/>
  <c r="D1299" i="9"/>
  <c r="C1299" i="9"/>
  <c r="B1299" i="9"/>
  <c r="A1299" i="9"/>
  <c r="L1298" i="9"/>
  <c r="K1298" i="9"/>
  <c r="J1298" i="9"/>
  <c r="I1298" i="9"/>
  <c r="H1298" i="9"/>
  <c r="G1298" i="9"/>
  <c r="F1298" i="9"/>
  <c r="E1298" i="9"/>
  <c r="D1298" i="9"/>
  <c r="C1298" i="9"/>
  <c r="B1298" i="9"/>
  <c r="A1298" i="9"/>
  <c r="M1297" i="9"/>
  <c r="L1297" i="9"/>
  <c r="K1297" i="9"/>
  <c r="J1297" i="9"/>
  <c r="I1297" i="9"/>
  <c r="H1297" i="9"/>
  <c r="G1297" i="9"/>
  <c r="F1297" i="9"/>
  <c r="E1297" i="9"/>
  <c r="D1297" i="9"/>
  <c r="C1297" i="9"/>
  <c r="B1297" i="9"/>
  <c r="A1297" i="9"/>
  <c r="L1296" i="9"/>
  <c r="M1296" i="9" s="1"/>
  <c r="K1296" i="9"/>
  <c r="J1296" i="9"/>
  <c r="I1296" i="9"/>
  <c r="H1296" i="9"/>
  <c r="G1296" i="9"/>
  <c r="F1296" i="9"/>
  <c r="E1296" i="9"/>
  <c r="D1296" i="9"/>
  <c r="C1296" i="9"/>
  <c r="B1296" i="9"/>
  <c r="A1296" i="9"/>
  <c r="L1295" i="9"/>
  <c r="K1295" i="9"/>
  <c r="J1295" i="9"/>
  <c r="I1295" i="9"/>
  <c r="H1295" i="9"/>
  <c r="G1295" i="9"/>
  <c r="F1295" i="9"/>
  <c r="E1295" i="9"/>
  <c r="D1295" i="9"/>
  <c r="C1295" i="9"/>
  <c r="B1295" i="9"/>
  <c r="A1295" i="9"/>
  <c r="L1294" i="9"/>
  <c r="K1294" i="9"/>
  <c r="J1294" i="9"/>
  <c r="I1294" i="9"/>
  <c r="H1294" i="9"/>
  <c r="G1294" i="9"/>
  <c r="F1294" i="9"/>
  <c r="E1294" i="9"/>
  <c r="D1294" i="9"/>
  <c r="C1294" i="9"/>
  <c r="B1294" i="9"/>
  <c r="A1294" i="9"/>
  <c r="L1293" i="9"/>
  <c r="K1293" i="9"/>
  <c r="J1293" i="9"/>
  <c r="M1293" i="9" s="1"/>
  <c r="I1293" i="9"/>
  <c r="H1293" i="9"/>
  <c r="G1293" i="9"/>
  <c r="F1293" i="9"/>
  <c r="E1293" i="9"/>
  <c r="D1293" i="9"/>
  <c r="C1293" i="9"/>
  <c r="B1293" i="9"/>
  <c r="A1293" i="9"/>
  <c r="M1292" i="9"/>
  <c r="L1292" i="9"/>
  <c r="K1292" i="9"/>
  <c r="J1292" i="9"/>
  <c r="I1292" i="9"/>
  <c r="H1292" i="9"/>
  <c r="G1292" i="9"/>
  <c r="F1292" i="9"/>
  <c r="E1292" i="9"/>
  <c r="D1292" i="9"/>
  <c r="C1292" i="9"/>
  <c r="B1292" i="9"/>
  <c r="A1292" i="9"/>
  <c r="L1291" i="9"/>
  <c r="M1291" i="9" s="1"/>
  <c r="K1291" i="9"/>
  <c r="J1291" i="9"/>
  <c r="I1291" i="9"/>
  <c r="H1291" i="9"/>
  <c r="G1291" i="9"/>
  <c r="F1291" i="9"/>
  <c r="E1291" i="9"/>
  <c r="D1291" i="9"/>
  <c r="C1291" i="9"/>
  <c r="B1291" i="9"/>
  <c r="A1291" i="9"/>
  <c r="M1290" i="9"/>
  <c r="L1290" i="9"/>
  <c r="K1290" i="9"/>
  <c r="J1290" i="9"/>
  <c r="I1290" i="9"/>
  <c r="H1290" i="9"/>
  <c r="G1290" i="9"/>
  <c r="F1290" i="9"/>
  <c r="E1290" i="9"/>
  <c r="D1290" i="9"/>
  <c r="C1290" i="9"/>
  <c r="B1290" i="9"/>
  <c r="A1290" i="9"/>
  <c r="L1289" i="9"/>
  <c r="K1289" i="9"/>
  <c r="J1289" i="9"/>
  <c r="I1289" i="9"/>
  <c r="H1289" i="9"/>
  <c r="G1289" i="9"/>
  <c r="F1289" i="9"/>
  <c r="E1289" i="9"/>
  <c r="D1289" i="9"/>
  <c r="C1289" i="9"/>
  <c r="B1289" i="9"/>
  <c r="A1289" i="9"/>
  <c r="L1288" i="9"/>
  <c r="K1288" i="9"/>
  <c r="J1288" i="9"/>
  <c r="I1288" i="9"/>
  <c r="H1288" i="9"/>
  <c r="G1288" i="9"/>
  <c r="F1288" i="9"/>
  <c r="E1288" i="9"/>
  <c r="D1288" i="9"/>
  <c r="C1288" i="9"/>
  <c r="B1288" i="9"/>
  <c r="A1288" i="9"/>
  <c r="L1287" i="9"/>
  <c r="K1287" i="9"/>
  <c r="J1287" i="9"/>
  <c r="I1287" i="9"/>
  <c r="H1287" i="9"/>
  <c r="G1287" i="9"/>
  <c r="F1287" i="9"/>
  <c r="E1287" i="9"/>
  <c r="D1287" i="9"/>
  <c r="C1287" i="9"/>
  <c r="B1287" i="9"/>
  <c r="A1287" i="9"/>
  <c r="L1286" i="9"/>
  <c r="K1286" i="9"/>
  <c r="J1286" i="9"/>
  <c r="I1286" i="9"/>
  <c r="H1286" i="9"/>
  <c r="G1286" i="9"/>
  <c r="F1286" i="9"/>
  <c r="E1286" i="9"/>
  <c r="D1286" i="9"/>
  <c r="C1286" i="9"/>
  <c r="B1286" i="9"/>
  <c r="A1286" i="9"/>
  <c r="L1285" i="9"/>
  <c r="K1285" i="9"/>
  <c r="J1285" i="9"/>
  <c r="I1285" i="9"/>
  <c r="H1285" i="9"/>
  <c r="G1285" i="9"/>
  <c r="F1285" i="9"/>
  <c r="E1285" i="9"/>
  <c r="D1285" i="9"/>
  <c r="C1285" i="9"/>
  <c r="B1285" i="9"/>
  <c r="A1285" i="9"/>
  <c r="L1284" i="9"/>
  <c r="K1284" i="9"/>
  <c r="J1284" i="9"/>
  <c r="I1284" i="9"/>
  <c r="H1284" i="9"/>
  <c r="G1284" i="9"/>
  <c r="F1284" i="9"/>
  <c r="E1284" i="9"/>
  <c r="D1284" i="9"/>
  <c r="C1284" i="9"/>
  <c r="B1284" i="9"/>
  <c r="A1284" i="9"/>
  <c r="M1283" i="9"/>
  <c r="L1283" i="9"/>
  <c r="K1283" i="9"/>
  <c r="J1283" i="9"/>
  <c r="I1283" i="9"/>
  <c r="H1283" i="9"/>
  <c r="G1283" i="9"/>
  <c r="F1283" i="9"/>
  <c r="E1283" i="9"/>
  <c r="D1283" i="9"/>
  <c r="C1283" i="9"/>
  <c r="B1283" i="9"/>
  <c r="A1283" i="9"/>
  <c r="L1282" i="9"/>
  <c r="M1282" i="9" s="1"/>
  <c r="K1282" i="9"/>
  <c r="J1282" i="9"/>
  <c r="I1282" i="9"/>
  <c r="H1282" i="9"/>
  <c r="G1282" i="9"/>
  <c r="F1282" i="9"/>
  <c r="E1282" i="9"/>
  <c r="D1282" i="9"/>
  <c r="C1282" i="9"/>
  <c r="B1282" i="9"/>
  <c r="A1282" i="9"/>
  <c r="L1281" i="9"/>
  <c r="K1281" i="9"/>
  <c r="J1281" i="9"/>
  <c r="I1281" i="9"/>
  <c r="H1281" i="9"/>
  <c r="G1281" i="9"/>
  <c r="F1281" i="9"/>
  <c r="E1281" i="9"/>
  <c r="D1281" i="9"/>
  <c r="C1281" i="9"/>
  <c r="B1281" i="9"/>
  <c r="A1281" i="9"/>
  <c r="L1280" i="9"/>
  <c r="K1280" i="9"/>
  <c r="J1280" i="9"/>
  <c r="I1280" i="9"/>
  <c r="H1280" i="9"/>
  <c r="G1280" i="9"/>
  <c r="F1280" i="9"/>
  <c r="E1280" i="9"/>
  <c r="D1280" i="9"/>
  <c r="C1280" i="9"/>
  <c r="B1280" i="9"/>
  <c r="A1280" i="9"/>
  <c r="L1279" i="9"/>
  <c r="K1279" i="9"/>
  <c r="J1279" i="9"/>
  <c r="M1279" i="9" s="1"/>
  <c r="I1279" i="9"/>
  <c r="H1279" i="9"/>
  <c r="G1279" i="9"/>
  <c r="F1279" i="9"/>
  <c r="E1279" i="9"/>
  <c r="D1279" i="9"/>
  <c r="C1279" i="9"/>
  <c r="B1279" i="9"/>
  <c r="A1279" i="9"/>
  <c r="M1278" i="9"/>
  <c r="L1278" i="9"/>
  <c r="K1278" i="9"/>
  <c r="J1278" i="9"/>
  <c r="I1278" i="9"/>
  <c r="H1278" i="9"/>
  <c r="G1278" i="9"/>
  <c r="F1278" i="9"/>
  <c r="E1278" i="9"/>
  <c r="D1278" i="9"/>
  <c r="C1278" i="9"/>
  <c r="B1278" i="9"/>
  <c r="A1278" i="9"/>
  <c r="L1277" i="9"/>
  <c r="M1277" i="9" s="1"/>
  <c r="K1277" i="9"/>
  <c r="J1277" i="9"/>
  <c r="I1277" i="9"/>
  <c r="H1277" i="9"/>
  <c r="G1277" i="9"/>
  <c r="F1277" i="9"/>
  <c r="E1277" i="9"/>
  <c r="D1277" i="9"/>
  <c r="C1277" i="9"/>
  <c r="B1277" i="9"/>
  <c r="A1277" i="9"/>
  <c r="M1276" i="9"/>
  <c r="L1276" i="9"/>
  <c r="K1276" i="9"/>
  <c r="J1276" i="9"/>
  <c r="I1276" i="9"/>
  <c r="H1276" i="9"/>
  <c r="G1276" i="9"/>
  <c r="F1276" i="9"/>
  <c r="E1276" i="9"/>
  <c r="D1276" i="9"/>
  <c r="C1276" i="9"/>
  <c r="B1276" i="9"/>
  <c r="A1276" i="9"/>
  <c r="M1275" i="9"/>
  <c r="L1275" i="9"/>
  <c r="K1275" i="9"/>
  <c r="J1275" i="9"/>
  <c r="I1275" i="9"/>
  <c r="H1275" i="9"/>
  <c r="G1275" i="9"/>
  <c r="F1275" i="9"/>
  <c r="E1275" i="9"/>
  <c r="D1275" i="9"/>
  <c r="C1275" i="9"/>
  <c r="B1275" i="9"/>
  <c r="A1275" i="9"/>
  <c r="L1274" i="9"/>
  <c r="M1274" i="9" s="1"/>
  <c r="K1274" i="9"/>
  <c r="J1274" i="9"/>
  <c r="I1274" i="9"/>
  <c r="H1274" i="9"/>
  <c r="G1274" i="9"/>
  <c r="F1274" i="9"/>
  <c r="E1274" i="9"/>
  <c r="D1274" i="9"/>
  <c r="C1274" i="9"/>
  <c r="B1274" i="9"/>
  <c r="A1274" i="9"/>
  <c r="L1273" i="9"/>
  <c r="K1273" i="9"/>
  <c r="J1273" i="9"/>
  <c r="I1273" i="9"/>
  <c r="H1273" i="9"/>
  <c r="G1273" i="9"/>
  <c r="F1273" i="9"/>
  <c r="E1273" i="9"/>
  <c r="D1273" i="9"/>
  <c r="C1273" i="9"/>
  <c r="B1273" i="9"/>
  <c r="A1273" i="9"/>
  <c r="L1272" i="9"/>
  <c r="K1272" i="9"/>
  <c r="J1272" i="9"/>
  <c r="I1272" i="9"/>
  <c r="H1272" i="9"/>
  <c r="G1272" i="9"/>
  <c r="F1272" i="9"/>
  <c r="E1272" i="9"/>
  <c r="D1272" i="9"/>
  <c r="C1272" i="9"/>
  <c r="B1272" i="9"/>
  <c r="A1272" i="9"/>
  <c r="L1271" i="9"/>
  <c r="K1271" i="9"/>
  <c r="J1271" i="9"/>
  <c r="I1271" i="9"/>
  <c r="H1271" i="9"/>
  <c r="G1271" i="9"/>
  <c r="F1271" i="9"/>
  <c r="E1271" i="9"/>
  <c r="D1271" i="9"/>
  <c r="C1271" i="9"/>
  <c r="B1271" i="9"/>
  <c r="A1271" i="9"/>
  <c r="L1270" i="9"/>
  <c r="K1270" i="9"/>
  <c r="J1270" i="9"/>
  <c r="I1270" i="9"/>
  <c r="H1270" i="9"/>
  <c r="G1270" i="9"/>
  <c r="F1270" i="9"/>
  <c r="E1270" i="9"/>
  <c r="D1270" i="9"/>
  <c r="C1270" i="9"/>
  <c r="B1270" i="9"/>
  <c r="A1270" i="9"/>
  <c r="M1269" i="9"/>
  <c r="L1269" i="9"/>
  <c r="K1269" i="9"/>
  <c r="J1269" i="9"/>
  <c r="I1269" i="9"/>
  <c r="H1269" i="9"/>
  <c r="G1269" i="9"/>
  <c r="F1269" i="9"/>
  <c r="E1269" i="9"/>
  <c r="D1269" i="9"/>
  <c r="C1269" i="9"/>
  <c r="B1269" i="9"/>
  <c r="A1269" i="9"/>
  <c r="L1268" i="9"/>
  <c r="M1268" i="9" s="1"/>
  <c r="K1268" i="9"/>
  <c r="J1268" i="9"/>
  <c r="I1268" i="9"/>
  <c r="H1268" i="9"/>
  <c r="G1268" i="9"/>
  <c r="F1268" i="9"/>
  <c r="E1268" i="9"/>
  <c r="D1268" i="9"/>
  <c r="C1268" i="9"/>
  <c r="B1268" i="9"/>
  <c r="A1268" i="9"/>
  <c r="L1267" i="9"/>
  <c r="K1267" i="9"/>
  <c r="J1267" i="9"/>
  <c r="I1267" i="9"/>
  <c r="H1267" i="9"/>
  <c r="G1267" i="9"/>
  <c r="F1267" i="9"/>
  <c r="E1267" i="9"/>
  <c r="D1267" i="9"/>
  <c r="C1267" i="9"/>
  <c r="B1267" i="9"/>
  <c r="A1267" i="9"/>
  <c r="L1266" i="9"/>
  <c r="K1266" i="9"/>
  <c r="J1266" i="9"/>
  <c r="I1266" i="9"/>
  <c r="H1266" i="9"/>
  <c r="G1266" i="9"/>
  <c r="F1266" i="9"/>
  <c r="E1266" i="9"/>
  <c r="D1266" i="9"/>
  <c r="C1266" i="9"/>
  <c r="B1266" i="9"/>
  <c r="A1266" i="9"/>
  <c r="L1265" i="9"/>
  <c r="K1265" i="9"/>
  <c r="J1265" i="9"/>
  <c r="M1265" i="9" s="1"/>
  <c r="I1265" i="9"/>
  <c r="H1265" i="9"/>
  <c r="G1265" i="9"/>
  <c r="F1265" i="9"/>
  <c r="E1265" i="9"/>
  <c r="D1265" i="9"/>
  <c r="C1265" i="9"/>
  <c r="B1265" i="9"/>
  <c r="A1265" i="9"/>
  <c r="M1264" i="9"/>
  <c r="L1264" i="9"/>
  <c r="K1264" i="9"/>
  <c r="J1264" i="9"/>
  <c r="I1264" i="9"/>
  <c r="H1264" i="9"/>
  <c r="G1264" i="9"/>
  <c r="F1264" i="9"/>
  <c r="E1264" i="9"/>
  <c r="D1264" i="9"/>
  <c r="C1264" i="9"/>
  <c r="B1264" i="9"/>
  <c r="A1264" i="9"/>
  <c r="L1263" i="9"/>
  <c r="M1263" i="9" s="1"/>
  <c r="K1263" i="9"/>
  <c r="J1263" i="9"/>
  <c r="I1263" i="9"/>
  <c r="H1263" i="9"/>
  <c r="G1263" i="9"/>
  <c r="F1263" i="9"/>
  <c r="E1263" i="9"/>
  <c r="D1263" i="9"/>
  <c r="C1263" i="9"/>
  <c r="B1263" i="9"/>
  <c r="A1263" i="9"/>
  <c r="M1262" i="9"/>
  <c r="L1262" i="9"/>
  <c r="K1262" i="9"/>
  <c r="J1262" i="9"/>
  <c r="I1262" i="9"/>
  <c r="H1262" i="9"/>
  <c r="G1262" i="9"/>
  <c r="F1262" i="9"/>
  <c r="E1262" i="9"/>
  <c r="D1262" i="9"/>
  <c r="C1262" i="9"/>
  <c r="B1262" i="9"/>
  <c r="A1262" i="9"/>
  <c r="L1261" i="9"/>
  <c r="K1261" i="9"/>
  <c r="J1261" i="9"/>
  <c r="I1261" i="9"/>
  <c r="H1261" i="9"/>
  <c r="G1261" i="9"/>
  <c r="F1261" i="9"/>
  <c r="E1261" i="9"/>
  <c r="D1261" i="9"/>
  <c r="C1261" i="9"/>
  <c r="B1261" i="9"/>
  <c r="A1261" i="9"/>
  <c r="M1260" i="9"/>
  <c r="L1260" i="9"/>
  <c r="K1260" i="9"/>
  <c r="J1260" i="9"/>
  <c r="I1260" i="9"/>
  <c r="H1260" i="9"/>
  <c r="G1260" i="9"/>
  <c r="F1260" i="9"/>
  <c r="E1260" i="9"/>
  <c r="D1260" i="9"/>
  <c r="C1260" i="9"/>
  <c r="B1260" i="9"/>
  <c r="A1260" i="9"/>
  <c r="M1259" i="9"/>
  <c r="L1259" i="9"/>
  <c r="K1259" i="9"/>
  <c r="J1259" i="9"/>
  <c r="I1259" i="9"/>
  <c r="H1259" i="9"/>
  <c r="G1259" i="9"/>
  <c r="F1259" i="9"/>
  <c r="E1259" i="9"/>
  <c r="D1259" i="9"/>
  <c r="C1259" i="9"/>
  <c r="B1259" i="9"/>
  <c r="A1259" i="9"/>
  <c r="L1258" i="9"/>
  <c r="K1258" i="9"/>
  <c r="J1258" i="9"/>
  <c r="I1258" i="9"/>
  <c r="H1258" i="9"/>
  <c r="G1258" i="9"/>
  <c r="F1258" i="9"/>
  <c r="E1258" i="9"/>
  <c r="D1258" i="9"/>
  <c r="C1258" i="9"/>
  <c r="B1258" i="9"/>
  <c r="A1258" i="9"/>
  <c r="L1257" i="9"/>
  <c r="K1257" i="9"/>
  <c r="J1257" i="9"/>
  <c r="I1257" i="9"/>
  <c r="H1257" i="9"/>
  <c r="G1257" i="9"/>
  <c r="F1257" i="9"/>
  <c r="E1257" i="9"/>
  <c r="D1257" i="9"/>
  <c r="C1257" i="9"/>
  <c r="B1257" i="9"/>
  <c r="A1257" i="9"/>
  <c r="L1256" i="9"/>
  <c r="K1256" i="9"/>
  <c r="J1256" i="9"/>
  <c r="I1256" i="9"/>
  <c r="H1256" i="9"/>
  <c r="G1256" i="9"/>
  <c r="F1256" i="9"/>
  <c r="E1256" i="9"/>
  <c r="D1256" i="9"/>
  <c r="C1256" i="9"/>
  <c r="B1256" i="9"/>
  <c r="A1256" i="9"/>
  <c r="M1255" i="9"/>
  <c r="L1255" i="9"/>
  <c r="K1255" i="9"/>
  <c r="J1255" i="9"/>
  <c r="I1255" i="9"/>
  <c r="H1255" i="9"/>
  <c r="G1255" i="9"/>
  <c r="F1255" i="9"/>
  <c r="E1255" i="9"/>
  <c r="D1255" i="9"/>
  <c r="C1255" i="9"/>
  <c r="B1255" i="9"/>
  <c r="A1255" i="9"/>
  <c r="L1254" i="9"/>
  <c r="M1254" i="9" s="1"/>
  <c r="K1254" i="9"/>
  <c r="J1254" i="9"/>
  <c r="I1254" i="9"/>
  <c r="H1254" i="9"/>
  <c r="G1254" i="9"/>
  <c r="F1254" i="9"/>
  <c r="E1254" i="9"/>
  <c r="D1254" i="9"/>
  <c r="C1254" i="9"/>
  <c r="B1254" i="9"/>
  <c r="A1254" i="9"/>
  <c r="L1253" i="9"/>
  <c r="K1253" i="9"/>
  <c r="J1253" i="9"/>
  <c r="I1253" i="9"/>
  <c r="H1253" i="9"/>
  <c r="G1253" i="9"/>
  <c r="F1253" i="9"/>
  <c r="E1253" i="9"/>
  <c r="D1253" i="9"/>
  <c r="C1253" i="9"/>
  <c r="B1253" i="9"/>
  <c r="A1253" i="9"/>
  <c r="L1252" i="9"/>
  <c r="K1252" i="9"/>
  <c r="J1252" i="9"/>
  <c r="I1252" i="9"/>
  <c r="H1252" i="9"/>
  <c r="G1252" i="9"/>
  <c r="F1252" i="9"/>
  <c r="E1252" i="9"/>
  <c r="D1252" i="9"/>
  <c r="C1252" i="9"/>
  <c r="B1252" i="9"/>
  <c r="A1252" i="9"/>
  <c r="L1251" i="9"/>
  <c r="K1251" i="9"/>
  <c r="J1251" i="9"/>
  <c r="I1251" i="9"/>
  <c r="H1251" i="9"/>
  <c r="G1251" i="9"/>
  <c r="F1251" i="9"/>
  <c r="E1251" i="9"/>
  <c r="D1251" i="9"/>
  <c r="C1251" i="9"/>
  <c r="B1251" i="9"/>
  <c r="A1251" i="9"/>
  <c r="N1250" i="9"/>
  <c r="L1250" i="9"/>
  <c r="K1250" i="9"/>
  <c r="J1250" i="9"/>
  <c r="M1250" i="9" s="1"/>
  <c r="I1250" i="9"/>
  <c r="H1250" i="9"/>
  <c r="G1250" i="9"/>
  <c r="F1250" i="9"/>
  <c r="E1250" i="9"/>
  <c r="D1250" i="9"/>
  <c r="C1250" i="9"/>
  <c r="B1250" i="9"/>
  <c r="A1250" i="9"/>
  <c r="L1249" i="9"/>
  <c r="K1249" i="9"/>
  <c r="J1249" i="9"/>
  <c r="I1249" i="9"/>
  <c r="H1249" i="9"/>
  <c r="G1249" i="9"/>
  <c r="F1249" i="9"/>
  <c r="E1249" i="9"/>
  <c r="D1249" i="9"/>
  <c r="C1249" i="9"/>
  <c r="B1249" i="9"/>
  <c r="A1249" i="9"/>
  <c r="L1248" i="9"/>
  <c r="K1248" i="9"/>
  <c r="J1248" i="9"/>
  <c r="I1248" i="9"/>
  <c r="H1248" i="9"/>
  <c r="G1248" i="9"/>
  <c r="F1248" i="9"/>
  <c r="E1248" i="9"/>
  <c r="D1248" i="9"/>
  <c r="C1248" i="9"/>
  <c r="B1248" i="9"/>
  <c r="A1248" i="9"/>
  <c r="L1247" i="9"/>
  <c r="K1247" i="9"/>
  <c r="J1247" i="9"/>
  <c r="I1247" i="9"/>
  <c r="H1247" i="9"/>
  <c r="G1247" i="9"/>
  <c r="F1247" i="9"/>
  <c r="E1247" i="9"/>
  <c r="D1247" i="9"/>
  <c r="C1247" i="9"/>
  <c r="B1247" i="9"/>
  <c r="A1247" i="9"/>
  <c r="N1246" i="9"/>
  <c r="L1246" i="9"/>
  <c r="K1246" i="9"/>
  <c r="J1246" i="9"/>
  <c r="M1246" i="9" s="1"/>
  <c r="I1246" i="9"/>
  <c r="H1246" i="9"/>
  <c r="G1246" i="9"/>
  <c r="F1246" i="9"/>
  <c r="E1246" i="9"/>
  <c r="D1246" i="9"/>
  <c r="C1246" i="9"/>
  <c r="B1246" i="9"/>
  <c r="A1246" i="9"/>
  <c r="N1245" i="9"/>
  <c r="L1245" i="9"/>
  <c r="K1245" i="9"/>
  <c r="J1245" i="9"/>
  <c r="M1245" i="9" s="1"/>
  <c r="I1245" i="9"/>
  <c r="H1245" i="9"/>
  <c r="G1245" i="9"/>
  <c r="F1245" i="9"/>
  <c r="E1245" i="9"/>
  <c r="D1245" i="9"/>
  <c r="C1245" i="9"/>
  <c r="B1245" i="9"/>
  <c r="A1245" i="9"/>
  <c r="L1244" i="9"/>
  <c r="K1244" i="9"/>
  <c r="J1244" i="9"/>
  <c r="I1244" i="9"/>
  <c r="H1244" i="9"/>
  <c r="G1244" i="9"/>
  <c r="F1244" i="9"/>
  <c r="E1244" i="9"/>
  <c r="D1244" i="9"/>
  <c r="C1244" i="9"/>
  <c r="B1244" i="9"/>
  <c r="A1244" i="9"/>
  <c r="L1243" i="9"/>
  <c r="K1243" i="9"/>
  <c r="J1243" i="9"/>
  <c r="M1243" i="9" s="1"/>
  <c r="I1243" i="9"/>
  <c r="H1243" i="9"/>
  <c r="G1243" i="9"/>
  <c r="F1243" i="9"/>
  <c r="E1243" i="9"/>
  <c r="D1243" i="9"/>
  <c r="C1243" i="9"/>
  <c r="B1243" i="9"/>
  <c r="A1243" i="9"/>
  <c r="L1242" i="9"/>
  <c r="K1242" i="9"/>
  <c r="J1242" i="9"/>
  <c r="I1242" i="9"/>
  <c r="H1242" i="9"/>
  <c r="G1242" i="9"/>
  <c r="F1242" i="9"/>
  <c r="E1242" i="9"/>
  <c r="D1242" i="9"/>
  <c r="C1242" i="9"/>
  <c r="B1242" i="9"/>
  <c r="A1242" i="9"/>
  <c r="L1241" i="9"/>
  <c r="K1241" i="9"/>
  <c r="J1241" i="9"/>
  <c r="M1241" i="9" s="1"/>
  <c r="I1241" i="9"/>
  <c r="H1241" i="9"/>
  <c r="G1241" i="9"/>
  <c r="F1241" i="9"/>
  <c r="E1241" i="9"/>
  <c r="D1241" i="9"/>
  <c r="C1241" i="9"/>
  <c r="B1241" i="9"/>
  <c r="A1241" i="9"/>
  <c r="N1240" i="9"/>
  <c r="L1240" i="9"/>
  <c r="K1240" i="9"/>
  <c r="J1240" i="9"/>
  <c r="M1240" i="9" s="1"/>
  <c r="I1240" i="9"/>
  <c r="H1240" i="9"/>
  <c r="G1240" i="9"/>
  <c r="F1240" i="9"/>
  <c r="E1240" i="9"/>
  <c r="D1240" i="9"/>
  <c r="C1240" i="9"/>
  <c r="B1240" i="9"/>
  <c r="A1240" i="9"/>
  <c r="L1239" i="9"/>
  <c r="K1239" i="9"/>
  <c r="J1239" i="9"/>
  <c r="M1239" i="9" s="1"/>
  <c r="I1239" i="9"/>
  <c r="H1239" i="9"/>
  <c r="G1239" i="9"/>
  <c r="F1239" i="9"/>
  <c r="E1239" i="9"/>
  <c r="D1239" i="9"/>
  <c r="C1239" i="9"/>
  <c r="B1239" i="9"/>
  <c r="A1239" i="9"/>
  <c r="N1238" i="9"/>
  <c r="L1238" i="9"/>
  <c r="K1238" i="9"/>
  <c r="J1238" i="9"/>
  <c r="M1238" i="9" s="1"/>
  <c r="I1238" i="9"/>
  <c r="H1238" i="9"/>
  <c r="G1238" i="9"/>
  <c r="F1238" i="9"/>
  <c r="E1238" i="9"/>
  <c r="D1238" i="9"/>
  <c r="C1238" i="9"/>
  <c r="B1238" i="9"/>
  <c r="A1238" i="9"/>
  <c r="N1237" i="9"/>
  <c r="L1237" i="9"/>
  <c r="K1237" i="9"/>
  <c r="J1237" i="9"/>
  <c r="M1237" i="9" s="1"/>
  <c r="I1237" i="9"/>
  <c r="H1237" i="9"/>
  <c r="G1237" i="9"/>
  <c r="F1237" i="9"/>
  <c r="E1237" i="9"/>
  <c r="D1237" i="9"/>
  <c r="C1237" i="9"/>
  <c r="B1237" i="9"/>
  <c r="A1237" i="9"/>
  <c r="N1236" i="9"/>
  <c r="L1236" i="9"/>
  <c r="K1236" i="9"/>
  <c r="J1236" i="9"/>
  <c r="M1236" i="9" s="1"/>
  <c r="I1236" i="9"/>
  <c r="H1236" i="9"/>
  <c r="G1236" i="9"/>
  <c r="F1236" i="9"/>
  <c r="E1236" i="9"/>
  <c r="D1236" i="9"/>
  <c r="C1236" i="9"/>
  <c r="B1236" i="9"/>
  <c r="A1236" i="9"/>
  <c r="L1235" i="9"/>
  <c r="K1235" i="9"/>
  <c r="J1235" i="9"/>
  <c r="I1235" i="9"/>
  <c r="H1235" i="9"/>
  <c r="G1235" i="9"/>
  <c r="F1235" i="9"/>
  <c r="E1235" i="9"/>
  <c r="D1235" i="9"/>
  <c r="C1235" i="9"/>
  <c r="B1235" i="9"/>
  <c r="A1235" i="9"/>
  <c r="L1234" i="9"/>
  <c r="K1234" i="9"/>
  <c r="J1234" i="9"/>
  <c r="I1234" i="9"/>
  <c r="H1234" i="9"/>
  <c r="G1234" i="9"/>
  <c r="F1234" i="9"/>
  <c r="E1234" i="9"/>
  <c r="D1234" i="9"/>
  <c r="C1234" i="9"/>
  <c r="B1234" i="9"/>
  <c r="A1234" i="9"/>
  <c r="N1233" i="9"/>
  <c r="L1233" i="9"/>
  <c r="K1233" i="9"/>
  <c r="J1233" i="9"/>
  <c r="M1233" i="9" s="1"/>
  <c r="I1233" i="9"/>
  <c r="H1233" i="9"/>
  <c r="G1233" i="9"/>
  <c r="F1233" i="9"/>
  <c r="E1233" i="9"/>
  <c r="D1233" i="9"/>
  <c r="C1233" i="9"/>
  <c r="B1233" i="9"/>
  <c r="A1233" i="9"/>
  <c r="N1232" i="9"/>
  <c r="L1232" i="9"/>
  <c r="K1232" i="9"/>
  <c r="J1232" i="9"/>
  <c r="M1232" i="9" s="1"/>
  <c r="I1232" i="9"/>
  <c r="H1232" i="9"/>
  <c r="G1232" i="9"/>
  <c r="F1232" i="9"/>
  <c r="E1232" i="9"/>
  <c r="D1232" i="9"/>
  <c r="C1232" i="9"/>
  <c r="B1232" i="9"/>
  <c r="A1232" i="9"/>
  <c r="N1231" i="9"/>
  <c r="L1231" i="9"/>
  <c r="K1231" i="9"/>
  <c r="J1231" i="9"/>
  <c r="M1231" i="9" s="1"/>
  <c r="I1231" i="9"/>
  <c r="H1231" i="9"/>
  <c r="G1231" i="9"/>
  <c r="F1231" i="9"/>
  <c r="E1231" i="9"/>
  <c r="D1231" i="9"/>
  <c r="C1231" i="9"/>
  <c r="B1231" i="9"/>
  <c r="A1231" i="9"/>
  <c r="L1230" i="9"/>
  <c r="K1230" i="9"/>
  <c r="J1230" i="9"/>
  <c r="I1230" i="9"/>
  <c r="H1230" i="9"/>
  <c r="G1230" i="9"/>
  <c r="F1230" i="9"/>
  <c r="E1230" i="9"/>
  <c r="D1230" i="9"/>
  <c r="C1230" i="9"/>
  <c r="B1230" i="9"/>
  <c r="A1230" i="9"/>
  <c r="L1229" i="9"/>
  <c r="K1229" i="9"/>
  <c r="J1229" i="9"/>
  <c r="M1229" i="9" s="1"/>
  <c r="I1229" i="9"/>
  <c r="H1229" i="9"/>
  <c r="G1229" i="9"/>
  <c r="F1229" i="9"/>
  <c r="E1229" i="9"/>
  <c r="D1229" i="9"/>
  <c r="C1229" i="9"/>
  <c r="B1229" i="9"/>
  <c r="A1229" i="9"/>
  <c r="L1228" i="9"/>
  <c r="K1228" i="9"/>
  <c r="J1228" i="9"/>
  <c r="I1228" i="9"/>
  <c r="H1228" i="9"/>
  <c r="G1228" i="9"/>
  <c r="F1228" i="9"/>
  <c r="E1228" i="9"/>
  <c r="D1228" i="9"/>
  <c r="C1228" i="9"/>
  <c r="B1228" i="9"/>
  <c r="A1228" i="9"/>
  <c r="L1227" i="9"/>
  <c r="K1227" i="9"/>
  <c r="J1227" i="9"/>
  <c r="M1227" i="9" s="1"/>
  <c r="I1227" i="9"/>
  <c r="H1227" i="9"/>
  <c r="G1227" i="9"/>
  <c r="F1227" i="9"/>
  <c r="E1227" i="9"/>
  <c r="D1227" i="9"/>
  <c r="C1227" i="9"/>
  <c r="B1227" i="9"/>
  <c r="A1227" i="9"/>
  <c r="N1226" i="9"/>
  <c r="L1226" i="9"/>
  <c r="K1226" i="9"/>
  <c r="J1226" i="9"/>
  <c r="M1226" i="9" s="1"/>
  <c r="I1226" i="9"/>
  <c r="H1226" i="9"/>
  <c r="G1226" i="9"/>
  <c r="F1226" i="9"/>
  <c r="E1226" i="9"/>
  <c r="D1226" i="9"/>
  <c r="C1226" i="9"/>
  <c r="B1226" i="9"/>
  <c r="A1226" i="9"/>
  <c r="L1225" i="9"/>
  <c r="K1225" i="9"/>
  <c r="J1225" i="9"/>
  <c r="M1225" i="9" s="1"/>
  <c r="I1225" i="9"/>
  <c r="H1225" i="9"/>
  <c r="G1225" i="9"/>
  <c r="F1225" i="9"/>
  <c r="E1225" i="9"/>
  <c r="D1225" i="9"/>
  <c r="C1225" i="9"/>
  <c r="B1225" i="9"/>
  <c r="A1225" i="9"/>
  <c r="N1224" i="9"/>
  <c r="L1224" i="9"/>
  <c r="K1224" i="9"/>
  <c r="J1224" i="9"/>
  <c r="M1224" i="9" s="1"/>
  <c r="I1224" i="9"/>
  <c r="H1224" i="9"/>
  <c r="G1224" i="9"/>
  <c r="F1224" i="9"/>
  <c r="E1224" i="9"/>
  <c r="D1224" i="9"/>
  <c r="C1224" i="9"/>
  <c r="B1224" i="9"/>
  <c r="A1224" i="9"/>
  <c r="N1223" i="9"/>
  <c r="L1223" i="9"/>
  <c r="K1223" i="9"/>
  <c r="J1223" i="9"/>
  <c r="M1223" i="9" s="1"/>
  <c r="I1223" i="9"/>
  <c r="H1223" i="9"/>
  <c r="G1223" i="9"/>
  <c r="F1223" i="9"/>
  <c r="E1223" i="9"/>
  <c r="D1223" i="9"/>
  <c r="C1223" i="9"/>
  <c r="B1223" i="9"/>
  <c r="A1223" i="9"/>
  <c r="N1222" i="9"/>
  <c r="L1222" i="9"/>
  <c r="K1222" i="9"/>
  <c r="J1222" i="9"/>
  <c r="M1222" i="9" s="1"/>
  <c r="I1222" i="9"/>
  <c r="H1222" i="9"/>
  <c r="G1222" i="9"/>
  <c r="F1222" i="9"/>
  <c r="E1222" i="9"/>
  <c r="D1222" i="9"/>
  <c r="C1222" i="9"/>
  <c r="B1222" i="9"/>
  <c r="A1222" i="9"/>
  <c r="L1221" i="9"/>
  <c r="K1221" i="9"/>
  <c r="J1221" i="9"/>
  <c r="I1221" i="9"/>
  <c r="H1221" i="9"/>
  <c r="G1221" i="9"/>
  <c r="F1221" i="9"/>
  <c r="E1221" i="9"/>
  <c r="D1221" i="9"/>
  <c r="C1221" i="9"/>
  <c r="B1221" i="9"/>
  <c r="A1221" i="9"/>
  <c r="L1220" i="9"/>
  <c r="K1220" i="9"/>
  <c r="J1220" i="9"/>
  <c r="I1220" i="9"/>
  <c r="H1220" i="9"/>
  <c r="G1220" i="9"/>
  <c r="F1220" i="9"/>
  <c r="E1220" i="9"/>
  <c r="D1220" i="9"/>
  <c r="C1220" i="9"/>
  <c r="B1220" i="9"/>
  <c r="A1220" i="9"/>
  <c r="L1219" i="9"/>
  <c r="K1219" i="9"/>
  <c r="J1219" i="9"/>
  <c r="I1219" i="9"/>
  <c r="H1219" i="9"/>
  <c r="G1219" i="9"/>
  <c r="F1219" i="9"/>
  <c r="E1219" i="9"/>
  <c r="D1219" i="9"/>
  <c r="C1219" i="9"/>
  <c r="B1219" i="9"/>
  <c r="A1219" i="9"/>
  <c r="N1218" i="9"/>
  <c r="L1218" i="9"/>
  <c r="K1218" i="9"/>
  <c r="J1218" i="9"/>
  <c r="M1218" i="9" s="1"/>
  <c r="I1218" i="9"/>
  <c r="H1218" i="9"/>
  <c r="G1218" i="9"/>
  <c r="F1218" i="9"/>
  <c r="E1218" i="9"/>
  <c r="D1218" i="9"/>
  <c r="C1218" i="9"/>
  <c r="B1218" i="9"/>
  <c r="A1218" i="9"/>
  <c r="N1217" i="9"/>
  <c r="L1217" i="9"/>
  <c r="K1217" i="9"/>
  <c r="J1217" i="9"/>
  <c r="M1217" i="9" s="1"/>
  <c r="I1217" i="9"/>
  <c r="H1217" i="9"/>
  <c r="G1217" i="9"/>
  <c r="F1217" i="9"/>
  <c r="E1217" i="9"/>
  <c r="D1217" i="9"/>
  <c r="C1217" i="9"/>
  <c r="B1217" i="9"/>
  <c r="A1217" i="9"/>
  <c r="L1216" i="9"/>
  <c r="K1216" i="9"/>
  <c r="J1216" i="9"/>
  <c r="I1216" i="9"/>
  <c r="H1216" i="9"/>
  <c r="G1216" i="9"/>
  <c r="F1216" i="9"/>
  <c r="E1216" i="9"/>
  <c r="D1216" i="9"/>
  <c r="C1216" i="9"/>
  <c r="B1216" i="9"/>
  <c r="A1216" i="9"/>
  <c r="L1215" i="9"/>
  <c r="K1215" i="9"/>
  <c r="J1215" i="9"/>
  <c r="M1215" i="9" s="1"/>
  <c r="I1215" i="9"/>
  <c r="H1215" i="9"/>
  <c r="G1215" i="9"/>
  <c r="F1215" i="9"/>
  <c r="E1215" i="9"/>
  <c r="D1215" i="9"/>
  <c r="C1215" i="9"/>
  <c r="B1215" i="9"/>
  <c r="A1215" i="9"/>
  <c r="L1214" i="9"/>
  <c r="K1214" i="9"/>
  <c r="J1214" i="9"/>
  <c r="I1214" i="9"/>
  <c r="H1214" i="9"/>
  <c r="G1214" i="9"/>
  <c r="F1214" i="9"/>
  <c r="E1214" i="9"/>
  <c r="D1214" i="9"/>
  <c r="C1214" i="9"/>
  <c r="B1214" i="9"/>
  <c r="A1214" i="9"/>
  <c r="L1213" i="9"/>
  <c r="K1213" i="9"/>
  <c r="J1213" i="9"/>
  <c r="M1213" i="9" s="1"/>
  <c r="I1213" i="9"/>
  <c r="H1213" i="9"/>
  <c r="G1213" i="9"/>
  <c r="F1213" i="9"/>
  <c r="E1213" i="9"/>
  <c r="D1213" i="9"/>
  <c r="C1213" i="9"/>
  <c r="B1213" i="9"/>
  <c r="A1213" i="9"/>
  <c r="N1212" i="9"/>
  <c r="L1212" i="9"/>
  <c r="K1212" i="9"/>
  <c r="J1212" i="9"/>
  <c r="M1212" i="9" s="1"/>
  <c r="I1212" i="9"/>
  <c r="H1212" i="9"/>
  <c r="G1212" i="9"/>
  <c r="F1212" i="9"/>
  <c r="E1212" i="9"/>
  <c r="D1212" i="9"/>
  <c r="C1212" i="9"/>
  <c r="B1212" i="9"/>
  <c r="A1212" i="9"/>
  <c r="L1211" i="9"/>
  <c r="K1211" i="9"/>
  <c r="J1211" i="9"/>
  <c r="M1211" i="9" s="1"/>
  <c r="I1211" i="9"/>
  <c r="H1211" i="9"/>
  <c r="G1211" i="9"/>
  <c r="F1211" i="9"/>
  <c r="E1211" i="9"/>
  <c r="D1211" i="9"/>
  <c r="C1211" i="9"/>
  <c r="B1211" i="9"/>
  <c r="A1211" i="9"/>
  <c r="N1210" i="9"/>
  <c r="L1210" i="9"/>
  <c r="K1210" i="9"/>
  <c r="J1210" i="9"/>
  <c r="M1210" i="9" s="1"/>
  <c r="I1210" i="9"/>
  <c r="H1210" i="9"/>
  <c r="G1210" i="9"/>
  <c r="F1210" i="9"/>
  <c r="E1210" i="9"/>
  <c r="D1210" i="9"/>
  <c r="C1210" i="9"/>
  <c r="B1210" i="9"/>
  <c r="A1210" i="9"/>
  <c r="N1209" i="9"/>
  <c r="L1209" i="9"/>
  <c r="K1209" i="9"/>
  <c r="J1209" i="9"/>
  <c r="M1209" i="9" s="1"/>
  <c r="I1209" i="9"/>
  <c r="H1209" i="9"/>
  <c r="G1209" i="9"/>
  <c r="F1209" i="9"/>
  <c r="E1209" i="9"/>
  <c r="D1209" i="9"/>
  <c r="C1209" i="9"/>
  <c r="B1209" i="9"/>
  <c r="A1209" i="9"/>
  <c r="N1208" i="9"/>
  <c r="L1208" i="9"/>
  <c r="K1208" i="9"/>
  <c r="J1208" i="9"/>
  <c r="M1208" i="9" s="1"/>
  <c r="I1208" i="9"/>
  <c r="H1208" i="9"/>
  <c r="G1208" i="9"/>
  <c r="F1208" i="9"/>
  <c r="E1208" i="9"/>
  <c r="D1208" i="9"/>
  <c r="C1208" i="9"/>
  <c r="B1208" i="9"/>
  <c r="A1208" i="9"/>
  <c r="L1207" i="9"/>
  <c r="K1207" i="9"/>
  <c r="J1207" i="9"/>
  <c r="I1207" i="9"/>
  <c r="H1207" i="9"/>
  <c r="G1207" i="9"/>
  <c r="F1207" i="9"/>
  <c r="E1207" i="9"/>
  <c r="D1207" i="9"/>
  <c r="C1207" i="9"/>
  <c r="B1207" i="9"/>
  <c r="A1207" i="9"/>
  <c r="L1206" i="9"/>
  <c r="K1206" i="9"/>
  <c r="J1206" i="9"/>
  <c r="I1206" i="9"/>
  <c r="H1206" i="9"/>
  <c r="G1206" i="9"/>
  <c r="F1206" i="9"/>
  <c r="E1206" i="9"/>
  <c r="D1206" i="9"/>
  <c r="C1206" i="9"/>
  <c r="B1206" i="9"/>
  <c r="A1206" i="9"/>
  <c r="N1205" i="9"/>
  <c r="L1205" i="9"/>
  <c r="K1205" i="9"/>
  <c r="J1205" i="9"/>
  <c r="M1205" i="9" s="1"/>
  <c r="I1205" i="9"/>
  <c r="H1205" i="9"/>
  <c r="G1205" i="9"/>
  <c r="F1205" i="9"/>
  <c r="E1205" i="9"/>
  <c r="D1205" i="9"/>
  <c r="C1205" i="9"/>
  <c r="B1205" i="9"/>
  <c r="A1205" i="9"/>
  <c r="N1204" i="9"/>
  <c r="L1204" i="9"/>
  <c r="K1204" i="9"/>
  <c r="J1204" i="9"/>
  <c r="M1204" i="9" s="1"/>
  <c r="I1204" i="9"/>
  <c r="H1204" i="9"/>
  <c r="G1204" i="9"/>
  <c r="F1204" i="9"/>
  <c r="E1204" i="9"/>
  <c r="D1204" i="9"/>
  <c r="C1204" i="9"/>
  <c r="B1204" i="9"/>
  <c r="A1204" i="9"/>
  <c r="N1203" i="9"/>
  <c r="L1203" i="9"/>
  <c r="K1203" i="9"/>
  <c r="J1203" i="9"/>
  <c r="M1203" i="9" s="1"/>
  <c r="I1203" i="9"/>
  <c r="H1203" i="9"/>
  <c r="G1203" i="9"/>
  <c r="F1203" i="9"/>
  <c r="E1203" i="9"/>
  <c r="D1203" i="9"/>
  <c r="C1203" i="9"/>
  <c r="B1203" i="9"/>
  <c r="A1203" i="9"/>
  <c r="L1202" i="9"/>
  <c r="K1202" i="9"/>
  <c r="J1202" i="9"/>
  <c r="I1202" i="9"/>
  <c r="H1202" i="9"/>
  <c r="G1202" i="9"/>
  <c r="F1202" i="9"/>
  <c r="E1202" i="9"/>
  <c r="D1202" i="9"/>
  <c r="C1202" i="9"/>
  <c r="B1202" i="9"/>
  <c r="A1202" i="9"/>
  <c r="L1201" i="9"/>
  <c r="K1201" i="9"/>
  <c r="J1201" i="9"/>
  <c r="M1201" i="9" s="1"/>
  <c r="I1201" i="9"/>
  <c r="H1201" i="9"/>
  <c r="G1201" i="9"/>
  <c r="F1201" i="9"/>
  <c r="E1201" i="9"/>
  <c r="D1201" i="9"/>
  <c r="C1201" i="9"/>
  <c r="B1201" i="9"/>
  <c r="A1201" i="9"/>
  <c r="L1200" i="9"/>
  <c r="K1200" i="9"/>
  <c r="J1200" i="9"/>
  <c r="I1200" i="9"/>
  <c r="H1200" i="9"/>
  <c r="G1200" i="9"/>
  <c r="F1200" i="9"/>
  <c r="E1200" i="9"/>
  <c r="D1200" i="9"/>
  <c r="C1200" i="9"/>
  <c r="B1200" i="9"/>
  <c r="A1200" i="9"/>
  <c r="L1199" i="9"/>
  <c r="K1199" i="9"/>
  <c r="J1199" i="9"/>
  <c r="M1199" i="9" s="1"/>
  <c r="I1199" i="9"/>
  <c r="H1199" i="9"/>
  <c r="G1199" i="9"/>
  <c r="F1199" i="9"/>
  <c r="E1199" i="9"/>
  <c r="D1199" i="9"/>
  <c r="C1199" i="9"/>
  <c r="B1199" i="9"/>
  <c r="A1199" i="9"/>
  <c r="N1198" i="9"/>
  <c r="L1198" i="9"/>
  <c r="K1198" i="9"/>
  <c r="J1198" i="9"/>
  <c r="M1198" i="9" s="1"/>
  <c r="I1198" i="9"/>
  <c r="H1198" i="9"/>
  <c r="G1198" i="9"/>
  <c r="F1198" i="9"/>
  <c r="E1198" i="9"/>
  <c r="D1198" i="9"/>
  <c r="C1198" i="9"/>
  <c r="B1198" i="9"/>
  <c r="A1198" i="9"/>
  <c r="L1197" i="9"/>
  <c r="K1197" i="9"/>
  <c r="J1197" i="9"/>
  <c r="M1197" i="9" s="1"/>
  <c r="I1197" i="9"/>
  <c r="H1197" i="9"/>
  <c r="G1197" i="9"/>
  <c r="F1197" i="9"/>
  <c r="E1197" i="9"/>
  <c r="D1197" i="9"/>
  <c r="C1197" i="9"/>
  <c r="B1197" i="9"/>
  <c r="A1197" i="9"/>
  <c r="N1196" i="9"/>
  <c r="L1196" i="9"/>
  <c r="K1196" i="9"/>
  <c r="J1196" i="9"/>
  <c r="M1196" i="9" s="1"/>
  <c r="I1196" i="9"/>
  <c r="H1196" i="9"/>
  <c r="G1196" i="9"/>
  <c r="F1196" i="9"/>
  <c r="E1196" i="9"/>
  <c r="D1196" i="9"/>
  <c r="C1196" i="9"/>
  <c r="B1196" i="9"/>
  <c r="A1196" i="9"/>
  <c r="N1195" i="9"/>
  <c r="L1195" i="9"/>
  <c r="K1195" i="9"/>
  <c r="J1195" i="9"/>
  <c r="M1195" i="9" s="1"/>
  <c r="I1195" i="9"/>
  <c r="H1195" i="9"/>
  <c r="G1195" i="9"/>
  <c r="F1195" i="9"/>
  <c r="E1195" i="9"/>
  <c r="D1195" i="9"/>
  <c r="C1195" i="9"/>
  <c r="B1195" i="9"/>
  <c r="A1195" i="9"/>
  <c r="N1194" i="9"/>
  <c r="L1194" i="9"/>
  <c r="K1194" i="9"/>
  <c r="J1194" i="9"/>
  <c r="M1194" i="9" s="1"/>
  <c r="I1194" i="9"/>
  <c r="H1194" i="9"/>
  <c r="G1194" i="9"/>
  <c r="F1194" i="9"/>
  <c r="E1194" i="9"/>
  <c r="D1194" i="9"/>
  <c r="C1194" i="9"/>
  <c r="B1194" i="9"/>
  <c r="A1194" i="9"/>
  <c r="L1193" i="9"/>
  <c r="K1193" i="9"/>
  <c r="J1193" i="9"/>
  <c r="I1193" i="9"/>
  <c r="H1193" i="9"/>
  <c r="G1193" i="9"/>
  <c r="F1193" i="9"/>
  <c r="E1193" i="9"/>
  <c r="D1193" i="9"/>
  <c r="C1193" i="9"/>
  <c r="B1193" i="9"/>
  <c r="A1193" i="9"/>
  <c r="L1192" i="9"/>
  <c r="K1192" i="9"/>
  <c r="J1192" i="9"/>
  <c r="I1192" i="9"/>
  <c r="H1192" i="9"/>
  <c r="G1192" i="9"/>
  <c r="F1192" i="9"/>
  <c r="E1192" i="9"/>
  <c r="D1192" i="9"/>
  <c r="C1192" i="9"/>
  <c r="B1192" i="9"/>
  <c r="A1192" i="9"/>
  <c r="L1191" i="9"/>
  <c r="K1191" i="9"/>
  <c r="J1191" i="9"/>
  <c r="I1191" i="9"/>
  <c r="H1191" i="9"/>
  <c r="G1191" i="9"/>
  <c r="F1191" i="9"/>
  <c r="E1191" i="9"/>
  <c r="D1191" i="9"/>
  <c r="C1191" i="9"/>
  <c r="B1191" i="9"/>
  <c r="A1191" i="9"/>
  <c r="N1190" i="9"/>
  <c r="L1190" i="9"/>
  <c r="K1190" i="9"/>
  <c r="J1190" i="9"/>
  <c r="M1190" i="9" s="1"/>
  <c r="I1190" i="9"/>
  <c r="H1190" i="9"/>
  <c r="G1190" i="9"/>
  <c r="F1190" i="9"/>
  <c r="E1190" i="9"/>
  <c r="D1190" i="9"/>
  <c r="C1190" i="9"/>
  <c r="B1190" i="9"/>
  <c r="A1190" i="9"/>
  <c r="N1189" i="9"/>
  <c r="L1189" i="9"/>
  <c r="K1189" i="9"/>
  <c r="J1189" i="9"/>
  <c r="M1189" i="9" s="1"/>
  <c r="I1189" i="9"/>
  <c r="H1189" i="9"/>
  <c r="G1189" i="9"/>
  <c r="F1189" i="9"/>
  <c r="E1189" i="9"/>
  <c r="D1189" i="9"/>
  <c r="C1189" i="9"/>
  <c r="B1189" i="9"/>
  <c r="A1189" i="9"/>
  <c r="L1188" i="9"/>
  <c r="K1188" i="9"/>
  <c r="J1188" i="9"/>
  <c r="I1188" i="9"/>
  <c r="H1188" i="9"/>
  <c r="G1188" i="9"/>
  <c r="F1188" i="9"/>
  <c r="E1188" i="9"/>
  <c r="D1188" i="9"/>
  <c r="C1188" i="9"/>
  <c r="B1188" i="9"/>
  <c r="A1188" i="9"/>
  <c r="L1187" i="9"/>
  <c r="K1187" i="9"/>
  <c r="J1187" i="9"/>
  <c r="M1187" i="9" s="1"/>
  <c r="I1187" i="9"/>
  <c r="H1187" i="9"/>
  <c r="G1187" i="9"/>
  <c r="F1187" i="9"/>
  <c r="E1187" i="9"/>
  <c r="D1187" i="9"/>
  <c r="C1187" i="9"/>
  <c r="B1187" i="9"/>
  <c r="A1187" i="9"/>
  <c r="L1186" i="9"/>
  <c r="K1186" i="9"/>
  <c r="J1186" i="9"/>
  <c r="I1186" i="9"/>
  <c r="H1186" i="9"/>
  <c r="G1186" i="9"/>
  <c r="F1186" i="9"/>
  <c r="E1186" i="9"/>
  <c r="D1186" i="9"/>
  <c r="C1186" i="9"/>
  <c r="B1186" i="9"/>
  <c r="A1186" i="9"/>
  <c r="L1185" i="9"/>
  <c r="K1185" i="9"/>
  <c r="J1185" i="9"/>
  <c r="M1185" i="9" s="1"/>
  <c r="I1185" i="9"/>
  <c r="H1185" i="9"/>
  <c r="G1185" i="9"/>
  <c r="F1185" i="9"/>
  <c r="E1185" i="9"/>
  <c r="D1185" i="9"/>
  <c r="C1185" i="9"/>
  <c r="B1185" i="9"/>
  <c r="A1185" i="9"/>
  <c r="N1184" i="9"/>
  <c r="L1184" i="9"/>
  <c r="K1184" i="9"/>
  <c r="J1184" i="9"/>
  <c r="M1184" i="9" s="1"/>
  <c r="I1184" i="9"/>
  <c r="H1184" i="9"/>
  <c r="G1184" i="9"/>
  <c r="F1184" i="9"/>
  <c r="E1184" i="9"/>
  <c r="D1184" i="9"/>
  <c r="C1184" i="9"/>
  <c r="B1184" i="9"/>
  <c r="A1184" i="9"/>
  <c r="L1183" i="9"/>
  <c r="K1183" i="9"/>
  <c r="J1183" i="9"/>
  <c r="M1183" i="9" s="1"/>
  <c r="I1183" i="9"/>
  <c r="H1183" i="9"/>
  <c r="G1183" i="9"/>
  <c r="F1183" i="9"/>
  <c r="E1183" i="9"/>
  <c r="D1183" i="9"/>
  <c r="C1183" i="9"/>
  <c r="B1183" i="9"/>
  <c r="A1183" i="9"/>
  <c r="N1182" i="9"/>
  <c r="L1182" i="9"/>
  <c r="K1182" i="9"/>
  <c r="J1182" i="9"/>
  <c r="M1182" i="9" s="1"/>
  <c r="I1182" i="9"/>
  <c r="H1182" i="9"/>
  <c r="G1182" i="9"/>
  <c r="F1182" i="9"/>
  <c r="E1182" i="9"/>
  <c r="D1182" i="9"/>
  <c r="C1182" i="9"/>
  <c r="B1182" i="9"/>
  <c r="A1182" i="9"/>
  <c r="N1181" i="9"/>
  <c r="L1181" i="9"/>
  <c r="K1181" i="9"/>
  <c r="J1181" i="9"/>
  <c r="M1181" i="9" s="1"/>
  <c r="I1181" i="9"/>
  <c r="H1181" i="9"/>
  <c r="G1181" i="9"/>
  <c r="F1181" i="9"/>
  <c r="E1181" i="9"/>
  <c r="D1181" i="9"/>
  <c r="C1181" i="9"/>
  <c r="B1181" i="9"/>
  <c r="A1181" i="9"/>
  <c r="N1180" i="9"/>
  <c r="L1180" i="9"/>
  <c r="K1180" i="9"/>
  <c r="J1180" i="9"/>
  <c r="M1180" i="9" s="1"/>
  <c r="I1180" i="9"/>
  <c r="H1180" i="9"/>
  <c r="G1180" i="9"/>
  <c r="F1180" i="9"/>
  <c r="E1180" i="9"/>
  <c r="D1180" i="9"/>
  <c r="C1180" i="9"/>
  <c r="B1180" i="9"/>
  <c r="A1180" i="9"/>
  <c r="L1179" i="9"/>
  <c r="K1179" i="9"/>
  <c r="J1179" i="9"/>
  <c r="I1179" i="9"/>
  <c r="H1179" i="9"/>
  <c r="G1179" i="9"/>
  <c r="F1179" i="9"/>
  <c r="E1179" i="9"/>
  <c r="D1179" i="9"/>
  <c r="C1179" i="9"/>
  <c r="B1179" i="9"/>
  <c r="A1179" i="9"/>
  <c r="L1178" i="9"/>
  <c r="K1178" i="9"/>
  <c r="J1178" i="9"/>
  <c r="I1178" i="9"/>
  <c r="H1178" i="9"/>
  <c r="G1178" i="9"/>
  <c r="F1178" i="9"/>
  <c r="E1178" i="9"/>
  <c r="D1178" i="9"/>
  <c r="C1178" i="9"/>
  <c r="B1178" i="9"/>
  <c r="A1178" i="9"/>
  <c r="N1177" i="9"/>
  <c r="L1177" i="9"/>
  <c r="K1177" i="9"/>
  <c r="J1177" i="9"/>
  <c r="M1177" i="9" s="1"/>
  <c r="I1177" i="9"/>
  <c r="H1177" i="9"/>
  <c r="G1177" i="9"/>
  <c r="F1177" i="9"/>
  <c r="E1177" i="9"/>
  <c r="D1177" i="9"/>
  <c r="C1177" i="9"/>
  <c r="B1177" i="9"/>
  <c r="A1177" i="9"/>
  <c r="N1176" i="9"/>
  <c r="L1176" i="9"/>
  <c r="K1176" i="9"/>
  <c r="J1176" i="9"/>
  <c r="M1176" i="9" s="1"/>
  <c r="I1176" i="9"/>
  <c r="H1176" i="9"/>
  <c r="G1176" i="9"/>
  <c r="F1176" i="9"/>
  <c r="E1176" i="9"/>
  <c r="D1176" i="9"/>
  <c r="C1176" i="9"/>
  <c r="B1176" i="9"/>
  <c r="A1176" i="9"/>
  <c r="N1175" i="9"/>
  <c r="M1175" i="9"/>
  <c r="L1175" i="9"/>
  <c r="K1175" i="9"/>
  <c r="J1175" i="9"/>
  <c r="I1175" i="9"/>
  <c r="H1175" i="9"/>
  <c r="G1175" i="9"/>
  <c r="F1175" i="9"/>
  <c r="E1175" i="9"/>
  <c r="D1175" i="9"/>
  <c r="C1175" i="9"/>
  <c r="B1175" i="9"/>
  <c r="A1175" i="9"/>
  <c r="N1174" i="9"/>
  <c r="M1174" i="9"/>
  <c r="L1174" i="9"/>
  <c r="K1174" i="9"/>
  <c r="J1174" i="9"/>
  <c r="I1174" i="9"/>
  <c r="H1174" i="9"/>
  <c r="G1174" i="9"/>
  <c r="F1174" i="9"/>
  <c r="E1174" i="9"/>
  <c r="D1174" i="9"/>
  <c r="C1174" i="9"/>
  <c r="B1174" i="9"/>
  <c r="A1174" i="9"/>
  <c r="N1173" i="9"/>
  <c r="M1173" i="9"/>
  <c r="L1173" i="9"/>
  <c r="K1173" i="9"/>
  <c r="J1173" i="9"/>
  <c r="I1173" i="9"/>
  <c r="H1173" i="9"/>
  <c r="G1173" i="9"/>
  <c r="F1173" i="9"/>
  <c r="E1173" i="9"/>
  <c r="D1173" i="9"/>
  <c r="C1173" i="9"/>
  <c r="B1173" i="9"/>
  <c r="A1173" i="9"/>
  <c r="N1172" i="9"/>
  <c r="M1172" i="9"/>
  <c r="L1172" i="9"/>
  <c r="K1172" i="9"/>
  <c r="J1172" i="9"/>
  <c r="I1172" i="9"/>
  <c r="H1172" i="9"/>
  <c r="G1172" i="9"/>
  <c r="F1172" i="9"/>
  <c r="E1172" i="9"/>
  <c r="D1172" i="9"/>
  <c r="C1172" i="9"/>
  <c r="B1172" i="9"/>
  <c r="A1172" i="9"/>
  <c r="N1171" i="9"/>
  <c r="M1171" i="9"/>
  <c r="L1171" i="9"/>
  <c r="K1171" i="9"/>
  <c r="J1171" i="9"/>
  <c r="I1171" i="9"/>
  <c r="H1171" i="9"/>
  <c r="G1171" i="9"/>
  <c r="F1171" i="9"/>
  <c r="E1171" i="9"/>
  <c r="D1171" i="9"/>
  <c r="C1171" i="9"/>
  <c r="B1171" i="9"/>
  <c r="A1171" i="9"/>
  <c r="N1170" i="9"/>
  <c r="M1170" i="9"/>
  <c r="L1170" i="9"/>
  <c r="K1170" i="9"/>
  <c r="J1170" i="9"/>
  <c r="I1170" i="9"/>
  <c r="H1170" i="9"/>
  <c r="G1170" i="9"/>
  <c r="F1170" i="9"/>
  <c r="E1170" i="9"/>
  <c r="D1170" i="9"/>
  <c r="C1170" i="9"/>
  <c r="B1170" i="9"/>
  <c r="A1170" i="9"/>
  <c r="N1169" i="9"/>
  <c r="M1169" i="9"/>
  <c r="L1169" i="9"/>
  <c r="K1169" i="9"/>
  <c r="J1169" i="9"/>
  <c r="I1169" i="9"/>
  <c r="H1169" i="9"/>
  <c r="G1169" i="9"/>
  <c r="F1169" i="9"/>
  <c r="E1169" i="9"/>
  <c r="D1169" i="9"/>
  <c r="C1169" i="9"/>
  <c r="B1169" i="9"/>
  <c r="A1169" i="9"/>
  <c r="N1168" i="9"/>
  <c r="M1168" i="9"/>
  <c r="L1168" i="9"/>
  <c r="K1168" i="9"/>
  <c r="J1168" i="9"/>
  <c r="I1168" i="9"/>
  <c r="H1168" i="9"/>
  <c r="G1168" i="9"/>
  <c r="F1168" i="9"/>
  <c r="E1168" i="9"/>
  <c r="D1168" i="9"/>
  <c r="C1168" i="9"/>
  <c r="B1168" i="9"/>
  <c r="A1168" i="9"/>
  <c r="N1167" i="9"/>
  <c r="M1167" i="9"/>
  <c r="L1167" i="9"/>
  <c r="K1167" i="9"/>
  <c r="J1167" i="9"/>
  <c r="I1167" i="9"/>
  <c r="H1167" i="9"/>
  <c r="G1167" i="9"/>
  <c r="F1167" i="9"/>
  <c r="E1167" i="9"/>
  <c r="D1167" i="9"/>
  <c r="C1167" i="9"/>
  <c r="B1167" i="9"/>
  <c r="A1167" i="9"/>
  <c r="N1166" i="9"/>
  <c r="M1166" i="9"/>
  <c r="L1166" i="9"/>
  <c r="K1166" i="9"/>
  <c r="J1166" i="9"/>
  <c r="I1166" i="9"/>
  <c r="H1166" i="9"/>
  <c r="G1166" i="9"/>
  <c r="F1166" i="9"/>
  <c r="E1166" i="9"/>
  <c r="D1166" i="9"/>
  <c r="C1166" i="9"/>
  <c r="B1166" i="9"/>
  <c r="A1166" i="9"/>
  <c r="N1165" i="9"/>
  <c r="M1165" i="9"/>
  <c r="L1165" i="9"/>
  <c r="K1165" i="9"/>
  <c r="J1165" i="9"/>
  <c r="I1165" i="9"/>
  <c r="H1165" i="9"/>
  <c r="G1165" i="9"/>
  <c r="F1165" i="9"/>
  <c r="E1165" i="9"/>
  <c r="D1165" i="9"/>
  <c r="C1165" i="9"/>
  <c r="B1165" i="9"/>
  <c r="A1165" i="9"/>
  <c r="N1164" i="9"/>
  <c r="M1164" i="9"/>
  <c r="L1164" i="9"/>
  <c r="K1164" i="9"/>
  <c r="J1164" i="9"/>
  <c r="I1164" i="9"/>
  <c r="H1164" i="9"/>
  <c r="G1164" i="9"/>
  <c r="F1164" i="9"/>
  <c r="E1164" i="9"/>
  <c r="D1164" i="9"/>
  <c r="C1164" i="9"/>
  <c r="B1164" i="9"/>
  <c r="A1164" i="9"/>
  <c r="N1163" i="9"/>
  <c r="M1163" i="9"/>
  <c r="L1163" i="9"/>
  <c r="K1163" i="9"/>
  <c r="J1163" i="9"/>
  <c r="I1163" i="9"/>
  <c r="H1163" i="9"/>
  <c r="G1163" i="9"/>
  <c r="F1163" i="9"/>
  <c r="E1163" i="9"/>
  <c r="D1163" i="9"/>
  <c r="C1163" i="9"/>
  <c r="B1163" i="9"/>
  <c r="A1163" i="9"/>
  <c r="N1162" i="9"/>
  <c r="M1162" i="9"/>
  <c r="L1162" i="9"/>
  <c r="K1162" i="9"/>
  <c r="J1162" i="9"/>
  <c r="I1162" i="9"/>
  <c r="H1162" i="9"/>
  <c r="G1162" i="9"/>
  <c r="F1162" i="9"/>
  <c r="E1162" i="9"/>
  <c r="D1162" i="9"/>
  <c r="C1162" i="9"/>
  <c r="B1162" i="9"/>
  <c r="A1162" i="9"/>
  <c r="N1161" i="9"/>
  <c r="M1161" i="9"/>
  <c r="L1161" i="9"/>
  <c r="K1161" i="9"/>
  <c r="J1161" i="9"/>
  <c r="I1161" i="9"/>
  <c r="H1161" i="9"/>
  <c r="G1161" i="9"/>
  <c r="F1161" i="9"/>
  <c r="E1161" i="9"/>
  <c r="D1161" i="9"/>
  <c r="C1161" i="9"/>
  <c r="B1161" i="9"/>
  <c r="A1161" i="9"/>
  <c r="N1160" i="9"/>
  <c r="M1160" i="9"/>
  <c r="L1160" i="9"/>
  <c r="K1160" i="9"/>
  <c r="J1160" i="9"/>
  <c r="I1160" i="9"/>
  <c r="H1160" i="9"/>
  <c r="G1160" i="9"/>
  <c r="F1160" i="9"/>
  <c r="E1160" i="9"/>
  <c r="D1160" i="9"/>
  <c r="C1160" i="9"/>
  <c r="B1160" i="9"/>
  <c r="A1160" i="9"/>
  <c r="N1159" i="9"/>
  <c r="M1159" i="9"/>
  <c r="L1159" i="9"/>
  <c r="K1159" i="9"/>
  <c r="J1159" i="9"/>
  <c r="I1159" i="9"/>
  <c r="H1159" i="9"/>
  <c r="G1159" i="9"/>
  <c r="F1159" i="9"/>
  <c r="E1159" i="9"/>
  <c r="D1159" i="9"/>
  <c r="C1159" i="9"/>
  <c r="B1159" i="9"/>
  <c r="A1159" i="9"/>
  <c r="N1158" i="9"/>
  <c r="M1158" i="9"/>
  <c r="L1158" i="9"/>
  <c r="K1158" i="9"/>
  <c r="J1158" i="9"/>
  <c r="I1158" i="9"/>
  <c r="H1158" i="9"/>
  <c r="G1158" i="9"/>
  <c r="F1158" i="9"/>
  <c r="E1158" i="9"/>
  <c r="D1158" i="9"/>
  <c r="C1158" i="9"/>
  <c r="B1158" i="9"/>
  <c r="A1158" i="9"/>
  <c r="N1157" i="9"/>
  <c r="M1157" i="9"/>
  <c r="L1157" i="9"/>
  <c r="K1157" i="9"/>
  <c r="J1157" i="9"/>
  <c r="I1157" i="9"/>
  <c r="H1157" i="9"/>
  <c r="G1157" i="9"/>
  <c r="F1157" i="9"/>
  <c r="E1157" i="9"/>
  <c r="D1157" i="9"/>
  <c r="C1157" i="9"/>
  <c r="B1157" i="9"/>
  <c r="A1157" i="9"/>
  <c r="N1156" i="9"/>
  <c r="M1156" i="9"/>
  <c r="L1156" i="9"/>
  <c r="K1156" i="9"/>
  <c r="J1156" i="9"/>
  <c r="I1156" i="9"/>
  <c r="H1156" i="9"/>
  <c r="G1156" i="9"/>
  <c r="F1156" i="9"/>
  <c r="E1156" i="9"/>
  <c r="D1156" i="9"/>
  <c r="C1156" i="9"/>
  <c r="B1156" i="9"/>
  <c r="A1156" i="9"/>
  <c r="N1155" i="9"/>
  <c r="M1155" i="9"/>
  <c r="L1155" i="9"/>
  <c r="K1155" i="9"/>
  <c r="J1155" i="9"/>
  <c r="I1155" i="9"/>
  <c r="H1155" i="9"/>
  <c r="G1155" i="9"/>
  <c r="F1155" i="9"/>
  <c r="E1155" i="9"/>
  <c r="D1155" i="9"/>
  <c r="C1155" i="9"/>
  <c r="B1155" i="9"/>
  <c r="A1155" i="9"/>
  <c r="N1154" i="9"/>
  <c r="M1154" i="9"/>
  <c r="L1154" i="9"/>
  <c r="K1154" i="9"/>
  <c r="J1154" i="9"/>
  <c r="I1154" i="9"/>
  <c r="H1154" i="9"/>
  <c r="G1154" i="9"/>
  <c r="F1154" i="9"/>
  <c r="E1154" i="9"/>
  <c r="D1154" i="9"/>
  <c r="C1154" i="9"/>
  <c r="B1154" i="9"/>
  <c r="A1154" i="9"/>
  <c r="N1153" i="9"/>
  <c r="M1153" i="9"/>
  <c r="L1153" i="9"/>
  <c r="K1153" i="9"/>
  <c r="J1153" i="9"/>
  <c r="I1153" i="9"/>
  <c r="H1153" i="9"/>
  <c r="G1153" i="9"/>
  <c r="F1153" i="9"/>
  <c r="E1153" i="9"/>
  <c r="D1153" i="9"/>
  <c r="C1153" i="9"/>
  <c r="B1153" i="9"/>
  <c r="A1153" i="9"/>
  <c r="N1152" i="9"/>
  <c r="M1152" i="9"/>
  <c r="L1152" i="9"/>
  <c r="K1152" i="9"/>
  <c r="J1152" i="9"/>
  <c r="I1152" i="9"/>
  <c r="H1152" i="9"/>
  <c r="G1152" i="9"/>
  <c r="F1152" i="9"/>
  <c r="E1152" i="9"/>
  <c r="D1152" i="9"/>
  <c r="C1152" i="9"/>
  <c r="B1152" i="9"/>
  <c r="A1152" i="9"/>
  <c r="N1151" i="9"/>
  <c r="M1151" i="9"/>
  <c r="L1151" i="9"/>
  <c r="K1151" i="9"/>
  <c r="J1151" i="9"/>
  <c r="I1151" i="9"/>
  <c r="H1151" i="9"/>
  <c r="G1151" i="9"/>
  <c r="F1151" i="9"/>
  <c r="E1151" i="9"/>
  <c r="D1151" i="9"/>
  <c r="C1151" i="9"/>
  <c r="B1151" i="9"/>
  <c r="A1151" i="9"/>
  <c r="N1150" i="9"/>
  <c r="M1150" i="9"/>
  <c r="L1150" i="9"/>
  <c r="K1150" i="9"/>
  <c r="J1150" i="9"/>
  <c r="I1150" i="9"/>
  <c r="H1150" i="9"/>
  <c r="G1150" i="9"/>
  <c r="F1150" i="9"/>
  <c r="E1150" i="9"/>
  <c r="D1150" i="9"/>
  <c r="C1150" i="9"/>
  <c r="B1150" i="9"/>
  <c r="A1150" i="9"/>
  <c r="N1149" i="9"/>
  <c r="M1149" i="9"/>
  <c r="L1149" i="9"/>
  <c r="K1149" i="9"/>
  <c r="J1149" i="9"/>
  <c r="I1149" i="9"/>
  <c r="H1149" i="9"/>
  <c r="G1149" i="9"/>
  <c r="F1149" i="9"/>
  <c r="E1149" i="9"/>
  <c r="D1149" i="9"/>
  <c r="C1149" i="9"/>
  <c r="B1149" i="9"/>
  <c r="A1149" i="9"/>
  <c r="N1148" i="9"/>
  <c r="M1148" i="9"/>
  <c r="L1148" i="9"/>
  <c r="K1148" i="9"/>
  <c r="J1148" i="9"/>
  <c r="I1148" i="9"/>
  <c r="H1148" i="9"/>
  <c r="G1148" i="9"/>
  <c r="F1148" i="9"/>
  <c r="E1148" i="9"/>
  <c r="D1148" i="9"/>
  <c r="C1148" i="9"/>
  <c r="B1148" i="9"/>
  <c r="A1148" i="9"/>
  <c r="N1147" i="9"/>
  <c r="M1147" i="9"/>
  <c r="L1147" i="9"/>
  <c r="K1147" i="9"/>
  <c r="J1147" i="9"/>
  <c r="I1147" i="9"/>
  <c r="H1147" i="9"/>
  <c r="G1147" i="9"/>
  <c r="F1147" i="9"/>
  <c r="E1147" i="9"/>
  <c r="D1147" i="9"/>
  <c r="C1147" i="9"/>
  <c r="B1147" i="9"/>
  <c r="A1147" i="9"/>
  <c r="N1146" i="9"/>
  <c r="M1146" i="9"/>
  <c r="L1146" i="9"/>
  <c r="K1146" i="9"/>
  <c r="J1146" i="9"/>
  <c r="I1146" i="9"/>
  <c r="H1146" i="9"/>
  <c r="G1146" i="9"/>
  <c r="F1146" i="9"/>
  <c r="E1146" i="9"/>
  <c r="D1146" i="9"/>
  <c r="C1146" i="9"/>
  <c r="B1146" i="9"/>
  <c r="A1146" i="9"/>
  <c r="N1145" i="9"/>
  <c r="M1145" i="9"/>
  <c r="L1145" i="9"/>
  <c r="K1145" i="9"/>
  <c r="J1145" i="9"/>
  <c r="I1145" i="9"/>
  <c r="H1145" i="9"/>
  <c r="G1145" i="9"/>
  <c r="F1145" i="9"/>
  <c r="E1145" i="9"/>
  <c r="D1145" i="9"/>
  <c r="C1145" i="9"/>
  <c r="B1145" i="9"/>
  <c r="A1145" i="9"/>
  <c r="N1144" i="9"/>
  <c r="M1144" i="9"/>
  <c r="L1144" i="9"/>
  <c r="K1144" i="9"/>
  <c r="J1144" i="9"/>
  <c r="I1144" i="9"/>
  <c r="H1144" i="9"/>
  <c r="G1144" i="9"/>
  <c r="F1144" i="9"/>
  <c r="E1144" i="9"/>
  <c r="D1144" i="9"/>
  <c r="C1144" i="9"/>
  <c r="B1144" i="9"/>
  <c r="A1144" i="9"/>
  <c r="N1143" i="9"/>
  <c r="M1143" i="9"/>
  <c r="L1143" i="9"/>
  <c r="K1143" i="9"/>
  <c r="J1143" i="9"/>
  <c r="I1143" i="9"/>
  <c r="H1143" i="9"/>
  <c r="G1143" i="9"/>
  <c r="F1143" i="9"/>
  <c r="E1143" i="9"/>
  <c r="D1143" i="9"/>
  <c r="C1143" i="9"/>
  <c r="B1143" i="9"/>
  <c r="A1143" i="9"/>
  <c r="N1142" i="9"/>
  <c r="M1142" i="9"/>
  <c r="L1142" i="9"/>
  <c r="K1142" i="9"/>
  <c r="J1142" i="9"/>
  <c r="I1142" i="9"/>
  <c r="H1142" i="9"/>
  <c r="G1142" i="9"/>
  <c r="F1142" i="9"/>
  <c r="E1142" i="9"/>
  <c r="D1142" i="9"/>
  <c r="C1142" i="9"/>
  <c r="B1142" i="9"/>
  <c r="A1142" i="9"/>
  <c r="N1141" i="9"/>
  <c r="M1141" i="9"/>
  <c r="L1141" i="9"/>
  <c r="K1141" i="9"/>
  <c r="J1141" i="9"/>
  <c r="I1141" i="9"/>
  <c r="H1141" i="9"/>
  <c r="G1141" i="9"/>
  <c r="F1141" i="9"/>
  <c r="E1141" i="9"/>
  <c r="D1141" i="9"/>
  <c r="C1141" i="9"/>
  <c r="B1141" i="9"/>
  <c r="A1141" i="9"/>
  <c r="N1140" i="9"/>
  <c r="M1140" i="9"/>
  <c r="L1140" i="9"/>
  <c r="K1140" i="9"/>
  <c r="J1140" i="9"/>
  <c r="I1140" i="9"/>
  <c r="H1140" i="9"/>
  <c r="G1140" i="9"/>
  <c r="F1140" i="9"/>
  <c r="E1140" i="9"/>
  <c r="D1140" i="9"/>
  <c r="C1140" i="9"/>
  <c r="B1140" i="9"/>
  <c r="A1140" i="9"/>
  <c r="N1139" i="9"/>
  <c r="M1139" i="9"/>
  <c r="L1139" i="9"/>
  <c r="K1139" i="9"/>
  <c r="J1139" i="9"/>
  <c r="I1139" i="9"/>
  <c r="H1139" i="9"/>
  <c r="G1139" i="9"/>
  <c r="F1139" i="9"/>
  <c r="E1139" i="9"/>
  <c r="D1139" i="9"/>
  <c r="C1139" i="9"/>
  <c r="B1139" i="9"/>
  <c r="A1139" i="9"/>
  <c r="N1138" i="9"/>
  <c r="M1138" i="9"/>
  <c r="L1138" i="9"/>
  <c r="K1138" i="9"/>
  <c r="J1138" i="9"/>
  <c r="I1138" i="9"/>
  <c r="H1138" i="9"/>
  <c r="G1138" i="9"/>
  <c r="F1138" i="9"/>
  <c r="E1138" i="9"/>
  <c r="D1138" i="9"/>
  <c r="C1138" i="9"/>
  <c r="B1138" i="9"/>
  <c r="A1138" i="9"/>
  <c r="N1137" i="9"/>
  <c r="M1137" i="9"/>
  <c r="L1137" i="9"/>
  <c r="K1137" i="9"/>
  <c r="J1137" i="9"/>
  <c r="I1137" i="9"/>
  <c r="H1137" i="9"/>
  <c r="G1137" i="9"/>
  <c r="F1137" i="9"/>
  <c r="E1137" i="9"/>
  <c r="D1137" i="9"/>
  <c r="C1137" i="9"/>
  <c r="B1137" i="9"/>
  <c r="A1137" i="9"/>
  <c r="N1136" i="9"/>
  <c r="M1136" i="9"/>
  <c r="L1136" i="9"/>
  <c r="K1136" i="9"/>
  <c r="J1136" i="9"/>
  <c r="I1136" i="9"/>
  <c r="H1136" i="9"/>
  <c r="G1136" i="9"/>
  <c r="F1136" i="9"/>
  <c r="E1136" i="9"/>
  <c r="D1136" i="9"/>
  <c r="C1136" i="9"/>
  <c r="B1136" i="9"/>
  <c r="A1136" i="9"/>
  <c r="N1135" i="9"/>
  <c r="M1135" i="9"/>
  <c r="L1135" i="9"/>
  <c r="K1135" i="9"/>
  <c r="J1135" i="9"/>
  <c r="I1135" i="9"/>
  <c r="H1135" i="9"/>
  <c r="G1135" i="9"/>
  <c r="F1135" i="9"/>
  <c r="E1135" i="9"/>
  <c r="D1135" i="9"/>
  <c r="C1135" i="9"/>
  <c r="B1135" i="9"/>
  <c r="A1135" i="9"/>
  <c r="N1134" i="9"/>
  <c r="M1134" i="9"/>
  <c r="L1134" i="9"/>
  <c r="K1134" i="9"/>
  <c r="J1134" i="9"/>
  <c r="I1134" i="9"/>
  <c r="H1134" i="9"/>
  <c r="G1134" i="9"/>
  <c r="F1134" i="9"/>
  <c r="E1134" i="9"/>
  <c r="D1134" i="9"/>
  <c r="C1134" i="9"/>
  <c r="B1134" i="9"/>
  <c r="A1134" i="9"/>
  <c r="N1133" i="9"/>
  <c r="M1133" i="9"/>
  <c r="L1133" i="9"/>
  <c r="K1133" i="9"/>
  <c r="J1133" i="9"/>
  <c r="I1133" i="9"/>
  <c r="H1133" i="9"/>
  <c r="G1133" i="9"/>
  <c r="F1133" i="9"/>
  <c r="E1133" i="9"/>
  <c r="D1133" i="9"/>
  <c r="C1133" i="9"/>
  <c r="B1133" i="9"/>
  <c r="A1133" i="9"/>
  <c r="N1132" i="9"/>
  <c r="M1132" i="9"/>
  <c r="L1132" i="9"/>
  <c r="K1132" i="9"/>
  <c r="J1132" i="9"/>
  <c r="I1132" i="9"/>
  <c r="H1132" i="9"/>
  <c r="G1132" i="9"/>
  <c r="F1132" i="9"/>
  <c r="E1132" i="9"/>
  <c r="D1132" i="9"/>
  <c r="C1132" i="9"/>
  <c r="B1132" i="9"/>
  <c r="A1132" i="9"/>
  <c r="N1131" i="9"/>
  <c r="M1131" i="9"/>
  <c r="L1131" i="9"/>
  <c r="K1131" i="9"/>
  <c r="J1131" i="9"/>
  <c r="I1131" i="9"/>
  <c r="H1131" i="9"/>
  <c r="G1131" i="9"/>
  <c r="F1131" i="9"/>
  <c r="E1131" i="9"/>
  <c r="D1131" i="9"/>
  <c r="C1131" i="9"/>
  <c r="B1131" i="9"/>
  <c r="A1131" i="9"/>
  <c r="N1130" i="9"/>
  <c r="M1130" i="9"/>
  <c r="L1130" i="9"/>
  <c r="K1130" i="9"/>
  <c r="J1130" i="9"/>
  <c r="I1130" i="9"/>
  <c r="H1130" i="9"/>
  <c r="G1130" i="9"/>
  <c r="F1130" i="9"/>
  <c r="E1130" i="9"/>
  <c r="D1130" i="9"/>
  <c r="C1130" i="9"/>
  <c r="B1130" i="9"/>
  <c r="A1130" i="9"/>
  <c r="N1129" i="9"/>
  <c r="M1129" i="9"/>
  <c r="L1129" i="9"/>
  <c r="K1129" i="9"/>
  <c r="J1129" i="9"/>
  <c r="I1129" i="9"/>
  <c r="H1129" i="9"/>
  <c r="G1129" i="9"/>
  <c r="F1129" i="9"/>
  <c r="E1129" i="9"/>
  <c r="D1129" i="9"/>
  <c r="C1129" i="9"/>
  <c r="B1129" i="9"/>
  <c r="A1129" i="9"/>
  <c r="N1128" i="9"/>
  <c r="M1128" i="9"/>
  <c r="L1128" i="9"/>
  <c r="K1128" i="9"/>
  <c r="J1128" i="9"/>
  <c r="I1128" i="9"/>
  <c r="H1128" i="9"/>
  <c r="G1128" i="9"/>
  <c r="F1128" i="9"/>
  <c r="E1128" i="9"/>
  <c r="D1128" i="9"/>
  <c r="C1128" i="9"/>
  <c r="B1128" i="9"/>
  <c r="A1128" i="9"/>
  <c r="N1127" i="9"/>
  <c r="M1127" i="9"/>
  <c r="L1127" i="9"/>
  <c r="K1127" i="9"/>
  <c r="J1127" i="9"/>
  <c r="I1127" i="9"/>
  <c r="H1127" i="9"/>
  <c r="G1127" i="9"/>
  <c r="F1127" i="9"/>
  <c r="E1127" i="9"/>
  <c r="D1127" i="9"/>
  <c r="C1127" i="9"/>
  <c r="B1127" i="9"/>
  <c r="A1127" i="9"/>
  <c r="N1126" i="9"/>
  <c r="M1126" i="9"/>
  <c r="L1126" i="9"/>
  <c r="K1126" i="9"/>
  <c r="J1126" i="9"/>
  <c r="I1126" i="9"/>
  <c r="H1126" i="9"/>
  <c r="G1126" i="9"/>
  <c r="F1126" i="9"/>
  <c r="E1126" i="9"/>
  <c r="D1126" i="9"/>
  <c r="C1126" i="9"/>
  <c r="B1126" i="9"/>
  <c r="A1126" i="9"/>
  <c r="N1125" i="9"/>
  <c r="M1125" i="9"/>
  <c r="L1125" i="9"/>
  <c r="K1125" i="9"/>
  <c r="J1125" i="9"/>
  <c r="I1125" i="9"/>
  <c r="H1125" i="9"/>
  <c r="G1125" i="9"/>
  <c r="F1125" i="9"/>
  <c r="E1125" i="9"/>
  <c r="D1125" i="9"/>
  <c r="C1125" i="9"/>
  <c r="B1125" i="9"/>
  <c r="A1125" i="9"/>
  <c r="N1124" i="9"/>
  <c r="M1124" i="9"/>
  <c r="L1124" i="9"/>
  <c r="K1124" i="9"/>
  <c r="J1124" i="9"/>
  <c r="I1124" i="9"/>
  <c r="H1124" i="9"/>
  <c r="G1124" i="9"/>
  <c r="F1124" i="9"/>
  <c r="E1124" i="9"/>
  <c r="D1124" i="9"/>
  <c r="C1124" i="9"/>
  <c r="B1124" i="9"/>
  <c r="A1124" i="9"/>
  <c r="N1123" i="9"/>
  <c r="M1123" i="9"/>
  <c r="L1123" i="9"/>
  <c r="K1123" i="9"/>
  <c r="J1123" i="9"/>
  <c r="I1123" i="9"/>
  <c r="H1123" i="9"/>
  <c r="G1123" i="9"/>
  <c r="F1123" i="9"/>
  <c r="E1123" i="9"/>
  <c r="D1123" i="9"/>
  <c r="C1123" i="9"/>
  <c r="B1123" i="9"/>
  <c r="A1123" i="9"/>
  <c r="N1122" i="9"/>
  <c r="M1122" i="9"/>
  <c r="L1122" i="9"/>
  <c r="K1122" i="9"/>
  <c r="J1122" i="9"/>
  <c r="I1122" i="9"/>
  <c r="H1122" i="9"/>
  <c r="G1122" i="9"/>
  <c r="F1122" i="9"/>
  <c r="E1122" i="9"/>
  <c r="D1122" i="9"/>
  <c r="C1122" i="9"/>
  <c r="B1122" i="9"/>
  <c r="A1122" i="9"/>
  <c r="N1121" i="9"/>
  <c r="M1121" i="9"/>
  <c r="L1121" i="9"/>
  <c r="K1121" i="9"/>
  <c r="J1121" i="9"/>
  <c r="I1121" i="9"/>
  <c r="H1121" i="9"/>
  <c r="G1121" i="9"/>
  <c r="F1121" i="9"/>
  <c r="E1121" i="9"/>
  <c r="D1121" i="9"/>
  <c r="C1121" i="9"/>
  <c r="B1121" i="9"/>
  <c r="A1121" i="9"/>
  <c r="N1120" i="9"/>
  <c r="M1120" i="9"/>
  <c r="L1120" i="9"/>
  <c r="K1120" i="9"/>
  <c r="J1120" i="9"/>
  <c r="I1120" i="9"/>
  <c r="H1120" i="9"/>
  <c r="G1120" i="9"/>
  <c r="F1120" i="9"/>
  <c r="E1120" i="9"/>
  <c r="D1120" i="9"/>
  <c r="C1120" i="9"/>
  <c r="B1120" i="9"/>
  <c r="A1120" i="9"/>
  <c r="N1119" i="9"/>
  <c r="M1119" i="9"/>
  <c r="L1119" i="9"/>
  <c r="K1119" i="9"/>
  <c r="J1119" i="9"/>
  <c r="I1119" i="9"/>
  <c r="H1119" i="9"/>
  <c r="G1119" i="9"/>
  <c r="F1119" i="9"/>
  <c r="E1119" i="9"/>
  <c r="D1119" i="9"/>
  <c r="C1119" i="9"/>
  <c r="B1119" i="9"/>
  <c r="A1119" i="9"/>
  <c r="N1118" i="9"/>
  <c r="M1118" i="9"/>
  <c r="L1118" i="9"/>
  <c r="K1118" i="9"/>
  <c r="J1118" i="9"/>
  <c r="I1118" i="9"/>
  <c r="H1118" i="9"/>
  <c r="G1118" i="9"/>
  <c r="F1118" i="9"/>
  <c r="E1118" i="9"/>
  <c r="D1118" i="9"/>
  <c r="C1118" i="9"/>
  <c r="B1118" i="9"/>
  <c r="A1118" i="9"/>
  <c r="N1117" i="9"/>
  <c r="M1117" i="9"/>
  <c r="L1117" i="9"/>
  <c r="K1117" i="9"/>
  <c r="J1117" i="9"/>
  <c r="I1117" i="9"/>
  <c r="H1117" i="9"/>
  <c r="G1117" i="9"/>
  <c r="F1117" i="9"/>
  <c r="E1117" i="9"/>
  <c r="D1117" i="9"/>
  <c r="C1117" i="9"/>
  <c r="B1117" i="9"/>
  <c r="A1117" i="9"/>
  <c r="N1116" i="9"/>
  <c r="M1116" i="9"/>
  <c r="L1116" i="9"/>
  <c r="K1116" i="9"/>
  <c r="J1116" i="9"/>
  <c r="I1116" i="9"/>
  <c r="H1116" i="9"/>
  <c r="G1116" i="9"/>
  <c r="F1116" i="9"/>
  <c r="E1116" i="9"/>
  <c r="D1116" i="9"/>
  <c r="C1116" i="9"/>
  <c r="B1116" i="9"/>
  <c r="A1116" i="9"/>
  <c r="N1115" i="9"/>
  <c r="M1115" i="9"/>
  <c r="L1115" i="9"/>
  <c r="K1115" i="9"/>
  <c r="J1115" i="9"/>
  <c r="I1115" i="9"/>
  <c r="H1115" i="9"/>
  <c r="G1115" i="9"/>
  <c r="F1115" i="9"/>
  <c r="E1115" i="9"/>
  <c r="D1115" i="9"/>
  <c r="C1115" i="9"/>
  <c r="B1115" i="9"/>
  <c r="A1115" i="9"/>
  <c r="N1114" i="9"/>
  <c r="M1114" i="9"/>
  <c r="L1114" i="9"/>
  <c r="K1114" i="9"/>
  <c r="J1114" i="9"/>
  <c r="I1114" i="9"/>
  <c r="H1114" i="9"/>
  <c r="G1114" i="9"/>
  <c r="F1114" i="9"/>
  <c r="E1114" i="9"/>
  <c r="D1114" i="9"/>
  <c r="C1114" i="9"/>
  <c r="B1114" i="9"/>
  <c r="A1114" i="9"/>
  <c r="N1113" i="9"/>
  <c r="M1113" i="9"/>
  <c r="L1113" i="9"/>
  <c r="K1113" i="9"/>
  <c r="J1113" i="9"/>
  <c r="I1113" i="9"/>
  <c r="H1113" i="9"/>
  <c r="G1113" i="9"/>
  <c r="F1113" i="9"/>
  <c r="E1113" i="9"/>
  <c r="D1113" i="9"/>
  <c r="C1113" i="9"/>
  <c r="B1113" i="9"/>
  <c r="A1113" i="9"/>
  <c r="N1112" i="9"/>
  <c r="M1112" i="9"/>
  <c r="L1112" i="9"/>
  <c r="K1112" i="9"/>
  <c r="J1112" i="9"/>
  <c r="I1112" i="9"/>
  <c r="H1112" i="9"/>
  <c r="G1112" i="9"/>
  <c r="F1112" i="9"/>
  <c r="E1112" i="9"/>
  <c r="D1112" i="9"/>
  <c r="C1112" i="9"/>
  <c r="B1112" i="9"/>
  <c r="A1112" i="9"/>
  <c r="N1111" i="9"/>
  <c r="M1111" i="9"/>
  <c r="L1111" i="9"/>
  <c r="K1111" i="9"/>
  <c r="J1111" i="9"/>
  <c r="I1111" i="9"/>
  <c r="H1111" i="9"/>
  <c r="G1111" i="9"/>
  <c r="F1111" i="9"/>
  <c r="E1111" i="9"/>
  <c r="D1111" i="9"/>
  <c r="C1111" i="9"/>
  <c r="B1111" i="9"/>
  <c r="A1111" i="9"/>
  <c r="N1110" i="9"/>
  <c r="M1110" i="9"/>
  <c r="L1110" i="9"/>
  <c r="K1110" i="9"/>
  <c r="J1110" i="9"/>
  <c r="I1110" i="9"/>
  <c r="H1110" i="9"/>
  <c r="G1110" i="9"/>
  <c r="F1110" i="9"/>
  <c r="E1110" i="9"/>
  <c r="D1110" i="9"/>
  <c r="C1110" i="9"/>
  <c r="B1110" i="9"/>
  <c r="A1110" i="9"/>
  <c r="N1109" i="9"/>
  <c r="M1109" i="9"/>
  <c r="L1109" i="9"/>
  <c r="K1109" i="9"/>
  <c r="J1109" i="9"/>
  <c r="I1109" i="9"/>
  <c r="H1109" i="9"/>
  <c r="G1109" i="9"/>
  <c r="F1109" i="9"/>
  <c r="E1109" i="9"/>
  <c r="D1109" i="9"/>
  <c r="C1109" i="9"/>
  <c r="B1109" i="9"/>
  <c r="A1109" i="9"/>
  <c r="N1108" i="9"/>
  <c r="M1108" i="9"/>
  <c r="L1108" i="9"/>
  <c r="K1108" i="9"/>
  <c r="J1108" i="9"/>
  <c r="I1108" i="9"/>
  <c r="H1108" i="9"/>
  <c r="G1108" i="9"/>
  <c r="F1108" i="9"/>
  <c r="E1108" i="9"/>
  <c r="D1108" i="9"/>
  <c r="C1108" i="9"/>
  <c r="B1108" i="9"/>
  <c r="A1108" i="9"/>
  <c r="N1107" i="9"/>
  <c r="M1107" i="9"/>
  <c r="L1107" i="9"/>
  <c r="K1107" i="9"/>
  <c r="J1107" i="9"/>
  <c r="I1107" i="9"/>
  <c r="H1107" i="9"/>
  <c r="G1107" i="9"/>
  <c r="F1107" i="9"/>
  <c r="E1107" i="9"/>
  <c r="D1107" i="9"/>
  <c r="C1107" i="9"/>
  <c r="B1107" i="9"/>
  <c r="A1107" i="9"/>
  <c r="N1106" i="9"/>
  <c r="M1106" i="9"/>
  <c r="L1106" i="9"/>
  <c r="K1106" i="9"/>
  <c r="J1106" i="9"/>
  <c r="I1106" i="9"/>
  <c r="H1106" i="9"/>
  <c r="G1106" i="9"/>
  <c r="F1106" i="9"/>
  <c r="E1106" i="9"/>
  <c r="D1106" i="9"/>
  <c r="C1106" i="9"/>
  <c r="B1106" i="9"/>
  <c r="A1106" i="9"/>
  <c r="N1105" i="9"/>
  <c r="M1105" i="9"/>
  <c r="L1105" i="9"/>
  <c r="K1105" i="9"/>
  <c r="J1105" i="9"/>
  <c r="I1105" i="9"/>
  <c r="H1105" i="9"/>
  <c r="G1105" i="9"/>
  <c r="F1105" i="9"/>
  <c r="E1105" i="9"/>
  <c r="D1105" i="9"/>
  <c r="C1105" i="9"/>
  <c r="B1105" i="9"/>
  <c r="A1105" i="9"/>
  <c r="N1104" i="9"/>
  <c r="M1104" i="9"/>
  <c r="L1104" i="9"/>
  <c r="K1104" i="9"/>
  <c r="J1104" i="9"/>
  <c r="I1104" i="9"/>
  <c r="H1104" i="9"/>
  <c r="G1104" i="9"/>
  <c r="F1104" i="9"/>
  <c r="E1104" i="9"/>
  <c r="D1104" i="9"/>
  <c r="C1104" i="9"/>
  <c r="B1104" i="9"/>
  <c r="A1104" i="9"/>
  <c r="N1103" i="9"/>
  <c r="M1103" i="9"/>
  <c r="L1103" i="9"/>
  <c r="K1103" i="9"/>
  <c r="J1103" i="9"/>
  <c r="I1103" i="9"/>
  <c r="H1103" i="9"/>
  <c r="G1103" i="9"/>
  <c r="F1103" i="9"/>
  <c r="E1103" i="9"/>
  <c r="D1103" i="9"/>
  <c r="C1103" i="9"/>
  <c r="B1103" i="9"/>
  <c r="A1103" i="9"/>
  <c r="N1102" i="9"/>
  <c r="M1102" i="9"/>
  <c r="L1102" i="9"/>
  <c r="K1102" i="9"/>
  <c r="J1102" i="9"/>
  <c r="I1102" i="9"/>
  <c r="H1102" i="9"/>
  <c r="G1102" i="9"/>
  <c r="F1102" i="9"/>
  <c r="E1102" i="9"/>
  <c r="D1102" i="9"/>
  <c r="C1102" i="9"/>
  <c r="B1102" i="9"/>
  <c r="A1102" i="9"/>
  <c r="N1101" i="9"/>
  <c r="M1101" i="9"/>
  <c r="L1101" i="9"/>
  <c r="K1101" i="9"/>
  <c r="J1101" i="9"/>
  <c r="I1101" i="9"/>
  <c r="H1101" i="9"/>
  <c r="G1101" i="9"/>
  <c r="F1101" i="9"/>
  <c r="E1101" i="9"/>
  <c r="D1101" i="9"/>
  <c r="C1101" i="9"/>
  <c r="B1101" i="9"/>
  <c r="A1101" i="9"/>
  <c r="N1100" i="9"/>
  <c r="M1100" i="9"/>
  <c r="L1100" i="9"/>
  <c r="K1100" i="9"/>
  <c r="J1100" i="9"/>
  <c r="I1100" i="9"/>
  <c r="H1100" i="9"/>
  <c r="G1100" i="9"/>
  <c r="F1100" i="9"/>
  <c r="E1100" i="9"/>
  <c r="D1100" i="9"/>
  <c r="C1100" i="9"/>
  <c r="B1100" i="9"/>
  <c r="A1100" i="9"/>
  <c r="N1099" i="9"/>
  <c r="M1099" i="9"/>
  <c r="L1099" i="9"/>
  <c r="K1099" i="9"/>
  <c r="J1099" i="9"/>
  <c r="I1099" i="9"/>
  <c r="H1099" i="9"/>
  <c r="G1099" i="9"/>
  <c r="F1099" i="9"/>
  <c r="E1099" i="9"/>
  <c r="D1099" i="9"/>
  <c r="C1099" i="9"/>
  <c r="B1099" i="9"/>
  <c r="A1099" i="9"/>
  <c r="N1098" i="9"/>
  <c r="M1098" i="9"/>
  <c r="L1098" i="9"/>
  <c r="K1098" i="9"/>
  <c r="J1098" i="9"/>
  <c r="I1098" i="9"/>
  <c r="H1098" i="9"/>
  <c r="G1098" i="9"/>
  <c r="F1098" i="9"/>
  <c r="E1098" i="9"/>
  <c r="D1098" i="9"/>
  <c r="C1098" i="9"/>
  <c r="B1098" i="9"/>
  <c r="A1098" i="9"/>
  <c r="N1097" i="9"/>
  <c r="M1097" i="9"/>
  <c r="L1097" i="9"/>
  <c r="K1097" i="9"/>
  <c r="J1097" i="9"/>
  <c r="I1097" i="9"/>
  <c r="H1097" i="9"/>
  <c r="G1097" i="9"/>
  <c r="F1097" i="9"/>
  <c r="E1097" i="9"/>
  <c r="D1097" i="9"/>
  <c r="C1097" i="9"/>
  <c r="B1097" i="9"/>
  <c r="A1097" i="9"/>
  <c r="N1096" i="9"/>
  <c r="M1096" i="9"/>
  <c r="L1096" i="9"/>
  <c r="K1096" i="9"/>
  <c r="J1096" i="9"/>
  <c r="I1096" i="9"/>
  <c r="H1096" i="9"/>
  <c r="G1096" i="9"/>
  <c r="F1096" i="9"/>
  <c r="E1096" i="9"/>
  <c r="D1096" i="9"/>
  <c r="C1096" i="9"/>
  <c r="B1096" i="9"/>
  <c r="A1096" i="9"/>
  <c r="N1095" i="9"/>
  <c r="M1095" i="9"/>
  <c r="L1095" i="9"/>
  <c r="K1095" i="9"/>
  <c r="J1095" i="9"/>
  <c r="I1095" i="9"/>
  <c r="H1095" i="9"/>
  <c r="G1095" i="9"/>
  <c r="F1095" i="9"/>
  <c r="E1095" i="9"/>
  <c r="D1095" i="9"/>
  <c r="C1095" i="9"/>
  <c r="B1095" i="9"/>
  <c r="A1095" i="9"/>
  <c r="N1094" i="9"/>
  <c r="M1094" i="9"/>
  <c r="L1094" i="9"/>
  <c r="K1094" i="9"/>
  <c r="J1094" i="9"/>
  <c r="I1094" i="9"/>
  <c r="H1094" i="9"/>
  <c r="G1094" i="9"/>
  <c r="F1094" i="9"/>
  <c r="E1094" i="9"/>
  <c r="D1094" i="9"/>
  <c r="C1094" i="9"/>
  <c r="B1094" i="9"/>
  <c r="A1094" i="9"/>
  <c r="N1093" i="9"/>
  <c r="M1093" i="9"/>
  <c r="L1093" i="9"/>
  <c r="K1093" i="9"/>
  <c r="J1093" i="9"/>
  <c r="I1093" i="9"/>
  <c r="H1093" i="9"/>
  <c r="G1093" i="9"/>
  <c r="F1093" i="9"/>
  <c r="E1093" i="9"/>
  <c r="D1093" i="9"/>
  <c r="C1093" i="9"/>
  <c r="B1093" i="9"/>
  <c r="A1093" i="9"/>
  <c r="N1092" i="9"/>
  <c r="M1092" i="9"/>
  <c r="L1092" i="9"/>
  <c r="K1092" i="9"/>
  <c r="J1092" i="9"/>
  <c r="I1092" i="9"/>
  <c r="H1092" i="9"/>
  <c r="G1092" i="9"/>
  <c r="F1092" i="9"/>
  <c r="E1092" i="9"/>
  <c r="D1092" i="9"/>
  <c r="C1092" i="9"/>
  <c r="B1092" i="9"/>
  <c r="A1092" i="9"/>
  <c r="N1091" i="9"/>
  <c r="M1091" i="9"/>
  <c r="L1091" i="9"/>
  <c r="K1091" i="9"/>
  <c r="J1091" i="9"/>
  <c r="I1091" i="9"/>
  <c r="H1091" i="9"/>
  <c r="G1091" i="9"/>
  <c r="F1091" i="9"/>
  <c r="E1091" i="9"/>
  <c r="D1091" i="9"/>
  <c r="C1091" i="9"/>
  <c r="B1091" i="9"/>
  <c r="A1091" i="9"/>
  <c r="N1090" i="9"/>
  <c r="M1090" i="9"/>
  <c r="L1090" i="9"/>
  <c r="K1090" i="9"/>
  <c r="J1090" i="9"/>
  <c r="I1090" i="9"/>
  <c r="H1090" i="9"/>
  <c r="G1090" i="9"/>
  <c r="F1090" i="9"/>
  <c r="E1090" i="9"/>
  <c r="D1090" i="9"/>
  <c r="C1090" i="9"/>
  <c r="B1090" i="9"/>
  <c r="A1090" i="9"/>
  <c r="N1089" i="9"/>
  <c r="M1089" i="9"/>
  <c r="L1089" i="9"/>
  <c r="K1089" i="9"/>
  <c r="J1089" i="9"/>
  <c r="I1089" i="9"/>
  <c r="H1089" i="9"/>
  <c r="G1089" i="9"/>
  <c r="F1089" i="9"/>
  <c r="E1089" i="9"/>
  <c r="D1089" i="9"/>
  <c r="C1089" i="9"/>
  <c r="B1089" i="9"/>
  <c r="A1089" i="9"/>
  <c r="N1088" i="9"/>
  <c r="M1088" i="9"/>
  <c r="L1088" i="9"/>
  <c r="K1088" i="9"/>
  <c r="J1088" i="9"/>
  <c r="I1088" i="9"/>
  <c r="H1088" i="9"/>
  <c r="G1088" i="9"/>
  <c r="F1088" i="9"/>
  <c r="E1088" i="9"/>
  <c r="D1088" i="9"/>
  <c r="C1088" i="9"/>
  <c r="B1088" i="9"/>
  <c r="A1088" i="9"/>
  <c r="N1087" i="9"/>
  <c r="M1087" i="9"/>
  <c r="L1087" i="9"/>
  <c r="K1087" i="9"/>
  <c r="J1087" i="9"/>
  <c r="I1087" i="9"/>
  <c r="H1087" i="9"/>
  <c r="G1087" i="9"/>
  <c r="F1087" i="9"/>
  <c r="E1087" i="9"/>
  <c r="D1087" i="9"/>
  <c r="C1087" i="9"/>
  <c r="B1087" i="9"/>
  <c r="A1087" i="9"/>
  <c r="N1086" i="9"/>
  <c r="M1086" i="9"/>
  <c r="L1086" i="9"/>
  <c r="K1086" i="9"/>
  <c r="J1086" i="9"/>
  <c r="I1086" i="9"/>
  <c r="H1086" i="9"/>
  <c r="G1086" i="9"/>
  <c r="F1086" i="9"/>
  <c r="E1086" i="9"/>
  <c r="D1086" i="9"/>
  <c r="C1086" i="9"/>
  <c r="B1086" i="9"/>
  <c r="A1086" i="9"/>
  <c r="N1085" i="9"/>
  <c r="M1085" i="9"/>
  <c r="L1085" i="9"/>
  <c r="K1085" i="9"/>
  <c r="J1085" i="9"/>
  <c r="I1085" i="9"/>
  <c r="H1085" i="9"/>
  <c r="G1085" i="9"/>
  <c r="F1085" i="9"/>
  <c r="E1085" i="9"/>
  <c r="D1085" i="9"/>
  <c r="C1085" i="9"/>
  <c r="B1085" i="9"/>
  <c r="A1085" i="9"/>
  <c r="N1084" i="9"/>
  <c r="M1084" i="9"/>
  <c r="L1084" i="9"/>
  <c r="K1084" i="9"/>
  <c r="J1084" i="9"/>
  <c r="I1084" i="9"/>
  <c r="H1084" i="9"/>
  <c r="G1084" i="9"/>
  <c r="F1084" i="9"/>
  <c r="E1084" i="9"/>
  <c r="D1084" i="9"/>
  <c r="C1084" i="9"/>
  <c r="B1084" i="9"/>
  <c r="A1084" i="9"/>
  <c r="N1083" i="9"/>
  <c r="M1083" i="9"/>
  <c r="L1083" i="9"/>
  <c r="K1083" i="9"/>
  <c r="J1083" i="9"/>
  <c r="I1083" i="9"/>
  <c r="H1083" i="9"/>
  <c r="G1083" i="9"/>
  <c r="F1083" i="9"/>
  <c r="E1083" i="9"/>
  <c r="D1083" i="9"/>
  <c r="C1083" i="9"/>
  <c r="B1083" i="9"/>
  <c r="A1083" i="9"/>
  <c r="N1082" i="9"/>
  <c r="M1082" i="9"/>
  <c r="L1082" i="9"/>
  <c r="K1082" i="9"/>
  <c r="J1082" i="9"/>
  <c r="I1082" i="9"/>
  <c r="H1082" i="9"/>
  <c r="G1082" i="9"/>
  <c r="F1082" i="9"/>
  <c r="E1082" i="9"/>
  <c r="D1082" i="9"/>
  <c r="C1082" i="9"/>
  <c r="B1082" i="9"/>
  <c r="A1082" i="9"/>
  <c r="N1081" i="9"/>
  <c r="M1081" i="9"/>
  <c r="L1081" i="9"/>
  <c r="K1081" i="9"/>
  <c r="J1081" i="9"/>
  <c r="I1081" i="9"/>
  <c r="H1081" i="9"/>
  <c r="G1081" i="9"/>
  <c r="F1081" i="9"/>
  <c r="E1081" i="9"/>
  <c r="D1081" i="9"/>
  <c r="C1081" i="9"/>
  <c r="B1081" i="9"/>
  <c r="A1081" i="9"/>
  <c r="N1080" i="9"/>
  <c r="M1080" i="9"/>
  <c r="L1080" i="9"/>
  <c r="K1080" i="9"/>
  <c r="J1080" i="9"/>
  <c r="I1080" i="9"/>
  <c r="H1080" i="9"/>
  <c r="G1080" i="9"/>
  <c r="F1080" i="9"/>
  <c r="E1080" i="9"/>
  <c r="D1080" i="9"/>
  <c r="C1080" i="9"/>
  <c r="B1080" i="9"/>
  <c r="A1080" i="9"/>
  <c r="N1079" i="9"/>
  <c r="M1079" i="9"/>
  <c r="L1079" i="9"/>
  <c r="K1079" i="9"/>
  <c r="J1079" i="9"/>
  <c r="I1079" i="9"/>
  <c r="H1079" i="9"/>
  <c r="G1079" i="9"/>
  <c r="F1079" i="9"/>
  <c r="E1079" i="9"/>
  <c r="D1079" i="9"/>
  <c r="C1079" i="9"/>
  <c r="B1079" i="9"/>
  <c r="A1079" i="9"/>
  <c r="N1078" i="9"/>
  <c r="M1078" i="9"/>
  <c r="L1078" i="9"/>
  <c r="K1078" i="9"/>
  <c r="J1078" i="9"/>
  <c r="I1078" i="9"/>
  <c r="H1078" i="9"/>
  <c r="G1078" i="9"/>
  <c r="F1078" i="9"/>
  <c r="E1078" i="9"/>
  <c r="D1078" i="9"/>
  <c r="C1078" i="9"/>
  <c r="B1078" i="9"/>
  <c r="A1078" i="9"/>
  <c r="N1077" i="9"/>
  <c r="M1077" i="9"/>
  <c r="L1077" i="9"/>
  <c r="K1077" i="9"/>
  <c r="J1077" i="9"/>
  <c r="I1077" i="9"/>
  <c r="H1077" i="9"/>
  <c r="G1077" i="9"/>
  <c r="F1077" i="9"/>
  <c r="E1077" i="9"/>
  <c r="D1077" i="9"/>
  <c r="C1077" i="9"/>
  <c r="B1077" i="9"/>
  <c r="A1077" i="9"/>
  <c r="N1076" i="9"/>
  <c r="M1076" i="9"/>
  <c r="L1076" i="9"/>
  <c r="K1076" i="9"/>
  <c r="J1076" i="9"/>
  <c r="I1076" i="9"/>
  <c r="H1076" i="9"/>
  <c r="G1076" i="9"/>
  <c r="F1076" i="9"/>
  <c r="E1076" i="9"/>
  <c r="D1076" i="9"/>
  <c r="C1076" i="9"/>
  <c r="B1076" i="9"/>
  <c r="A1076" i="9"/>
  <c r="N1075" i="9"/>
  <c r="M1075" i="9"/>
  <c r="L1075" i="9"/>
  <c r="K1075" i="9"/>
  <c r="J1075" i="9"/>
  <c r="I1075" i="9"/>
  <c r="H1075" i="9"/>
  <c r="G1075" i="9"/>
  <c r="F1075" i="9"/>
  <c r="E1075" i="9"/>
  <c r="D1075" i="9"/>
  <c r="C1075" i="9"/>
  <c r="B1075" i="9"/>
  <c r="A1075" i="9"/>
  <c r="N1074" i="9"/>
  <c r="M1074" i="9"/>
  <c r="L1074" i="9"/>
  <c r="K1074" i="9"/>
  <c r="J1074" i="9"/>
  <c r="I1074" i="9"/>
  <c r="H1074" i="9"/>
  <c r="G1074" i="9"/>
  <c r="F1074" i="9"/>
  <c r="E1074" i="9"/>
  <c r="D1074" i="9"/>
  <c r="C1074" i="9"/>
  <c r="B1074" i="9"/>
  <c r="A1074" i="9"/>
  <c r="N1073" i="9"/>
  <c r="M1073" i="9"/>
  <c r="L1073" i="9"/>
  <c r="K1073" i="9"/>
  <c r="J1073" i="9"/>
  <c r="I1073" i="9"/>
  <c r="H1073" i="9"/>
  <c r="G1073" i="9"/>
  <c r="F1073" i="9"/>
  <c r="E1073" i="9"/>
  <c r="D1073" i="9"/>
  <c r="C1073" i="9"/>
  <c r="B1073" i="9"/>
  <c r="A1073" i="9"/>
  <c r="N1072" i="9"/>
  <c r="M1072" i="9"/>
  <c r="L1072" i="9"/>
  <c r="K1072" i="9"/>
  <c r="J1072" i="9"/>
  <c r="I1072" i="9"/>
  <c r="H1072" i="9"/>
  <c r="G1072" i="9"/>
  <c r="F1072" i="9"/>
  <c r="E1072" i="9"/>
  <c r="D1072" i="9"/>
  <c r="C1072" i="9"/>
  <c r="B1072" i="9"/>
  <c r="A1072" i="9"/>
  <c r="N1071" i="9"/>
  <c r="M1071" i="9"/>
  <c r="L1071" i="9"/>
  <c r="K1071" i="9"/>
  <c r="J1071" i="9"/>
  <c r="I1071" i="9"/>
  <c r="H1071" i="9"/>
  <c r="G1071" i="9"/>
  <c r="F1071" i="9"/>
  <c r="E1071" i="9"/>
  <c r="D1071" i="9"/>
  <c r="C1071" i="9"/>
  <c r="B1071" i="9"/>
  <c r="A1071" i="9"/>
  <c r="N1070" i="9"/>
  <c r="M1070" i="9"/>
  <c r="L1070" i="9"/>
  <c r="K1070" i="9"/>
  <c r="J1070" i="9"/>
  <c r="I1070" i="9"/>
  <c r="H1070" i="9"/>
  <c r="G1070" i="9"/>
  <c r="F1070" i="9"/>
  <c r="E1070" i="9"/>
  <c r="D1070" i="9"/>
  <c r="C1070" i="9"/>
  <c r="B1070" i="9"/>
  <c r="A1070" i="9"/>
  <c r="N1069" i="9"/>
  <c r="M1069" i="9"/>
  <c r="L1069" i="9"/>
  <c r="K1069" i="9"/>
  <c r="J1069" i="9"/>
  <c r="I1069" i="9"/>
  <c r="H1069" i="9"/>
  <c r="G1069" i="9"/>
  <c r="F1069" i="9"/>
  <c r="E1069" i="9"/>
  <c r="D1069" i="9"/>
  <c r="C1069" i="9"/>
  <c r="B1069" i="9"/>
  <c r="A1069" i="9"/>
  <c r="N1068" i="9"/>
  <c r="M1068" i="9"/>
  <c r="L1068" i="9"/>
  <c r="K1068" i="9"/>
  <c r="J1068" i="9"/>
  <c r="I1068" i="9"/>
  <c r="H1068" i="9"/>
  <c r="G1068" i="9"/>
  <c r="F1068" i="9"/>
  <c r="E1068" i="9"/>
  <c r="D1068" i="9"/>
  <c r="C1068" i="9"/>
  <c r="B1068" i="9"/>
  <c r="A1068" i="9"/>
  <c r="N1067" i="9"/>
  <c r="M1067" i="9"/>
  <c r="L1067" i="9"/>
  <c r="K1067" i="9"/>
  <c r="J1067" i="9"/>
  <c r="I1067" i="9"/>
  <c r="H1067" i="9"/>
  <c r="G1067" i="9"/>
  <c r="F1067" i="9"/>
  <c r="E1067" i="9"/>
  <c r="D1067" i="9"/>
  <c r="C1067" i="9"/>
  <c r="B1067" i="9"/>
  <c r="A1067" i="9"/>
  <c r="N1066" i="9"/>
  <c r="M1066" i="9"/>
  <c r="L1066" i="9"/>
  <c r="K1066" i="9"/>
  <c r="J1066" i="9"/>
  <c r="I1066" i="9"/>
  <c r="H1066" i="9"/>
  <c r="G1066" i="9"/>
  <c r="F1066" i="9"/>
  <c r="E1066" i="9"/>
  <c r="D1066" i="9"/>
  <c r="C1066" i="9"/>
  <c r="B1066" i="9"/>
  <c r="A1066" i="9"/>
  <c r="N1065" i="9"/>
  <c r="M1065" i="9"/>
  <c r="L1065" i="9"/>
  <c r="K1065" i="9"/>
  <c r="J1065" i="9"/>
  <c r="I1065" i="9"/>
  <c r="H1065" i="9"/>
  <c r="G1065" i="9"/>
  <c r="F1065" i="9"/>
  <c r="E1065" i="9"/>
  <c r="D1065" i="9"/>
  <c r="C1065" i="9"/>
  <c r="B1065" i="9"/>
  <c r="A1065" i="9"/>
  <c r="N1064" i="9"/>
  <c r="M1064" i="9"/>
  <c r="L1064" i="9"/>
  <c r="K1064" i="9"/>
  <c r="J1064" i="9"/>
  <c r="I1064" i="9"/>
  <c r="H1064" i="9"/>
  <c r="G1064" i="9"/>
  <c r="F1064" i="9"/>
  <c r="E1064" i="9"/>
  <c r="D1064" i="9"/>
  <c r="C1064" i="9"/>
  <c r="B1064" i="9"/>
  <c r="A1064" i="9"/>
  <c r="N1063" i="9"/>
  <c r="M1063" i="9"/>
  <c r="L1063" i="9"/>
  <c r="K1063" i="9"/>
  <c r="J1063" i="9"/>
  <c r="I1063" i="9"/>
  <c r="H1063" i="9"/>
  <c r="G1063" i="9"/>
  <c r="F1063" i="9"/>
  <c r="E1063" i="9"/>
  <c r="D1063" i="9"/>
  <c r="C1063" i="9"/>
  <c r="B1063" i="9"/>
  <c r="A1063" i="9"/>
  <c r="N1062" i="9"/>
  <c r="M1062" i="9"/>
  <c r="L1062" i="9"/>
  <c r="K1062" i="9"/>
  <c r="J1062" i="9"/>
  <c r="I1062" i="9"/>
  <c r="H1062" i="9"/>
  <c r="G1062" i="9"/>
  <c r="F1062" i="9"/>
  <c r="E1062" i="9"/>
  <c r="D1062" i="9"/>
  <c r="C1062" i="9"/>
  <c r="B1062" i="9"/>
  <c r="A1062" i="9"/>
  <c r="N1061" i="9"/>
  <c r="M1061" i="9"/>
  <c r="L1061" i="9"/>
  <c r="K1061" i="9"/>
  <c r="J1061" i="9"/>
  <c r="I1061" i="9"/>
  <c r="H1061" i="9"/>
  <c r="G1061" i="9"/>
  <c r="F1061" i="9"/>
  <c r="E1061" i="9"/>
  <c r="D1061" i="9"/>
  <c r="C1061" i="9"/>
  <c r="B1061" i="9"/>
  <c r="A1061" i="9"/>
  <c r="N1060" i="9"/>
  <c r="M1060" i="9"/>
  <c r="L1060" i="9"/>
  <c r="K1060" i="9"/>
  <c r="J1060" i="9"/>
  <c r="I1060" i="9"/>
  <c r="H1060" i="9"/>
  <c r="G1060" i="9"/>
  <c r="F1060" i="9"/>
  <c r="E1060" i="9"/>
  <c r="D1060" i="9"/>
  <c r="C1060" i="9"/>
  <c r="B1060" i="9"/>
  <c r="A1060" i="9"/>
  <c r="N1059" i="9"/>
  <c r="M1059" i="9"/>
  <c r="L1059" i="9"/>
  <c r="K1059" i="9"/>
  <c r="J1059" i="9"/>
  <c r="I1059" i="9"/>
  <c r="H1059" i="9"/>
  <c r="G1059" i="9"/>
  <c r="F1059" i="9"/>
  <c r="E1059" i="9"/>
  <c r="D1059" i="9"/>
  <c r="C1059" i="9"/>
  <c r="B1059" i="9"/>
  <c r="A1059" i="9"/>
  <c r="N1058" i="9"/>
  <c r="M1058" i="9"/>
  <c r="L1058" i="9"/>
  <c r="K1058" i="9"/>
  <c r="J1058" i="9"/>
  <c r="I1058" i="9"/>
  <c r="H1058" i="9"/>
  <c r="G1058" i="9"/>
  <c r="F1058" i="9"/>
  <c r="E1058" i="9"/>
  <c r="D1058" i="9"/>
  <c r="C1058" i="9"/>
  <c r="B1058" i="9"/>
  <c r="A1058" i="9"/>
  <c r="N1057" i="9"/>
  <c r="M1057" i="9"/>
  <c r="L1057" i="9"/>
  <c r="K1057" i="9"/>
  <c r="J1057" i="9"/>
  <c r="I1057" i="9"/>
  <c r="H1057" i="9"/>
  <c r="G1057" i="9"/>
  <c r="F1057" i="9"/>
  <c r="E1057" i="9"/>
  <c r="D1057" i="9"/>
  <c r="C1057" i="9"/>
  <c r="B1057" i="9"/>
  <c r="A1057" i="9"/>
  <c r="N1056" i="9"/>
  <c r="M1056" i="9"/>
  <c r="L1056" i="9"/>
  <c r="K1056" i="9"/>
  <c r="J1056" i="9"/>
  <c r="I1056" i="9"/>
  <c r="H1056" i="9"/>
  <c r="G1056" i="9"/>
  <c r="F1056" i="9"/>
  <c r="E1056" i="9"/>
  <c r="D1056" i="9"/>
  <c r="C1056" i="9"/>
  <c r="B1056" i="9"/>
  <c r="A1056" i="9"/>
  <c r="N1055" i="9"/>
  <c r="M1055" i="9"/>
  <c r="L1055" i="9"/>
  <c r="K1055" i="9"/>
  <c r="J1055" i="9"/>
  <c r="I1055" i="9"/>
  <c r="H1055" i="9"/>
  <c r="G1055" i="9"/>
  <c r="F1055" i="9"/>
  <c r="E1055" i="9"/>
  <c r="D1055" i="9"/>
  <c r="C1055" i="9"/>
  <c r="B1055" i="9"/>
  <c r="A1055" i="9"/>
  <c r="N1054" i="9"/>
  <c r="M1054" i="9"/>
  <c r="L1054" i="9"/>
  <c r="K1054" i="9"/>
  <c r="J1054" i="9"/>
  <c r="I1054" i="9"/>
  <c r="H1054" i="9"/>
  <c r="G1054" i="9"/>
  <c r="F1054" i="9"/>
  <c r="E1054" i="9"/>
  <c r="D1054" i="9"/>
  <c r="C1054" i="9"/>
  <c r="B1054" i="9"/>
  <c r="A1054" i="9"/>
  <c r="N1053" i="9"/>
  <c r="M1053" i="9"/>
  <c r="L1053" i="9"/>
  <c r="K1053" i="9"/>
  <c r="J1053" i="9"/>
  <c r="I1053" i="9"/>
  <c r="H1053" i="9"/>
  <c r="G1053" i="9"/>
  <c r="F1053" i="9"/>
  <c r="E1053" i="9"/>
  <c r="D1053" i="9"/>
  <c r="C1053" i="9"/>
  <c r="B1053" i="9"/>
  <c r="A1053" i="9"/>
  <c r="N1052" i="9"/>
  <c r="M1052" i="9"/>
  <c r="L1052" i="9"/>
  <c r="K1052" i="9"/>
  <c r="J1052" i="9"/>
  <c r="I1052" i="9"/>
  <c r="H1052" i="9"/>
  <c r="G1052" i="9"/>
  <c r="F1052" i="9"/>
  <c r="E1052" i="9"/>
  <c r="D1052" i="9"/>
  <c r="C1052" i="9"/>
  <c r="B1052" i="9"/>
  <c r="A1052" i="9"/>
  <c r="N1051" i="9"/>
  <c r="M1051" i="9"/>
  <c r="L1051" i="9"/>
  <c r="K1051" i="9"/>
  <c r="J1051" i="9"/>
  <c r="I1051" i="9"/>
  <c r="H1051" i="9"/>
  <c r="G1051" i="9"/>
  <c r="F1051" i="9"/>
  <c r="E1051" i="9"/>
  <c r="D1051" i="9"/>
  <c r="C1051" i="9"/>
  <c r="B1051" i="9"/>
  <c r="A1051" i="9"/>
  <c r="N1050" i="9"/>
  <c r="M1050" i="9"/>
  <c r="L1050" i="9"/>
  <c r="K1050" i="9"/>
  <c r="J1050" i="9"/>
  <c r="I1050" i="9"/>
  <c r="H1050" i="9"/>
  <c r="G1050" i="9"/>
  <c r="F1050" i="9"/>
  <c r="E1050" i="9"/>
  <c r="D1050" i="9"/>
  <c r="C1050" i="9"/>
  <c r="B1050" i="9"/>
  <c r="A1050" i="9"/>
  <c r="N1049" i="9"/>
  <c r="M1049" i="9"/>
  <c r="L1049" i="9"/>
  <c r="K1049" i="9"/>
  <c r="J1049" i="9"/>
  <c r="I1049" i="9"/>
  <c r="H1049" i="9"/>
  <c r="G1049" i="9"/>
  <c r="F1049" i="9"/>
  <c r="E1049" i="9"/>
  <c r="D1049" i="9"/>
  <c r="C1049" i="9"/>
  <c r="B1049" i="9"/>
  <c r="A1049" i="9"/>
  <c r="N1048" i="9"/>
  <c r="M1048" i="9"/>
  <c r="L1048" i="9"/>
  <c r="K1048" i="9"/>
  <c r="J1048" i="9"/>
  <c r="I1048" i="9"/>
  <c r="H1048" i="9"/>
  <c r="G1048" i="9"/>
  <c r="F1048" i="9"/>
  <c r="E1048" i="9"/>
  <c r="D1048" i="9"/>
  <c r="C1048" i="9"/>
  <c r="B1048" i="9"/>
  <c r="A1048" i="9"/>
  <c r="N1047" i="9"/>
  <c r="M1047" i="9"/>
  <c r="L1047" i="9"/>
  <c r="K1047" i="9"/>
  <c r="J1047" i="9"/>
  <c r="I1047" i="9"/>
  <c r="H1047" i="9"/>
  <c r="G1047" i="9"/>
  <c r="F1047" i="9"/>
  <c r="E1047" i="9"/>
  <c r="D1047" i="9"/>
  <c r="C1047" i="9"/>
  <c r="B1047" i="9"/>
  <c r="A1047" i="9"/>
  <c r="N1046" i="9"/>
  <c r="M1046" i="9"/>
  <c r="L1046" i="9"/>
  <c r="K1046" i="9"/>
  <c r="J1046" i="9"/>
  <c r="I1046" i="9"/>
  <c r="H1046" i="9"/>
  <c r="G1046" i="9"/>
  <c r="F1046" i="9"/>
  <c r="E1046" i="9"/>
  <c r="D1046" i="9"/>
  <c r="C1046" i="9"/>
  <c r="B1046" i="9"/>
  <c r="A1046" i="9"/>
  <c r="N1045" i="9"/>
  <c r="M1045" i="9"/>
  <c r="L1045" i="9"/>
  <c r="K1045" i="9"/>
  <c r="J1045" i="9"/>
  <c r="I1045" i="9"/>
  <c r="H1045" i="9"/>
  <c r="G1045" i="9"/>
  <c r="F1045" i="9"/>
  <c r="E1045" i="9"/>
  <c r="D1045" i="9"/>
  <c r="C1045" i="9"/>
  <c r="B1045" i="9"/>
  <c r="A1045" i="9"/>
  <c r="N1044" i="9"/>
  <c r="M1044" i="9"/>
  <c r="L1044" i="9"/>
  <c r="K1044" i="9"/>
  <c r="J1044" i="9"/>
  <c r="I1044" i="9"/>
  <c r="H1044" i="9"/>
  <c r="G1044" i="9"/>
  <c r="F1044" i="9"/>
  <c r="E1044" i="9"/>
  <c r="D1044" i="9"/>
  <c r="C1044" i="9"/>
  <c r="B1044" i="9"/>
  <c r="A1044" i="9"/>
  <c r="N1043" i="9"/>
  <c r="M1043" i="9"/>
  <c r="L1043" i="9"/>
  <c r="K1043" i="9"/>
  <c r="J1043" i="9"/>
  <c r="I1043" i="9"/>
  <c r="H1043" i="9"/>
  <c r="G1043" i="9"/>
  <c r="F1043" i="9"/>
  <c r="E1043" i="9"/>
  <c r="D1043" i="9"/>
  <c r="C1043" i="9"/>
  <c r="B1043" i="9"/>
  <c r="A1043" i="9"/>
  <c r="N1042" i="9"/>
  <c r="M1042" i="9"/>
  <c r="L1042" i="9"/>
  <c r="K1042" i="9"/>
  <c r="J1042" i="9"/>
  <c r="I1042" i="9"/>
  <c r="H1042" i="9"/>
  <c r="G1042" i="9"/>
  <c r="F1042" i="9"/>
  <c r="E1042" i="9"/>
  <c r="D1042" i="9"/>
  <c r="C1042" i="9"/>
  <c r="B1042" i="9"/>
  <c r="A1042" i="9"/>
  <c r="N1041" i="9"/>
  <c r="M1041" i="9"/>
  <c r="L1041" i="9"/>
  <c r="K1041" i="9"/>
  <c r="J1041" i="9"/>
  <c r="I1041" i="9"/>
  <c r="H1041" i="9"/>
  <c r="G1041" i="9"/>
  <c r="F1041" i="9"/>
  <c r="E1041" i="9"/>
  <c r="D1041" i="9"/>
  <c r="C1041" i="9"/>
  <c r="B1041" i="9"/>
  <c r="A1041" i="9"/>
  <c r="N1040" i="9"/>
  <c r="M1040" i="9"/>
  <c r="L1040" i="9"/>
  <c r="K1040" i="9"/>
  <c r="J1040" i="9"/>
  <c r="I1040" i="9"/>
  <c r="H1040" i="9"/>
  <c r="G1040" i="9"/>
  <c r="F1040" i="9"/>
  <c r="E1040" i="9"/>
  <c r="D1040" i="9"/>
  <c r="C1040" i="9"/>
  <c r="B1040" i="9"/>
  <c r="A1040" i="9"/>
  <c r="N1039" i="9"/>
  <c r="M1039" i="9"/>
  <c r="L1039" i="9"/>
  <c r="K1039" i="9"/>
  <c r="J1039" i="9"/>
  <c r="I1039" i="9"/>
  <c r="H1039" i="9"/>
  <c r="G1039" i="9"/>
  <c r="F1039" i="9"/>
  <c r="E1039" i="9"/>
  <c r="D1039" i="9"/>
  <c r="C1039" i="9"/>
  <c r="B1039" i="9"/>
  <c r="A1039" i="9"/>
  <c r="N1038" i="9"/>
  <c r="M1038" i="9"/>
  <c r="L1038" i="9"/>
  <c r="K1038" i="9"/>
  <c r="J1038" i="9"/>
  <c r="I1038" i="9"/>
  <c r="H1038" i="9"/>
  <c r="G1038" i="9"/>
  <c r="F1038" i="9"/>
  <c r="E1038" i="9"/>
  <c r="D1038" i="9"/>
  <c r="C1038" i="9"/>
  <c r="B1038" i="9"/>
  <c r="A1038" i="9"/>
  <c r="N1037" i="9"/>
  <c r="M1037" i="9"/>
  <c r="L1037" i="9"/>
  <c r="K1037" i="9"/>
  <c r="J1037" i="9"/>
  <c r="I1037" i="9"/>
  <c r="H1037" i="9"/>
  <c r="G1037" i="9"/>
  <c r="F1037" i="9"/>
  <c r="E1037" i="9"/>
  <c r="D1037" i="9"/>
  <c r="C1037" i="9"/>
  <c r="B1037" i="9"/>
  <c r="A1037" i="9"/>
  <c r="N1036" i="9"/>
  <c r="M1036" i="9"/>
  <c r="L1036" i="9"/>
  <c r="K1036" i="9"/>
  <c r="J1036" i="9"/>
  <c r="I1036" i="9"/>
  <c r="H1036" i="9"/>
  <c r="G1036" i="9"/>
  <c r="F1036" i="9"/>
  <c r="E1036" i="9"/>
  <c r="D1036" i="9"/>
  <c r="C1036" i="9"/>
  <c r="B1036" i="9"/>
  <c r="A1036" i="9"/>
  <c r="N1035" i="9"/>
  <c r="M1035" i="9"/>
  <c r="L1035" i="9"/>
  <c r="K1035" i="9"/>
  <c r="J1035" i="9"/>
  <c r="I1035" i="9"/>
  <c r="H1035" i="9"/>
  <c r="G1035" i="9"/>
  <c r="F1035" i="9"/>
  <c r="E1035" i="9"/>
  <c r="D1035" i="9"/>
  <c r="C1035" i="9"/>
  <c r="B1035" i="9"/>
  <c r="A1035" i="9"/>
  <c r="N1034" i="9"/>
  <c r="M1034" i="9"/>
  <c r="L1034" i="9"/>
  <c r="K1034" i="9"/>
  <c r="J1034" i="9"/>
  <c r="I1034" i="9"/>
  <c r="H1034" i="9"/>
  <c r="G1034" i="9"/>
  <c r="F1034" i="9"/>
  <c r="E1034" i="9"/>
  <c r="D1034" i="9"/>
  <c r="C1034" i="9"/>
  <c r="B1034" i="9"/>
  <c r="A1034" i="9"/>
  <c r="N1033" i="9"/>
  <c r="M1033" i="9"/>
  <c r="L1033" i="9"/>
  <c r="K1033" i="9"/>
  <c r="J1033" i="9"/>
  <c r="I1033" i="9"/>
  <c r="H1033" i="9"/>
  <c r="G1033" i="9"/>
  <c r="F1033" i="9"/>
  <c r="E1033" i="9"/>
  <c r="D1033" i="9"/>
  <c r="C1033" i="9"/>
  <c r="B1033" i="9"/>
  <c r="A1033" i="9"/>
  <c r="N1032" i="9"/>
  <c r="M1032" i="9"/>
  <c r="L1032" i="9"/>
  <c r="K1032" i="9"/>
  <c r="J1032" i="9"/>
  <c r="I1032" i="9"/>
  <c r="H1032" i="9"/>
  <c r="G1032" i="9"/>
  <c r="F1032" i="9"/>
  <c r="E1032" i="9"/>
  <c r="D1032" i="9"/>
  <c r="C1032" i="9"/>
  <c r="B1032" i="9"/>
  <c r="A1032" i="9"/>
  <c r="N1031" i="9"/>
  <c r="M1031" i="9"/>
  <c r="L1031" i="9"/>
  <c r="K1031" i="9"/>
  <c r="J1031" i="9"/>
  <c r="I1031" i="9"/>
  <c r="H1031" i="9"/>
  <c r="G1031" i="9"/>
  <c r="F1031" i="9"/>
  <c r="E1031" i="9"/>
  <c r="D1031" i="9"/>
  <c r="C1031" i="9"/>
  <c r="B1031" i="9"/>
  <c r="A1031" i="9"/>
  <c r="N1030" i="9"/>
  <c r="M1030" i="9"/>
  <c r="L1030" i="9"/>
  <c r="K1030" i="9"/>
  <c r="J1030" i="9"/>
  <c r="I1030" i="9"/>
  <c r="H1030" i="9"/>
  <c r="G1030" i="9"/>
  <c r="F1030" i="9"/>
  <c r="E1030" i="9"/>
  <c r="D1030" i="9"/>
  <c r="C1030" i="9"/>
  <c r="B1030" i="9"/>
  <c r="A1030" i="9"/>
  <c r="N1029" i="9"/>
  <c r="M1029" i="9"/>
  <c r="L1029" i="9"/>
  <c r="K1029" i="9"/>
  <c r="J1029" i="9"/>
  <c r="I1029" i="9"/>
  <c r="H1029" i="9"/>
  <c r="G1029" i="9"/>
  <c r="F1029" i="9"/>
  <c r="E1029" i="9"/>
  <c r="D1029" i="9"/>
  <c r="C1029" i="9"/>
  <c r="B1029" i="9"/>
  <c r="A1029" i="9"/>
  <c r="N1028" i="9"/>
  <c r="M1028" i="9"/>
  <c r="L1028" i="9"/>
  <c r="K1028" i="9"/>
  <c r="J1028" i="9"/>
  <c r="I1028" i="9"/>
  <c r="H1028" i="9"/>
  <c r="G1028" i="9"/>
  <c r="F1028" i="9"/>
  <c r="E1028" i="9"/>
  <c r="D1028" i="9"/>
  <c r="C1028" i="9"/>
  <c r="B1028" i="9"/>
  <c r="A1028" i="9"/>
  <c r="N1027" i="9"/>
  <c r="M1027" i="9"/>
  <c r="L1027" i="9"/>
  <c r="K1027" i="9"/>
  <c r="J1027" i="9"/>
  <c r="I1027" i="9"/>
  <c r="H1027" i="9"/>
  <c r="G1027" i="9"/>
  <c r="F1027" i="9"/>
  <c r="E1027" i="9"/>
  <c r="D1027" i="9"/>
  <c r="C1027" i="9"/>
  <c r="B1027" i="9"/>
  <c r="A1027" i="9"/>
  <c r="N1026" i="9"/>
  <c r="M1026" i="9"/>
  <c r="L1026" i="9"/>
  <c r="K1026" i="9"/>
  <c r="J1026" i="9"/>
  <c r="I1026" i="9"/>
  <c r="H1026" i="9"/>
  <c r="G1026" i="9"/>
  <c r="F1026" i="9"/>
  <c r="E1026" i="9"/>
  <c r="D1026" i="9"/>
  <c r="C1026" i="9"/>
  <c r="B1026" i="9"/>
  <c r="A1026" i="9"/>
  <c r="N1025" i="9"/>
  <c r="M1025" i="9"/>
  <c r="L1025" i="9"/>
  <c r="K1025" i="9"/>
  <c r="J1025" i="9"/>
  <c r="I1025" i="9"/>
  <c r="H1025" i="9"/>
  <c r="G1025" i="9"/>
  <c r="F1025" i="9"/>
  <c r="E1025" i="9"/>
  <c r="D1025" i="9"/>
  <c r="C1025" i="9"/>
  <c r="B1025" i="9"/>
  <c r="A1025" i="9"/>
  <c r="N1024" i="9"/>
  <c r="M1024" i="9"/>
  <c r="L1024" i="9"/>
  <c r="K1024" i="9"/>
  <c r="J1024" i="9"/>
  <c r="I1024" i="9"/>
  <c r="H1024" i="9"/>
  <c r="G1024" i="9"/>
  <c r="F1024" i="9"/>
  <c r="E1024" i="9"/>
  <c r="D1024" i="9"/>
  <c r="C1024" i="9"/>
  <c r="B1024" i="9"/>
  <c r="A1024" i="9"/>
  <c r="N1023" i="9"/>
  <c r="M1023" i="9"/>
  <c r="L1023" i="9"/>
  <c r="K1023" i="9"/>
  <c r="J1023" i="9"/>
  <c r="I1023" i="9"/>
  <c r="H1023" i="9"/>
  <c r="G1023" i="9"/>
  <c r="F1023" i="9"/>
  <c r="E1023" i="9"/>
  <c r="D1023" i="9"/>
  <c r="C1023" i="9"/>
  <c r="B1023" i="9"/>
  <c r="A1023" i="9"/>
  <c r="N1022" i="9"/>
  <c r="M1022" i="9"/>
  <c r="L1022" i="9"/>
  <c r="K1022" i="9"/>
  <c r="J1022" i="9"/>
  <c r="I1022" i="9"/>
  <c r="H1022" i="9"/>
  <c r="G1022" i="9"/>
  <c r="F1022" i="9"/>
  <c r="E1022" i="9"/>
  <c r="D1022" i="9"/>
  <c r="C1022" i="9"/>
  <c r="B1022" i="9"/>
  <c r="A1022" i="9"/>
  <c r="N1021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A1021" i="9"/>
  <c r="N1020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A1020" i="9"/>
  <c r="N1019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A1019" i="9"/>
  <c r="N1018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A1018" i="9"/>
  <c r="N1017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A1017" i="9"/>
  <c r="N1016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A1016" i="9"/>
  <c r="N1015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A1015" i="9"/>
  <c r="N1014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A1014" i="9"/>
  <c r="N1013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A1013" i="9"/>
  <c r="N1012" i="9"/>
  <c r="L1012" i="9"/>
  <c r="M1012" i="9" s="1"/>
  <c r="K1012" i="9"/>
  <c r="J1012" i="9"/>
  <c r="I1012" i="9"/>
  <c r="H1012" i="9"/>
  <c r="G1012" i="9"/>
  <c r="F1012" i="9"/>
  <c r="E1012" i="9"/>
  <c r="D1012" i="9"/>
  <c r="C1012" i="9"/>
  <c r="B1012" i="9"/>
  <c r="A1012" i="9"/>
  <c r="L1011" i="9"/>
  <c r="M1011" i="9" s="1"/>
  <c r="N1011" i="9" s="1"/>
  <c r="K1011" i="9"/>
  <c r="J1011" i="9"/>
  <c r="I1011" i="9"/>
  <c r="H1011" i="9"/>
  <c r="G1011" i="9"/>
  <c r="F1011" i="9"/>
  <c r="E1011" i="9"/>
  <c r="D1011" i="9"/>
  <c r="C1011" i="9"/>
  <c r="B1011" i="9"/>
  <c r="A1011" i="9"/>
  <c r="L1010" i="9"/>
  <c r="M1010" i="9" s="1"/>
  <c r="N1010" i="9" s="1"/>
  <c r="K1010" i="9"/>
  <c r="J1010" i="9"/>
  <c r="I1010" i="9"/>
  <c r="H1010" i="9"/>
  <c r="G1010" i="9"/>
  <c r="F1010" i="9"/>
  <c r="E1010" i="9"/>
  <c r="D1010" i="9"/>
  <c r="C1010" i="9"/>
  <c r="B1010" i="9"/>
  <c r="A1010" i="9"/>
  <c r="L1009" i="9"/>
  <c r="M1009" i="9" s="1"/>
  <c r="N1009" i="9" s="1"/>
  <c r="K1009" i="9"/>
  <c r="J1009" i="9"/>
  <c r="I1009" i="9"/>
  <c r="H1009" i="9"/>
  <c r="G1009" i="9"/>
  <c r="F1009" i="9"/>
  <c r="E1009" i="9"/>
  <c r="D1009" i="9"/>
  <c r="C1009" i="9"/>
  <c r="B1009" i="9"/>
  <c r="A1009" i="9"/>
  <c r="N1008" i="9"/>
  <c r="L1008" i="9"/>
  <c r="M1008" i="9" s="1"/>
  <c r="K1008" i="9"/>
  <c r="J1008" i="9"/>
  <c r="I1008" i="9"/>
  <c r="H1008" i="9"/>
  <c r="G1008" i="9"/>
  <c r="F1008" i="9"/>
  <c r="E1008" i="9"/>
  <c r="D1008" i="9"/>
  <c r="C1008" i="9"/>
  <c r="B1008" i="9"/>
  <c r="A1008" i="9"/>
  <c r="L1007" i="9"/>
  <c r="M1007" i="9" s="1"/>
  <c r="N1007" i="9" s="1"/>
  <c r="K1007" i="9"/>
  <c r="J1007" i="9"/>
  <c r="I1007" i="9"/>
  <c r="H1007" i="9"/>
  <c r="G1007" i="9"/>
  <c r="F1007" i="9"/>
  <c r="E1007" i="9"/>
  <c r="D1007" i="9"/>
  <c r="C1007" i="9"/>
  <c r="B1007" i="9"/>
  <c r="A1007" i="9"/>
  <c r="N1006" i="9"/>
  <c r="L1006" i="9"/>
  <c r="M1006" i="9" s="1"/>
  <c r="K1006" i="9"/>
  <c r="J1006" i="9"/>
  <c r="I1006" i="9"/>
  <c r="H1006" i="9"/>
  <c r="G1006" i="9"/>
  <c r="F1006" i="9"/>
  <c r="E1006" i="9"/>
  <c r="D1006" i="9"/>
  <c r="C1006" i="9"/>
  <c r="B1006" i="9"/>
  <c r="A1006" i="9"/>
  <c r="L1005" i="9"/>
  <c r="M1005" i="9" s="1"/>
  <c r="N1005" i="9" s="1"/>
  <c r="K1005" i="9"/>
  <c r="J1005" i="9"/>
  <c r="I1005" i="9"/>
  <c r="H1005" i="9"/>
  <c r="G1005" i="9"/>
  <c r="F1005" i="9"/>
  <c r="E1005" i="9"/>
  <c r="D1005" i="9"/>
  <c r="C1005" i="9"/>
  <c r="B1005" i="9"/>
  <c r="A1005" i="9"/>
  <c r="L1004" i="9"/>
  <c r="M1004" i="9" s="1"/>
  <c r="N1004" i="9" s="1"/>
  <c r="K1004" i="9"/>
  <c r="J1004" i="9"/>
  <c r="I1004" i="9"/>
  <c r="H1004" i="9"/>
  <c r="G1004" i="9"/>
  <c r="F1004" i="9"/>
  <c r="E1004" i="9"/>
  <c r="D1004" i="9"/>
  <c r="C1004" i="9"/>
  <c r="B1004" i="9"/>
  <c r="A1004" i="9"/>
  <c r="N1003" i="9"/>
  <c r="L1003" i="9"/>
  <c r="M1003" i="9" s="1"/>
  <c r="K1003" i="9"/>
  <c r="J1003" i="9"/>
  <c r="I1003" i="9"/>
  <c r="H1003" i="9"/>
  <c r="G1003" i="9"/>
  <c r="F1003" i="9"/>
  <c r="E1003" i="9"/>
  <c r="D1003" i="9"/>
  <c r="C1003" i="9"/>
  <c r="B1003" i="9"/>
  <c r="A1003" i="9"/>
  <c r="L1002" i="9"/>
  <c r="M1002" i="9" s="1"/>
  <c r="N1002" i="9" s="1"/>
  <c r="K1002" i="9"/>
  <c r="J1002" i="9"/>
  <c r="I1002" i="9"/>
  <c r="H1002" i="9"/>
  <c r="G1002" i="9"/>
  <c r="F1002" i="9"/>
  <c r="E1002" i="9"/>
  <c r="D1002" i="9"/>
  <c r="C1002" i="9"/>
  <c r="B1002" i="9"/>
  <c r="A1002" i="9"/>
  <c r="L1001" i="9"/>
  <c r="M1001" i="9" s="1"/>
  <c r="N1001" i="9" s="1"/>
  <c r="K1001" i="9"/>
  <c r="J1001" i="9"/>
  <c r="I1001" i="9"/>
  <c r="H1001" i="9"/>
  <c r="G1001" i="9"/>
  <c r="F1001" i="9"/>
  <c r="E1001" i="9"/>
  <c r="D1001" i="9"/>
  <c r="C1001" i="9"/>
  <c r="B1001" i="9"/>
  <c r="A1001" i="9"/>
  <c r="N1000" i="9"/>
  <c r="L1000" i="9"/>
  <c r="M1000" i="9" s="1"/>
  <c r="K1000" i="9"/>
  <c r="J1000" i="9"/>
  <c r="I1000" i="9"/>
  <c r="H1000" i="9"/>
  <c r="G1000" i="9"/>
  <c r="F1000" i="9"/>
  <c r="E1000" i="9"/>
  <c r="D1000" i="9"/>
  <c r="C1000" i="9"/>
  <c r="B1000" i="9"/>
  <c r="A1000" i="9"/>
  <c r="L999" i="9"/>
  <c r="M999" i="9" s="1"/>
  <c r="N999" i="9" s="1"/>
  <c r="K999" i="9"/>
  <c r="J999" i="9"/>
  <c r="I999" i="9"/>
  <c r="H999" i="9"/>
  <c r="G999" i="9"/>
  <c r="F999" i="9"/>
  <c r="E999" i="9"/>
  <c r="D999" i="9"/>
  <c r="C999" i="9"/>
  <c r="B999" i="9"/>
  <c r="A999" i="9"/>
  <c r="N998" i="9"/>
  <c r="L998" i="9"/>
  <c r="M998" i="9" s="1"/>
  <c r="K998" i="9"/>
  <c r="J998" i="9"/>
  <c r="I998" i="9"/>
  <c r="H998" i="9"/>
  <c r="G998" i="9"/>
  <c r="F998" i="9"/>
  <c r="E998" i="9"/>
  <c r="D998" i="9"/>
  <c r="C998" i="9"/>
  <c r="B998" i="9"/>
  <c r="A998" i="9"/>
  <c r="N997" i="9"/>
  <c r="L997" i="9"/>
  <c r="M997" i="9" s="1"/>
  <c r="K997" i="9"/>
  <c r="J997" i="9"/>
  <c r="I997" i="9"/>
  <c r="H997" i="9"/>
  <c r="G997" i="9"/>
  <c r="F997" i="9"/>
  <c r="E997" i="9"/>
  <c r="D997" i="9"/>
  <c r="C997" i="9"/>
  <c r="B997" i="9"/>
  <c r="A997" i="9"/>
  <c r="N996" i="9"/>
  <c r="L996" i="9"/>
  <c r="M996" i="9" s="1"/>
  <c r="K996" i="9"/>
  <c r="J996" i="9"/>
  <c r="I996" i="9"/>
  <c r="H996" i="9"/>
  <c r="G996" i="9"/>
  <c r="F996" i="9"/>
  <c r="E996" i="9"/>
  <c r="D996" i="9"/>
  <c r="C996" i="9"/>
  <c r="B996" i="9"/>
  <c r="A996" i="9"/>
  <c r="L995" i="9"/>
  <c r="M995" i="9" s="1"/>
  <c r="N995" i="9" s="1"/>
  <c r="K995" i="9"/>
  <c r="J995" i="9"/>
  <c r="I995" i="9"/>
  <c r="H995" i="9"/>
  <c r="G995" i="9"/>
  <c r="F995" i="9"/>
  <c r="E995" i="9"/>
  <c r="D995" i="9"/>
  <c r="C995" i="9"/>
  <c r="B995" i="9"/>
  <c r="A995" i="9"/>
  <c r="N994" i="9"/>
  <c r="L994" i="9"/>
  <c r="M994" i="9" s="1"/>
  <c r="K994" i="9"/>
  <c r="J994" i="9"/>
  <c r="I994" i="9"/>
  <c r="H994" i="9"/>
  <c r="G994" i="9"/>
  <c r="F994" i="9"/>
  <c r="E994" i="9"/>
  <c r="D994" i="9"/>
  <c r="C994" i="9"/>
  <c r="B994" i="9"/>
  <c r="A994" i="9"/>
  <c r="L993" i="9"/>
  <c r="M993" i="9" s="1"/>
  <c r="N993" i="9" s="1"/>
  <c r="K993" i="9"/>
  <c r="J993" i="9"/>
  <c r="I993" i="9"/>
  <c r="H993" i="9"/>
  <c r="G993" i="9"/>
  <c r="F993" i="9"/>
  <c r="E993" i="9"/>
  <c r="D993" i="9"/>
  <c r="C993" i="9"/>
  <c r="B993" i="9"/>
  <c r="A993" i="9"/>
  <c r="N992" i="9"/>
  <c r="L992" i="9"/>
  <c r="M992" i="9" s="1"/>
  <c r="K992" i="9"/>
  <c r="J992" i="9"/>
  <c r="I992" i="9"/>
  <c r="H992" i="9"/>
  <c r="G992" i="9"/>
  <c r="F992" i="9"/>
  <c r="E992" i="9"/>
  <c r="D992" i="9"/>
  <c r="C992" i="9"/>
  <c r="B992" i="9"/>
  <c r="A992" i="9"/>
  <c r="L991" i="9"/>
  <c r="M991" i="9" s="1"/>
  <c r="N991" i="9" s="1"/>
  <c r="K991" i="9"/>
  <c r="J991" i="9"/>
  <c r="I991" i="9"/>
  <c r="H991" i="9"/>
  <c r="G991" i="9"/>
  <c r="F991" i="9"/>
  <c r="E991" i="9"/>
  <c r="D991" i="9"/>
  <c r="C991" i="9"/>
  <c r="B991" i="9"/>
  <c r="A991" i="9"/>
  <c r="L990" i="9"/>
  <c r="M990" i="9" s="1"/>
  <c r="N990" i="9" s="1"/>
  <c r="K990" i="9"/>
  <c r="J990" i="9"/>
  <c r="I990" i="9"/>
  <c r="H990" i="9"/>
  <c r="G990" i="9"/>
  <c r="F990" i="9"/>
  <c r="E990" i="9"/>
  <c r="D990" i="9"/>
  <c r="C990" i="9"/>
  <c r="B990" i="9"/>
  <c r="A990" i="9"/>
  <c r="N989" i="9"/>
  <c r="L989" i="9"/>
  <c r="M989" i="9" s="1"/>
  <c r="K989" i="9"/>
  <c r="J989" i="9"/>
  <c r="I989" i="9"/>
  <c r="H989" i="9"/>
  <c r="G989" i="9"/>
  <c r="F989" i="9"/>
  <c r="E989" i="9"/>
  <c r="D989" i="9"/>
  <c r="C989" i="9"/>
  <c r="B989" i="9"/>
  <c r="A989" i="9"/>
  <c r="L988" i="9"/>
  <c r="M988" i="9" s="1"/>
  <c r="N988" i="9" s="1"/>
  <c r="K988" i="9"/>
  <c r="J988" i="9"/>
  <c r="I988" i="9"/>
  <c r="H988" i="9"/>
  <c r="G988" i="9"/>
  <c r="F988" i="9"/>
  <c r="E988" i="9"/>
  <c r="D988" i="9"/>
  <c r="C988" i="9"/>
  <c r="B988" i="9"/>
  <c r="A988" i="9"/>
  <c r="L987" i="9"/>
  <c r="M987" i="9" s="1"/>
  <c r="N987" i="9" s="1"/>
  <c r="K987" i="9"/>
  <c r="J987" i="9"/>
  <c r="I987" i="9"/>
  <c r="H987" i="9"/>
  <c r="G987" i="9"/>
  <c r="F987" i="9"/>
  <c r="E987" i="9"/>
  <c r="D987" i="9"/>
  <c r="C987" i="9"/>
  <c r="B987" i="9"/>
  <c r="A987" i="9"/>
  <c r="N986" i="9"/>
  <c r="L986" i="9"/>
  <c r="M986" i="9" s="1"/>
  <c r="K986" i="9"/>
  <c r="J986" i="9"/>
  <c r="I986" i="9"/>
  <c r="H986" i="9"/>
  <c r="G986" i="9"/>
  <c r="F986" i="9"/>
  <c r="E986" i="9"/>
  <c r="D986" i="9"/>
  <c r="C986" i="9"/>
  <c r="B986" i="9"/>
  <c r="A986" i="9"/>
  <c r="L985" i="9"/>
  <c r="M985" i="9" s="1"/>
  <c r="N985" i="9" s="1"/>
  <c r="K985" i="9"/>
  <c r="J985" i="9"/>
  <c r="I985" i="9"/>
  <c r="H985" i="9"/>
  <c r="G985" i="9"/>
  <c r="F985" i="9"/>
  <c r="E985" i="9"/>
  <c r="D985" i="9"/>
  <c r="C985" i="9"/>
  <c r="B985" i="9"/>
  <c r="A985" i="9"/>
  <c r="N984" i="9"/>
  <c r="L984" i="9"/>
  <c r="M984" i="9" s="1"/>
  <c r="K984" i="9"/>
  <c r="J984" i="9"/>
  <c r="I984" i="9"/>
  <c r="H984" i="9"/>
  <c r="G984" i="9"/>
  <c r="F984" i="9"/>
  <c r="E984" i="9"/>
  <c r="D984" i="9"/>
  <c r="C984" i="9"/>
  <c r="B984" i="9"/>
  <c r="A984" i="9"/>
  <c r="L983" i="9"/>
  <c r="M983" i="9" s="1"/>
  <c r="N983" i="9" s="1"/>
  <c r="K983" i="9"/>
  <c r="J983" i="9"/>
  <c r="I983" i="9"/>
  <c r="H983" i="9"/>
  <c r="G983" i="9"/>
  <c r="F983" i="9"/>
  <c r="E983" i="9"/>
  <c r="D983" i="9"/>
  <c r="C983" i="9"/>
  <c r="B983" i="9"/>
  <c r="A983" i="9"/>
  <c r="L982" i="9"/>
  <c r="M982" i="9" s="1"/>
  <c r="N982" i="9" s="1"/>
  <c r="K982" i="9"/>
  <c r="J982" i="9"/>
  <c r="I982" i="9"/>
  <c r="H982" i="9"/>
  <c r="G982" i="9"/>
  <c r="F982" i="9"/>
  <c r="E982" i="9"/>
  <c r="D982" i="9"/>
  <c r="C982" i="9"/>
  <c r="B982" i="9"/>
  <c r="A982" i="9"/>
  <c r="L981" i="9"/>
  <c r="M981" i="9" s="1"/>
  <c r="N981" i="9" s="1"/>
  <c r="K981" i="9"/>
  <c r="J981" i="9"/>
  <c r="I981" i="9"/>
  <c r="H981" i="9"/>
  <c r="G981" i="9"/>
  <c r="F981" i="9"/>
  <c r="E981" i="9"/>
  <c r="D981" i="9"/>
  <c r="C981" i="9"/>
  <c r="B981" i="9"/>
  <c r="A981" i="9"/>
  <c r="N980" i="9"/>
  <c r="L980" i="9"/>
  <c r="M980" i="9" s="1"/>
  <c r="K980" i="9"/>
  <c r="J980" i="9"/>
  <c r="I980" i="9"/>
  <c r="H980" i="9"/>
  <c r="G980" i="9"/>
  <c r="F980" i="9"/>
  <c r="E980" i="9"/>
  <c r="D980" i="9"/>
  <c r="C980" i="9"/>
  <c r="B980" i="9"/>
  <c r="A980" i="9"/>
  <c r="L979" i="9"/>
  <c r="M979" i="9" s="1"/>
  <c r="N979" i="9" s="1"/>
  <c r="K979" i="9"/>
  <c r="J979" i="9"/>
  <c r="I979" i="9"/>
  <c r="H979" i="9"/>
  <c r="G979" i="9"/>
  <c r="F979" i="9"/>
  <c r="E979" i="9"/>
  <c r="D979" i="9"/>
  <c r="C979" i="9"/>
  <c r="B979" i="9"/>
  <c r="A979" i="9"/>
  <c r="N978" i="9"/>
  <c r="L978" i="9"/>
  <c r="M978" i="9" s="1"/>
  <c r="K978" i="9"/>
  <c r="J978" i="9"/>
  <c r="I978" i="9"/>
  <c r="H978" i="9"/>
  <c r="G978" i="9"/>
  <c r="F978" i="9"/>
  <c r="E978" i="9"/>
  <c r="D978" i="9"/>
  <c r="C978" i="9"/>
  <c r="B978" i="9"/>
  <c r="A978" i="9"/>
  <c r="L977" i="9"/>
  <c r="M977" i="9" s="1"/>
  <c r="N977" i="9" s="1"/>
  <c r="K977" i="9"/>
  <c r="J977" i="9"/>
  <c r="I977" i="9"/>
  <c r="H977" i="9"/>
  <c r="G977" i="9"/>
  <c r="F977" i="9"/>
  <c r="E977" i="9"/>
  <c r="D977" i="9"/>
  <c r="C977" i="9"/>
  <c r="B977" i="9"/>
  <c r="A977" i="9"/>
  <c r="L976" i="9"/>
  <c r="M976" i="9" s="1"/>
  <c r="N976" i="9" s="1"/>
  <c r="K976" i="9"/>
  <c r="J976" i="9"/>
  <c r="I976" i="9"/>
  <c r="H976" i="9"/>
  <c r="G976" i="9"/>
  <c r="F976" i="9"/>
  <c r="E976" i="9"/>
  <c r="D976" i="9"/>
  <c r="C976" i="9"/>
  <c r="B976" i="9"/>
  <c r="A976" i="9"/>
  <c r="N975" i="9"/>
  <c r="L975" i="9"/>
  <c r="M975" i="9" s="1"/>
  <c r="K975" i="9"/>
  <c r="J975" i="9"/>
  <c r="I975" i="9"/>
  <c r="H975" i="9"/>
  <c r="G975" i="9"/>
  <c r="F975" i="9"/>
  <c r="E975" i="9"/>
  <c r="D975" i="9"/>
  <c r="C975" i="9"/>
  <c r="B975" i="9"/>
  <c r="A975" i="9"/>
  <c r="L974" i="9"/>
  <c r="M974" i="9" s="1"/>
  <c r="N974" i="9" s="1"/>
  <c r="K974" i="9"/>
  <c r="J974" i="9"/>
  <c r="I974" i="9"/>
  <c r="H974" i="9"/>
  <c r="G974" i="9"/>
  <c r="F974" i="9"/>
  <c r="E974" i="9"/>
  <c r="D974" i="9"/>
  <c r="C974" i="9"/>
  <c r="B974" i="9"/>
  <c r="A974" i="9"/>
  <c r="L973" i="9"/>
  <c r="M973" i="9" s="1"/>
  <c r="N973" i="9" s="1"/>
  <c r="K973" i="9"/>
  <c r="J973" i="9"/>
  <c r="I973" i="9"/>
  <c r="H973" i="9"/>
  <c r="G973" i="9"/>
  <c r="F973" i="9"/>
  <c r="E973" i="9"/>
  <c r="D973" i="9"/>
  <c r="C973" i="9"/>
  <c r="B973" i="9"/>
  <c r="A973" i="9"/>
  <c r="N972" i="9"/>
  <c r="L972" i="9"/>
  <c r="M972" i="9" s="1"/>
  <c r="K972" i="9"/>
  <c r="J972" i="9"/>
  <c r="I972" i="9"/>
  <c r="H972" i="9"/>
  <c r="G972" i="9"/>
  <c r="F972" i="9"/>
  <c r="E972" i="9"/>
  <c r="D972" i="9"/>
  <c r="C972" i="9"/>
  <c r="B972" i="9"/>
  <c r="A972" i="9"/>
  <c r="L971" i="9"/>
  <c r="M971" i="9" s="1"/>
  <c r="N971" i="9" s="1"/>
  <c r="K971" i="9"/>
  <c r="J971" i="9"/>
  <c r="I971" i="9"/>
  <c r="H971" i="9"/>
  <c r="G971" i="9"/>
  <c r="F971" i="9"/>
  <c r="E971" i="9"/>
  <c r="D971" i="9"/>
  <c r="C971" i="9"/>
  <c r="B971" i="9"/>
  <c r="A971" i="9"/>
  <c r="N970" i="9"/>
  <c r="L970" i="9"/>
  <c r="M970" i="9" s="1"/>
  <c r="K970" i="9"/>
  <c r="J970" i="9"/>
  <c r="I970" i="9"/>
  <c r="H970" i="9"/>
  <c r="G970" i="9"/>
  <c r="F970" i="9"/>
  <c r="E970" i="9"/>
  <c r="D970" i="9"/>
  <c r="C970" i="9"/>
  <c r="B970" i="9"/>
  <c r="A970" i="9"/>
  <c r="N969" i="9"/>
  <c r="L969" i="9"/>
  <c r="M969" i="9" s="1"/>
  <c r="K969" i="9"/>
  <c r="J969" i="9"/>
  <c r="I969" i="9"/>
  <c r="H969" i="9"/>
  <c r="G969" i="9"/>
  <c r="F969" i="9"/>
  <c r="E969" i="9"/>
  <c r="D969" i="9"/>
  <c r="C969" i="9"/>
  <c r="B969" i="9"/>
  <c r="A969" i="9"/>
  <c r="N968" i="9"/>
  <c r="L968" i="9"/>
  <c r="M968" i="9" s="1"/>
  <c r="K968" i="9"/>
  <c r="J968" i="9"/>
  <c r="I968" i="9"/>
  <c r="H968" i="9"/>
  <c r="G968" i="9"/>
  <c r="F968" i="9"/>
  <c r="E968" i="9"/>
  <c r="D968" i="9"/>
  <c r="C968" i="9"/>
  <c r="B968" i="9"/>
  <c r="A968" i="9"/>
  <c r="L967" i="9"/>
  <c r="M967" i="9" s="1"/>
  <c r="N967" i="9" s="1"/>
  <c r="K967" i="9"/>
  <c r="J967" i="9"/>
  <c r="I967" i="9"/>
  <c r="H967" i="9"/>
  <c r="G967" i="9"/>
  <c r="F967" i="9"/>
  <c r="E967" i="9"/>
  <c r="D967" i="9"/>
  <c r="C967" i="9"/>
  <c r="B967" i="9"/>
  <c r="A967" i="9"/>
  <c r="N966" i="9"/>
  <c r="L966" i="9"/>
  <c r="M966" i="9" s="1"/>
  <c r="K966" i="9"/>
  <c r="J966" i="9"/>
  <c r="I966" i="9"/>
  <c r="H966" i="9"/>
  <c r="G966" i="9"/>
  <c r="F966" i="9"/>
  <c r="E966" i="9"/>
  <c r="D966" i="9"/>
  <c r="C966" i="9"/>
  <c r="B966" i="9"/>
  <c r="A966" i="9"/>
  <c r="L965" i="9"/>
  <c r="M965" i="9" s="1"/>
  <c r="N965" i="9" s="1"/>
  <c r="K965" i="9"/>
  <c r="J965" i="9"/>
  <c r="I965" i="9"/>
  <c r="H965" i="9"/>
  <c r="G965" i="9"/>
  <c r="F965" i="9"/>
  <c r="E965" i="9"/>
  <c r="D965" i="9"/>
  <c r="C965" i="9"/>
  <c r="B965" i="9"/>
  <c r="A965" i="9"/>
  <c r="N964" i="9"/>
  <c r="L964" i="9"/>
  <c r="M964" i="9" s="1"/>
  <c r="K964" i="9"/>
  <c r="J964" i="9"/>
  <c r="I964" i="9"/>
  <c r="H964" i="9"/>
  <c r="G964" i="9"/>
  <c r="F964" i="9"/>
  <c r="E964" i="9"/>
  <c r="D964" i="9"/>
  <c r="C964" i="9"/>
  <c r="B964" i="9"/>
  <c r="A964" i="9"/>
  <c r="L963" i="9"/>
  <c r="M963" i="9" s="1"/>
  <c r="N963" i="9" s="1"/>
  <c r="K963" i="9"/>
  <c r="J963" i="9"/>
  <c r="I963" i="9"/>
  <c r="H963" i="9"/>
  <c r="G963" i="9"/>
  <c r="F963" i="9"/>
  <c r="E963" i="9"/>
  <c r="D963" i="9"/>
  <c r="C963" i="9"/>
  <c r="B963" i="9"/>
  <c r="A963" i="9"/>
  <c r="L962" i="9"/>
  <c r="M962" i="9" s="1"/>
  <c r="N962" i="9" s="1"/>
  <c r="K962" i="9"/>
  <c r="J962" i="9"/>
  <c r="I962" i="9"/>
  <c r="H962" i="9"/>
  <c r="G962" i="9"/>
  <c r="F962" i="9"/>
  <c r="E962" i="9"/>
  <c r="D962" i="9"/>
  <c r="C962" i="9"/>
  <c r="B962" i="9"/>
  <c r="A962" i="9"/>
  <c r="N961" i="9"/>
  <c r="L961" i="9"/>
  <c r="M961" i="9" s="1"/>
  <c r="K961" i="9"/>
  <c r="J961" i="9"/>
  <c r="I961" i="9"/>
  <c r="H961" i="9"/>
  <c r="G961" i="9"/>
  <c r="F961" i="9"/>
  <c r="E961" i="9"/>
  <c r="D961" i="9"/>
  <c r="C961" i="9"/>
  <c r="B961" i="9"/>
  <c r="A961" i="9"/>
  <c r="L960" i="9"/>
  <c r="M960" i="9" s="1"/>
  <c r="N960" i="9" s="1"/>
  <c r="K960" i="9"/>
  <c r="J960" i="9"/>
  <c r="I960" i="9"/>
  <c r="H960" i="9"/>
  <c r="G960" i="9"/>
  <c r="F960" i="9"/>
  <c r="E960" i="9"/>
  <c r="D960" i="9"/>
  <c r="C960" i="9"/>
  <c r="B960" i="9"/>
  <c r="A960" i="9"/>
  <c r="L959" i="9"/>
  <c r="M959" i="9" s="1"/>
  <c r="N959" i="9" s="1"/>
  <c r="K959" i="9"/>
  <c r="J959" i="9"/>
  <c r="I959" i="9"/>
  <c r="H959" i="9"/>
  <c r="G959" i="9"/>
  <c r="F959" i="9"/>
  <c r="E959" i="9"/>
  <c r="D959" i="9"/>
  <c r="C959" i="9"/>
  <c r="B959" i="9"/>
  <c r="A959" i="9"/>
  <c r="N958" i="9"/>
  <c r="L958" i="9"/>
  <c r="M958" i="9" s="1"/>
  <c r="K958" i="9"/>
  <c r="J958" i="9"/>
  <c r="I958" i="9"/>
  <c r="H958" i="9"/>
  <c r="G958" i="9"/>
  <c r="F958" i="9"/>
  <c r="E958" i="9"/>
  <c r="D958" i="9"/>
  <c r="C958" i="9"/>
  <c r="B958" i="9"/>
  <c r="A958" i="9"/>
  <c r="L957" i="9"/>
  <c r="M957" i="9" s="1"/>
  <c r="N957" i="9" s="1"/>
  <c r="K957" i="9"/>
  <c r="J957" i="9"/>
  <c r="I957" i="9"/>
  <c r="H957" i="9"/>
  <c r="G957" i="9"/>
  <c r="F957" i="9"/>
  <c r="E957" i="9"/>
  <c r="D957" i="9"/>
  <c r="C957" i="9"/>
  <c r="B957" i="9"/>
  <c r="A957" i="9"/>
  <c r="N956" i="9"/>
  <c r="L956" i="9"/>
  <c r="M956" i="9" s="1"/>
  <c r="K956" i="9"/>
  <c r="J956" i="9"/>
  <c r="I956" i="9"/>
  <c r="H956" i="9"/>
  <c r="G956" i="9"/>
  <c r="F956" i="9"/>
  <c r="E956" i="9"/>
  <c r="D956" i="9"/>
  <c r="C956" i="9"/>
  <c r="B956" i="9"/>
  <c r="A956" i="9"/>
  <c r="L955" i="9"/>
  <c r="M955" i="9" s="1"/>
  <c r="N955" i="9" s="1"/>
  <c r="K955" i="9"/>
  <c r="J955" i="9"/>
  <c r="I955" i="9"/>
  <c r="H955" i="9"/>
  <c r="G955" i="9"/>
  <c r="F955" i="9"/>
  <c r="E955" i="9"/>
  <c r="D955" i="9"/>
  <c r="C955" i="9"/>
  <c r="B955" i="9"/>
  <c r="A955" i="9"/>
  <c r="L954" i="9"/>
  <c r="M954" i="9" s="1"/>
  <c r="N954" i="9" s="1"/>
  <c r="K954" i="9"/>
  <c r="J954" i="9"/>
  <c r="I954" i="9"/>
  <c r="H954" i="9"/>
  <c r="G954" i="9"/>
  <c r="F954" i="9"/>
  <c r="E954" i="9"/>
  <c r="D954" i="9"/>
  <c r="C954" i="9"/>
  <c r="B954" i="9"/>
  <c r="A954" i="9"/>
  <c r="L953" i="9"/>
  <c r="M953" i="9" s="1"/>
  <c r="N953" i="9" s="1"/>
  <c r="K953" i="9"/>
  <c r="J953" i="9"/>
  <c r="I953" i="9"/>
  <c r="H953" i="9"/>
  <c r="G953" i="9"/>
  <c r="F953" i="9"/>
  <c r="E953" i="9"/>
  <c r="D953" i="9"/>
  <c r="C953" i="9"/>
  <c r="B953" i="9"/>
  <c r="A953" i="9"/>
  <c r="N952" i="9"/>
  <c r="L952" i="9"/>
  <c r="M952" i="9" s="1"/>
  <c r="K952" i="9"/>
  <c r="J952" i="9"/>
  <c r="I952" i="9"/>
  <c r="H952" i="9"/>
  <c r="G952" i="9"/>
  <c r="F952" i="9"/>
  <c r="E952" i="9"/>
  <c r="D952" i="9"/>
  <c r="C952" i="9"/>
  <c r="B952" i="9"/>
  <c r="A952" i="9"/>
  <c r="L951" i="9"/>
  <c r="M951" i="9" s="1"/>
  <c r="N951" i="9" s="1"/>
  <c r="K951" i="9"/>
  <c r="J951" i="9"/>
  <c r="I951" i="9"/>
  <c r="H951" i="9"/>
  <c r="G951" i="9"/>
  <c r="F951" i="9"/>
  <c r="E951" i="9"/>
  <c r="D951" i="9"/>
  <c r="C951" i="9"/>
  <c r="B951" i="9"/>
  <c r="A951" i="9"/>
  <c r="N950" i="9"/>
  <c r="L950" i="9"/>
  <c r="M950" i="9" s="1"/>
  <c r="K950" i="9"/>
  <c r="J950" i="9"/>
  <c r="I950" i="9"/>
  <c r="H950" i="9"/>
  <c r="G950" i="9"/>
  <c r="F950" i="9"/>
  <c r="E950" i="9"/>
  <c r="D950" i="9"/>
  <c r="C950" i="9"/>
  <c r="B950" i="9"/>
  <c r="A950" i="9"/>
  <c r="L949" i="9"/>
  <c r="M949" i="9" s="1"/>
  <c r="N949" i="9" s="1"/>
  <c r="K949" i="9"/>
  <c r="J949" i="9"/>
  <c r="I949" i="9"/>
  <c r="H949" i="9"/>
  <c r="G949" i="9"/>
  <c r="F949" i="9"/>
  <c r="E949" i="9"/>
  <c r="D949" i="9"/>
  <c r="C949" i="9"/>
  <c r="B949" i="9"/>
  <c r="A949" i="9"/>
  <c r="L948" i="9"/>
  <c r="M948" i="9" s="1"/>
  <c r="N948" i="9" s="1"/>
  <c r="K948" i="9"/>
  <c r="J948" i="9"/>
  <c r="I948" i="9"/>
  <c r="H948" i="9"/>
  <c r="G948" i="9"/>
  <c r="F948" i="9"/>
  <c r="E948" i="9"/>
  <c r="D948" i="9"/>
  <c r="C948" i="9"/>
  <c r="B948" i="9"/>
  <c r="A948" i="9"/>
  <c r="N947" i="9"/>
  <c r="L947" i="9"/>
  <c r="M947" i="9" s="1"/>
  <c r="K947" i="9"/>
  <c r="J947" i="9"/>
  <c r="I947" i="9"/>
  <c r="H947" i="9"/>
  <c r="G947" i="9"/>
  <c r="F947" i="9"/>
  <c r="E947" i="9"/>
  <c r="D947" i="9"/>
  <c r="C947" i="9"/>
  <c r="B947" i="9"/>
  <c r="A947" i="9"/>
  <c r="L946" i="9"/>
  <c r="M946" i="9" s="1"/>
  <c r="N946" i="9" s="1"/>
  <c r="K946" i="9"/>
  <c r="J946" i="9"/>
  <c r="I946" i="9"/>
  <c r="H946" i="9"/>
  <c r="G946" i="9"/>
  <c r="F946" i="9"/>
  <c r="E946" i="9"/>
  <c r="D946" i="9"/>
  <c r="C946" i="9"/>
  <c r="B946" i="9"/>
  <c r="A946" i="9"/>
  <c r="L945" i="9"/>
  <c r="M945" i="9" s="1"/>
  <c r="N945" i="9" s="1"/>
  <c r="K945" i="9"/>
  <c r="J945" i="9"/>
  <c r="I945" i="9"/>
  <c r="H945" i="9"/>
  <c r="G945" i="9"/>
  <c r="F945" i="9"/>
  <c r="E945" i="9"/>
  <c r="D945" i="9"/>
  <c r="C945" i="9"/>
  <c r="B945" i="9"/>
  <c r="A945" i="9"/>
  <c r="N944" i="9"/>
  <c r="L944" i="9"/>
  <c r="M944" i="9" s="1"/>
  <c r="K944" i="9"/>
  <c r="J944" i="9"/>
  <c r="I944" i="9"/>
  <c r="H944" i="9"/>
  <c r="G944" i="9"/>
  <c r="F944" i="9"/>
  <c r="E944" i="9"/>
  <c r="D944" i="9"/>
  <c r="C944" i="9"/>
  <c r="B944" i="9"/>
  <c r="A944" i="9"/>
  <c r="L943" i="9"/>
  <c r="M943" i="9" s="1"/>
  <c r="N943" i="9" s="1"/>
  <c r="K943" i="9"/>
  <c r="J943" i="9"/>
  <c r="I943" i="9"/>
  <c r="H943" i="9"/>
  <c r="G943" i="9"/>
  <c r="F943" i="9"/>
  <c r="E943" i="9"/>
  <c r="D943" i="9"/>
  <c r="C943" i="9"/>
  <c r="B943" i="9"/>
  <c r="A943" i="9"/>
  <c r="N942" i="9"/>
  <c r="L942" i="9"/>
  <c r="M942" i="9" s="1"/>
  <c r="K942" i="9"/>
  <c r="J942" i="9"/>
  <c r="I942" i="9"/>
  <c r="H942" i="9"/>
  <c r="G942" i="9"/>
  <c r="F942" i="9"/>
  <c r="E942" i="9"/>
  <c r="D942" i="9"/>
  <c r="C942" i="9"/>
  <c r="B942" i="9"/>
  <c r="A942" i="9"/>
  <c r="N941" i="9"/>
  <c r="L941" i="9"/>
  <c r="M941" i="9" s="1"/>
  <c r="K941" i="9"/>
  <c r="J941" i="9"/>
  <c r="I941" i="9"/>
  <c r="H941" i="9"/>
  <c r="G941" i="9"/>
  <c r="F941" i="9"/>
  <c r="E941" i="9"/>
  <c r="D941" i="9"/>
  <c r="C941" i="9"/>
  <c r="B941" i="9"/>
  <c r="A941" i="9"/>
  <c r="N940" i="9"/>
  <c r="L940" i="9"/>
  <c r="M940" i="9" s="1"/>
  <c r="K940" i="9"/>
  <c r="J940" i="9"/>
  <c r="I940" i="9"/>
  <c r="H940" i="9"/>
  <c r="G940" i="9"/>
  <c r="F940" i="9"/>
  <c r="E940" i="9"/>
  <c r="D940" i="9"/>
  <c r="C940" i="9"/>
  <c r="B940" i="9"/>
  <c r="A940" i="9"/>
  <c r="L939" i="9"/>
  <c r="M939" i="9" s="1"/>
  <c r="N939" i="9" s="1"/>
  <c r="K939" i="9"/>
  <c r="J939" i="9"/>
  <c r="I939" i="9"/>
  <c r="H939" i="9"/>
  <c r="G939" i="9"/>
  <c r="F939" i="9"/>
  <c r="E939" i="9"/>
  <c r="D939" i="9"/>
  <c r="C939" i="9"/>
  <c r="B939" i="9"/>
  <c r="A939" i="9"/>
  <c r="N938" i="9"/>
  <c r="L938" i="9"/>
  <c r="M938" i="9" s="1"/>
  <c r="K938" i="9"/>
  <c r="J938" i="9"/>
  <c r="I938" i="9"/>
  <c r="H938" i="9"/>
  <c r="G938" i="9"/>
  <c r="F938" i="9"/>
  <c r="E938" i="9"/>
  <c r="D938" i="9"/>
  <c r="C938" i="9"/>
  <c r="B938" i="9"/>
  <c r="A938" i="9"/>
  <c r="L937" i="9"/>
  <c r="M937" i="9" s="1"/>
  <c r="N937" i="9" s="1"/>
  <c r="K937" i="9"/>
  <c r="J937" i="9"/>
  <c r="I937" i="9"/>
  <c r="H937" i="9"/>
  <c r="G937" i="9"/>
  <c r="F937" i="9"/>
  <c r="E937" i="9"/>
  <c r="D937" i="9"/>
  <c r="C937" i="9"/>
  <c r="B937" i="9"/>
  <c r="A937" i="9"/>
  <c r="N936" i="9"/>
  <c r="L936" i="9"/>
  <c r="M936" i="9" s="1"/>
  <c r="K936" i="9"/>
  <c r="J936" i="9"/>
  <c r="I936" i="9"/>
  <c r="H936" i="9"/>
  <c r="G936" i="9"/>
  <c r="F936" i="9"/>
  <c r="E936" i="9"/>
  <c r="D936" i="9"/>
  <c r="C936" i="9"/>
  <c r="B936" i="9"/>
  <c r="A936" i="9"/>
  <c r="L935" i="9"/>
  <c r="M935" i="9" s="1"/>
  <c r="N935" i="9" s="1"/>
  <c r="K935" i="9"/>
  <c r="J935" i="9"/>
  <c r="I935" i="9"/>
  <c r="H935" i="9"/>
  <c r="G935" i="9"/>
  <c r="F935" i="9"/>
  <c r="E935" i="9"/>
  <c r="D935" i="9"/>
  <c r="C935" i="9"/>
  <c r="B935" i="9"/>
  <c r="A935" i="9"/>
  <c r="L934" i="9"/>
  <c r="M934" i="9" s="1"/>
  <c r="N934" i="9" s="1"/>
  <c r="K934" i="9"/>
  <c r="J934" i="9"/>
  <c r="I934" i="9"/>
  <c r="H934" i="9"/>
  <c r="G934" i="9"/>
  <c r="F934" i="9"/>
  <c r="E934" i="9"/>
  <c r="D934" i="9"/>
  <c r="C934" i="9"/>
  <c r="B934" i="9"/>
  <c r="A934" i="9"/>
  <c r="N933" i="9"/>
  <c r="L933" i="9"/>
  <c r="M933" i="9" s="1"/>
  <c r="K933" i="9"/>
  <c r="J933" i="9"/>
  <c r="I933" i="9"/>
  <c r="H933" i="9"/>
  <c r="G933" i="9"/>
  <c r="F933" i="9"/>
  <c r="E933" i="9"/>
  <c r="D933" i="9"/>
  <c r="C933" i="9"/>
  <c r="B933" i="9"/>
  <c r="A933" i="9"/>
  <c r="L932" i="9"/>
  <c r="M932" i="9" s="1"/>
  <c r="N932" i="9" s="1"/>
  <c r="K932" i="9"/>
  <c r="J932" i="9"/>
  <c r="I932" i="9"/>
  <c r="H932" i="9"/>
  <c r="G932" i="9"/>
  <c r="F932" i="9"/>
  <c r="E932" i="9"/>
  <c r="D932" i="9"/>
  <c r="C932" i="9"/>
  <c r="B932" i="9"/>
  <c r="A932" i="9"/>
  <c r="L931" i="9"/>
  <c r="M931" i="9" s="1"/>
  <c r="N931" i="9" s="1"/>
  <c r="K931" i="9"/>
  <c r="J931" i="9"/>
  <c r="I931" i="9"/>
  <c r="H931" i="9"/>
  <c r="G931" i="9"/>
  <c r="F931" i="9"/>
  <c r="E931" i="9"/>
  <c r="D931" i="9"/>
  <c r="C931" i="9"/>
  <c r="B931" i="9"/>
  <c r="A931" i="9"/>
  <c r="N930" i="9"/>
  <c r="L930" i="9"/>
  <c r="M930" i="9" s="1"/>
  <c r="K930" i="9"/>
  <c r="J930" i="9"/>
  <c r="I930" i="9"/>
  <c r="H930" i="9"/>
  <c r="G930" i="9"/>
  <c r="F930" i="9"/>
  <c r="E930" i="9"/>
  <c r="D930" i="9"/>
  <c r="C930" i="9"/>
  <c r="B930" i="9"/>
  <c r="A930" i="9"/>
  <c r="L929" i="9"/>
  <c r="M929" i="9" s="1"/>
  <c r="N929" i="9" s="1"/>
  <c r="K929" i="9"/>
  <c r="J929" i="9"/>
  <c r="I929" i="9"/>
  <c r="H929" i="9"/>
  <c r="G929" i="9"/>
  <c r="F929" i="9"/>
  <c r="E929" i="9"/>
  <c r="D929" i="9"/>
  <c r="C929" i="9"/>
  <c r="B929" i="9"/>
  <c r="A929" i="9"/>
  <c r="N928" i="9"/>
  <c r="L928" i="9"/>
  <c r="M928" i="9" s="1"/>
  <c r="K928" i="9"/>
  <c r="J928" i="9"/>
  <c r="I928" i="9"/>
  <c r="H928" i="9"/>
  <c r="G928" i="9"/>
  <c r="F928" i="9"/>
  <c r="E928" i="9"/>
  <c r="D928" i="9"/>
  <c r="C928" i="9"/>
  <c r="B928" i="9"/>
  <c r="A928" i="9"/>
  <c r="L927" i="9"/>
  <c r="M927" i="9" s="1"/>
  <c r="N927" i="9" s="1"/>
  <c r="K927" i="9"/>
  <c r="J927" i="9"/>
  <c r="I927" i="9"/>
  <c r="H927" i="9"/>
  <c r="G927" i="9"/>
  <c r="F927" i="9"/>
  <c r="E927" i="9"/>
  <c r="D927" i="9"/>
  <c r="C927" i="9"/>
  <c r="B927" i="9"/>
  <c r="A927" i="9"/>
  <c r="L926" i="9"/>
  <c r="M926" i="9" s="1"/>
  <c r="N926" i="9" s="1"/>
  <c r="K926" i="9"/>
  <c r="J926" i="9"/>
  <c r="I926" i="9"/>
  <c r="H926" i="9"/>
  <c r="G926" i="9"/>
  <c r="F926" i="9"/>
  <c r="E926" i="9"/>
  <c r="D926" i="9"/>
  <c r="C926" i="9"/>
  <c r="B926" i="9"/>
  <c r="A926" i="9"/>
  <c r="L925" i="9"/>
  <c r="M925" i="9" s="1"/>
  <c r="N925" i="9" s="1"/>
  <c r="K925" i="9"/>
  <c r="J925" i="9"/>
  <c r="I925" i="9"/>
  <c r="H925" i="9"/>
  <c r="G925" i="9"/>
  <c r="F925" i="9"/>
  <c r="E925" i="9"/>
  <c r="D925" i="9"/>
  <c r="C925" i="9"/>
  <c r="B925" i="9"/>
  <c r="A925" i="9"/>
  <c r="L924" i="9"/>
  <c r="M924" i="9" s="1"/>
  <c r="N924" i="9" s="1"/>
  <c r="K924" i="9"/>
  <c r="J924" i="9"/>
  <c r="I924" i="9"/>
  <c r="H924" i="9"/>
  <c r="G924" i="9"/>
  <c r="F924" i="9"/>
  <c r="E924" i="9"/>
  <c r="D924" i="9"/>
  <c r="C924" i="9"/>
  <c r="B924" i="9"/>
  <c r="A924" i="9"/>
  <c r="L923" i="9"/>
  <c r="M923" i="9" s="1"/>
  <c r="N923" i="9" s="1"/>
  <c r="K923" i="9"/>
  <c r="J923" i="9"/>
  <c r="I923" i="9"/>
  <c r="H923" i="9"/>
  <c r="G923" i="9"/>
  <c r="F923" i="9"/>
  <c r="E923" i="9"/>
  <c r="D923" i="9"/>
  <c r="C923" i="9"/>
  <c r="B923" i="9"/>
  <c r="A923" i="9"/>
  <c r="L922" i="9"/>
  <c r="M922" i="9" s="1"/>
  <c r="N922" i="9" s="1"/>
  <c r="K922" i="9"/>
  <c r="J922" i="9"/>
  <c r="I922" i="9"/>
  <c r="H922" i="9"/>
  <c r="G922" i="9"/>
  <c r="F922" i="9"/>
  <c r="E922" i="9"/>
  <c r="D922" i="9"/>
  <c r="C922" i="9"/>
  <c r="B922" i="9"/>
  <c r="A922" i="9"/>
  <c r="N921" i="9"/>
  <c r="L921" i="9"/>
  <c r="M921" i="9" s="1"/>
  <c r="K921" i="9"/>
  <c r="J921" i="9"/>
  <c r="I921" i="9"/>
  <c r="H921" i="9"/>
  <c r="G921" i="9"/>
  <c r="F921" i="9"/>
  <c r="E921" i="9"/>
  <c r="D921" i="9"/>
  <c r="C921" i="9"/>
  <c r="B921" i="9"/>
  <c r="A921" i="9"/>
  <c r="N920" i="9"/>
  <c r="L920" i="9"/>
  <c r="M920" i="9" s="1"/>
  <c r="K920" i="9"/>
  <c r="J920" i="9"/>
  <c r="I920" i="9"/>
  <c r="H920" i="9"/>
  <c r="G920" i="9"/>
  <c r="F920" i="9"/>
  <c r="E920" i="9"/>
  <c r="D920" i="9"/>
  <c r="C920" i="9"/>
  <c r="B920" i="9"/>
  <c r="A920" i="9"/>
  <c r="N919" i="9"/>
  <c r="L919" i="9"/>
  <c r="M919" i="9" s="1"/>
  <c r="K919" i="9"/>
  <c r="J919" i="9"/>
  <c r="I919" i="9"/>
  <c r="H919" i="9"/>
  <c r="G919" i="9"/>
  <c r="F919" i="9"/>
  <c r="E919" i="9"/>
  <c r="D919" i="9"/>
  <c r="C919" i="9"/>
  <c r="B919" i="9"/>
  <c r="A919" i="9"/>
  <c r="L918" i="9"/>
  <c r="M918" i="9" s="1"/>
  <c r="N918" i="9" s="1"/>
  <c r="K918" i="9"/>
  <c r="J918" i="9"/>
  <c r="I918" i="9"/>
  <c r="H918" i="9"/>
  <c r="G918" i="9"/>
  <c r="F918" i="9"/>
  <c r="E918" i="9"/>
  <c r="D918" i="9"/>
  <c r="C918" i="9"/>
  <c r="B918" i="9"/>
  <c r="A918" i="9"/>
  <c r="L917" i="9"/>
  <c r="M917" i="9" s="1"/>
  <c r="N917" i="9" s="1"/>
  <c r="K917" i="9"/>
  <c r="J917" i="9"/>
  <c r="I917" i="9"/>
  <c r="H917" i="9"/>
  <c r="G917" i="9"/>
  <c r="F917" i="9"/>
  <c r="E917" i="9"/>
  <c r="D917" i="9"/>
  <c r="C917" i="9"/>
  <c r="B917" i="9"/>
  <c r="A917" i="9"/>
  <c r="L916" i="9"/>
  <c r="M916" i="9" s="1"/>
  <c r="N916" i="9" s="1"/>
  <c r="K916" i="9"/>
  <c r="J916" i="9"/>
  <c r="I916" i="9"/>
  <c r="H916" i="9"/>
  <c r="G916" i="9"/>
  <c r="F916" i="9"/>
  <c r="E916" i="9"/>
  <c r="D916" i="9"/>
  <c r="C916" i="9"/>
  <c r="B916" i="9"/>
  <c r="A916" i="9"/>
  <c r="L915" i="9"/>
  <c r="M915" i="9" s="1"/>
  <c r="N915" i="9" s="1"/>
  <c r="K915" i="9"/>
  <c r="J915" i="9"/>
  <c r="I915" i="9"/>
  <c r="H915" i="9"/>
  <c r="G915" i="9"/>
  <c r="F915" i="9"/>
  <c r="E915" i="9"/>
  <c r="D915" i="9"/>
  <c r="C915" i="9"/>
  <c r="B915" i="9"/>
  <c r="A915" i="9"/>
  <c r="N914" i="9"/>
  <c r="L914" i="9"/>
  <c r="M914" i="9" s="1"/>
  <c r="K914" i="9"/>
  <c r="J914" i="9"/>
  <c r="I914" i="9"/>
  <c r="H914" i="9"/>
  <c r="G914" i="9"/>
  <c r="F914" i="9"/>
  <c r="E914" i="9"/>
  <c r="D914" i="9"/>
  <c r="C914" i="9"/>
  <c r="B914" i="9"/>
  <c r="A914" i="9"/>
  <c r="L913" i="9"/>
  <c r="M913" i="9" s="1"/>
  <c r="N913" i="9" s="1"/>
  <c r="K913" i="9"/>
  <c r="J913" i="9"/>
  <c r="I913" i="9"/>
  <c r="H913" i="9"/>
  <c r="G913" i="9"/>
  <c r="F913" i="9"/>
  <c r="E913" i="9"/>
  <c r="D913" i="9"/>
  <c r="C913" i="9"/>
  <c r="B913" i="9"/>
  <c r="A913" i="9"/>
  <c r="L912" i="9"/>
  <c r="M912" i="9" s="1"/>
  <c r="N912" i="9" s="1"/>
  <c r="K912" i="9"/>
  <c r="J912" i="9"/>
  <c r="I912" i="9"/>
  <c r="H912" i="9"/>
  <c r="G912" i="9"/>
  <c r="F912" i="9"/>
  <c r="E912" i="9"/>
  <c r="D912" i="9"/>
  <c r="C912" i="9"/>
  <c r="B912" i="9"/>
  <c r="A912" i="9"/>
  <c r="L911" i="9"/>
  <c r="M911" i="9" s="1"/>
  <c r="N911" i="9" s="1"/>
  <c r="K911" i="9"/>
  <c r="J911" i="9"/>
  <c r="I911" i="9"/>
  <c r="H911" i="9"/>
  <c r="G911" i="9"/>
  <c r="F911" i="9"/>
  <c r="E911" i="9"/>
  <c r="D911" i="9"/>
  <c r="C911" i="9"/>
  <c r="B911" i="9"/>
  <c r="A911" i="9"/>
  <c r="L910" i="9"/>
  <c r="M910" i="9" s="1"/>
  <c r="N910" i="9" s="1"/>
  <c r="K910" i="9"/>
  <c r="J910" i="9"/>
  <c r="I910" i="9"/>
  <c r="H910" i="9"/>
  <c r="G910" i="9"/>
  <c r="F910" i="9"/>
  <c r="E910" i="9"/>
  <c r="D910" i="9"/>
  <c r="C910" i="9"/>
  <c r="B910" i="9"/>
  <c r="A910" i="9"/>
  <c r="L909" i="9"/>
  <c r="M909" i="9" s="1"/>
  <c r="N909" i="9" s="1"/>
  <c r="K909" i="9"/>
  <c r="J909" i="9"/>
  <c r="I909" i="9"/>
  <c r="H909" i="9"/>
  <c r="G909" i="9"/>
  <c r="F909" i="9"/>
  <c r="E909" i="9"/>
  <c r="D909" i="9"/>
  <c r="C909" i="9"/>
  <c r="B909" i="9"/>
  <c r="A909" i="9"/>
  <c r="L908" i="9"/>
  <c r="M908" i="9" s="1"/>
  <c r="N908" i="9" s="1"/>
  <c r="K908" i="9"/>
  <c r="J908" i="9"/>
  <c r="I908" i="9"/>
  <c r="H908" i="9"/>
  <c r="G908" i="9"/>
  <c r="F908" i="9"/>
  <c r="E908" i="9"/>
  <c r="D908" i="9"/>
  <c r="C908" i="9"/>
  <c r="B908" i="9"/>
  <c r="A908" i="9"/>
  <c r="N907" i="9"/>
  <c r="L907" i="9"/>
  <c r="M907" i="9" s="1"/>
  <c r="K907" i="9"/>
  <c r="J907" i="9"/>
  <c r="I907" i="9"/>
  <c r="H907" i="9"/>
  <c r="G907" i="9"/>
  <c r="F907" i="9"/>
  <c r="E907" i="9"/>
  <c r="D907" i="9"/>
  <c r="C907" i="9"/>
  <c r="B907" i="9"/>
  <c r="A907" i="9"/>
  <c r="N906" i="9"/>
  <c r="L906" i="9"/>
  <c r="M906" i="9" s="1"/>
  <c r="K906" i="9"/>
  <c r="J906" i="9"/>
  <c r="I906" i="9"/>
  <c r="H906" i="9"/>
  <c r="G906" i="9"/>
  <c r="F906" i="9"/>
  <c r="E906" i="9"/>
  <c r="D906" i="9"/>
  <c r="C906" i="9"/>
  <c r="B906" i="9"/>
  <c r="A906" i="9"/>
  <c r="N905" i="9"/>
  <c r="L905" i="9"/>
  <c r="M905" i="9" s="1"/>
  <c r="K905" i="9"/>
  <c r="J905" i="9"/>
  <c r="I905" i="9"/>
  <c r="H905" i="9"/>
  <c r="G905" i="9"/>
  <c r="F905" i="9"/>
  <c r="E905" i="9"/>
  <c r="D905" i="9"/>
  <c r="C905" i="9"/>
  <c r="B905" i="9"/>
  <c r="A905" i="9"/>
  <c r="L904" i="9"/>
  <c r="M904" i="9" s="1"/>
  <c r="N904" i="9" s="1"/>
  <c r="K904" i="9"/>
  <c r="J904" i="9"/>
  <c r="I904" i="9"/>
  <c r="H904" i="9"/>
  <c r="G904" i="9"/>
  <c r="F904" i="9"/>
  <c r="E904" i="9"/>
  <c r="D904" i="9"/>
  <c r="C904" i="9"/>
  <c r="B904" i="9"/>
  <c r="A904" i="9"/>
  <c r="L903" i="9"/>
  <c r="M903" i="9" s="1"/>
  <c r="N903" i="9" s="1"/>
  <c r="K903" i="9"/>
  <c r="J903" i="9"/>
  <c r="I903" i="9"/>
  <c r="H903" i="9"/>
  <c r="G903" i="9"/>
  <c r="F903" i="9"/>
  <c r="E903" i="9"/>
  <c r="D903" i="9"/>
  <c r="C903" i="9"/>
  <c r="B903" i="9"/>
  <c r="A903" i="9"/>
  <c r="L902" i="9"/>
  <c r="M902" i="9" s="1"/>
  <c r="N902" i="9" s="1"/>
  <c r="K902" i="9"/>
  <c r="J902" i="9"/>
  <c r="I902" i="9"/>
  <c r="H902" i="9"/>
  <c r="G902" i="9"/>
  <c r="F902" i="9"/>
  <c r="E902" i="9"/>
  <c r="D902" i="9"/>
  <c r="C902" i="9"/>
  <c r="B902" i="9"/>
  <c r="A902" i="9"/>
  <c r="L901" i="9"/>
  <c r="M901" i="9" s="1"/>
  <c r="N901" i="9" s="1"/>
  <c r="K901" i="9"/>
  <c r="J901" i="9"/>
  <c r="I901" i="9"/>
  <c r="H901" i="9"/>
  <c r="G901" i="9"/>
  <c r="F901" i="9"/>
  <c r="E901" i="9"/>
  <c r="D901" i="9"/>
  <c r="C901" i="9"/>
  <c r="B901" i="9"/>
  <c r="A901" i="9"/>
  <c r="N900" i="9"/>
  <c r="L900" i="9"/>
  <c r="M900" i="9" s="1"/>
  <c r="K900" i="9"/>
  <c r="J900" i="9"/>
  <c r="I900" i="9"/>
  <c r="H900" i="9"/>
  <c r="G900" i="9"/>
  <c r="F900" i="9"/>
  <c r="E900" i="9"/>
  <c r="D900" i="9"/>
  <c r="C900" i="9"/>
  <c r="B900" i="9"/>
  <c r="A900" i="9"/>
  <c r="L899" i="9"/>
  <c r="M899" i="9" s="1"/>
  <c r="N899" i="9" s="1"/>
  <c r="K899" i="9"/>
  <c r="J899" i="9"/>
  <c r="I899" i="9"/>
  <c r="H899" i="9"/>
  <c r="G899" i="9"/>
  <c r="F899" i="9"/>
  <c r="E899" i="9"/>
  <c r="D899" i="9"/>
  <c r="C899" i="9"/>
  <c r="B899" i="9"/>
  <c r="A899" i="9"/>
  <c r="L898" i="9"/>
  <c r="M898" i="9" s="1"/>
  <c r="N898" i="9" s="1"/>
  <c r="K898" i="9"/>
  <c r="J898" i="9"/>
  <c r="I898" i="9"/>
  <c r="H898" i="9"/>
  <c r="G898" i="9"/>
  <c r="F898" i="9"/>
  <c r="E898" i="9"/>
  <c r="D898" i="9"/>
  <c r="C898" i="9"/>
  <c r="B898" i="9"/>
  <c r="A898" i="9"/>
  <c r="L897" i="9"/>
  <c r="M897" i="9" s="1"/>
  <c r="N897" i="9" s="1"/>
  <c r="K897" i="9"/>
  <c r="J897" i="9"/>
  <c r="I897" i="9"/>
  <c r="H897" i="9"/>
  <c r="G897" i="9"/>
  <c r="F897" i="9"/>
  <c r="E897" i="9"/>
  <c r="D897" i="9"/>
  <c r="C897" i="9"/>
  <c r="B897" i="9"/>
  <c r="A897" i="9"/>
  <c r="L896" i="9"/>
  <c r="M896" i="9" s="1"/>
  <c r="N896" i="9" s="1"/>
  <c r="K896" i="9"/>
  <c r="J896" i="9"/>
  <c r="I896" i="9"/>
  <c r="H896" i="9"/>
  <c r="G896" i="9"/>
  <c r="F896" i="9"/>
  <c r="E896" i="9"/>
  <c r="D896" i="9"/>
  <c r="C896" i="9"/>
  <c r="B896" i="9"/>
  <c r="A896" i="9"/>
  <c r="L895" i="9"/>
  <c r="M895" i="9" s="1"/>
  <c r="N895" i="9" s="1"/>
  <c r="K895" i="9"/>
  <c r="J895" i="9"/>
  <c r="I895" i="9"/>
  <c r="H895" i="9"/>
  <c r="G895" i="9"/>
  <c r="F895" i="9"/>
  <c r="E895" i="9"/>
  <c r="D895" i="9"/>
  <c r="C895" i="9"/>
  <c r="B895" i="9"/>
  <c r="A895" i="9"/>
  <c r="L894" i="9"/>
  <c r="M894" i="9" s="1"/>
  <c r="N894" i="9" s="1"/>
  <c r="K894" i="9"/>
  <c r="J894" i="9"/>
  <c r="I894" i="9"/>
  <c r="H894" i="9"/>
  <c r="G894" i="9"/>
  <c r="F894" i="9"/>
  <c r="E894" i="9"/>
  <c r="D894" i="9"/>
  <c r="C894" i="9"/>
  <c r="B894" i="9"/>
  <c r="A894" i="9"/>
  <c r="N893" i="9"/>
  <c r="L893" i="9"/>
  <c r="M893" i="9" s="1"/>
  <c r="K893" i="9"/>
  <c r="J893" i="9"/>
  <c r="I893" i="9"/>
  <c r="H893" i="9"/>
  <c r="G893" i="9"/>
  <c r="F893" i="9"/>
  <c r="E893" i="9"/>
  <c r="D893" i="9"/>
  <c r="C893" i="9"/>
  <c r="B893" i="9"/>
  <c r="A893" i="9"/>
  <c r="N892" i="9"/>
  <c r="L892" i="9"/>
  <c r="M892" i="9" s="1"/>
  <c r="K892" i="9"/>
  <c r="J892" i="9"/>
  <c r="I892" i="9"/>
  <c r="H892" i="9"/>
  <c r="G892" i="9"/>
  <c r="F892" i="9"/>
  <c r="E892" i="9"/>
  <c r="D892" i="9"/>
  <c r="C892" i="9"/>
  <c r="B892" i="9"/>
  <c r="A892" i="9"/>
  <c r="N891" i="9"/>
  <c r="L891" i="9"/>
  <c r="M891" i="9" s="1"/>
  <c r="K891" i="9"/>
  <c r="J891" i="9"/>
  <c r="I891" i="9"/>
  <c r="H891" i="9"/>
  <c r="G891" i="9"/>
  <c r="F891" i="9"/>
  <c r="E891" i="9"/>
  <c r="D891" i="9"/>
  <c r="C891" i="9"/>
  <c r="B891" i="9"/>
  <c r="A891" i="9"/>
  <c r="L890" i="9"/>
  <c r="M890" i="9" s="1"/>
  <c r="N890" i="9" s="1"/>
  <c r="K890" i="9"/>
  <c r="J890" i="9"/>
  <c r="I890" i="9"/>
  <c r="H890" i="9"/>
  <c r="G890" i="9"/>
  <c r="F890" i="9"/>
  <c r="E890" i="9"/>
  <c r="D890" i="9"/>
  <c r="C890" i="9"/>
  <c r="B890" i="9"/>
  <c r="A890" i="9"/>
  <c r="L889" i="9"/>
  <c r="M889" i="9" s="1"/>
  <c r="N889" i="9" s="1"/>
  <c r="K889" i="9"/>
  <c r="J889" i="9"/>
  <c r="I889" i="9"/>
  <c r="H889" i="9"/>
  <c r="G889" i="9"/>
  <c r="F889" i="9"/>
  <c r="E889" i="9"/>
  <c r="D889" i="9"/>
  <c r="C889" i="9"/>
  <c r="B889" i="9"/>
  <c r="A889" i="9"/>
  <c r="L888" i="9"/>
  <c r="M888" i="9" s="1"/>
  <c r="N888" i="9" s="1"/>
  <c r="K888" i="9"/>
  <c r="J888" i="9"/>
  <c r="I888" i="9"/>
  <c r="H888" i="9"/>
  <c r="G888" i="9"/>
  <c r="F888" i="9"/>
  <c r="E888" i="9"/>
  <c r="D888" i="9"/>
  <c r="C888" i="9"/>
  <c r="B888" i="9"/>
  <c r="A888" i="9"/>
  <c r="L887" i="9"/>
  <c r="M887" i="9" s="1"/>
  <c r="N887" i="9" s="1"/>
  <c r="K887" i="9"/>
  <c r="J887" i="9"/>
  <c r="I887" i="9"/>
  <c r="H887" i="9"/>
  <c r="G887" i="9"/>
  <c r="F887" i="9"/>
  <c r="E887" i="9"/>
  <c r="D887" i="9"/>
  <c r="C887" i="9"/>
  <c r="B887" i="9"/>
  <c r="A887" i="9"/>
  <c r="N886" i="9"/>
  <c r="L886" i="9"/>
  <c r="M886" i="9" s="1"/>
  <c r="K886" i="9"/>
  <c r="J886" i="9"/>
  <c r="I886" i="9"/>
  <c r="H886" i="9"/>
  <c r="G886" i="9"/>
  <c r="F886" i="9"/>
  <c r="E886" i="9"/>
  <c r="D886" i="9"/>
  <c r="C886" i="9"/>
  <c r="B886" i="9"/>
  <c r="A886" i="9"/>
  <c r="L885" i="9"/>
  <c r="M885" i="9" s="1"/>
  <c r="N885" i="9" s="1"/>
  <c r="K885" i="9"/>
  <c r="J885" i="9"/>
  <c r="I885" i="9"/>
  <c r="H885" i="9"/>
  <c r="G885" i="9"/>
  <c r="F885" i="9"/>
  <c r="E885" i="9"/>
  <c r="D885" i="9"/>
  <c r="C885" i="9"/>
  <c r="B885" i="9"/>
  <c r="A885" i="9"/>
  <c r="L884" i="9"/>
  <c r="M884" i="9" s="1"/>
  <c r="N884" i="9" s="1"/>
  <c r="K884" i="9"/>
  <c r="J884" i="9"/>
  <c r="I884" i="9"/>
  <c r="H884" i="9"/>
  <c r="G884" i="9"/>
  <c r="F884" i="9"/>
  <c r="E884" i="9"/>
  <c r="D884" i="9"/>
  <c r="C884" i="9"/>
  <c r="B884" i="9"/>
  <c r="A884" i="9"/>
  <c r="L883" i="9"/>
  <c r="M883" i="9" s="1"/>
  <c r="N883" i="9" s="1"/>
  <c r="K883" i="9"/>
  <c r="J883" i="9"/>
  <c r="I883" i="9"/>
  <c r="H883" i="9"/>
  <c r="G883" i="9"/>
  <c r="F883" i="9"/>
  <c r="E883" i="9"/>
  <c r="D883" i="9"/>
  <c r="C883" i="9"/>
  <c r="B883" i="9"/>
  <c r="A883" i="9"/>
  <c r="L882" i="9"/>
  <c r="M882" i="9" s="1"/>
  <c r="N882" i="9" s="1"/>
  <c r="K882" i="9"/>
  <c r="J882" i="9"/>
  <c r="I882" i="9"/>
  <c r="H882" i="9"/>
  <c r="G882" i="9"/>
  <c r="F882" i="9"/>
  <c r="E882" i="9"/>
  <c r="D882" i="9"/>
  <c r="C882" i="9"/>
  <c r="B882" i="9"/>
  <c r="A882" i="9"/>
  <c r="L881" i="9"/>
  <c r="M881" i="9" s="1"/>
  <c r="N881" i="9" s="1"/>
  <c r="K881" i="9"/>
  <c r="J881" i="9"/>
  <c r="I881" i="9"/>
  <c r="H881" i="9"/>
  <c r="G881" i="9"/>
  <c r="F881" i="9"/>
  <c r="E881" i="9"/>
  <c r="D881" i="9"/>
  <c r="C881" i="9"/>
  <c r="B881" i="9"/>
  <c r="A881" i="9"/>
  <c r="L880" i="9"/>
  <c r="M880" i="9" s="1"/>
  <c r="N880" i="9" s="1"/>
  <c r="K880" i="9"/>
  <c r="J880" i="9"/>
  <c r="I880" i="9"/>
  <c r="H880" i="9"/>
  <c r="G880" i="9"/>
  <c r="F880" i="9"/>
  <c r="E880" i="9"/>
  <c r="D880" i="9"/>
  <c r="C880" i="9"/>
  <c r="B880" i="9"/>
  <c r="A880" i="9"/>
  <c r="N879" i="9"/>
  <c r="L879" i="9"/>
  <c r="M879" i="9" s="1"/>
  <c r="K879" i="9"/>
  <c r="J879" i="9"/>
  <c r="I879" i="9"/>
  <c r="H879" i="9"/>
  <c r="G879" i="9"/>
  <c r="F879" i="9"/>
  <c r="E879" i="9"/>
  <c r="D879" i="9"/>
  <c r="C879" i="9"/>
  <c r="B879" i="9"/>
  <c r="A879" i="9"/>
  <c r="N878" i="9"/>
  <c r="L878" i="9"/>
  <c r="M878" i="9" s="1"/>
  <c r="K878" i="9"/>
  <c r="J878" i="9"/>
  <c r="I878" i="9"/>
  <c r="H878" i="9"/>
  <c r="G878" i="9"/>
  <c r="F878" i="9"/>
  <c r="E878" i="9"/>
  <c r="D878" i="9"/>
  <c r="C878" i="9"/>
  <c r="B878" i="9"/>
  <c r="A878" i="9"/>
  <c r="N877" i="9"/>
  <c r="L877" i="9"/>
  <c r="M877" i="9" s="1"/>
  <c r="K877" i="9"/>
  <c r="J877" i="9"/>
  <c r="I877" i="9"/>
  <c r="H877" i="9"/>
  <c r="G877" i="9"/>
  <c r="F877" i="9"/>
  <c r="E877" i="9"/>
  <c r="D877" i="9"/>
  <c r="C877" i="9"/>
  <c r="B877" i="9"/>
  <c r="A877" i="9"/>
  <c r="L876" i="9"/>
  <c r="M876" i="9" s="1"/>
  <c r="N876" i="9" s="1"/>
  <c r="K876" i="9"/>
  <c r="J876" i="9"/>
  <c r="I876" i="9"/>
  <c r="H876" i="9"/>
  <c r="G876" i="9"/>
  <c r="F876" i="9"/>
  <c r="E876" i="9"/>
  <c r="D876" i="9"/>
  <c r="C876" i="9"/>
  <c r="B876" i="9"/>
  <c r="A876" i="9"/>
  <c r="L875" i="9"/>
  <c r="M875" i="9" s="1"/>
  <c r="N875" i="9" s="1"/>
  <c r="K875" i="9"/>
  <c r="J875" i="9"/>
  <c r="I875" i="9"/>
  <c r="H875" i="9"/>
  <c r="G875" i="9"/>
  <c r="F875" i="9"/>
  <c r="E875" i="9"/>
  <c r="D875" i="9"/>
  <c r="C875" i="9"/>
  <c r="B875" i="9"/>
  <c r="A875" i="9"/>
  <c r="L874" i="9"/>
  <c r="M874" i="9" s="1"/>
  <c r="N874" i="9" s="1"/>
  <c r="K874" i="9"/>
  <c r="J874" i="9"/>
  <c r="I874" i="9"/>
  <c r="H874" i="9"/>
  <c r="G874" i="9"/>
  <c r="F874" i="9"/>
  <c r="E874" i="9"/>
  <c r="D874" i="9"/>
  <c r="C874" i="9"/>
  <c r="B874" i="9"/>
  <c r="A874" i="9"/>
  <c r="L873" i="9"/>
  <c r="M873" i="9" s="1"/>
  <c r="N873" i="9" s="1"/>
  <c r="K873" i="9"/>
  <c r="J873" i="9"/>
  <c r="I873" i="9"/>
  <c r="H873" i="9"/>
  <c r="G873" i="9"/>
  <c r="F873" i="9"/>
  <c r="E873" i="9"/>
  <c r="D873" i="9"/>
  <c r="C873" i="9"/>
  <c r="B873" i="9"/>
  <c r="A873" i="9"/>
  <c r="N872" i="9"/>
  <c r="L872" i="9"/>
  <c r="M872" i="9" s="1"/>
  <c r="K872" i="9"/>
  <c r="J872" i="9"/>
  <c r="I872" i="9"/>
  <c r="H872" i="9"/>
  <c r="G872" i="9"/>
  <c r="F872" i="9"/>
  <c r="E872" i="9"/>
  <c r="D872" i="9"/>
  <c r="C872" i="9"/>
  <c r="B872" i="9"/>
  <c r="A872" i="9"/>
  <c r="L871" i="9"/>
  <c r="M871" i="9" s="1"/>
  <c r="N871" i="9" s="1"/>
  <c r="K871" i="9"/>
  <c r="J871" i="9"/>
  <c r="I871" i="9"/>
  <c r="H871" i="9"/>
  <c r="G871" i="9"/>
  <c r="F871" i="9"/>
  <c r="E871" i="9"/>
  <c r="D871" i="9"/>
  <c r="C871" i="9"/>
  <c r="B871" i="9"/>
  <c r="A871" i="9"/>
  <c r="L870" i="9"/>
  <c r="M870" i="9" s="1"/>
  <c r="N870" i="9" s="1"/>
  <c r="K870" i="9"/>
  <c r="J870" i="9"/>
  <c r="I870" i="9"/>
  <c r="H870" i="9"/>
  <c r="G870" i="9"/>
  <c r="F870" i="9"/>
  <c r="E870" i="9"/>
  <c r="D870" i="9"/>
  <c r="C870" i="9"/>
  <c r="B870" i="9"/>
  <c r="A870" i="9"/>
  <c r="L869" i="9"/>
  <c r="M869" i="9" s="1"/>
  <c r="N869" i="9" s="1"/>
  <c r="K869" i="9"/>
  <c r="J869" i="9"/>
  <c r="I869" i="9"/>
  <c r="H869" i="9"/>
  <c r="G869" i="9"/>
  <c r="F869" i="9"/>
  <c r="E869" i="9"/>
  <c r="D869" i="9"/>
  <c r="C869" i="9"/>
  <c r="B869" i="9"/>
  <c r="A869" i="9"/>
  <c r="L868" i="9"/>
  <c r="M868" i="9" s="1"/>
  <c r="N868" i="9" s="1"/>
  <c r="K868" i="9"/>
  <c r="J868" i="9"/>
  <c r="I868" i="9"/>
  <c r="H868" i="9"/>
  <c r="G868" i="9"/>
  <c r="F868" i="9"/>
  <c r="E868" i="9"/>
  <c r="D868" i="9"/>
  <c r="C868" i="9"/>
  <c r="B868" i="9"/>
  <c r="A868" i="9"/>
  <c r="L867" i="9"/>
  <c r="M867" i="9" s="1"/>
  <c r="N867" i="9" s="1"/>
  <c r="K867" i="9"/>
  <c r="J867" i="9"/>
  <c r="I867" i="9"/>
  <c r="H867" i="9"/>
  <c r="G867" i="9"/>
  <c r="F867" i="9"/>
  <c r="E867" i="9"/>
  <c r="D867" i="9"/>
  <c r="C867" i="9"/>
  <c r="B867" i="9"/>
  <c r="A867" i="9"/>
  <c r="L866" i="9"/>
  <c r="M866" i="9" s="1"/>
  <c r="N866" i="9" s="1"/>
  <c r="K866" i="9"/>
  <c r="J866" i="9"/>
  <c r="I866" i="9"/>
  <c r="H866" i="9"/>
  <c r="G866" i="9"/>
  <c r="F866" i="9"/>
  <c r="E866" i="9"/>
  <c r="D866" i="9"/>
  <c r="C866" i="9"/>
  <c r="B866" i="9"/>
  <c r="A866" i="9"/>
  <c r="N865" i="9"/>
  <c r="L865" i="9"/>
  <c r="M865" i="9" s="1"/>
  <c r="K865" i="9"/>
  <c r="J865" i="9"/>
  <c r="I865" i="9"/>
  <c r="H865" i="9"/>
  <c r="G865" i="9"/>
  <c r="F865" i="9"/>
  <c r="E865" i="9"/>
  <c r="D865" i="9"/>
  <c r="C865" i="9"/>
  <c r="B865" i="9"/>
  <c r="A865" i="9"/>
  <c r="N864" i="9"/>
  <c r="L864" i="9"/>
  <c r="M864" i="9" s="1"/>
  <c r="K864" i="9"/>
  <c r="J864" i="9"/>
  <c r="I864" i="9"/>
  <c r="H864" i="9"/>
  <c r="G864" i="9"/>
  <c r="F864" i="9"/>
  <c r="E864" i="9"/>
  <c r="D864" i="9"/>
  <c r="C864" i="9"/>
  <c r="B864" i="9"/>
  <c r="A864" i="9"/>
  <c r="N863" i="9"/>
  <c r="L863" i="9"/>
  <c r="M863" i="9" s="1"/>
  <c r="K863" i="9"/>
  <c r="J863" i="9"/>
  <c r="I863" i="9"/>
  <c r="H863" i="9"/>
  <c r="G863" i="9"/>
  <c r="F863" i="9"/>
  <c r="E863" i="9"/>
  <c r="D863" i="9"/>
  <c r="C863" i="9"/>
  <c r="B863" i="9"/>
  <c r="A863" i="9"/>
  <c r="L862" i="9"/>
  <c r="M862" i="9" s="1"/>
  <c r="N862" i="9" s="1"/>
  <c r="K862" i="9"/>
  <c r="J862" i="9"/>
  <c r="I862" i="9"/>
  <c r="H862" i="9"/>
  <c r="G862" i="9"/>
  <c r="F862" i="9"/>
  <c r="E862" i="9"/>
  <c r="D862" i="9"/>
  <c r="C862" i="9"/>
  <c r="B862" i="9"/>
  <c r="A862" i="9"/>
  <c r="L861" i="9"/>
  <c r="M861" i="9" s="1"/>
  <c r="N861" i="9" s="1"/>
  <c r="K861" i="9"/>
  <c r="J861" i="9"/>
  <c r="I861" i="9"/>
  <c r="H861" i="9"/>
  <c r="G861" i="9"/>
  <c r="F861" i="9"/>
  <c r="E861" i="9"/>
  <c r="D861" i="9"/>
  <c r="C861" i="9"/>
  <c r="B861" i="9"/>
  <c r="A861" i="9"/>
  <c r="L860" i="9"/>
  <c r="M860" i="9" s="1"/>
  <c r="N860" i="9" s="1"/>
  <c r="K860" i="9"/>
  <c r="J860" i="9"/>
  <c r="I860" i="9"/>
  <c r="H860" i="9"/>
  <c r="G860" i="9"/>
  <c r="F860" i="9"/>
  <c r="E860" i="9"/>
  <c r="D860" i="9"/>
  <c r="C860" i="9"/>
  <c r="B860" i="9"/>
  <c r="A860" i="9"/>
  <c r="L859" i="9"/>
  <c r="M859" i="9" s="1"/>
  <c r="N859" i="9" s="1"/>
  <c r="K859" i="9"/>
  <c r="J859" i="9"/>
  <c r="I859" i="9"/>
  <c r="H859" i="9"/>
  <c r="G859" i="9"/>
  <c r="F859" i="9"/>
  <c r="E859" i="9"/>
  <c r="D859" i="9"/>
  <c r="C859" i="9"/>
  <c r="B859" i="9"/>
  <c r="A859" i="9"/>
  <c r="N858" i="9"/>
  <c r="L858" i="9"/>
  <c r="M858" i="9" s="1"/>
  <c r="K858" i="9"/>
  <c r="J858" i="9"/>
  <c r="I858" i="9"/>
  <c r="H858" i="9"/>
  <c r="G858" i="9"/>
  <c r="F858" i="9"/>
  <c r="E858" i="9"/>
  <c r="D858" i="9"/>
  <c r="C858" i="9"/>
  <c r="B858" i="9"/>
  <c r="A858" i="9"/>
  <c r="L857" i="9"/>
  <c r="M857" i="9" s="1"/>
  <c r="N857" i="9" s="1"/>
  <c r="K857" i="9"/>
  <c r="J857" i="9"/>
  <c r="I857" i="9"/>
  <c r="H857" i="9"/>
  <c r="G857" i="9"/>
  <c r="F857" i="9"/>
  <c r="E857" i="9"/>
  <c r="D857" i="9"/>
  <c r="C857" i="9"/>
  <c r="B857" i="9"/>
  <c r="A857" i="9"/>
  <c r="L856" i="9"/>
  <c r="M856" i="9" s="1"/>
  <c r="N856" i="9" s="1"/>
  <c r="K856" i="9"/>
  <c r="J856" i="9"/>
  <c r="I856" i="9"/>
  <c r="H856" i="9"/>
  <c r="G856" i="9"/>
  <c r="F856" i="9"/>
  <c r="E856" i="9"/>
  <c r="D856" i="9"/>
  <c r="C856" i="9"/>
  <c r="B856" i="9"/>
  <c r="A856" i="9"/>
  <c r="L855" i="9"/>
  <c r="M855" i="9" s="1"/>
  <c r="N855" i="9" s="1"/>
  <c r="K855" i="9"/>
  <c r="J855" i="9"/>
  <c r="I855" i="9"/>
  <c r="H855" i="9"/>
  <c r="G855" i="9"/>
  <c r="F855" i="9"/>
  <c r="E855" i="9"/>
  <c r="D855" i="9"/>
  <c r="C855" i="9"/>
  <c r="B855" i="9"/>
  <c r="A855" i="9"/>
  <c r="L854" i="9"/>
  <c r="M854" i="9" s="1"/>
  <c r="N854" i="9" s="1"/>
  <c r="K854" i="9"/>
  <c r="J854" i="9"/>
  <c r="I854" i="9"/>
  <c r="H854" i="9"/>
  <c r="G854" i="9"/>
  <c r="F854" i="9"/>
  <c r="E854" i="9"/>
  <c r="D854" i="9"/>
  <c r="C854" i="9"/>
  <c r="B854" i="9"/>
  <c r="A854" i="9"/>
  <c r="L853" i="9"/>
  <c r="M853" i="9" s="1"/>
  <c r="N853" i="9" s="1"/>
  <c r="K853" i="9"/>
  <c r="J853" i="9"/>
  <c r="I853" i="9"/>
  <c r="H853" i="9"/>
  <c r="G853" i="9"/>
  <c r="F853" i="9"/>
  <c r="E853" i="9"/>
  <c r="D853" i="9"/>
  <c r="C853" i="9"/>
  <c r="B853" i="9"/>
  <c r="A853" i="9"/>
  <c r="L852" i="9"/>
  <c r="M852" i="9" s="1"/>
  <c r="N852" i="9" s="1"/>
  <c r="K852" i="9"/>
  <c r="J852" i="9"/>
  <c r="I852" i="9"/>
  <c r="H852" i="9"/>
  <c r="G852" i="9"/>
  <c r="F852" i="9"/>
  <c r="E852" i="9"/>
  <c r="D852" i="9"/>
  <c r="C852" i="9"/>
  <c r="B852" i="9"/>
  <c r="A852" i="9"/>
  <c r="N851" i="9"/>
  <c r="L851" i="9"/>
  <c r="M851" i="9" s="1"/>
  <c r="K851" i="9"/>
  <c r="J851" i="9"/>
  <c r="I851" i="9"/>
  <c r="H851" i="9"/>
  <c r="G851" i="9"/>
  <c r="F851" i="9"/>
  <c r="E851" i="9"/>
  <c r="D851" i="9"/>
  <c r="C851" i="9"/>
  <c r="B851" i="9"/>
  <c r="A851" i="9"/>
  <c r="N850" i="9"/>
  <c r="L850" i="9"/>
  <c r="M850" i="9" s="1"/>
  <c r="K850" i="9"/>
  <c r="J850" i="9"/>
  <c r="I850" i="9"/>
  <c r="H850" i="9"/>
  <c r="G850" i="9"/>
  <c r="F850" i="9"/>
  <c r="E850" i="9"/>
  <c r="D850" i="9"/>
  <c r="C850" i="9"/>
  <c r="B850" i="9"/>
  <c r="A850" i="9"/>
  <c r="N849" i="9"/>
  <c r="L849" i="9"/>
  <c r="M849" i="9" s="1"/>
  <c r="K849" i="9"/>
  <c r="J849" i="9"/>
  <c r="I849" i="9"/>
  <c r="H849" i="9"/>
  <c r="G849" i="9"/>
  <c r="F849" i="9"/>
  <c r="E849" i="9"/>
  <c r="D849" i="9"/>
  <c r="C849" i="9"/>
  <c r="B849" i="9"/>
  <c r="A849" i="9"/>
  <c r="L848" i="9"/>
  <c r="M848" i="9" s="1"/>
  <c r="N848" i="9" s="1"/>
  <c r="K848" i="9"/>
  <c r="J848" i="9"/>
  <c r="I848" i="9"/>
  <c r="H848" i="9"/>
  <c r="G848" i="9"/>
  <c r="F848" i="9"/>
  <c r="E848" i="9"/>
  <c r="D848" i="9"/>
  <c r="C848" i="9"/>
  <c r="B848" i="9"/>
  <c r="A848" i="9"/>
  <c r="L847" i="9"/>
  <c r="M847" i="9" s="1"/>
  <c r="N847" i="9" s="1"/>
  <c r="K847" i="9"/>
  <c r="J847" i="9"/>
  <c r="I847" i="9"/>
  <c r="H847" i="9"/>
  <c r="G847" i="9"/>
  <c r="F847" i="9"/>
  <c r="E847" i="9"/>
  <c r="D847" i="9"/>
  <c r="C847" i="9"/>
  <c r="B847" i="9"/>
  <c r="A847" i="9"/>
  <c r="L846" i="9"/>
  <c r="M846" i="9" s="1"/>
  <c r="N846" i="9" s="1"/>
  <c r="K846" i="9"/>
  <c r="J846" i="9"/>
  <c r="I846" i="9"/>
  <c r="H846" i="9"/>
  <c r="G846" i="9"/>
  <c r="F846" i="9"/>
  <c r="E846" i="9"/>
  <c r="D846" i="9"/>
  <c r="C846" i="9"/>
  <c r="B846" i="9"/>
  <c r="A846" i="9"/>
  <c r="L845" i="9"/>
  <c r="M845" i="9" s="1"/>
  <c r="N845" i="9" s="1"/>
  <c r="K845" i="9"/>
  <c r="J845" i="9"/>
  <c r="I845" i="9"/>
  <c r="H845" i="9"/>
  <c r="G845" i="9"/>
  <c r="F845" i="9"/>
  <c r="E845" i="9"/>
  <c r="D845" i="9"/>
  <c r="C845" i="9"/>
  <c r="B845" i="9"/>
  <c r="A845" i="9"/>
  <c r="N844" i="9"/>
  <c r="L844" i="9"/>
  <c r="M844" i="9" s="1"/>
  <c r="K844" i="9"/>
  <c r="J844" i="9"/>
  <c r="I844" i="9"/>
  <c r="H844" i="9"/>
  <c r="G844" i="9"/>
  <c r="F844" i="9"/>
  <c r="E844" i="9"/>
  <c r="D844" i="9"/>
  <c r="C844" i="9"/>
  <c r="B844" i="9"/>
  <c r="A844" i="9"/>
  <c r="L843" i="9"/>
  <c r="M843" i="9" s="1"/>
  <c r="N843" i="9" s="1"/>
  <c r="K843" i="9"/>
  <c r="J843" i="9"/>
  <c r="I843" i="9"/>
  <c r="H843" i="9"/>
  <c r="G843" i="9"/>
  <c r="F843" i="9"/>
  <c r="E843" i="9"/>
  <c r="D843" i="9"/>
  <c r="C843" i="9"/>
  <c r="B843" i="9"/>
  <c r="A843" i="9"/>
  <c r="L842" i="9"/>
  <c r="M842" i="9" s="1"/>
  <c r="N842" i="9" s="1"/>
  <c r="K842" i="9"/>
  <c r="J842" i="9"/>
  <c r="I842" i="9"/>
  <c r="H842" i="9"/>
  <c r="G842" i="9"/>
  <c r="F842" i="9"/>
  <c r="E842" i="9"/>
  <c r="D842" i="9"/>
  <c r="C842" i="9"/>
  <c r="B842" i="9"/>
  <c r="A842" i="9"/>
  <c r="L841" i="9"/>
  <c r="M841" i="9" s="1"/>
  <c r="N841" i="9" s="1"/>
  <c r="K841" i="9"/>
  <c r="J841" i="9"/>
  <c r="I841" i="9"/>
  <c r="H841" i="9"/>
  <c r="G841" i="9"/>
  <c r="F841" i="9"/>
  <c r="E841" i="9"/>
  <c r="D841" i="9"/>
  <c r="C841" i="9"/>
  <c r="B841" i="9"/>
  <c r="A841" i="9"/>
  <c r="L840" i="9"/>
  <c r="M840" i="9" s="1"/>
  <c r="N840" i="9" s="1"/>
  <c r="K840" i="9"/>
  <c r="J840" i="9"/>
  <c r="I840" i="9"/>
  <c r="H840" i="9"/>
  <c r="G840" i="9"/>
  <c r="F840" i="9"/>
  <c r="E840" i="9"/>
  <c r="D840" i="9"/>
  <c r="C840" i="9"/>
  <c r="B840" i="9"/>
  <c r="A840" i="9"/>
  <c r="L839" i="9"/>
  <c r="M839" i="9" s="1"/>
  <c r="N839" i="9" s="1"/>
  <c r="K839" i="9"/>
  <c r="J839" i="9"/>
  <c r="I839" i="9"/>
  <c r="H839" i="9"/>
  <c r="G839" i="9"/>
  <c r="F839" i="9"/>
  <c r="E839" i="9"/>
  <c r="D839" i="9"/>
  <c r="C839" i="9"/>
  <c r="B839" i="9"/>
  <c r="A839" i="9"/>
  <c r="N838" i="9"/>
  <c r="L838" i="9"/>
  <c r="M838" i="9" s="1"/>
  <c r="K838" i="9"/>
  <c r="J838" i="9"/>
  <c r="I838" i="9"/>
  <c r="H838" i="9"/>
  <c r="G838" i="9"/>
  <c r="F838" i="9"/>
  <c r="E838" i="9"/>
  <c r="D838" i="9"/>
  <c r="C838" i="9"/>
  <c r="B838" i="9"/>
  <c r="A838" i="9"/>
  <c r="N837" i="9"/>
  <c r="L837" i="9"/>
  <c r="M837" i="9" s="1"/>
  <c r="K837" i="9"/>
  <c r="J837" i="9"/>
  <c r="I837" i="9"/>
  <c r="H837" i="9"/>
  <c r="G837" i="9"/>
  <c r="F837" i="9"/>
  <c r="E837" i="9"/>
  <c r="D837" i="9"/>
  <c r="C837" i="9"/>
  <c r="B837" i="9"/>
  <c r="A837" i="9"/>
  <c r="N836" i="9"/>
  <c r="L836" i="9"/>
  <c r="M836" i="9" s="1"/>
  <c r="K836" i="9"/>
  <c r="J836" i="9"/>
  <c r="I836" i="9"/>
  <c r="H836" i="9"/>
  <c r="G836" i="9"/>
  <c r="F836" i="9"/>
  <c r="E836" i="9"/>
  <c r="D836" i="9"/>
  <c r="C836" i="9"/>
  <c r="B836" i="9"/>
  <c r="A836" i="9"/>
  <c r="N835" i="9"/>
  <c r="L835" i="9"/>
  <c r="M835" i="9" s="1"/>
  <c r="K835" i="9"/>
  <c r="J835" i="9"/>
  <c r="I835" i="9"/>
  <c r="H835" i="9"/>
  <c r="G835" i="9"/>
  <c r="F835" i="9"/>
  <c r="E835" i="9"/>
  <c r="D835" i="9"/>
  <c r="C835" i="9"/>
  <c r="B835" i="9"/>
  <c r="A835" i="9"/>
  <c r="L834" i="9"/>
  <c r="M834" i="9" s="1"/>
  <c r="N834" i="9" s="1"/>
  <c r="K834" i="9"/>
  <c r="J834" i="9"/>
  <c r="I834" i="9"/>
  <c r="H834" i="9"/>
  <c r="G834" i="9"/>
  <c r="F834" i="9"/>
  <c r="E834" i="9"/>
  <c r="D834" i="9"/>
  <c r="C834" i="9"/>
  <c r="B834" i="9"/>
  <c r="A834" i="9"/>
  <c r="L833" i="9"/>
  <c r="M833" i="9" s="1"/>
  <c r="N833" i="9" s="1"/>
  <c r="K833" i="9"/>
  <c r="J833" i="9"/>
  <c r="I833" i="9"/>
  <c r="H833" i="9"/>
  <c r="G833" i="9"/>
  <c r="F833" i="9"/>
  <c r="E833" i="9"/>
  <c r="D833" i="9"/>
  <c r="C833" i="9"/>
  <c r="B833" i="9"/>
  <c r="A833" i="9"/>
  <c r="L832" i="9"/>
  <c r="M832" i="9" s="1"/>
  <c r="N832" i="9" s="1"/>
  <c r="K832" i="9"/>
  <c r="J832" i="9"/>
  <c r="I832" i="9"/>
  <c r="H832" i="9"/>
  <c r="G832" i="9"/>
  <c r="F832" i="9"/>
  <c r="E832" i="9"/>
  <c r="D832" i="9"/>
  <c r="C832" i="9"/>
  <c r="B832" i="9"/>
  <c r="A832" i="9"/>
  <c r="L831" i="9"/>
  <c r="M831" i="9" s="1"/>
  <c r="N831" i="9" s="1"/>
  <c r="K831" i="9"/>
  <c r="J831" i="9"/>
  <c r="I831" i="9"/>
  <c r="H831" i="9"/>
  <c r="G831" i="9"/>
  <c r="F831" i="9"/>
  <c r="E831" i="9"/>
  <c r="D831" i="9"/>
  <c r="C831" i="9"/>
  <c r="B831" i="9"/>
  <c r="A831" i="9"/>
  <c r="N830" i="9"/>
  <c r="L830" i="9"/>
  <c r="M830" i="9" s="1"/>
  <c r="K830" i="9"/>
  <c r="J830" i="9"/>
  <c r="I830" i="9"/>
  <c r="H830" i="9"/>
  <c r="G830" i="9"/>
  <c r="F830" i="9"/>
  <c r="E830" i="9"/>
  <c r="D830" i="9"/>
  <c r="C830" i="9"/>
  <c r="B830" i="9"/>
  <c r="A830" i="9"/>
  <c r="L829" i="9"/>
  <c r="M829" i="9" s="1"/>
  <c r="N829" i="9" s="1"/>
  <c r="K829" i="9"/>
  <c r="J829" i="9"/>
  <c r="I829" i="9"/>
  <c r="H829" i="9"/>
  <c r="G829" i="9"/>
  <c r="F829" i="9"/>
  <c r="E829" i="9"/>
  <c r="D829" i="9"/>
  <c r="C829" i="9"/>
  <c r="B829" i="9"/>
  <c r="A829" i="9"/>
  <c r="L828" i="9"/>
  <c r="M828" i="9" s="1"/>
  <c r="N828" i="9" s="1"/>
  <c r="K828" i="9"/>
  <c r="J828" i="9"/>
  <c r="I828" i="9"/>
  <c r="H828" i="9"/>
  <c r="G828" i="9"/>
  <c r="F828" i="9"/>
  <c r="E828" i="9"/>
  <c r="D828" i="9"/>
  <c r="C828" i="9"/>
  <c r="B828" i="9"/>
  <c r="A828" i="9"/>
  <c r="L827" i="9"/>
  <c r="M827" i="9" s="1"/>
  <c r="N827" i="9" s="1"/>
  <c r="K827" i="9"/>
  <c r="J827" i="9"/>
  <c r="I827" i="9"/>
  <c r="H827" i="9"/>
  <c r="G827" i="9"/>
  <c r="F827" i="9"/>
  <c r="E827" i="9"/>
  <c r="D827" i="9"/>
  <c r="C827" i="9"/>
  <c r="B827" i="9"/>
  <c r="A827" i="9"/>
  <c r="L826" i="9"/>
  <c r="M826" i="9" s="1"/>
  <c r="N826" i="9" s="1"/>
  <c r="K826" i="9"/>
  <c r="J826" i="9"/>
  <c r="I826" i="9"/>
  <c r="H826" i="9"/>
  <c r="G826" i="9"/>
  <c r="F826" i="9"/>
  <c r="E826" i="9"/>
  <c r="D826" i="9"/>
  <c r="C826" i="9"/>
  <c r="B826" i="9"/>
  <c r="A826" i="9"/>
  <c r="L825" i="9"/>
  <c r="M825" i="9" s="1"/>
  <c r="N825" i="9" s="1"/>
  <c r="K825" i="9"/>
  <c r="J825" i="9"/>
  <c r="I825" i="9"/>
  <c r="H825" i="9"/>
  <c r="G825" i="9"/>
  <c r="F825" i="9"/>
  <c r="E825" i="9"/>
  <c r="D825" i="9"/>
  <c r="C825" i="9"/>
  <c r="B825" i="9"/>
  <c r="A825" i="9"/>
  <c r="L824" i="9"/>
  <c r="M824" i="9" s="1"/>
  <c r="N824" i="9" s="1"/>
  <c r="K824" i="9"/>
  <c r="J824" i="9"/>
  <c r="I824" i="9"/>
  <c r="H824" i="9"/>
  <c r="G824" i="9"/>
  <c r="F824" i="9"/>
  <c r="E824" i="9"/>
  <c r="D824" i="9"/>
  <c r="C824" i="9"/>
  <c r="B824" i="9"/>
  <c r="A824" i="9"/>
  <c r="N823" i="9"/>
  <c r="L823" i="9"/>
  <c r="M823" i="9" s="1"/>
  <c r="K823" i="9"/>
  <c r="J823" i="9"/>
  <c r="I823" i="9"/>
  <c r="H823" i="9"/>
  <c r="G823" i="9"/>
  <c r="F823" i="9"/>
  <c r="E823" i="9"/>
  <c r="D823" i="9"/>
  <c r="C823" i="9"/>
  <c r="B823" i="9"/>
  <c r="A823" i="9"/>
  <c r="N822" i="9"/>
  <c r="L822" i="9"/>
  <c r="M822" i="9" s="1"/>
  <c r="K822" i="9"/>
  <c r="J822" i="9"/>
  <c r="I822" i="9"/>
  <c r="H822" i="9"/>
  <c r="G822" i="9"/>
  <c r="F822" i="9"/>
  <c r="E822" i="9"/>
  <c r="D822" i="9"/>
  <c r="C822" i="9"/>
  <c r="B822" i="9"/>
  <c r="A822" i="9"/>
  <c r="N821" i="9"/>
  <c r="L821" i="9"/>
  <c r="M821" i="9" s="1"/>
  <c r="K821" i="9"/>
  <c r="J821" i="9"/>
  <c r="I821" i="9"/>
  <c r="H821" i="9"/>
  <c r="G821" i="9"/>
  <c r="F821" i="9"/>
  <c r="E821" i="9"/>
  <c r="D821" i="9"/>
  <c r="C821" i="9"/>
  <c r="B821" i="9"/>
  <c r="A821" i="9"/>
  <c r="L820" i="9"/>
  <c r="M820" i="9" s="1"/>
  <c r="N820" i="9" s="1"/>
  <c r="K820" i="9"/>
  <c r="J820" i="9"/>
  <c r="I820" i="9"/>
  <c r="H820" i="9"/>
  <c r="G820" i="9"/>
  <c r="F820" i="9"/>
  <c r="E820" i="9"/>
  <c r="D820" i="9"/>
  <c r="C820" i="9"/>
  <c r="B820" i="9"/>
  <c r="A820" i="9"/>
  <c r="L819" i="9"/>
  <c r="M819" i="9" s="1"/>
  <c r="N819" i="9" s="1"/>
  <c r="K819" i="9"/>
  <c r="J819" i="9"/>
  <c r="I819" i="9"/>
  <c r="H819" i="9"/>
  <c r="G819" i="9"/>
  <c r="F819" i="9"/>
  <c r="E819" i="9"/>
  <c r="D819" i="9"/>
  <c r="C819" i="9"/>
  <c r="B819" i="9"/>
  <c r="A819" i="9"/>
  <c r="L818" i="9"/>
  <c r="M818" i="9" s="1"/>
  <c r="N818" i="9" s="1"/>
  <c r="K818" i="9"/>
  <c r="J818" i="9"/>
  <c r="I818" i="9"/>
  <c r="H818" i="9"/>
  <c r="G818" i="9"/>
  <c r="F818" i="9"/>
  <c r="E818" i="9"/>
  <c r="D818" i="9"/>
  <c r="C818" i="9"/>
  <c r="B818" i="9"/>
  <c r="A818" i="9"/>
  <c r="L817" i="9"/>
  <c r="M817" i="9" s="1"/>
  <c r="N817" i="9" s="1"/>
  <c r="K817" i="9"/>
  <c r="J817" i="9"/>
  <c r="I817" i="9"/>
  <c r="H817" i="9"/>
  <c r="G817" i="9"/>
  <c r="F817" i="9"/>
  <c r="E817" i="9"/>
  <c r="D817" i="9"/>
  <c r="C817" i="9"/>
  <c r="B817" i="9"/>
  <c r="A817" i="9"/>
  <c r="N816" i="9"/>
  <c r="L816" i="9"/>
  <c r="M816" i="9" s="1"/>
  <c r="K816" i="9"/>
  <c r="J816" i="9"/>
  <c r="I816" i="9"/>
  <c r="H816" i="9"/>
  <c r="G816" i="9"/>
  <c r="F816" i="9"/>
  <c r="E816" i="9"/>
  <c r="D816" i="9"/>
  <c r="C816" i="9"/>
  <c r="B816" i="9"/>
  <c r="A816" i="9"/>
  <c r="L815" i="9"/>
  <c r="M815" i="9" s="1"/>
  <c r="N815" i="9" s="1"/>
  <c r="K815" i="9"/>
  <c r="J815" i="9"/>
  <c r="I815" i="9"/>
  <c r="H815" i="9"/>
  <c r="G815" i="9"/>
  <c r="F815" i="9"/>
  <c r="E815" i="9"/>
  <c r="D815" i="9"/>
  <c r="C815" i="9"/>
  <c r="B815" i="9"/>
  <c r="A815" i="9"/>
  <c r="L814" i="9"/>
  <c r="M814" i="9" s="1"/>
  <c r="N814" i="9" s="1"/>
  <c r="K814" i="9"/>
  <c r="J814" i="9"/>
  <c r="I814" i="9"/>
  <c r="H814" i="9"/>
  <c r="G814" i="9"/>
  <c r="F814" i="9"/>
  <c r="E814" i="9"/>
  <c r="D814" i="9"/>
  <c r="C814" i="9"/>
  <c r="B814" i="9"/>
  <c r="A814" i="9"/>
  <c r="L813" i="9"/>
  <c r="M813" i="9" s="1"/>
  <c r="N813" i="9" s="1"/>
  <c r="K813" i="9"/>
  <c r="J813" i="9"/>
  <c r="I813" i="9"/>
  <c r="H813" i="9"/>
  <c r="G813" i="9"/>
  <c r="F813" i="9"/>
  <c r="E813" i="9"/>
  <c r="D813" i="9"/>
  <c r="C813" i="9"/>
  <c r="B813" i="9"/>
  <c r="A813" i="9"/>
  <c r="L812" i="9"/>
  <c r="M812" i="9" s="1"/>
  <c r="N812" i="9" s="1"/>
  <c r="K812" i="9"/>
  <c r="J812" i="9"/>
  <c r="I812" i="9"/>
  <c r="H812" i="9"/>
  <c r="G812" i="9"/>
  <c r="F812" i="9"/>
  <c r="E812" i="9"/>
  <c r="D812" i="9"/>
  <c r="C812" i="9"/>
  <c r="B812" i="9"/>
  <c r="A812" i="9"/>
  <c r="L811" i="9"/>
  <c r="M811" i="9" s="1"/>
  <c r="N811" i="9" s="1"/>
  <c r="K811" i="9"/>
  <c r="J811" i="9"/>
  <c r="I811" i="9"/>
  <c r="H811" i="9"/>
  <c r="G811" i="9"/>
  <c r="F811" i="9"/>
  <c r="E811" i="9"/>
  <c r="D811" i="9"/>
  <c r="C811" i="9"/>
  <c r="B811" i="9"/>
  <c r="A811" i="9"/>
  <c r="L810" i="9"/>
  <c r="M810" i="9" s="1"/>
  <c r="N810" i="9" s="1"/>
  <c r="K810" i="9"/>
  <c r="J810" i="9"/>
  <c r="I810" i="9"/>
  <c r="H810" i="9"/>
  <c r="G810" i="9"/>
  <c r="F810" i="9"/>
  <c r="E810" i="9"/>
  <c r="D810" i="9"/>
  <c r="C810" i="9"/>
  <c r="B810" i="9"/>
  <c r="A810" i="9"/>
  <c r="N809" i="9"/>
  <c r="L809" i="9"/>
  <c r="M809" i="9" s="1"/>
  <c r="K809" i="9"/>
  <c r="J809" i="9"/>
  <c r="I809" i="9"/>
  <c r="H809" i="9"/>
  <c r="G809" i="9"/>
  <c r="F809" i="9"/>
  <c r="E809" i="9"/>
  <c r="D809" i="9"/>
  <c r="C809" i="9"/>
  <c r="B809" i="9"/>
  <c r="A809" i="9"/>
  <c r="N808" i="9"/>
  <c r="L808" i="9"/>
  <c r="M808" i="9" s="1"/>
  <c r="K808" i="9"/>
  <c r="J808" i="9"/>
  <c r="I808" i="9"/>
  <c r="H808" i="9"/>
  <c r="G808" i="9"/>
  <c r="F808" i="9"/>
  <c r="E808" i="9"/>
  <c r="D808" i="9"/>
  <c r="C808" i="9"/>
  <c r="B808" i="9"/>
  <c r="A808" i="9"/>
  <c r="N807" i="9"/>
  <c r="L807" i="9"/>
  <c r="M807" i="9" s="1"/>
  <c r="K807" i="9"/>
  <c r="J807" i="9"/>
  <c r="I807" i="9"/>
  <c r="H807" i="9"/>
  <c r="G807" i="9"/>
  <c r="F807" i="9"/>
  <c r="E807" i="9"/>
  <c r="D807" i="9"/>
  <c r="C807" i="9"/>
  <c r="B807" i="9"/>
  <c r="A807" i="9"/>
  <c r="L806" i="9"/>
  <c r="M806" i="9" s="1"/>
  <c r="N806" i="9" s="1"/>
  <c r="K806" i="9"/>
  <c r="J806" i="9"/>
  <c r="I806" i="9"/>
  <c r="H806" i="9"/>
  <c r="G806" i="9"/>
  <c r="F806" i="9"/>
  <c r="E806" i="9"/>
  <c r="D806" i="9"/>
  <c r="C806" i="9"/>
  <c r="B806" i="9"/>
  <c r="A806" i="9"/>
  <c r="L805" i="9"/>
  <c r="M805" i="9" s="1"/>
  <c r="N805" i="9" s="1"/>
  <c r="K805" i="9"/>
  <c r="J805" i="9"/>
  <c r="I805" i="9"/>
  <c r="H805" i="9"/>
  <c r="G805" i="9"/>
  <c r="F805" i="9"/>
  <c r="E805" i="9"/>
  <c r="D805" i="9"/>
  <c r="C805" i="9"/>
  <c r="B805" i="9"/>
  <c r="A805" i="9"/>
  <c r="L804" i="9"/>
  <c r="M804" i="9" s="1"/>
  <c r="N804" i="9" s="1"/>
  <c r="K804" i="9"/>
  <c r="J804" i="9"/>
  <c r="I804" i="9"/>
  <c r="H804" i="9"/>
  <c r="G804" i="9"/>
  <c r="F804" i="9"/>
  <c r="E804" i="9"/>
  <c r="D804" i="9"/>
  <c r="C804" i="9"/>
  <c r="B804" i="9"/>
  <c r="A804" i="9"/>
  <c r="L803" i="9"/>
  <c r="M803" i="9" s="1"/>
  <c r="N803" i="9" s="1"/>
  <c r="K803" i="9"/>
  <c r="J803" i="9"/>
  <c r="I803" i="9"/>
  <c r="H803" i="9"/>
  <c r="G803" i="9"/>
  <c r="F803" i="9"/>
  <c r="E803" i="9"/>
  <c r="D803" i="9"/>
  <c r="C803" i="9"/>
  <c r="B803" i="9"/>
  <c r="A803" i="9"/>
  <c r="N802" i="9"/>
  <c r="L802" i="9"/>
  <c r="M802" i="9" s="1"/>
  <c r="K802" i="9"/>
  <c r="J802" i="9"/>
  <c r="I802" i="9"/>
  <c r="H802" i="9"/>
  <c r="G802" i="9"/>
  <c r="F802" i="9"/>
  <c r="E802" i="9"/>
  <c r="D802" i="9"/>
  <c r="C802" i="9"/>
  <c r="B802" i="9"/>
  <c r="A802" i="9"/>
  <c r="L801" i="9"/>
  <c r="M801" i="9" s="1"/>
  <c r="N801" i="9" s="1"/>
  <c r="K801" i="9"/>
  <c r="J801" i="9"/>
  <c r="I801" i="9"/>
  <c r="H801" i="9"/>
  <c r="G801" i="9"/>
  <c r="F801" i="9"/>
  <c r="E801" i="9"/>
  <c r="D801" i="9"/>
  <c r="C801" i="9"/>
  <c r="B801" i="9"/>
  <c r="A801" i="9"/>
  <c r="L800" i="9"/>
  <c r="M800" i="9" s="1"/>
  <c r="N800" i="9" s="1"/>
  <c r="K800" i="9"/>
  <c r="J800" i="9"/>
  <c r="I800" i="9"/>
  <c r="H800" i="9"/>
  <c r="G800" i="9"/>
  <c r="F800" i="9"/>
  <c r="E800" i="9"/>
  <c r="D800" i="9"/>
  <c r="C800" i="9"/>
  <c r="B800" i="9"/>
  <c r="A800" i="9"/>
  <c r="L799" i="9"/>
  <c r="M799" i="9" s="1"/>
  <c r="N799" i="9" s="1"/>
  <c r="K799" i="9"/>
  <c r="J799" i="9"/>
  <c r="I799" i="9"/>
  <c r="H799" i="9"/>
  <c r="G799" i="9"/>
  <c r="F799" i="9"/>
  <c r="E799" i="9"/>
  <c r="D799" i="9"/>
  <c r="C799" i="9"/>
  <c r="B799" i="9"/>
  <c r="A799" i="9"/>
  <c r="L798" i="9"/>
  <c r="M798" i="9" s="1"/>
  <c r="N798" i="9" s="1"/>
  <c r="K798" i="9"/>
  <c r="J798" i="9"/>
  <c r="I798" i="9"/>
  <c r="H798" i="9"/>
  <c r="G798" i="9"/>
  <c r="F798" i="9"/>
  <c r="E798" i="9"/>
  <c r="D798" i="9"/>
  <c r="C798" i="9"/>
  <c r="B798" i="9"/>
  <c r="A798" i="9"/>
  <c r="L797" i="9"/>
  <c r="M797" i="9" s="1"/>
  <c r="N797" i="9" s="1"/>
  <c r="K797" i="9"/>
  <c r="J797" i="9"/>
  <c r="I797" i="9"/>
  <c r="H797" i="9"/>
  <c r="G797" i="9"/>
  <c r="F797" i="9"/>
  <c r="E797" i="9"/>
  <c r="D797" i="9"/>
  <c r="C797" i="9"/>
  <c r="B797" i="9"/>
  <c r="A797" i="9"/>
  <c r="L796" i="9"/>
  <c r="M796" i="9" s="1"/>
  <c r="N796" i="9" s="1"/>
  <c r="K796" i="9"/>
  <c r="J796" i="9"/>
  <c r="I796" i="9"/>
  <c r="H796" i="9"/>
  <c r="G796" i="9"/>
  <c r="F796" i="9"/>
  <c r="E796" i="9"/>
  <c r="D796" i="9"/>
  <c r="C796" i="9"/>
  <c r="B796" i="9"/>
  <c r="A796" i="9"/>
  <c r="N795" i="9"/>
  <c r="L795" i="9"/>
  <c r="M795" i="9" s="1"/>
  <c r="K795" i="9"/>
  <c r="J795" i="9"/>
  <c r="I795" i="9"/>
  <c r="H795" i="9"/>
  <c r="G795" i="9"/>
  <c r="F795" i="9"/>
  <c r="E795" i="9"/>
  <c r="D795" i="9"/>
  <c r="C795" i="9"/>
  <c r="B795" i="9"/>
  <c r="A795" i="9"/>
  <c r="N794" i="9"/>
  <c r="L794" i="9"/>
  <c r="M794" i="9" s="1"/>
  <c r="K794" i="9"/>
  <c r="J794" i="9"/>
  <c r="I794" i="9"/>
  <c r="H794" i="9"/>
  <c r="G794" i="9"/>
  <c r="F794" i="9"/>
  <c r="E794" i="9"/>
  <c r="D794" i="9"/>
  <c r="C794" i="9"/>
  <c r="B794" i="9"/>
  <c r="A794" i="9"/>
  <c r="N793" i="9"/>
  <c r="L793" i="9"/>
  <c r="M793" i="9" s="1"/>
  <c r="K793" i="9"/>
  <c r="J793" i="9"/>
  <c r="I793" i="9"/>
  <c r="H793" i="9"/>
  <c r="G793" i="9"/>
  <c r="F793" i="9"/>
  <c r="E793" i="9"/>
  <c r="D793" i="9"/>
  <c r="C793" i="9"/>
  <c r="B793" i="9"/>
  <c r="A793" i="9"/>
  <c r="L792" i="9"/>
  <c r="M792" i="9" s="1"/>
  <c r="N792" i="9" s="1"/>
  <c r="K792" i="9"/>
  <c r="J792" i="9"/>
  <c r="I792" i="9"/>
  <c r="H792" i="9"/>
  <c r="G792" i="9"/>
  <c r="F792" i="9"/>
  <c r="E792" i="9"/>
  <c r="D792" i="9"/>
  <c r="C792" i="9"/>
  <c r="B792" i="9"/>
  <c r="A792" i="9"/>
  <c r="L791" i="9"/>
  <c r="M791" i="9" s="1"/>
  <c r="N791" i="9" s="1"/>
  <c r="K791" i="9"/>
  <c r="J791" i="9"/>
  <c r="I791" i="9"/>
  <c r="H791" i="9"/>
  <c r="G791" i="9"/>
  <c r="F791" i="9"/>
  <c r="E791" i="9"/>
  <c r="D791" i="9"/>
  <c r="C791" i="9"/>
  <c r="B791" i="9"/>
  <c r="A791" i="9"/>
  <c r="L790" i="9"/>
  <c r="M790" i="9" s="1"/>
  <c r="N790" i="9" s="1"/>
  <c r="K790" i="9"/>
  <c r="J790" i="9"/>
  <c r="I790" i="9"/>
  <c r="H790" i="9"/>
  <c r="G790" i="9"/>
  <c r="F790" i="9"/>
  <c r="E790" i="9"/>
  <c r="D790" i="9"/>
  <c r="C790" i="9"/>
  <c r="B790" i="9"/>
  <c r="A790" i="9"/>
  <c r="L789" i="9"/>
  <c r="M789" i="9" s="1"/>
  <c r="N789" i="9" s="1"/>
  <c r="K789" i="9"/>
  <c r="J789" i="9"/>
  <c r="I789" i="9"/>
  <c r="H789" i="9"/>
  <c r="G789" i="9"/>
  <c r="F789" i="9"/>
  <c r="E789" i="9"/>
  <c r="D789" i="9"/>
  <c r="C789" i="9"/>
  <c r="B789" i="9"/>
  <c r="A789" i="9"/>
  <c r="N788" i="9"/>
  <c r="L788" i="9"/>
  <c r="M788" i="9" s="1"/>
  <c r="K788" i="9"/>
  <c r="J788" i="9"/>
  <c r="I788" i="9"/>
  <c r="H788" i="9"/>
  <c r="G788" i="9"/>
  <c r="F788" i="9"/>
  <c r="E788" i="9"/>
  <c r="D788" i="9"/>
  <c r="C788" i="9"/>
  <c r="B788" i="9"/>
  <c r="A788" i="9"/>
  <c r="L787" i="9"/>
  <c r="M787" i="9" s="1"/>
  <c r="N787" i="9" s="1"/>
  <c r="K787" i="9"/>
  <c r="J787" i="9"/>
  <c r="I787" i="9"/>
  <c r="H787" i="9"/>
  <c r="G787" i="9"/>
  <c r="F787" i="9"/>
  <c r="E787" i="9"/>
  <c r="D787" i="9"/>
  <c r="C787" i="9"/>
  <c r="B787" i="9"/>
  <c r="A787" i="9"/>
  <c r="L786" i="9"/>
  <c r="M786" i="9" s="1"/>
  <c r="N786" i="9" s="1"/>
  <c r="K786" i="9"/>
  <c r="J786" i="9"/>
  <c r="I786" i="9"/>
  <c r="H786" i="9"/>
  <c r="G786" i="9"/>
  <c r="F786" i="9"/>
  <c r="E786" i="9"/>
  <c r="D786" i="9"/>
  <c r="C786" i="9"/>
  <c r="B786" i="9"/>
  <c r="A786" i="9"/>
  <c r="L785" i="9"/>
  <c r="M785" i="9" s="1"/>
  <c r="N785" i="9" s="1"/>
  <c r="K785" i="9"/>
  <c r="J785" i="9"/>
  <c r="I785" i="9"/>
  <c r="H785" i="9"/>
  <c r="G785" i="9"/>
  <c r="F785" i="9"/>
  <c r="E785" i="9"/>
  <c r="D785" i="9"/>
  <c r="C785" i="9"/>
  <c r="B785" i="9"/>
  <c r="A785" i="9"/>
  <c r="L784" i="9"/>
  <c r="M784" i="9" s="1"/>
  <c r="N784" i="9" s="1"/>
  <c r="K784" i="9"/>
  <c r="J784" i="9"/>
  <c r="I784" i="9"/>
  <c r="H784" i="9"/>
  <c r="G784" i="9"/>
  <c r="F784" i="9"/>
  <c r="E784" i="9"/>
  <c r="D784" i="9"/>
  <c r="C784" i="9"/>
  <c r="B784" i="9"/>
  <c r="A784" i="9"/>
  <c r="L783" i="9"/>
  <c r="M783" i="9" s="1"/>
  <c r="N783" i="9" s="1"/>
  <c r="K783" i="9"/>
  <c r="J783" i="9"/>
  <c r="I783" i="9"/>
  <c r="H783" i="9"/>
  <c r="G783" i="9"/>
  <c r="F783" i="9"/>
  <c r="E783" i="9"/>
  <c r="D783" i="9"/>
  <c r="C783" i="9"/>
  <c r="B783" i="9"/>
  <c r="A783" i="9"/>
  <c r="L782" i="9"/>
  <c r="M782" i="9" s="1"/>
  <c r="N782" i="9" s="1"/>
  <c r="K782" i="9"/>
  <c r="J782" i="9"/>
  <c r="I782" i="9"/>
  <c r="H782" i="9"/>
  <c r="G782" i="9"/>
  <c r="F782" i="9"/>
  <c r="E782" i="9"/>
  <c r="D782" i="9"/>
  <c r="C782" i="9"/>
  <c r="B782" i="9"/>
  <c r="A782" i="9"/>
  <c r="N781" i="9"/>
  <c r="L781" i="9"/>
  <c r="M781" i="9" s="1"/>
  <c r="K781" i="9"/>
  <c r="J781" i="9"/>
  <c r="I781" i="9"/>
  <c r="H781" i="9"/>
  <c r="G781" i="9"/>
  <c r="F781" i="9"/>
  <c r="E781" i="9"/>
  <c r="D781" i="9"/>
  <c r="C781" i="9"/>
  <c r="B781" i="9"/>
  <c r="A781" i="9"/>
  <c r="N780" i="9"/>
  <c r="L780" i="9"/>
  <c r="M780" i="9" s="1"/>
  <c r="K780" i="9"/>
  <c r="J780" i="9"/>
  <c r="I780" i="9"/>
  <c r="H780" i="9"/>
  <c r="G780" i="9"/>
  <c r="F780" i="9"/>
  <c r="E780" i="9"/>
  <c r="D780" i="9"/>
  <c r="C780" i="9"/>
  <c r="B780" i="9"/>
  <c r="A780" i="9"/>
  <c r="N779" i="9"/>
  <c r="L779" i="9"/>
  <c r="M779" i="9" s="1"/>
  <c r="K779" i="9"/>
  <c r="J779" i="9"/>
  <c r="I779" i="9"/>
  <c r="H779" i="9"/>
  <c r="G779" i="9"/>
  <c r="F779" i="9"/>
  <c r="E779" i="9"/>
  <c r="D779" i="9"/>
  <c r="C779" i="9"/>
  <c r="B779" i="9"/>
  <c r="A779" i="9"/>
  <c r="L778" i="9"/>
  <c r="M778" i="9" s="1"/>
  <c r="N778" i="9" s="1"/>
  <c r="K778" i="9"/>
  <c r="J778" i="9"/>
  <c r="I778" i="9"/>
  <c r="H778" i="9"/>
  <c r="G778" i="9"/>
  <c r="F778" i="9"/>
  <c r="E778" i="9"/>
  <c r="D778" i="9"/>
  <c r="C778" i="9"/>
  <c r="B778" i="9"/>
  <c r="A778" i="9"/>
  <c r="L777" i="9"/>
  <c r="M777" i="9" s="1"/>
  <c r="N777" i="9" s="1"/>
  <c r="K777" i="9"/>
  <c r="J777" i="9"/>
  <c r="I777" i="9"/>
  <c r="H777" i="9"/>
  <c r="G777" i="9"/>
  <c r="F777" i="9"/>
  <c r="E777" i="9"/>
  <c r="D777" i="9"/>
  <c r="C777" i="9"/>
  <c r="B777" i="9"/>
  <c r="A777" i="9"/>
  <c r="L776" i="9"/>
  <c r="M776" i="9" s="1"/>
  <c r="N776" i="9" s="1"/>
  <c r="K776" i="9"/>
  <c r="J776" i="9"/>
  <c r="I776" i="9"/>
  <c r="H776" i="9"/>
  <c r="G776" i="9"/>
  <c r="F776" i="9"/>
  <c r="E776" i="9"/>
  <c r="D776" i="9"/>
  <c r="C776" i="9"/>
  <c r="B776" i="9"/>
  <c r="A776" i="9"/>
  <c r="L775" i="9"/>
  <c r="M775" i="9" s="1"/>
  <c r="N775" i="9" s="1"/>
  <c r="K775" i="9"/>
  <c r="J775" i="9"/>
  <c r="I775" i="9"/>
  <c r="H775" i="9"/>
  <c r="G775" i="9"/>
  <c r="F775" i="9"/>
  <c r="E775" i="9"/>
  <c r="D775" i="9"/>
  <c r="C775" i="9"/>
  <c r="B775" i="9"/>
  <c r="A775" i="9"/>
  <c r="N774" i="9"/>
  <c r="L774" i="9"/>
  <c r="M774" i="9" s="1"/>
  <c r="K774" i="9"/>
  <c r="J774" i="9"/>
  <c r="I774" i="9"/>
  <c r="H774" i="9"/>
  <c r="G774" i="9"/>
  <c r="F774" i="9"/>
  <c r="E774" i="9"/>
  <c r="D774" i="9"/>
  <c r="C774" i="9"/>
  <c r="B774" i="9"/>
  <c r="A774" i="9"/>
  <c r="L773" i="9"/>
  <c r="M773" i="9" s="1"/>
  <c r="N773" i="9" s="1"/>
  <c r="K773" i="9"/>
  <c r="J773" i="9"/>
  <c r="I773" i="9"/>
  <c r="H773" i="9"/>
  <c r="G773" i="9"/>
  <c r="F773" i="9"/>
  <c r="E773" i="9"/>
  <c r="D773" i="9"/>
  <c r="C773" i="9"/>
  <c r="B773" i="9"/>
  <c r="A773" i="9"/>
  <c r="L772" i="9"/>
  <c r="M772" i="9" s="1"/>
  <c r="N772" i="9" s="1"/>
  <c r="K772" i="9"/>
  <c r="J772" i="9"/>
  <c r="I772" i="9"/>
  <c r="H772" i="9"/>
  <c r="G772" i="9"/>
  <c r="F772" i="9"/>
  <c r="E772" i="9"/>
  <c r="D772" i="9"/>
  <c r="C772" i="9"/>
  <c r="B772" i="9"/>
  <c r="A772" i="9"/>
  <c r="L771" i="9"/>
  <c r="M771" i="9" s="1"/>
  <c r="N771" i="9" s="1"/>
  <c r="K771" i="9"/>
  <c r="J771" i="9"/>
  <c r="I771" i="9"/>
  <c r="H771" i="9"/>
  <c r="G771" i="9"/>
  <c r="F771" i="9"/>
  <c r="E771" i="9"/>
  <c r="D771" i="9"/>
  <c r="C771" i="9"/>
  <c r="B771" i="9"/>
  <c r="A771" i="9"/>
  <c r="L770" i="9"/>
  <c r="M770" i="9" s="1"/>
  <c r="N770" i="9" s="1"/>
  <c r="K770" i="9"/>
  <c r="J770" i="9"/>
  <c r="I770" i="9"/>
  <c r="H770" i="9"/>
  <c r="G770" i="9"/>
  <c r="F770" i="9"/>
  <c r="E770" i="9"/>
  <c r="D770" i="9"/>
  <c r="C770" i="9"/>
  <c r="B770" i="9"/>
  <c r="A770" i="9"/>
  <c r="L769" i="9"/>
  <c r="M769" i="9" s="1"/>
  <c r="N769" i="9" s="1"/>
  <c r="K769" i="9"/>
  <c r="J769" i="9"/>
  <c r="I769" i="9"/>
  <c r="H769" i="9"/>
  <c r="G769" i="9"/>
  <c r="F769" i="9"/>
  <c r="E769" i="9"/>
  <c r="D769" i="9"/>
  <c r="C769" i="9"/>
  <c r="B769" i="9"/>
  <c r="A769" i="9"/>
  <c r="L768" i="9"/>
  <c r="M768" i="9" s="1"/>
  <c r="N768" i="9" s="1"/>
  <c r="K768" i="9"/>
  <c r="J768" i="9"/>
  <c r="I768" i="9"/>
  <c r="H768" i="9"/>
  <c r="G768" i="9"/>
  <c r="F768" i="9"/>
  <c r="E768" i="9"/>
  <c r="D768" i="9"/>
  <c r="C768" i="9"/>
  <c r="B768" i="9"/>
  <c r="A768" i="9"/>
  <c r="N767" i="9"/>
  <c r="L767" i="9"/>
  <c r="M767" i="9" s="1"/>
  <c r="K767" i="9"/>
  <c r="J767" i="9"/>
  <c r="I767" i="9"/>
  <c r="H767" i="9"/>
  <c r="G767" i="9"/>
  <c r="F767" i="9"/>
  <c r="E767" i="9"/>
  <c r="D767" i="9"/>
  <c r="C767" i="9"/>
  <c r="B767" i="9"/>
  <c r="A767" i="9"/>
  <c r="N766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A766" i="9"/>
  <c r="N765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A765" i="9"/>
  <c r="N764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A764" i="9"/>
  <c r="N763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A763" i="9"/>
  <c r="N762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A762" i="9"/>
  <c r="N761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A761" i="9"/>
  <c r="N760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A760" i="9"/>
  <c r="N759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A759" i="9"/>
  <c r="N758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A758" i="9"/>
  <c r="N757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A757" i="9"/>
  <c r="N756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A756" i="9"/>
  <c r="N755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A755" i="9"/>
  <c r="N754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A754" i="9"/>
  <c r="N753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A753" i="9"/>
  <c r="N752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A752" i="9"/>
  <c r="N751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A751" i="9"/>
  <c r="N750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A750" i="9"/>
  <c r="N749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A749" i="9"/>
  <c r="N748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A748" i="9"/>
  <c r="N747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A747" i="9"/>
  <c r="N746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A746" i="9"/>
  <c r="N745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A745" i="9"/>
  <c r="N744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A744" i="9"/>
  <c r="N743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A743" i="9"/>
  <c r="N742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A742" i="9"/>
  <c r="N741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A741" i="9"/>
  <c r="N740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A740" i="9"/>
  <c r="N739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A739" i="9"/>
  <c r="N738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A738" i="9"/>
  <c r="N737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A737" i="9"/>
  <c r="N736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A736" i="9"/>
  <c r="N735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A735" i="9"/>
  <c r="N734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A734" i="9"/>
  <c r="N733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A733" i="9"/>
  <c r="N732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A732" i="9"/>
  <c r="N731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A731" i="9"/>
  <c r="N730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A730" i="9"/>
  <c r="N729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A729" i="9"/>
  <c r="N728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A728" i="9"/>
  <c r="N727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A727" i="9"/>
  <c r="N726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A726" i="9"/>
  <c r="N725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A725" i="9"/>
  <c r="N724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A724" i="9"/>
  <c r="N723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A723" i="9"/>
  <c r="N722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A722" i="9"/>
  <c r="N721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A721" i="9"/>
  <c r="N720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A720" i="9"/>
  <c r="N719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A719" i="9"/>
  <c r="N718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A718" i="9"/>
  <c r="N717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A717" i="9"/>
  <c r="N716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A716" i="9"/>
  <c r="N715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A715" i="9"/>
  <c r="N714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A714" i="9"/>
  <c r="N713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A713" i="9"/>
  <c r="N712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A712" i="9"/>
  <c r="N711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A711" i="9"/>
  <c r="N710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A710" i="9"/>
  <c r="N709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A709" i="9"/>
  <c r="N708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A708" i="9"/>
  <c r="N707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A707" i="9"/>
  <c r="N706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A706" i="9"/>
  <c r="N705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A705" i="9"/>
  <c r="N704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A704" i="9"/>
  <c r="N703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A703" i="9"/>
  <c r="N702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A702" i="9"/>
  <c r="N701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A701" i="9"/>
  <c r="N700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A700" i="9"/>
  <c r="N699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A699" i="9"/>
  <c r="N698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A698" i="9"/>
  <c r="N697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A697" i="9"/>
  <c r="N696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A696" i="9"/>
  <c r="N695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A695" i="9"/>
  <c r="N694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A694" i="9"/>
  <c r="N693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A693" i="9"/>
  <c r="N692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A692" i="9"/>
  <c r="N691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A691" i="9"/>
  <c r="N690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A690" i="9"/>
  <c r="N689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A689" i="9"/>
  <c r="N688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A688" i="9"/>
  <c r="N687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A687" i="9"/>
  <c r="N686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A686" i="9"/>
  <c r="N685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A685" i="9"/>
  <c r="N684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A684" i="9"/>
  <c r="N683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A683" i="9"/>
  <c r="N682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A682" i="9"/>
  <c r="N681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A681" i="9"/>
  <c r="N680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A680" i="9"/>
  <c r="N679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A679" i="9"/>
  <c r="N678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A678" i="9"/>
  <c r="N677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A677" i="9"/>
  <c r="N676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A676" i="9"/>
  <c r="N675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A675" i="9"/>
  <c r="N674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A674" i="9"/>
  <c r="N673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A673" i="9"/>
  <c r="N672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A672" i="9"/>
  <c r="N671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A671" i="9"/>
  <c r="N670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A670" i="9"/>
  <c r="N669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A669" i="9"/>
  <c r="N668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A668" i="9"/>
  <c r="N667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A667" i="9"/>
  <c r="N666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A666" i="9"/>
  <c r="N665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A665" i="9"/>
  <c r="N664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A664" i="9"/>
  <c r="N663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A663" i="9"/>
  <c r="N662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A662" i="9"/>
  <c r="N661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A661" i="9"/>
  <c r="N660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A660" i="9"/>
  <c r="N659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A659" i="9"/>
  <c r="N658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A658" i="9"/>
  <c r="N657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A657" i="9"/>
  <c r="N656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A656" i="9"/>
  <c r="N655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A655" i="9"/>
  <c r="N654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A654" i="9"/>
  <c r="N653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A653" i="9"/>
  <c r="N652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A652" i="9"/>
  <c r="N651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A651" i="9"/>
  <c r="N650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A650" i="9"/>
  <c r="N649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A649" i="9"/>
  <c r="N648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A648" i="9"/>
  <c r="N647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A647" i="9"/>
  <c r="N646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A646" i="9"/>
  <c r="N645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A645" i="9"/>
  <c r="N644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A644" i="9"/>
  <c r="N643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A643" i="9"/>
  <c r="N642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A642" i="9"/>
  <c r="N641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A641" i="9"/>
  <c r="N640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A640" i="9"/>
  <c r="N639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A639" i="9"/>
  <c r="N638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A638" i="9"/>
  <c r="N637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A637" i="9"/>
  <c r="N636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A636" i="9"/>
  <c r="N635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A635" i="9"/>
  <c r="N634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A634" i="9"/>
  <c r="N633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A633" i="9"/>
  <c r="N632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A632" i="9"/>
  <c r="N631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A631" i="9"/>
  <c r="N630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A630" i="9"/>
  <c r="N629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A629" i="9"/>
  <c r="N628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A628" i="9"/>
  <c r="N627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A627" i="9"/>
  <c r="N626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A626" i="9"/>
  <c r="N625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A625" i="9"/>
  <c r="N624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A624" i="9"/>
  <c r="N623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A623" i="9"/>
  <c r="N622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A622" i="9"/>
  <c r="N621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A621" i="9"/>
  <c r="N620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A620" i="9"/>
  <c r="N619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A619" i="9"/>
  <c r="N618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A618" i="9"/>
  <c r="N617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A617" i="9"/>
  <c r="N616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A616" i="9"/>
  <c r="N615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A615" i="9"/>
  <c r="N614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A614" i="9"/>
  <c r="N613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A613" i="9"/>
  <c r="N612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A612" i="9"/>
  <c r="N611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A611" i="9"/>
  <c r="N610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A610" i="9"/>
  <c r="N609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A609" i="9"/>
  <c r="N608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A608" i="9"/>
  <c r="N607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A607" i="9"/>
  <c r="N606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A606" i="9"/>
  <c r="N605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A605" i="9"/>
  <c r="N604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A604" i="9"/>
  <c r="N603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A603" i="9"/>
  <c r="N602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A602" i="9"/>
  <c r="N601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A601" i="9"/>
  <c r="N600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A600" i="9"/>
  <c r="N599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A599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A598" i="9"/>
  <c r="N597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A597" i="9"/>
  <c r="N596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A596" i="9"/>
  <c r="N595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A595" i="9"/>
  <c r="N594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A594" i="9"/>
  <c r="N593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A593" i="9"/>
  <c r="N592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A592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A591" i="9"/>
  <c r="N590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A590" i="9"/>
  <c r="N589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A589" i="9"/>
  <c r="N588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A588" i="9"/>
  <c r="N587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A587" i="9"/>
  <c r="N586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A586" i="9"/>
  <c r="N585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A585" i="9"/>
  <c r="N584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A584" i="9"/>
  <c r="N583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A583" i="9"/>
  <c r="N582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A582" i="9"/>
  <c r="N581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A581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A580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A579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A578" i="9"/>
  <c r="N577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A577" i="9"/>
  <c r="N576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A576" i="9"/>
  <c r="N575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A575" i="9"/>
  <c r="N574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A574" i="9"/>
  <c r="N573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A573" i="9"/>
  <c r="N572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A572" i="9"/>
  <c r="N571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A571" i="9"/>
  <c r="N570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A570" i="9"/>
  <c r="N569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A569" i="9"/>
  <c r="N568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A568" i="9"/>
  <c r="N567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A567" i="9"/>
  <c r="N566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A566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A565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A564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A563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A562" i="9"/>
  <c r="N561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A561" i="9"/>
  <c r="N560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A560" i="9"/>
  <c r="N559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A559" i="9"/>
  <c r="N558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A558" i="9"/>
  <c r="N557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A557" i="9"/>
  <c r="N556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A556" i="9"/>
  <c r="N555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A555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A554" i="9"/>
  <c r="N553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A553" i="9"/>
  <c r="N552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A552" i="9"/>
  <c r="N551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A551" i="9"/>
  <c r="N550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A550" i="9"/>
  <c r="N549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A549" i="9"/>
  <c r="N548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A548" i="9"/>
  <c r="N547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A547" i="9"/>
  <c r="N546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A546" i="9"/>
  <c r="N545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A545" i="9"/>
  <c r="N544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A544" i="9"/>
  <c r="N543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A543" i="9"/>
  <c r="N542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A542" i="9"/>
  <c r="N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541" i="9"/>
  <c r="N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540" i="9"/>
  <c r="N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539" i="9"/>
  <c r="N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538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537" i="9"/>
  <c r="N536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536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535" i="9"/>
  <c r="N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534" i="9"/>
  <c r="N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533" i="9"/>
  <c r="N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532" i="9"/>
  <c r="N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531" i="9"/>
  <c r="N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530" i="9"/>
  <c r="N529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529" i="9"/>
  <c r="N528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528" i="9"/>
  <c r="N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527" i="9"/>
  <c r="N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526" i="9"/>
  <c r="N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525" i="9"/>
  <c r="N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524" i="9"/>
  <c r="N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523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522" i="9"/>
  <c r="N521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521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520" i="9"/>
  <c r="N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519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518" i="9"/>
  <c r="N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517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516" i="9"/>
  <c r="N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515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514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513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512" i="9"/>
  <c r="N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511" i="9"/>
  <c r="N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510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509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508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507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506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505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504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503" i="9"/>
  <c r="N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502" i="9"/>
  <c r="N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501" i="9"/>
  <c r="N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500" i="9"/>
  <c r="N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499" i="9"/>
  <c r="N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498" i="9"/>
  <c r="N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497" i="9"/>
  <c r="N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496" i="9"/>
  <c r="N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495" i="9"/>
  <c r="N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494" i="9"/>
  <c r="N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493" i="9"/>
  <c r="N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492" i="9"/>
  <c r="N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491" i="9"/>
  <c r="N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490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489" i="9"/>
  <c r="N488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488" i="9"/>
  <c r="N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487" i="9"/>
  <c r="N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486" i="9"/>
  <c r="N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485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484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483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482" i="9"/>
  <c r="N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481" i="9"/>
  <c r="N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480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479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478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477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476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475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474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473" i="9"/>
  <c r="N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472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471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470" i="9"/>
  <c r="N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469" i="9"/>
  <c r="N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468" i="9"/>
  <c r="N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467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466" i="9"/>
  <c r="N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465" i="9"/>
  <c r="N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464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463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462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461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460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459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458" i="9"/>
  <c r="N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457" i="9"/>
  <c r="N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456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455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454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453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452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451" i="9"/>
  <c r="N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450" i="9"/>
  <c r="N449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449" i="9"/>
  <c r="N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448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447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446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445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444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443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442" i="9"/>
  <c r="N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441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440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439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438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437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436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435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434" i="9"/>
  <c r="N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433" i="9"/>
  <c r="N432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432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431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430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429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428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427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426" i="9"/>
  <c r="N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425" i="9"/>
  <c r="N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424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423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422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421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420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419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418" i="9"/>
  <c r="N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417" i="9"/>
  <c r="N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416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415" i="9"/>
  <c r="N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414" i="9"/>
  <c r="N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413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412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411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410" i="9"/>
  <c r="N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409" i="9"/>
  <c r="N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408" i="9"/>
  <c r="N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407" i="9"/>
  <c r="N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406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405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404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403" i="9"/>
  <c r="N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402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401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400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399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398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397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396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395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394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393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392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391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390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389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388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387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386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385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384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383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382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381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380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379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378" i="9"/>
  <c r="N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377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376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375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374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373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372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371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70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369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368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367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366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365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364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363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362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361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360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359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358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357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356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355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354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353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352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351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350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349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348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347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346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345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344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343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342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341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340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339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338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337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336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335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334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333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332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331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330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329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328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327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326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325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324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323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322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321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320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319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318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317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316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315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314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313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312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311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310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309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307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306" i="9"/>
  <c r="N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305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303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302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301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299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298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295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294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291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290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289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287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286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285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283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282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281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279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278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277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255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254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253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251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250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249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247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246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245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243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242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241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231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230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229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227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226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225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223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222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221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215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214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213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G10" i="2" l="1"/>
  <c r="M1273" i="9"/>
  <c r="N1273" i="9" s="1"/>
  <c r="M1248" i="9"/>
  <c r="N1248" i="9"/>
  <c r="N1312" i="9"/>
  <c r="M1312" i="9"/>
  <c r="M1319" i="9"/>
  <c r="N1319" i="9" s="1"/>
  <c r="N1326" i="9"/>
  <c r="M1326" i="9"/>
  <c r="M1333" i="9"/>
  <c r="N1333" i="9" s="1"/>
  <c r="M1340" i="9"/>
  <c r="N1340" i="9" s="1"/>
  <c r="M1347" i="9"/>
  <c r="N1347" i="9" s="1"/>
  <c r="M1354" i="9"/>
  <c r="N1354" i="9" s="1"/>
  <c r="N1361" i="9"/>
  <c r="M1361" i="9"/>
  <c r="M1368" i="9"/>
  <c r="N1368" i="9" s="1"/>
  <c r="N1375" i="9"/>
  <c r="M1375" i="9"/>
  <c r="M1382" i="9"/>
  <c r="N1382" i="9" s="1"/>
  <c r="M1220" i="9"/>
  <c r="N1220" i="9"/>
  <c r="M1272" i="9"/>
  <c r="N1272" i="9" s="1"/>
  <c r="M1219" i="9"/>
  <c r="N1219" i="9" s="1"/>
  <c r="M1191" i="9"/>
  <c r="N1191" i="9" s="1"/>
  <c r="M1434" i="9"/>
  <c r="N1434" i="9" s="1"/>
  <c r="N1448" i="9"/>
  <c r="M1448" i="9"/>
  <c r="M1455" i="9"/>
  <c r="N1455" i="9" s="1"/>
  <c r="M1489" i="9"/>
  <c r="N1489" i="9" s="1"/>
  <c r="M1536" i="9"/>
  <c r="N1536" i="9" s="1"/>
  <c r="M1543" i="9"/>
  <c r="N1543" i="9" s="1"/>
  <c r="M1247" i="9"/>
  <c r="N1247" i="9" s="1"/>
  <c r="M1441" i="9"/>
  <c r="N1441" i="9" s="1"/>
  <c r="M1192" i="9"/>
  <c r="N1192" i="9" s="1"/>
  <c r="M1427" i="9"/>
  <c r="N1427" i="9" s="1"/>
  <c r="M1193" i="9"/>
  <c r="N1193" i="9"/>
  <c r="M1202" i="9"/>
  <c r="N1202" i="9"/>
  <c r="M1221" i="9"/>
  <c r="N1221" i="9" s="1"/>
  <c r="M1230" i="9"/>
  <c r="N1230" i="9" s="1"/>
  <c r="M1249" i="9"/>
  <c r="N1249" i="9"/>
  <c r="N1257" i="9"/>
  <c r="M1257" i="9"/>
  <c r="M1200" i="9"/>
  <c r="N1200" i="9"/>
  <c r="M1228" i="9"/>
  <c r="N1228" i="9"/>
  <c r="M1303" i="9"/>
  <c r="N1303" i="9" s="1"/>
  <c r="M1302" i="9"/>
  <c r="N1302" i="9" s="1"/>
  <c r="M1179" i="9"/>
  <c r="N1179" i="9" s="1"/>
  <c r="M1188" i="9"/>
  <c r="N1188" i="9"/>
  <c r="M1207" i="9"/>
  <c r="N1207" i="9" s="1"/>
  <c r="M1216" i="9"/>
  <c r="N1216" i="9"/>
  <c r="M1235" i="9"/>
  <c r="N1235" i="9"/>
  <c r="M1244" i="9"/>
  <c r="N1244" i="9"/>
  <c r="M1294" i="9"/>
  <c r="N1294" i="9" s="1"/>
  <c r="M1178" i="9"/>
  <c r="N1178" i="9" s="1"/>
  <c r="M1206" i="9"/>
  <c r="N1206" i="9"/>
  <c r="M1234" i="9"/>
  <c r="N1234" i="9" s="1"/>
  <c r="M1285" i="9"/>
  <c r="N1285" i="9" s="1"/>
  <c r="M1300" i="9"/>
  <c r="N1300" i="9" s="1"/>
  <c r="M1186" i="9"/>
  <c r="N1186" i="9"/>
  <c r="M1214" i="9"/>
  <c r="N1214" i="9" s="1"/>
  <c r="M1242" i="9"/>
  <c r="N1242" i="9" s="1"/>
  <c r="N1275" i="9"/>
  <c r="M1258" i="9"/>
  <c r="N1258" i="9" s="1"/>
  <c r="N1299" i="9"/>
  <c r="M1299" i="9"/>
  <c r="N1274" i="9"/>
  <c r="M1301" i="9"/>
  <c r="N1301" i="9" s="1"/>
  <c r="M1428" i="9"/>
  <c r="N1428" i="9" s="1"/>
  <c r="M1435" i="9"/>
  <c r="N1435" i="9" s="1"/>
  <c r="N1442" i="9"/>
  <c r="M1442" i="9"/>
  <c r="M1449" i="9"/>
  <c r="N1449" i="9" s="1"/>
  <c r="N1456" i="9"/>
  <c r="M1456" i="9"/>
  <c r="M1256" i="9"/>
  <c r="N1256" i="9" s="1"/>
  <c r="M1266" i="9"/>
  <c r="N1266" i="9" s="1"/>
  <c r="M1419" i="9"/>
  <c r="N1419" i="9" s="1"/>
  <c r="M1418" i="9"/>
  <c r="N1418" i="9" s="1"/>
  <c r="M1401" i="9"/>
  <c r="N1401" i="9" s="1"/>
  <c r="N1187" i="9"/>
  <c r="N1201" i="9"/>
  <c r="N1215" i="9"/>
  <c r="N1229" i="9"/>
  <c r="N1243" i="9"/>
  <c r="M1271" i="9"/>
  <c r="N1271" i="9" s="1"/>
  <c r="M1392" i="9"/>
  <c r="N1392" i="9" s="1"/>
  <c r="M1252" i="9"/>
  <c r="N1252" i="9" s="1"/>
  <c r="M1280" i="9"/>
  <c r="N1280" i="9" s="1"/>
  <c r="N1314" i="9"/>
  <c r="M1314" i="9"/>
  <c r="M1321" i="9"/>
  <c r="N1321" i="9" s="1"/>
  <c r="M1328" i="9"/>
  <c r="N1328" i="9" s="1"/>
  <c r="M1335" i="9"/>
  <c r="N1335" i="9" s="1"/>
  <c r="M1342" i="9"/>
  <c r="N1342" i="9" s="1"/>
  <c r="N1349" i="9"/>
  <c r="M1349" i="9"/>
  <c r="M1356" i="9"/>
  <c r="N1356" i="9" s="1"/>
  <c r="N1363" i="9"/>
  <c r="M1363" i="9"/>
  <c r="M1370" i="9"/>
  <c r="N1370" i="9" s="1"/>
  <c r="M1377" i="9"/>
  <c r="N1377" i="9" s="1"/>
  <c r="M1384" i="9"/>
  <c r="N1384" i="9" s="1"/>
  <c r="M1400" i="9"/>
  <c r="N1400" i="9" s="1"/>
  <c r="N1185" i="9"/>
  <c r="N1199" i="9"/>
  <c r="N1213" i="9"/>
  <c r="N1227" i="9"/>
  <c r="N1241" i="9"/>
  <c r="N1260" i="9"/>
  <c r="M1287" i="9"/>
  <c r="N1287" i="9" s="1"/>
  <c r="M1289" i="9"/>
  <c r="N1289" i="9" s="1"/>
  <c r="N1251" i="9"/>
  <c r="M1251" i="9"/>
  <c r="N1259" i="9"/>
  <c r="M1288" i="9"/>
  <c r="N1288" i="9" s="1"/>
  <c r="M1313" i="9"/>
  <c r="N1313" i="9" s="1"/>
  <c r="M1320" i="9"/>
  <c r="N1320" i="9" s="1"/>
  <c r="M1327" i="9"/>
  <c r="N1327" i="9" s="1"/>
  <c r="N1334" i="9"/>
  <c r="M1334" i="9"/>
  <c r="M1341" i="9"/>
  <c r="N1341" i="9" s="1"/>
  <c r="N1348" i="9"/>
  <c r="M1348" i="9"/>
  <c r="M1355" i="9"/>
  <c r="N1355" i="9" s="1"/>
  <c r="M1362" i="9"/>
  <c r="N1362" i="9" s="1"/>
  <c r="M1369" i="9"/>
  <c r="N1369" i="9" s="1"/>
  <c r="M1376" i="9"/>
  <c r="N1376" i="9" s="1"/>
  <c r="N1383" i="9"/>
  <c r="M1383" i="9"/>
  <c r="M1399" i="9"/>
  <c r="N1399" i="9" s="1"/>
  <c r="N1183" i="9"/>
  <c r="N1197" i="9"/>
  <c r="N1211" i="9"/>
  <c r="N1225" i="9"/>
  <c r="N1239" i="9"/>
  <c r="M1261" i="9"/>
  <c r="N1261" i="9" s="1"/>
  <c r="M1286" i="9"/>
  <c r="N1286" i="9" s="1"/>
  <c r="M1390" i="9"/>
  <c r="N1390" i="9" s="1"/>
  <c r="N1262" i="9"/>
  <c r="N1276" i="9"/>
  <c r="N1290" i="9"/>
  <c r="N1304" i="9"/>
  <c r="N1420" i="9"/>
  <c r="M1420" i="9"/>
  <c r="M1481" i="9"/>
  <c r="N1481" i="9" s="1"/>
  <c r="M1391" i="9"/>
  <c r="N1391" i="9" s="1"/>
  <c r="N1298" i="9"/>
  <c r="N1255" i="9"/>
  <c r="N1269" i="9"/>
  <c r="N1283" i="9"/>
  <c r="N1297" i="9"/>
  <c r="M1311" i="9"/>
  <c r="N1311" i="9" s="1"/>
  <c r="M1318" i="9"/>
  <c r="N1318" i="9" s="1"/>
  <c r="M1325" i="9"/>
  <c r="N1325" i="9" s="1"/>
  <c r="N1332" i="9"/>
  <c r="M1332" i="9"/>
  <c r="M1339" i="9"/>
  <c r="N1339" i="9" s="1"/>
  <c r="N1346" i="9"/>
  <c r="M1346" i="9"/>
  <c r="M1353" i="9"/>
  <c r="N1353" i="9" s="1"/>
  <c r="M1360" i="9"/>
  <c r="N1360" i="9" s="1"/>
  <c r="M1367" i="9"/>
  <c r="N1367" i="9" s="1"/>
  <c r="M1374" i="9"/>
  <c r="N1374" i="9" s="1"/>
  <c r="N1381" i="9"/>
  <c r="M1381" i="9"/>
  <c r="M1415" i="9"/>
  <c r="N1415" i="9" s="1"/>
  <c r="N1494" i="9"/>
  <c r="M1494" i="9"/>
  <c r="M1502" i="9"/>
  <c r="N1502" i="9" s="1"/>
  <c r="M1540" i="9"/>
  <c r="N1540" i="9" s="1"/>
  <c r="N1254" i="9"/>
  <c r="N1268" i="9"/>
  <c r="N1282" i="9"/>
  <c r="N1296" i="9"/>
  <c r="N1310" i="9"/>
  <c r="M1406" i="9"/>
  <c r="N1406" i="9" s="1"/>
  <c r="M1467" i="9"/>
  <c r="N1467" i="9" s="1"/>
  <c r="M1270" i="9"/>
  <c r="N1270" i="9" s="1"/>
  <c r="M1284" i="9"/>
  <c r="N1284" i="9" s="1"/>
  <c r="M1298" i="9"/>
  <c r="M1317" i="9"/>
  <c r="N1317" i="9" s="1"/>
  <c r="M1324" i="9"/>
  <c r="N1324" i="9" s="1"/>
  <c r="M1331" i="9"/>
  <c r="N1331" i="9" s="1"/>
  <c r="N1338" i="9"/>
  <c r="M1338" i="9"/>
  <c r="M1345" i="9"/>
  <c r="N1345" i="9" s="1"/>
  <c r="N1352" i="9"/>
  <c r="M1352" i="9"/>
  <c r="M1359" i="9"/>
  <c r="N1359" i="9" s="1"/>
  <c r="M1366" i="9"/>
  <c r="N1366" i="9" s="1"/>
  <c r="M1373" i="9"/>
  <c r="N1373" i="9" s="1"/>
  <c r="M1380" i="9"/>
  <c r="N1380" i="9" s="1"/>
  <c r="N1387" i="9"/>
  <c r="M1387" i="9"/>
  <c r="M1414" i="9"/>
  <c r="N1414" i="9" s="1"/>
  <c r="N1475" i="9"/>
  <c r="M1475" i="9"/>
  <c r="M1493" i="9"/>
  <c r="N1493" i="9" s="1"/>
  <c r="N1405" i="9"/>
  <c r="M1405" i="9"/>
  <c r="M1466" i="9"/>
  <c r="N1466" i="9" s="1"/>
  <c r="N1508" i="9"/>
  <c r="M1508" i="9"/>
  <c r="M1516" i="9"/>
  <c r="N1516" i="9" s="1"/>
  <c r="N1265" i="9"/>
  <c r="N1279" i="9"/>
  <c r="N1293" i="9"/>
  <c r="N1307" i="9"/>
  <c r="M1316" i="9"/>
  <c r="N1316" i="9" s="1"/>
  <c r="N1323" i="9"/>
  <c r="M1323" i="9"/>
  <c r="M1330" i="9"/>
  <c r="N1330" i="9" s="1"/>
  <c r="N1337" i="9"/>
  <c r="M1337" i="9"/>
  <c r="M1344" i="9"/>
  <c r="N1344" i="9" s="1"/>
  <c r="M1351" i="9"/>
  <c r="N1351" i="9" s="1"/>
  <c r="M1358" i="9"/>
  <c r="N1358" i="9" s="1"/>
  <c r="M1365" i="9"/>
  <c r="N1365" i="9" s="1"/>
  <c r="N1372" i="9"/>
  <c r="M1372" i="9"/>
  <c r="M1379" i="9"/>
  <c r="N1379" i="9" s="1"/>
  <c r="N1386" i="9"/>
  <c r="M1386" i="9"/>
  <c r="N1404" i="9"/>
  <c r="M1413" i="9"/>
  <c r="N1413" i="9" s="1"/>
  <c r="N1430" i="9"/>
  <c r="M1430" i="9"/>
  <c r="M1437" i="9"/>
  <c r="N1437" i="9" s="1"/>
  <c r="M1444" i="9"/>
  <c r="N1444" i="9" s="1"/>
  <c r="M1451" i="9"/>
  <c r="N1451" i="9" s="1"/>
  <c r="M1458" i="9"/>
  <c r="N1458" i="9" s="1"/>
  <c r="M1253" i="9"/>
  <c r="N1253" i="9" s="1"/>
  <c r="N1264" i="9"/>
  <c r="M1267" i="9"/>
  <c r="N1267" i="9" s="1"/>
  <c r="N1278" i="9"/>
  <c r="M1281" i="9"/>
  <c r="N1281" i="9" s="1"/>
  <c r="N1292" i="9"/>
  <c r="M1295" i="9"/>
  <c r="N1295" i="9" s="1"/>
  <c r="N1306" i="9"/>
  <c r="M1309" i="9"/>
  <c r="N1309" i="9" s="1"/>
  <c r="N1507" i="9"/>
  <c r="M1507" i="9"/>
  <c r="N1263" i="9"/>
  <c r="N1277" i="9"/>
  <c r="N1291" i="9"/>
  <c r="N1305" i="9"/>
  <c r="M1308" i="9"/>
  <c r="N1308" i="9" s="1"/>
  <c r="M1315" i="9"/>
  <c r="N1315" i="9" s="1"/>
  <c r="N1322" i="9"/>
  <c r="M1322" i="9"/>
  <c r="M1329" i="9"/>
  <c r="N1329" i="9" s="1"/>
  <c r="M1336" i="9"/>
  <c r="N1336" i="9" s="1"/>
  <c r="M1343" i="9"/>
  <c r="N1343" i="9" s="1"/>
  <c r="M1350" i="9"/>
  <c r="N1350" i="9" s="1"/>
  <c r="N1357" i="9"/>
  <c r="M1357" i="9"/>
  <c r="M1364" i="9"/>
  <c r="N1364" i="9" s="1"/>
  <c r="N1371" i="9"/>
  <c r="M1371" i="9"/>
  <c r="M1378" i="9"/>
  <c r="N1378" i="9" s="1"/>
  <c r="M1385" i="9"/>
  <c r="N1385" i="9" s="1"/>
  <c r="M1473" i="9"/>
  <c r="N1473" i="9" s="1"/>
  <c r="N1389" i="9"/>
  <c r="N1403" i="9"/>
  <c r="N1417" i="9"/>
  <c r="M1429" i="9"/>
  <c r="N1429" i="9" s="1"/>
  <c r="M1436" i="9"/>
  <c r="N1436" i="9" s="1"/>
  <c r="M1443" i="9"/>
  <c r="N1443" i="9" s="1"/>
  <c r="M1450" i="9"/>
  <c r="N1450" i="9" s="1"/>
  <c r="N1457" i="9"/>
  <c r="M1457" i="9"/>
  <c r="M1474" i="9"/>
  <c r="N1474" i="9" s="1"/>
  <c r="N1509" i="9"/>
  <c r="M1509" i="9"/>
  <c r="M1535" i="9"/>
  <c r="N1535" i="9" s="1"/>
  <c r="N1388" i="9"/>
  <c r="N1402" i="9"/>
  <c r="N1416" i="9"/>
  <c r="M1465" i="9"/>
  <c r="N1465" i="9" s="1"/>
  <c r="M1517" i="9"/>
  <c r="N1517" i="9" s="1"/>
  <c r="N1480" i="9"/>
  <c r="M1480" i="9"/>
  <c r="M1523" i="9"/>
  <c r="N1523" i="9" s="1"/>
  <c r="N1397" i="9"/>
  <c r="N1411" i="9"/>
  <c r="M1433" i="9"/>
  <c r="N1433" i="9" s="1"/>
  <c r="M1440" i="9"/>
  <c r="N1440" i="9" s="1"/>
  <c r="M1447" i="9"/>
  <c r="N1447" i="9" s="1"/>
  <c r="M1454" i="9"/>
  <c r="N1454" i="9" s="1"/>
  <c r="N1461" i="9"/>
  <c r="M1461" i="9"/>
  <c r="M1488" i="9"/>
  <c r="N1488" i="9" s="1"/>
  <c r="N1531" i="9"/>
  <c r="M1531" i="9"/>
  <c r="N1424" i="9"/>
  <c r="N1479" i="9"/>
  <c r="M1479" i="9"/>
  <c r="M1522" i="9"/>
  <c r="N1522" i="9" s="1"/>
  <c r="N1395" i="9"/>
  <c r="M1398" i="9"/>
  <c r="N1398" i="9" s="1"/>
  <c r="N1409" i="9"/>
  <c r="M1412" i="9"/>
  <c r="N1412" i="9" s="1"/>
  <c r="N1423" i="9"/>
  <c r="M1426" i="9"/>
  <c r="N1426" i="9" s="1"/>
  <c r="M1432" i="9"/>
  <c r="N1432" i="9" s="1"/>
  <c r="M1439" i="9"/>
  <c r="N1439" i="9" s="1"/>
  <c r="N1446" i="9"/>
  <c r="M1446" i="9"/>
  <c r="M1453" i="9"/>
  <c r="N1453" i="9" s="1"/>
  <c r="N1460" i="9"/>
  <c r="M1460" i="9"/>
  <c r="M1487" i="9"/>
  <c r="N1487" i="9" s="1"/>
  <c r="M1530" i="9"/>
  <c r="N1530" i="9" s="1"/>
  <c r="N1394" i="9"/>
  <c r="M1397" i="9"/>
  <c r="N1408" i="9"/>
  <c r="M1411" i="9"/>
  <c r="N1422" i="9"/>
  <c r="M1425" i="9"/>
  <c r="N1425" i="9" s="1"/>
  <c r="M1495" i="9"/>
  <c r="N1495" i="9" s="1"/>
  <c r="N1521" i="9"/>
  <c r="M1521" i="9"/>
  <c r="N1393" i="9"/>
  <c r="M1396" i="9"/>
  <c r="N1396" i="9" s="1"/>
  <c r="N1407" i="9"/>
  <c r="M1410" i="9"/>
  <c r="N1410" i="9" s="1"/>
  <c r="N1421" i="9"/>
  <c r="M1424" i="9"/>
  <c r="M1431" i="9"/>
  <c r="N1431" i="9" s="1"/>
  <c r="N1438" i="9"/>
  <c r="M1438" i="9"/>
  <c r="M1445" i="9"/>
  <c r="N1445" i="9" s="1"/>
  <c r="N1452" i="9"/>
  <c r="M1452" i="9"/>
  <c r="M1459" i="9"/>
  <c r="N1459" i="9" s="1"/>
  <c r="M1503" i="9"/>
  <c r="N1503" i="9" s="1"/>
  <c r="N1464" i="9"/>
  <c r="N1478" i="9"/>
  <c r="N1492" i="9"/>
  <c r="N1506" i="9"/>
  <c r="N1520" i="9"/>
  <c r="N1534" i="9"/>
  <c r="M1542" i="9"/>
  <c r="N1542" i="9" s="1"/>
  <c r="N1463" i="9"/>
  <c r="N1477" i="9"/>
  <c r="N1491" i="9"/>
  <c r="N1505" i="9"/>
  <c r="N1519" i="9"/>
  <c r="N1533" i="9"/>
  <c r="N1462" i="9"/>
  <c r="N1476" i="9"/>
  <c r="N1490" i="9"/>
  <c r="N1504" i="9"/>
  <c r="N1518" i="9"/>
  <c r="N1532" i="9"/>
  <c r="M1541" i="9"/>
  <c r="N1541" i="9" s="1"/>
  <c r="N1501" i="9"/>
  <c r="N1515" i="9"/>
  <c r="N1529" i="9"/>
  <c r="N1486" i="9"/>
  <c r="N1500" i="9"/>
  <c r="M1539" i="9"/>
  <c r="N1539" i="9" s="1"/>
  <c r="N1471" i="9"/>
  <c r="N1513" i="9"/>
  <c r="N1527" i="9"/>
  <c r="N1470" i="9"/>
  <c r="N1484" i="9"/>
  <c r="N1498" i="9"/>
  <c r="M1501" i="9"/>
  <c r="N1512" i="9"/>
  <c r="M1515" i="9"/>
  <c r="N1526" i="9"/>
  <c r="M1529" i="9"/>
  <c r="M1538" i="9"/>
  <c r="N1538" i="9" s="1"/>
  <c r="N1469" i="9"/>
  <c r="M1472" i="9"/>
  <c r="N1472" i="9" s="1"/>
  <c r="N1483" i="9"/>
  <c r="M1486" i="9"/>
  <c r="N1497" i="9"/>
  <c r="M1500" i="9"/>
  <c r="N1511" i="9"/>
  <c r="M1514" i="9"/>
  <c r="N1514" i="9" s="1"/>
  <c r="N1525" i="9"/>
  <c r="M1528" i="9"/>
  <c r="N1528" i="9" s="1"/>
  <c r="N1468" i="9"/>
  <c r="M1471" i="9"/>
  <c r="N1482" i="9"/>
  <c r="M1485" i="9"/>
  <c r="N1485" i="9" s="1"/>
  <c r="N1496" i="9"/>
  <c r="M1499" i="9"/>
  <c r="N1499" i="9" s="1"/>
  <c r="N1510" i="9"/>
  <c r="M1513" i="9"/>
  <c r="N1524" i="9"/>
  <c r="M1527" i="9"/>
  <c r="M1537" i="9"/>
  <c r="N1537" i="9" s="1"/>
  <c r="M1544" i="9"/>
  <c r="N1544" i="9" s="1"/>
  <c r="M1545" i="9"/>
  <c r="N1545" i="9" s="1"/>
  <c r="F2" i="8" l="1"/>
  <c r="C2" i="8"/>
  <c r="B2" i="8"/>
  <c r="A2" i="8"/>
  <c r="B88" i="2"/>
  <c r="D2" i="8" l="1"/>
  <c r="E2" i="8" s="1"/>
  <c r="H2" i="8" s="1"/>
  <c r="B89" i="2"/>
  <c r="G2" i="8" l="1"/>
  <c r="B9" i="2" s="1"/>
  <c r="D9" i="2" s="1"/>
  <c r="B91" i="2" l="1"/>
  <c r="B9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<sst xmlns="http://schemas.openxmlformats.org/spreadsheetml/2006/main" count="27710" uniqueCount="5715">
  <si>
    <t>자사 SKU</t>
  </si>
  <si>
    <t>제품명</t>
  </si>
  <si>
    <t>카테고리</t>
  </si>
  <si>
    <t>매입원가</t>
  </si>
  <si>
    <t>기초재고</t>
  </si>
  <si>
    <t>안전재고</t>
  </si>
  <si>
    <t>비고</t>
  </si>
  <si>
    <t>SKU001</t>
  </si>
  <si>
    <t>채널명</t>
  </si>
  <si>
    <t>채널상품코드</t>
  </si>
  <si>
    <t>채널상품명</t>
  </si>
  <si>
    <t>자사SKU</t>
  </si>
  <si>
    <t>매핑일자</t>
  </si>
  <si>
    <t>시트명</t>
  </si>
  <si>
    <t>용도</t>
  </si>
  <si>
    <t>Dashboard</t>
  </si>
  <si>
    <t>시스템 가이드 및 주요 지표</t>
  </si>
  <si>
    <t>Product_Master</t>
  </si>
  <si>
    <t>자사 SKU 마스터 데이터</t>
  </si>
  <si>
    <t>자사SKU, 제품명, 매입원가, 기초재고, 안전재고</t>
  </si>
  <si>
    <t>Channel_Mapping</t>
  </si>
  <si>
    <t>채널명, 채널상품코드, 자사SKU</t>
  </si>
  <si>
    <t>Raw_SK</t>
  </si>
  <si>
    <t>Normalized_Data</t>
  </si>
  <si>
    <t>Inventory_Status</t>
  </si>
  <si>
    <t>PnL_Analysis</t>
  </si>
  <si>
    <t>통합 이커머스 매출 및 재고 관리 시스템 (Mini-ERP)</t>
  </si>
  <si>
    <t>설명</t>
  </si>
  <si>
    <t>채널코드→자사SKU</t>
  </si>
  <si>
    <t>매핑 테이블에서 자사SKU 찾기</t>
  </si>
  <si>
    <t>매입원가 찾기</t>
  </si>
  <si>
    <t>SKU별 매입원가 조회</t>
  </si>
  <si>
    <t>공헌이익 계산</t>
  </si>
  <si>
    <t>현재고 계산</t>
  </si>
  <si>
    <t>누적 판매량만큼 차감</t>
  </si>
  <si>
    <t>채널별 집계</t>
  </si>
  <si>
    <t>파란색 텍스트</t>
  </si>
  <si>
    <t>하드코딩 입력값 (사용자가 변경)</t>
  </si>
  <si>
    <t>주문번호</t>
  </si>
  <si>
    <t>판매수량</t>
  </si>
  <si>
    <t>실정산금액</t>
  </si>
  <si>
    <t>SK스토아</t>
  </si>
  <si>
    <t>Raw_SK 시트에 데이터 입력 완료 후</t>
  </si>
  <si>
    <t>A2:H2 수식을 아래로 복사</t>
  </si>
  <si>
    <t>자동으로 표준 포맷 변환</t>
  </si>
  <si>
    <t>Channel_Mapping 테이블에</t>
  </si>
  <si>
    <t>채널코드가 반드시 등록되어 있어야</t>
  </si>
  <si>
    <t>자사SKU 매핑이 정상 작동합니다.</t>
  </si>
  <si>
    <t>회색 = 자동계산 수식</t>
  </si>
  <si>
    <t>누적판매</t>
  </si>
  <si>
    <t>현재고</t>
  </si>
  <si>
    <t>재고상태</t>
  </si>
  <si>
    <t>발주수량</t>
  </si>
  <si>
    <t>📦 재고 관리 로직</t>
  </si>
  <si>
    <t>현재고:</t>
  </si>
  <si>
    <t>누적판매:</t>
  </si>
  <si>
    <t>재고상태:</t>
  </si>
  <si>
    <t>⚠️ 발주필요</t>
  </si>
  <si>
    <t>현재고 &lt; 안전재고</t>
  </si>
  <si>
    <t>⚡ 주의</t>
  </si>
  <si>
    <t>현재고 &lt; 안전재고×1.5</t>
  </si>
  <si>
    <t>✅ 정상</t>
  </si>
  <si>
    <t>그 외 정상 재고</t>
  </si>
  <si>
    <t>발주수량:</t>
  </si>
  <si>
    <t>안전재고의 3배까지 발주</t>
  </si>
  <si>
    <t>(현재고 부족 시)</t>
  </si>
  <si>
    <t>사용법:</t>
  </si>
  <si>
    <t>채널</t>
  </si>
  <si>
    <t>총원가</t>
  </si>
  <si>
    <t>공헌이익</t>
  </si>
  <si>
    <t>공헌이익률</t>
  </si>
  <si>
    <t>No</t>
  </si>
  <si>
    <t>업체코드</t>
  </si>
  <si>
    <t>업체명</t>
  </si>
  <si>
    <t>고객명</t>
  </si>
  <si>
    <t>상품코드</t>
  </si>
  <si>
    <t>소싱매체</t>
  </si>
  <si>
    <t>상품명</t>
  </si>
  <si>
    <t>단품코드</t>
  </si>
  <si>
    <t>단품명</t>
  </si>
  <si>
    <t>결제방법</t>
  </si>
  <si>
    <t>과세여부</t>
  </si>
  <si>
    <t>완료일</t>
  </si>
  <si>
    <t>배송상태</t>
  </si>
  <si>
    <t>판매가</t>
  </si>
  <si>
    <t>매입가</t>
  </si>
  <si>
    <t>배송수량</t>
  </si>
  <si>
    <t>할인프로모션(업체)</t>
  </si>
  <si>
    <t>쿠폰할인(업체)</t>
  </si>
  <si>
    <t>ARS할인(업체)</t>
  </si>
  <si>
    <t>일시불할인(업체)</t>
  </si>
  <si>
    <t>등급할인(업체)</t>
  </si>
  <si>
    <t>수수료율</t>
  </si>
  <si>
    <t>할인프로모션(당사)</t>
  </si>
  <si>
    <t>쿠폰할인(당사)</t>
  </si>
  <si>
    <t>ARS할인(당사)</t>
  </si>
  <si>
    <t>일시불할인(당사)</t>
  </si>
  <si>
    <t>등급할인(당사)</t>
  </si>
  <si>
    <t>판매가 기준 주문금액</t>
  </si>
  <si>
    <t>매입가 기준 주문금액</t>
  </si>
  <si>
    <t>업체프로모션</t>
  </si>
  <si>
    <t>당사프로모션</t>
  </si>
  <si>
    <t>고객결제금액</t>
  </si>
  <si>
    <t>벤더사지급대금</t>
  </si>
  <si>
    <t>위수탁수수료(공급가)</t>
  </si>
  <si>
    <t>위수탁수수료(세액)</t>
  </si>
  <si>
    <t>위수탁수수료(합계)</t>
  </si>
  <si>
    <t>133329</t>
  </si>
  <si>
    <t>주식회사 로가온</t>
  </si>
  <si>
    <t>이*진</t>
  </si>
  <si>
    <t>58481090</t>
  </si>
  <si>
    <t>방송</t>
  </si>
  <si>
    <t>[워커힐]워커힐 고메 시그니처 양념 본갈비 8팩</t>
  </si>
  <si>
    <t>001</t>
  </si>
  <si>
    <t>없음</t>
  </si>
  <si>
    <t>신용카드</t>
  </si>
  <si>
    <t>과세</t>
  </si>
  <si>
    <t>2026-02-06</t>
  </si>
  <si>
    <t>배송완료</t>
  </si>
  <si>
    <t>이*희</t>
  </si>
  <si>
    <t>유*진</t>
  </si>
  <si>
    <t>회수확정</t>
  </si>
  <si>
    <t>58999583</t>
  </si>
  <si>
    <t/>
  </si>
  <si>
    <t>6</t>
  </si>
  <si>
    <t>20260204816757</t>
  </si>
  <si>
    <t>최*수</t>
  </si>
  <si>
    <t>7</t>
  </si>
  <si>
    <t>20260204838783</t>
  </si>
  <si>
    <t>주*</t>
  </si>
  <si>
    <t>8</t>
  </si>
  <si>
    <t>20260205995071</t>
  </si>
  <si>
    <t>최*용</t>
  </si>
  <si>
    <t>2026-02-07</t>
  </si>
  <si>
    <t>9</t>
  </si>
  <si>
    <t>20260205002208</t>
  </si>
  <si>
    <t>정*순</t>
  </si>
  <si>
    <t>10</t>
  </si>
  <si>
    <t>20260205993973</t>
  </si>
  <si>
    <t>김*자</t>
  </si>
  <si>
    <t>11</t>
  </si>
  <si>
    <t>20260205994109</t>
  </si>
  <si>
    <t>하*숙</t>
  </si>
  <si>
    <t>12</t>
  </si>
  <si>
    <t>20260205995200</t>
  </si>
  <si>
    <t>13</t>
  </si>
  <si>
    <t>20260205994598</t>
  </si>
  <si>
    <t>조*남</t>
  </si>
  <si>
    <t>14</t>
  </si>
  <si>
    <t>20260205993542</t>
  </si>
  <si>
    <t>고*자</t>
  </si>
  <si>
    <t>무통장입금</t>
  </si>
  <si>
    <t>15</t>
  </si>
  <si>
    <t>20260205994610</t>
  </si>
  <si>
    <t>이*연</t>
  </si>
  <si>
    <t>16</t>
  </si>
  <si>
    <t>20260205993376</t>
  </si>
  <si>
    <t>강*영</t>
  </si>
  <si>
    <t>17</t>
  </si>
  <si>
    <t>20260205992635</t>
  </si>
  <si>
    <t>김*련</t>
  </si>
  <si>
    <t>18</t>
  </si>
  <si>
    <t>20260205993273</t>
  </si>
  <si>
    <t>이*원</t>
  </si>
  <si>
    <t>19</t>
  </si>
  <si>
    <t>20260205993601</t>
  </si>
  <si>
    <t>김*석</t>
  </si>
  <si>
    <t>20</t>
  </si>
  <si>
    <t>20260205995425</t>
  </si>
  <si>
    <t>김*희</t>
  </si>
  <si>
    <t>21</t>
  </si>
  <si>
    <t>20260205994033</t>
  </si>
  <si>
    <t>서*환</t>
  </si>
  <si>
    <t>22</t>
  </si>
  <si>
    <t>20260205993741</t>
  </si>
  <si>
    <t>고*진</t>
  </si>
  <si>
    <t>23</t>
  </si>
  <si>
    <t>20260205992788</t>
  </si>
  <si>
    <t>윤*식</t>
  </si>
  <si>
    <t>24</t>
  </si>
  <si>
    <t>20260205992791</t>
  </si>
  <si>
    <t>박*희</t>
  </si>
  <si>
    <t>25</t>
  </si>
  <si>
    <t>20260205993491</t>
  </si>
  <si>
    <t>최*숙</t>
  </si>
  <si>
    <t>26</t>
  </si>
  <si>
    <t>20260205994350</t>
  </si>
  <si>
    <t>이*용</t>
  </si>
  <si>
    <t>27</t>
  </si>
  <si>
    <t>20260205992509</t>
  </si>
  <si>
    <t>문*현</t>
  </si>
  <si>
    <t>28</t>
  </si>
  <si>
    <t>20260205994440</t>
  </si>
  <si>
    <t>박*연</t>
  </si>
  <si>
    <t>29</t>
  </si>
  <si>
    <t>20260205993677</t>
  </si>
  <si>
    <t>조*순</t>
  </si>
  <si>
    <t>30</t>
  </si>
  <si>
    <t>20260205995405</t>
  </si>
  <si>
    <t>김*래</t>
  </si>
  <si>
    <t>31</t>
  </si>
  <si>
    <t>20260205995396</t>
  </si>
  <si>
    <t>장*희</t>
  </si>
  <si>
    <t>32</t>
  </si>
  <si>
    <t>20260205994291</t>
  </si>
  <si>
    <t>조*복</t>
  </si>
  <si>
    <t>33</t>
  </si>
  <si>
    <t>20260205995304</t>
  </si>
  <si>
    <t>조*희</t>
  </si>
  <si>
    <t>34</t>
  </si>
  <si>
    <t>20260205994805</t>
  </si>
  <si>
    <t>박*정</t>
  </si>
  <si>
    <t>35</t>
  </si>
  <si>
    <t>20260205992492</t>
  </si>
  <si>
    <t>마*숙</t>
  </si>
  <si>
    <t>36</t>
  </si>
  <si>
    <t>20260205995833</t>
  </si>
  <si>
    <t>박*숙</t>
  </si>
  <si>
    <t>37</t>
  </si>
  <si>
    <t>20260205995362</t>
  </si>
  <si>
    <t>이*옥</t>
  </si>
  <si>
    <t>38</t>
  </si>
  <si>
    <t>20260205995613</t>
  </si>
  <si>
    <t>최*희</t>
  </si>
  <si>
    <t>39</t>
  </si>
  <si>
    <t>20260205994528</t>
  </si>
  <si>
    <t>40</t>
  </si>
  <si>
    <t>41</t>
  </si>
  <si>
    <t>20260205993950</t>
  </si>
  <si>
    <t>조*화</t>
  </si>
  <si>
    <t>42</t>
  </si>
  <si>
    <t>20260205993550</t>
  </si>
  <si>
    <t>김*경</t>
  </si>
  <si>
    <t>43</t>
  </si>
  <si>
    <t>20260205992743</t>
  </si>
  <si>
    <t>김*주</t>
  </si>
  <si>
    <t>44</t>
  </si>
  <si>
    <t>20260205992739</t>
  </si>
  <si>
    <t>45</t>
  </si>
  <si>
    <t>20260205993262</t>
  </si>
  <si>
    <t>강*덕</t>
  </si>
  <si>
    <t>46</t>
  </si>
  <si>
    <t>20260205995261</t>
  </si>
  <si>
    <t>장*정</t>
  </si>
  <si>
    <t>47</t>
  </si>
  <si>
    <t>20260205994942</t>
  </si>
  <si>
    <t>안*정</t>
  </si>
  <si>
    <t>48</t>
  </si>
  <si>
    <t>20260205994416</t>
  </si>
  <si>
    <t>김*준</t>
  </si>
  <si>
    <t>49</t>
  </si>
  <si>
    <t>20260205994123</t>
  </si>
  <si>
    <t>황*경</t>
  </si>
  <si>
    <t>50</t>
  </si>
  <si>
    <t>20260205993773</t>
  </si>
  <si>
    <t>51</t>
  </si>
  <si>
    <t>20260205993527</t>
  </si>
  <si>
    <t>52</t>
  </si>
  <si>
    <t>20260205993559</t>
  </si>
  <si>
    <t>신*자</t>
  </si>
  <si>
    <t>53</t>
  </si>
  <si>
    <t>20260205992805</t>
  </si>
  <si>
    <t>김*기</t>
  </si>
  <si>
    <t>54</t>
  </si>
  <si>
    <t>20260205992824</t>
  </si>
  <si>
    <t>유*희</t>
  </si>
  <si>
    <t>55</t>
  </si>
  <si>
    <t>20260205993046</t>
  </si>
  <si>
    <t>한*숙</t>
  </si>
  <si>
    <t>56</t>
  </si>
  <si>
    <t>20260205993001</t>
  </si>
  <si>
    <t>홍*향</t>
  </si>
  <si>
    <t>57</t>
  </si>
  <si>
    <t>20260205993784</t>
  </si>
  <si>
    <t>천*영</t>
  </si>
  <si>
    <t>58</t>
  </si>
  <si>
    <t>20260205995534</t>
  </si>
  <si>
    <t>황*하</t>
  </si>
  <si>
    <t>59</t>
  </si>
  <si>
    <t>20260205995408</t>
  </si>
  <si>
    <t>유*순</t>
  </si>
  <si>
    <t>60</t>
  </si>
  <si>
    <t>20260205995563</t>
  </si>
  <si>
    <t>안*경</t>
  </si>
  <si>
    <t>61</t>
  </si>
  <si>
    <t>20260205994274</t>
  </si>
  <si>
    <t>강*회</t>
  </si>
  <si>
    <t>62</t>
  </si>
  <si>
    <t>20260205994452</t>
  </si>
  <si>
    <t>장*순</t>
  </si>
  <si>
    <t>63</t>
  </si>
  <si>
    <t>20260205994833</t>
  </si>
  <si>
    <t>모*숙</t>
  </si>
  <si>
    <t>64</t>
  </si>
  <si>
    <t>20260205995017</t>
  </si>
  <si>
    <t>65</t>
  </si>
  <si>
    <t>20260205993350</t>
  </si>
  <si>
    <t>조*영</t>
  </si>
  <si>
    <t>66</t>
  </si>
  <si>
    <t>20260205994357</t>
  </si>
  <si>
    <t>심*견</t>
  </si>
  <si>
    <t>67</t>
  </si>
  <si>
    <t>20260205993377</t>
  </si>
  <si>
    <t>최*미</t>
  </si>
  <si>
    <t>68</t>
  </si>
  <si>
    <t>20260205002373</t>
  </si>
  <si>
    <t>69</t>
  </si>
  <si>
    <t>20260205995057</t>
  </si>
  <si>
    <t>하*연</t>
  </si>
  <si>
    <t>70</t>
  </si>
  <si>
    <t>20260205994226</t>
  </si>
  <si>
    <t>송*자</t>
  </si>
  <si>
    <t>71</t>
  </si>
  <si>
    <t>72</t>
  </si>
  <si>
    <t>20260205994447</t>
  </si>
  <si>
    <t>김*영</t>
  </si>
  <si>
    <t>73</t>
  </si>
  <si>
    <t>20260205995352</t>
  </si>
  <si>
    <t>74</t>
  </si>
  <si>
    <t>20260205995384</t>
  </si>
  <si>
    <t>이*자</t>
  </si>
  <si>
    <t>75</t>
  </si>
  <si>
    <t>20260205994156</t>
  </si>
  <si>
    <t>76</t>
  </si>
  <si>
    <t>20260205995064</t>
  </si>
  <si>
    <t>최*자</t>
  </si>
  <si>
    <t>77</t>
  </si>
  <si>
    <t>20260205995094</t>
  </si>
  <si>
    <t>이*숙</t>
  </si>
  <si>
    <t>78</t>
  </si>
  <si>
    <t>20260205993758</t>
  </si>
  <si>
    <t>박*상</t>
  </si>
  <si>
    <t>79</t>
  </si>
  <si>
    <t>20260205992889</t>
  </si>
  <si>
    <t>정*은</t>
  </si>
  <si>
    <t>80</t>
  </si>
  <si>
    <t>20260205995039</t>
  </si>
  <si>
    <t>심*정</t>
  </si>
  <si>
    <t>81</t>
  </si>
  <si>
    <t>20260205994153</t>
  </si>
  <si>
    <t>김*지</t>
  </si>
  <si>
    <t>82</t>
  </si>
  <si>
    <t>20260205994151</t>
  </si>
  <si>
    <t>이*영</t>
  </si>
  <si>
    <t>83</t>
  </si>
  <si>
    <t>20260205994136</t>
  </si>
  <si>
    <t>김*이</t>
  </si>
  <si>
    <t>84</t>
  </si>
  <si>
    <t>20260205994309</t>
  </si>
  <si>
    <t>박*건</t>
  </si>
  <si>
    <t>85</t>
  </si>
  <si>
    <t>20260205994179</t>
  </si>
  <si>
    <t>86</t>
  </si>
  <si>
    <t>20260205993562</t>
  </si>
  <si>
    <t>정*아</t>
  </si>
  <si>
    <t>87</t>
  </si>
  <si>
    <t>20260205992669</t>
  </si>
  <si>
    <t>정*숙</t>
  </si>
  <si>
    <t>88</t>
  </si>
  <si>
    <t>20260205993164</t>
  </si>
  <si>
    <t>지*애</t>
  </si>
  <si>
    <t>89</t>
  </si>
  <si>
    <t>20260205993173</t>
  </si>
  <si>
    <t>신*선</t>
  </si>
  <si>
    <t>90</t>
  </si>
  <si>
    <t>20260205995345</t>
  </si>
  <si>
    <t>김*정</t>
  </si>
  <si>
    <t>91</t>
  </si>
  <si>
    <t>20260205994889</t>
  </si>
  <si>
    <t>송*미</t>
  </si>
  <si>
    <t>92</t>
  </si>
  <si>
    <t>20260205994040</t>
  </si>
  <si>
    <t>정*교</t>
  </si>
  <si>
    <t>93</t>
  </si>
  <si>
    <t>20260205994119</t>
  </si>
  <si>
    <t>양*화</t>
  </si>
  <si>
    <t>94</t>
  </si>
  <si>
    <t>20260205994158</t>
  </si>
  <si>
    <t>김*옥</t>
  </si>
  <si>
    <t>95</t>
  </si>
  <si>
    <t>96</t>
  </si>
  <si>
    <t>20260205995186</t>
  </si>
  <si>
    <t>주*순</t>
  </si>
  <si>
    <t>97</t>
  </si>
  <si>
    <t>20260205995299</t>
  </si>
  <si>
    <t>전*일</t>
  </si>
  <si>
    <t>98</t>
  </si>
  <si>
    <t>20260205995316</t>
  </si>
  <si>
    <t>99</t>
  </si>
  <si>
    <t>20260205994533</t>
  </si>
  <si>
    <t>박*자</t>
  </si>
  <si>
    <t>100</t>
  </si>
  <si>
    <t>20260205993733</t>
  </si>
  <si>
    <t>101</t>
  </si>
  <si>
    <t>20260205994835</t>
  </si>
  <si>
    <t>고*화</t>
  </si>
  <si>
    <t>102</t>
  </si>
  <si>
    <t>20260205994754</t>
  </si>
  <si>
    <t>박*동</t>
  </si>
  <si>
    <t>103</t>
  </si>
  <si>
    <t>20260205993318</t>
  </si>
  <si>
    <t>김*순</t>
  </si>
  <si>
    <t>104</t>
  </si>
  <si>
    <t>20260205992544</t>
  </si>
  <si>
    <t>김*년</t>
  </si>
  <si>
    <t>105</t>
  </si>
  <si>
    <t>20260205992582</t>
  </si>
  <si>
    <t>106</t>
  </si>
  <si>
    <t>20260205992696</t>
  </si>
  <si>
    <t>107</t>
  </si>
  <si>
    <t>20260205992862</t>
  </si>
  <si>
    <t>김*진</t>
  </si>
  <si>
    <t>108</t>
  </si>
  <si>
    <t>20260205993211</t>
  </si>
  <si>
    <t>이*혜</t>
  </si>
  <si>
    <t>109</t>
  </si>
  <si>
    <t>20260205993118</t>
  </si>
  <si>
    <t>이*순</t>
  </si>
  <si>
    <t>110</t>
  </si>
  <si>
    <t>20260205993605</t>
  </si>
  <si>
    <t>유*숙</t>
  </si>
  <si>
    <t>111</t>
  </si>
  <si>
    <t>20260205995566</t>
  </si>
  <si>
    <t>신*애</t>
  </si>
  <si>
    <t>112</t>
  </si>
  <si>
    <t>20260205995554</t>
  </si>
  <si>
    <t>이*미</t>
  </si>
  <si>
    <t>113</t>
  </si>
  <si>
    <t>20260205995721</t>
  </si>
  <si>
    <t>박*근</t>
  </si>
  <si>
    <t>114</t>
  </si>
  <si>
    <t>20260205995702</t>
  </si>
  <si>
    <t>115</t>
  </si>
  <si>
    <t>20260205994054</t>
  </si>
  <si>
    <t>한*남</t>
  </si>
  <si>
    <t>116</t>
  </si>
  <si>
    <t>20260205994495</t>
  </si>
  <si>
    <t>서*희</t>
  </si>
  <si>
    <t>117</t>
  </si>
  <si>
    <t>20260205995169</t>
  </si>
  <si>
    <t>오*희</t>
  </si>
  <si>
    <t>118</t>
  </si>
  <si>
    <t>20260205995271</t>
  </si>
  <si>
    <t>서*정</t>
  </si>
  <si>
    <t>119</t>
  </si>
  <si>
    <t>20260205994328</t>
  </si>
  <si>
    <t>한*심</t>
  </si>
  <si>
    <t>120</t>
  </si>
  <si>
    <t>20260205994951</t>
  </si>
  <si>
    <t>조*원</t>
  </si>
  <si>
    <t>121</t>
  </si>
  <si>
    <t>20260205994702</t>
  </si>
  <si>
    <t>윤*연</t>
  </si>
  <si>
    <t>122</t>
  </si>
  <si>
    <t>20260205994682</t>
  </si>
  <si>
    <t>정*영</t>
  </si>
  <si>
    <t>123</t>
  </si>
  <si>
    <t>20260205994827</t>
  </si>
  <si>
    <t>장*옥</t>
  </si>
  <si>
    <t>124</t>
  </si>
  <si>
    <t>20260205993834</t>
  </si>
  <si>
    <t>125</t>
  </si>
  <si>
    <t>20260205993892</t>
  </si>
  <si>
    <t>김*안</t>
  </si>
  <si>
    <t>126</t>
  </si>
  <si>
    <t>20260205994997</t>
  </si>
  <si>
    <t>127</t>
  </si>
  <si>
    <t>20260205993878</t>
  </si>
  <si>
    <t>유*자</t>
  </si>
  <si>
    <t>128</t>
  </si>
  <si>
    <t>20260205993977</t>
  </si>
  <si>
    <t>129</t>
  </si>
  <si>
    <t>20260205993394</t>
  </si>
  <si>
    <t>윤*자</t>
  </si>
  <si>
    <t>130</t>
  </si>
  <si>
    <t>20260205993463</t>
  </si>
  <si>
    <t>김*민</t>
  </si>
  <si>
    <t>131</t>
  </si>
  <si>
    <t>20260205993490</t>
  </si>
  <si>
    <t>남*순</t>
  </si>
  <si>
    <t>132</t>
  </si>
  <si>
    <t>20260205992392</t>
  </si>
  <si>
    <t>나*인</t>
  </si>
  <si>
    <t>133</t>
  </si>
  <si>
    <t>20260205992777</t>
  </si>
  <si>
    <t>남**예</t>
  </si>
  <si>
    <t>134</t>
  </si>
  <si>
    <t>20260205993000</t>
  </si>
  <si>
    <t>홍*순</t>
  </si>
  <si>
    <t>135</t>
  </si>
  <si>
    <t>20260205993167</t>
  </si>
  <si>
    <t>가*은</t>
  </si>
  <si>
    <t>136</t>
  </si>
  <si>
    <t>20260206639164</t>
  </si>
  <si>
    <t>137</t>
  </si>
  <si>
    <t>20260205994965</t>
  </si>
  <si>
    <t>이*석</t>
  </si>
  <si>
    <t>138</t>
  </si>
  <si>
    <t>20260205995226</t>
  </si>
  <si>
    <t>이*지</t>
  </si>
  <si>
    <t>139</t>
  </si>
  <si>
    <t>20260205995451</t>
  </si>
  <si>
    <t>나*윤</t>
  </si>
  <si>
    <t>140</t>
  </si>
  <si>
    <t>20260205995541</t>
  </si>
  <si>
    <t>천*구</t>
  </si>
  <si>
    <t>141</t>
  </si>
  <si>
    <t>20260205995252</t>
  </si>
  <si>
    <t>백*희</t>
  </si>
  <si>
    <t>142</t>
  </si>
  <si>
    <t>20260205995543</t>
  </si>
  <si>
    <t>김*화</t>
  </si>
  <si>
    <t>143</t>
  </si>
  <si>
    <t>20260205995557</t>
  </si>
  <si>
    <t>박*직</t>
  </si>
  <si>
    <t>144</t>
  </si>
  <si>
    <t>20260205995144</t>
  </si>
  <si>
    <t>정*선</t>
  </si>
  <si>
    <t>145</t>
  </si>
  <si>
    <t>20260205995287</t>
  </si>
  <si>
    <t>홍*숙</t>
  </si>
  <si>
    <t>146</t>
  </si>
  <si>
    <t>20260205994705</t>
  </si>
  <si>
    <t>147</t>
  </si>
  <si>
    <t>20260205993754</t>
  </si>
  <si>
    <t>148</t>
  </si>
  <si>
    <t>20260205993726</t>
  </si>
  <si>
    <t>원*연</t>
  </si>
  <si>
    <t>149</t>
  </si>
  <si>
    <t>20260205994732</t>
  </si>
  <si>
    <t>150</t>
  </si>
  <si>
    <t>20260205994879</t>
  </si>
  <si>
    <t>우*화</t>
  </si>
  <si>
    <t>151</t>
  </si>
  <si>
    <t>20260205994922</t>
  </si>
  <si>
    <t>강*임</t>
  </si>
  <si>
    <t>152</t>
  </si>
  <si>
    <t>20260205993720</t>
  </si>
  <si>
    <t>박*애</t>
  </si>
  <si>
    <t>153</t>
  </si>
  <si>
    <t>20260205993936</t>
  </si>
  <si>
    <t>정*경</t>
  </si>
  <si>
    <t>154</t>
  </si>
  <si>
    <t>20260205992637</t>
  </si>
  <si>
    <t>155</t>
  </si>
  <si>
    <t>20260205992663</t>
  </si>
  <si>
    <t>전*순</t>
  </si>
  <si>
    <t>156</t>
  </si>
  <si>
    <t>20260205993222</t>
  </si>
  <si>
    <t>권*태</t>
  </si>
  <si>
    <t>157</t>
  </si>
  <si>
    <t>20260205994059</t>
  </si>
  <si>
    <t xml:space="preserve">김** </t>
  </si>
  <si>
    <t>158</t>
  </si>
  <si>
    <t>20260205994157</t>
  </si>
  <si>
    <t>양*옥</t>
  </si>
  <si>
    <t>159</t>
  </si>
  <si>
    <t>20260205995268</t>
  </si>
  <si>
    <t>160</t>
  </si>
  <si>
    <t>20260205994486</t>
  </si>
  <si>
    <t>161</t>
  </si>
  <si>
    <t>20260205994744</t>
  </si>
  <si>
    <t>162</t>
  </si>
  <si>
    <t>20260205994445</t>
  </si>
  <si>
    <t>임*옥</t>
  </si>
  <si>
    <t>163</t>
  </si>
  <si>
    <t>20260205994636</t>
  </si>
  <si>
    <t>유*정</t>
  </si>
  <si>
    <t>164</t>
  </si>
  <si>
    <t>20260205993543</t>
  </si>
  <si>
    <t>길*영</t>
  </si>
  <si>
    <t>165</t>
  </si>
  <si>
    <t>20260205992794</t>
  </si>
  <si>
    <t>166</t>
  </si>
  <si>
    <t>20260205994147</t>
  </si>
  <si>
    <t>나*양</t>
  </si>
  <si>
    <t>167</t>
  </si>
  <si>
    <t>20260205994384</t>
  </si>
  <si>
    <t>이*나</t>
  </si>
  <si>
    <t>168</t>
  </si>
  <si>
    <t>20260205994535</t>
  </si>
  <si>
    <t>박*현</t>
  </si>
  <si>
    <t>169</t>
  </si>
  <si>
    <t>20260205993830</t>
  </si>
  <si>
    <t>오*혜</t>
  </si>
  <si>
    <t>170</t>
  </si>
  <si>
    <t>171</t>
  </si>
  <si>
    <t>20260205993426</t>
  </si>
  <si>
    <t>172</t>
  </si>
  <si>
    <t>20260205993231</t>
  </si>
  <si>
    <t>성*순</t>
  </si>
  <si>
    <t>173</t>
  </si>
  <si>
    <t>20260205994734</t>
  </si>
  <si>
    <t>봉*종</t>
  </si>
  <si>
    <t>174</t>
  </si>
  <si>
    <t>20260205992733</t>
  </si>
  <si>
    <t>권*순</t>
  </si>
  <si>
    <t>175</t>
  </si>
  <si>
    <t>20260205005878</t>
  </si>
  <si>
    <t>장*영</t>
  </si>
  <si>
    <t>176</t>
  </si>
  <si>
    <t>20260205002209</t>
  </si>
  <si>
    <t>177</t>
  </si>
  <si>
    <t>20260205994403</t>
  </si>
  <si>
    <t>조*춘</t>
  </si>
  <si>
    <t>178</t>
  </si>
  <si>
    <t>20260205993716</t>
  </si>
  <si>
    <t>김*생</t>
  </si>
  <si>
    <t>179</t>
  </si>
  <si>
    <t>20260205993968</t>
  </si>
  <si>
    <t>강*순</t>
  </si>
  <si>
    <t>180</t>
  </si>
  <si>
    <t>181</t>
  </si>
  <si>
    <t>20260205994658</t>
  </si>
  <si>
    <t>송*경</t>
  </si>
  <si>
    <t>182</t>
  </si>
  <si>
    <t>20260205994878</t>
  </si>
  <si>
    <t>김*미</t>
  </si>
  <si>
    <t>183</t>
  </si>
  <si>
    <t>20260205996662</t>
  </si>
  <si>
    <t>손*정</t>
  </si>
  <si>
    <t>184</t>
  </si>
  <si>
    <t>20260205994173</t>
  </si>
  <si>
    <t>채*옥</t>
  </si>
  <si>
    <t>185</t>
  </si>
  <si>
    <t>20260205993619</t>
  </si>
  <si>
    <t>186</t>
  </si>
  <si>
    <t>20260205992861</t>
  </si>
  <si>
    <t>187</t>
  </si>
  <si>
    <t>20260205993182</t>
  </si>
  <si>
    <t>반*희</t>
  </si>
  <si>
    <t>188</t>
  </si>
  <si>
    <t>20260205993549</t>
  </si>
  <si>
    <t>김*천</t>
  </si>
  <si>
    <t>189</t>
  </si>
  <si>
    <t>20260205995346</t>
  </si>
  <si>
    <t>김*수</t>
  </si>
  <si>
    <t>190</t>
  </si>
  <si>
    <t>20260205992690</t>
  </si>
  <si>
    <t>191</t>
  </si>
  <si>
    <t>20260205995551</t>
  </si>
  <si>
    <t>변*섭</t>
  </si>
  <si>
    <t>192</t>
  </si>
  <si>
    <t>20260205995626</t>
  </si>
  <si>
    <t>김*현</t>
  </si>
  <si>
    <t>193</t>
  </si>
  <si>
    <t>20260205996241</t>
  </si>
  <si>
    <t>194</t>
  </si>
  <si>
    <t>20260205994016</t>
  </si>
  <si>
    <t>신*준</t>
  </si>
  <si>
    <t>195</t>
  </si>
  <si>
    <t>20260205994836</t>
  </si>
  <si>
    <t>196</t>
  </si>
  <si>
    <t>20260205995119</t>
  </si>
  <si>
    <t>197</t>
  </si>
  <si>
    <t>20260205994118</t>
  </si>
  <si>
    <t>정*련</t>
  </si>
  <si>
    <t>198</t>
  </si>
  <si>
    <t>20260205994122</t>
  </si>
  <si>
    <t>199</t>
  </si>
  <si>
    <t>20260205993710</t>
  </si>
  <si>
    <t>200</t>
  </si>
  <si>
    <t>201</t>
  </si>
  <si>
    <t>20260205995392</t>
  </si>
  <si>
    <t>박*순</t>
  </si>
  <si>
    <t>202</t>
  </si>
  <si>
    <t>20260205994834</t>
  </si>
  <si>
    <t>우*희</t>
  </si>
  <si>
    <t>203</t>
  </si>
  <si>
    <t>20260205993877</t>
  </si>
  <si>
    <t>박*하</t>
  </si>
  <si>
    <t>204</t>
  </si>
  <si>
    <t>20260205993908</t>
  </si>
  <si>
    <t>나*규</t>
  </si>
  <si>
    <t>205</t>
  </si>
  <si>
    <t>20260205993875</t>
  </si>
  <si>
    <t>홍*연</t>
  </si>
  <si>
    <t>206</t>
  </si>
  <si>
    <t>20260205993960</t>
  </si>
  <si>
    <t>제*희</t>
  </si>
  <si>
    <t>207</t>
  </si>
  <si>
    <t>20260205992706</t>
  </si>
  <si>
    <t>208</t>
  </si>
  <si>
    <t>20260205992628</t>
  </si>
  <si>
    <t>이*임</t>
  </si>
  <si>
    <t>209</t>
  </si>
  <si>
    <t>20260205992679</t>
  </si>
  <si>
    <t>강*자</t>
  </si>
  <si>
    <t>210</t>
  </si>
  <si>
    <t>20260205992776</t>
  </si>
  <si>
    <t>김*애</t>
  </si>
  <si>
    <t>211</t>
  </si>
  <si>
    <t>212</t>
  </si>
  <si>
    <t>20260205992904</t>
  </si>
  <si>
    <t>문*자</t>
  </si>
  <si>
    <t>213</t>
  </si>
  <si>
    <t>20260205992734</t>
  </si>
  <si>
    <t>214</t>
  </si>
  <si>
    <t>20260205992738</t>
  </si>
  <si>
    <t>215</t>
  </si>
  <si>
    <t>20260205992898</t>
  </si>
  <si>
    <t>216</t>
  </si>
  <si>
    <t>20260205992897</t>
  </si>
  <si>
    <t>오*선</t>
  </si>
  <si>
    <t>217</t>
  </si>
  <si>
    <t>20260205992756</t>
  </si>
  <si>
    <t>218</t>
  </si>
  <si>
    <t>20260205992986</t>
  </si>
  <si>
    <t>임*자</t>
  </si>
  <si>
    <t>219</t>
  </si>
  <si>
    <t>20260205993183</t>
  </si>
  <si>
    <t>220</t>
  </si>
  <si>
    <t>20260205993148</t>
  </si>
  <si>
    <t>이*인</t>
  </si>
  <si>
    <t>221</t>
  </si>
  <si>
    <t>20260205993058</t>
  </si>
  <si>
    <t>박*남</t>
  </si>
  <si>
    <t>222</t>
  </si>
  <si>
    <t>20260205996079</t>
  </si>
  <si>
    <t>223</t>
  </si>
  <si>
    <t>20260205995135</t>
  </si>
  <si>
    <t>김*숙</t>
  </si>
  <si>
    <t>224</t>
  </si>
  <si>
    <t>20260205993913</t>
  </si>
  <si>
    <t>김*은</t>
  </si>
  <si>
    <t>225</t>
  </si>
  <si>
    <t>20260205995178</t>
  </si>
  <si>
    <t>226</t>
  </si>
  <si>
    <t>20260205995310</t>
  </si>
  <si>
    <t>유*하</t>
  </si>
  <si>
    <t>227</t>
  </si>
  <si>
    <t>20260205993790</t>
  </si>
  <si>
    <t>228</t>
  </si>
  <si>
    <t>20260205993178</t>
  </si>
  <si>
    <t>노*배</t>
  </si>
  <si>
    <t>229</t>
  </si>
  <si>
    <t>20260205993291</t>
  </si>
  <si>
    <t>운*</t>
  </si>
  <si>
    <t>230</t>
  </si>
  <si>
    <t>20260205995500</t>
  </si>
  <si>
    <t>국*자</t>
  </si>
  <si>
    <t>231</t>
  </si>
  <si>
    <t>20260205995571</t>
  </si>
  <si>
    <t>윤*은</t>
  </si>
  <si>
    <t>232</t>
  </si>
  <si>
    <t>20260205992956</t>
  </si>
  <si>
    <t>장*숙</t>
  </si>
  <si>
    <t>233</t>
  </si>
  <si>
    <t>20260205993092</t>
  </si>
  <si>
    <t>최*일</t>
  </si>
  <si>
    <t>234</t>
  </si>
  <si>
    <t>20260205994593</t>
  </si>
  <si>
    <t>235</t>
  </si>
  <si>
    <t>20260205994146</t>
  </si>
  <si>
    <t>236</t>
  </si>
  <si>
    <t>20260205994792</t>
  </si>
  <si>
    <t>김*훈</t>
  </si>
  <si>
    <t>237</t>
  </si>
  <si>
    <t>20260205994949</t>
  </si>
  <si>
    <t>윤*호</t>
  </si>
  <si>
    <t>238</t>
  </si>
  <si>
    <t>20260205994897</t>
  </si>
  <si>
    <t>손*선</t>
  </si>
  <si>
    <t>239</t>
  </si>
  <si>
    <t>20260205993519</t>
  </si>
  <si>
    <t>김*아</t>
  </si>
  <si>
    <t>240</t>
  </si>
  <si>
    <t>20260205992372</t>
  </si>
  <si>
    <t>241</t>
  </si>
  <si>
    <t>20260205994821</t>
  </si>
  <si>
    <t>박*련</t>
  </si>
  <si>
    <t>242</t>
  </si>
  <si>
    <t>20260205994017</t>
  </si>
  <si>
    <t>박*선</t>
  </si>
  <si>
    <t>243</t>
  </si>
  <si>
    <t>20260205993215</t>
  </si>
  <si>
    <t>244</t>
  </si>
  <si>
    <t>20260205994011</t>
  </si>
  <si>
    <t>245</t>
  </si>
  <si>
    <t>20260205994772</t>
  </si>
  <si>
    <t>이*휘</t>
  </si>
  <si>
    <t>246</t>
  </si>
  <si>
    <t>20260205993648</t>
  </si>
  <si>
    <t>한*은</t>
  </si>
  <si>
    <t>247</t>
  </si>
  <si>
    <t>20260205993269</t>
  </si>
  <si>
    <t>이*주</t>
  </si>
  <si>
    <t>248</t>
  </si>
  <si>
    <t>20260205992741</t>
  </si>
  <si>
    <t>249</t>
  </si>
  <si>
    <t>250</t>
  </si>
  <si>
    <t>20260205992567</t>
  </si>
  <si>
    <t>251</t>
  </si>
  <si>
    <t>252</t>
  </si>
  <si>
    <t>20260205995307</t>
  </si>
  <si>
    <t>253</t>
  </si>
  <si>
    <t>254</t>
  </si>
  <si>
    <t>20260205002375</t>
  </si>
  <si>
    <t>255</t>
  </si>
  <si>
    <t>20260205994198</t>
  </si>
  <si>
    <t>안*자</t>
  </si>
  <si>
    <t>256</t>
  </si>
  <si>
    <t>20260205995051</t>
  </si>
  <si>
    <t>김*성</t>
  </si>
  <si>
    <t>257</t>
  </si>
  <si>
    <t>20260205994627</t>
  </si>
  <si>
    <t>258</t>
  </si>
  <si>
    <t>20260205994642</t>
  </si>
  <si>
    <t>노*자</t>
  </si>
  <si>
    <t>259</t>
  </si>
  <si>
    <t>20260205994648</t>
  </si>
  <si>
    <t>주*옥</t>
  </si>
  <si>
    <t>260</t>
  </si>
  <si>
    <t>20260205994669</t>
  </si>
  <si>
    <t>261</t>
  </si>
  <si>
    <t>20260205994093</t>
  </si>
  <si>
    <t>고*두</t>
  </si>
  <si>
    <t>262</t>
  </si>
  <si>
    <t>20260205994741</t>
  </si>
  <si>
    <t>263</t>
  </si>
  <si>
    <t>20260205993823</t>
  </si>
  <si>
    <t>264</t>
  </si>
  <si>
    <t>20260205993746</t>
  </si>
  <si>
    <t>최*교</t>
  </si>
  <si>
    <t>265</t>
  </si>
  <si>
    <t>20260205993743</t>
  </si>
  <si>
    <t>266</t>
  </si>
  <si>
    <t>20260205993518</t>
  </si>
  <si>
    <t>267</t>
  </si>
  <si>
    <t>20260205993886</t>
  </si>
  <si>
    <t>268</t>
  </si>
  <si>
    <t>20260205993347</t>
  </si>
  <si>
    <t>269</t>
  </si>
  <si>
    <t>20260205992569</t>
  </si>
  <si>
    <t>전*원</t>
  </si>
  <si>
    <t>270</t>
  </si>
  <si>
    <t>20260205992662</t>
  </si>
  <si>
    <t>김*동</t>
  </si>
  <si>
    <t>271</t>
  </si>
  <si>
    <t>20260205995260</t>
  </si>
  <si>
    <t>272</t>
  </si>
  <si>
    <t>20260205995397</t>
  </si>
  <si>
    <t>양*경</t>
  </si>
  <si>
    <t>273</t>
  </si>
  <si>
    <t>20260205997063</t>
  </si>
  <si>
    <t>고*숙</t>
  </si>
  <si>
    <t>274</t>
  </si>
  <si>
    <t>20260205994666</t>
  </si>
  <si>
    <t>275</t>
  </si>
  <si>
    <t>20260206628960</t>
  </si>
  <si>
    <t>276</t>
  </si>
  <si>
    <t>20260205995524</t>
  </si>
  <si>
    <t>고*애</t>
  </si>
  <si>
    <t>277</t>
  </si>
  <si>
    <t>20260205994107</t>
  </si>
  <si>
    <t>송*근</t>
  </si>
  <si>
    <t>278</t>
  </si>
  <si>
    <t>20260205995033</t>
  </si>
  <si>
    <t>279</t>
  </si>
  <si>
    <t>20260205995032</t>
  </si>
  <si>
    <t>280</t>
  </si>
  <si>
    <t>20260205995095</t>
  </si>
  <si>
    <t>281</t>
  </si>
  <si>
    <t>20260205994275</t>
  </si>
  <si>
    <t>김*름</t>
  </si>
  <si>
    <t>282</t>
  </si>
  <si>
    <t>20260205994238</t>
  </si>
  <si>
    <t>강*란</t>
  </si>
  <si>
    <t>283</t>
  </si>
  <si>
    <t>20260206629059</t>
  </si>
  <si>
    <t>문*호</t>
  </si>
  <si>
    <t>284</t>
  </si>
  <si>
    <t>20260205997716</t>
  </si>
  <si>
    <t>285</t>
  </si>
  <si>
    <t>20260205994854</t>
  </si>
  <si>
    <t>286</t>
  </si>
  <si>
    <t>20260205994980</t>
  </si>
  <si>
    <t>강*기</t>
  </si>
  <si>
    <t>287</t>
  </si>
  <si>
    <t>20260205995046</t>
  </si>
  <si>
    <t>288</t>
  </si>
  <si>
    <t>20260205992812</t>
  </si>
  <si>
    <t>라*자</t>
  </si>
  <si>
    <t>289</t>
  </si>
  <si>
    <t>20260205993048</t>
  </si>
  <si>
    <t>한*선</t>
  </si>
  <si>
    <t>290</t>
  </si>
  <si>
    <t>20260205993598</t>
  </si>
  <si>
    <t>강*숙</t>
  </si>
  <si>
    <t>291</t>
  </si>
  <si>
    <t>20260205995045</t>
  </si>
  <si>
    <t>정*임</t>
  </si>
  <si>
    <t>292</t>
  </si>
  <si>
    <t>20260205993918</t>
  </si>
  <si>
    <t>293</t>
  </si>
  <si>
    <t>20260205995159</t>
  </si>
  <si>
    <t>294</t>
  </si>
  <si>
    <t>20260205995312</t>
  </si>
  <si>
    <t>295</t>
  </si>
  <si>
    <t>20260205993672</t>
  </si>
  <si>
    <t>김*겸</t>
  </si>
  <si>
    <t>296</t>
  </si>
  <si>
    <t>20260205994429</t>
  </si>
  <si>
    <t>윤*숙</t>
  </si>
  <si>
    <t>297</t>
  </si>
  <si>
    <t>20260205994825</t>
  </si>
  <si>
    <t>조*선</t>
  </si>
  <si>
    <t>298</t>
  </si>
  <si>
    <t>20260205994934</t>
  </si>
  <si>
    <t>정*남</t>
  </si>
  <si>
    <t>299</t>
  </si>
  <si>
    <t>20260205994979</t>
  </si>
  <si>
    <t>300</t>
  </si>
  <si>
    <t>20260205993513</t>
  </si>
  <si>
    <t>이*헌</t>
  </si>
  <si>
    <t>301</t>
  </si>
  <si>
    <t>20260205995604</t>
  </si>
  <si>
    <t>302</t>
  </si>
  <si>
    <t>20260205995517</t>
  </si>
  <si>
    <t>신*연</t>
  </si>
  <si>
    <t>303</t>
  </si>
  <si>
    <t>20260205995098</t>
  </si>
  <si>
    <t>조*임</t>
  </si>
  <si>
    <t>304</t>
  </si>
  <si>
    <t>20260205994449</t>
  </si>
  <si>
    <t>손*숙</t>
  </si>
  <si>
    <t>305</t>
  </si>
  <si>
    <t>20260205993692</t>
  </si>
  <si>
    <t>문*훈</t>
  </si>
  <si>
    <t>306</t>
  </si>
  <si>
    <t>20260205994969</t>
  </si>
  <si>
    <t>이*섭</t>
  </si>
  <si>
    <t>307</t>
  </si>
  <si>
    <t>20260205994013</t>
  </si>
  <si>
    <t>천*숙</t>
  </si>
  <si>
    <t>308</t>
  </si>
  <si>
    <t>20260205993305</t>
  </si>
  <si>
    <t>309</t>
  </si>
  <si>
    <t>20260205992338</t>
  </si>
  <si>
    <t>조*이</t>
  </si>
  <si>
    <t>310</t>
  </si>
  <si>
    <t>20260205992763</t>
  </si>
  <si>
    <t>311</t>
  </si>
  <si>
    <t>20260205992914</t>
  </si>
  <si>
    <t>312</t>
  </si>
  <si>
    <t>20260205993380</t>
  </si>
  <si>
    <t>허*숙</t>
  </si>
  <si>
    <t>313</t>
  </si>
  <si>
    <t>20260205995874</t>
  </si>
  <si>
    <t>임*정</t>
  </si>
  <si>
    <t>314</t>
  </si>
  <si>
    <t>20260205995155</t>
  </si>
  <si>
    <t>이*화</t>
  </si>
  <si>
    <t>315</t>
  </si>
  <si>
    <t>20260205994376</t>
  </si>
  <si>
    <t>정*옥</t>
  </si>
  <si>
    <t>316</t>
  </si>
  <si>
    <t>20260205994564</t>
  </si>
  <si>
    <t>양*순</t>
  </si>
  <si>
    <t>317</t>
  </si>
  <si>
    <t>20260205994614</t>
  </si>
  <si>
    <t>이*</t>
  </si>
  <si>
    <t>318</t>
  </si>
  <si>
    <t>20260205994841</t>
  </si>
  <si>
    <t>이*정</t>
  </si>
  <si>
    <t>319</t>
  </si>
  <si>
    <t>20260205993698</t>
  </si>
  <si>
    <t>백*영</t>
  </si>
  <si>
    <t>320</t>
  </si>
  <si>
    <t>20260205992804</t>
  </si>
  <si>
    <t>권*숙</t>
  </si>
  <si>
    <t>321</t>
  </si>
  <si>
    <t>20260205992800</t>
  </si>
  <si>
    <t>오*근</t>
  </si>
  <si>
    <t>322</t>
  </si>
  <si>
    <t>20260205994317</t>
  </si>
  <si>
    <t>323</t>
  </si>
  <si>
    <t>20260205992772</t>
  </si>
  <si>
    <t>324</t>
  </si>
  <si>
    <t>20260205995383</t>
  </si>
  <si>
    <t>325</t>
  </si>
  <si>
    <t>20260205994159</t>
  </si>
  <si>
    <t>남*숙</t>
  </si>
  <si>
    <t>326</t>
  </si>
  <si>
    <t>20260205995406</t>
  </si>
  <si>
    <t>327</t>
  </si>
  <si>
    <t>20260205995112</t>
  </si>
  <si>
    <t>Z*********G</t>
  </si>
  <si>
    <t>328</t>
  </si>
  <si>
    <t>20260205992636</t>
  </si>
  <si>
    <t>장*애</t>
  </si>
  <si>
    <t>329</t>
  </si>
  <si>
    <t>20260205992797</t>
  </si>
  <si>
    <t>정*현</t>
  </si>
  <si>
    <t>330</t>
  </si>
  <si>
    <t>20260205992457</t>
  </si>
  <si>
    <t>331</t>
  </si>
  <si>
    <t>20260205992712</t>
  </si>
  <si>
    <t>조*숙</t>
  </si>
  <si>
    <t>332</t>
  </si>
  <si>
    <t>20260205994074</t>
  </si>
  <si>
    <t>김*병</t>
  </si>
  <si>
    <t>333</t>
  </si>
  <si>
    <t>20260205996186</t>
  </si>
  <si>
    <t>차*자</t>
  </si>
  <si>
    <t>334</t>
  </si>
  <si>
    <t>20260205995257</t>
  </si>
  <si>
    <t>박*옥</t>
  </si>
  <si>
    <t>335</t>
  </si>
  <si>
    <t>20260205992438</t>
  </si>
  <si>
    <t>336</t>
  </si>
  <si>
    <t>20260205992859</t>
  </si>
  <si>
    <t>조*상</t>
  </si>
  <si>
    <t>337</t>
  </si>
  <si>
    <t>20260205995526</t>
  </si>
  <si>
    <t>임*희</t>
  </si>
  <si>
    <t>338</t>
  </si>
  <si>
    <t>20260205995584</t>
  </si>
  <si>
    <t>339</t>
  </si>
  <si>
    <t>20260205995161</t>
  </si>
  <si>
    <t>김*배</t>
  </si>
  <si>
    <t>340</t>
  </si>
  <si>
    <t>20260205994008</t>
  </si>
  <si>
    <t>옥*화</t>
  </si>
  <si>
    <t>341</t>
  </si>
  <si>
    <t>20260205993800</t>
  </si>
  <si>
    <t>342</t>
  </si>
  <si>
    <t>20260206644091</t>
  </si>
  <si>
    <t>343</t>
  </si>
  <si>
    <t>20260205995701</t>
  </si>
  <si>
    <t>344</t>
  </si>
  <si>
    <t>20260205995459</t>
  </si>
  <si>
    <t>문*완</t>
  </si>
  <si>
    <t>345</t>
  </si>
  <si>
    <t>346</t>
  </si>
  <si>
    <t>20260205995472</t>
  </si>
  <si>
    <t>심*경</t>
  </si>
  <si>
    <t>347</t>
  </si>
  <si>
    <t>20260205992483</t>
  </si>
  <si>
    <t>348</t>
  </si>
  <si>
    <t>20260205992634</t>
  </si>
  <si>
    <t>한*례</t>
  </si>
  <si>
    <t>349</t>
  </si>
  <si>
    <t>20260205995658</t>
  </si>
  <si>
    <t>김*선</t>
  </si>
  <si>
    <t>350</t>
  </si>
  <si>
    <t>20260205994768</t>
  </si>
  <si>
    <t>나*숙</t>
  </si>
  <si>
    <t>351</t>
  </si>
  <si>
    <t>20260205994818</t>
  </si>
  <si>
    <t>오*화</t>
  </si>
  <si>
    <t>352</t>
  </si>
  <si>
    <t>20260205992386</t>
  </si>
  <si>
    <t>353</t>
  </si>
  <si>
    <t>20260205992872</t>
  </si>
  <si>
    <t>여*주</t>
  </si>
  <si>
    <t>354</t>
  </si>
  <si>
    <t>20260205995552</t>
  </si>
  <si>
    <t>연*자</t>
  </si>
  <si>
    <t>355</t>
  </si>
  <si>
    <t>20260205995516</t>
  </si>
  <si>
    <t>356</t>
  </si>
  <si>
    <t>20260205993902</t>
  </si>
  <si>
    <t>신*영</t>
  </si>
  <si>
    <t>357</t>
  </si>
  <si>
    <t>20260205994953</t>
  </si>
  <si>
    <t>최*이</t>
  </si>
  <si>
    <t>358</t>
  </si>
  <si>
    <t>20260205995058</t>
  </si>
  <si>
    <t>박*영</t>
  </si>
  <si>
    <t>359</t>
  </si>
  <si>
    <t>20260205995012</t>
  </si>
  <si>
    <t>360</t>
  </si>
  <si>
    <t>20260205993890</t>
  </si>
  <si>
    <t>민*기</t>
  </si>
  <si>
    <t>361</t>
  </si>
  <si>
    <t>20260205993358</t>
  </si>
  <si>
    <t>362</t>
  </si>
  <si>
    <t>20260205992456</t>
  </si>
  <si>
    <t>363</t>
  </si>
  <si>
    <t>20260205993113</t>
  </si>
  <si>
    <t>김*일</t>
  </si>
  <si>
    <t>364</t>
  </si>
  <si>
    <t>20260205994296</t>
  </si>
  <si>
    <t>365</t>
  </si>
  <si>
    <t>20260205995598</t>
  </si>
  <si>
    <t>366</t>
  </si>
  <si>
    <t>20260205995687</t>
  </si>
  <si>
    <t>김*곤</t>
  </si>
  <si>
    <t>367</t>
  </si>
  <si>
    <t>20260205995109</t>
  </si>
  <si>
    <t>368</t>
  </si>
  <si>
    <t>20260205994273</t>
  </si>
  <si>
    <t>장*주</t>
  </si>
  <si>
    <t>369</t>
  </si>
  <si>
    <t>20260205995097</t>
  </si>
  <si>
    <t>차*의</t>
  </si>
  <si>
    <t>370</t>
  </si>
  <si>
    <t>20260205995180</t>
  </si>
  <si>
    <t>노*희</t>
  </si>
  <si>
    <t>371</t>
  </si>
  <si>
    <t>20260205995005</t>
  </si>
  <si>
    <t>372</t>
  </si>
  <si>
    <t>20260205992870</t>
  </si>
  <si>
    <t>회*애</t>
  </si>
  <si>
    <t>373</t>
  </si>
  <si>
    <t>20260205992940</t>
  </si>
  <si>
    <t>백*진</t>
  </si>
  <si>
    <t>374</t>
  </si>
  <si>
    <t>20260205993059</t>
  </si>
  <si>
    <t>375</t>
  </si>
  <si>
    <t>20260205993112</t>
  </si>
  <si>
    <t>안*옥</t>
  </si>
  <si>
    <t>376</t>
  </si>
  <si>
    <t>20260205993036</t>
  </si>
  <si>
    <t>김*</t>
  </si>
  <si>
    <t>377</t>
  </si>
  <si>
    <t>20260205993255</t>
  </si>
  <si>
    <t>378</t>
  </si>
  <si>
    <t>20260205996361</t>
  </si>
  <si>
    <t>임*은</t>
  </si>
  <si>
    <t>379</t>
  </si>
  <si>
    <t>20260205993934</t>
  </si>
  <si>
    <t>서*의</t>
  </si>
  <si>
    <t>380</t>
  </si>
  <si>
    <t>20260205994400</t>
  </si>
  <si>
    <t>문*숙</t>
  </si>
  <si>
    <t>381</t>
  </si>
  <si>
    <t>20260205994653</t>
  </si>
  <si>
    <t>김*덕</t>
  </si>
  <si>
    <t>382</t>
  </si>
  <si>
    <t>20260205993867</t>
  </si>
  <si>
    <t>이*경</t>
  </si>
  <si>
    <t>383</t>
  </si>
  <si>
    <t>20260205993852</t>
  </si>
  <si>
    <t>384</t>
  </si>
  <si>
    <t>20260205992975</t>
  </si>
  <si>
    <t>385</t>
  </si>
  <si>
    <t>20260205993266</t>
  </si>
  <si>
    <t>386</t>
  </si>
  <si>
    <t>20260205993814</t>
  </si>
  <si>
    <t>김*원</t>
  </si>
  <si>
    <t>387</t>
  </si>
  <si>
    <t>20260205994105</t>
  </si>
  <si>
    <t>388</t>
  </si>
  <si>
    <t>20260205993929</t>
  </si>
  <si>
    <t>유*균</t>
  </si>
  <si>
    <t>389</t>
  </si>
  <si>
    <t>20260205993931</t>
  </si>
  <si>
    <t>정*석</t>
  </si>
  <si>
    <t>390</t>
  </si>
  <si>
    <t>20260205992964</t>
  </si>
  <si>
    <t>송*영</t>
  </si>
  <si>
    <t>391</t>
  </si>
  <si>
    <t>20260205995622</t>
  </si>
  <si>
    <t>김*재</t>
  </si>
  <si>
    <t>392</t>
  </si>
  <si>
    <t>20260205997344</t>
  </si>
  <si>
    <t>393</t>
  </si>
  <si>
    <t>20260205995265</t>
  </si>
  <si>
    <t>임*아</t>
  </si>
  <si>
    <t>394</t>
  </si>
  <si>
    <t>20260205993437</t>
  </si>
  <si>
    <t>신*건</t>
  </si>
  <si>
    <t>395</t>
  </si>
  <si>
    <t>20260205994774</t>
  </si>
  <si>
    <t>396</t>
  </si>
  <si>
    <t>20260205993002</t>
  </si>
  <si>
    <t>397</t>
  </si>
  <si>
    <t>20260205995590</t>
  </si>
  <si>
    <t>김*서</t>
  </si>
  <si>
    <t>398</t>
  </si>
  <si>
    <t>20260205994071</t>
  </si>
  <si>
    <t>399</t>
  </si>
  <si>
    <t>20260205995236</t>
  </si>
  <si>
    <t>400</t>
  </si>
  <si>
    <t>20260205995325</t>
  </si>
  <si>
    <t>한*윤</t>
  </si>
  <si>
    <t>401</t>
  </si>
  <si>
    <t>20260205994068</t>
  </si>
  <si>
    <t>402</t>
  </si>
  <si>
    <t>20260205994047</t>
  </si>
  <si>
    <t>403</t>
  </si>
  <si>
    <t>20260205995042</t>
  </si>
  <si>
    <t>최*옥</t>
  </si>
  <si>
    <t>404</t>
  </si>
  <si>
    <t>20260205995035</t>
  </si>
  <si>
    <t>곽*숙</t>
  </si>
  <si>
    <t>405</t>
  </si>
  <si>
    <t>20260205994804</t>
  </si>
  <si>
    <t>정*자</t>
  </si>
  <si>
    <t>406</t>
  </si>
  <si>
    <t>20260205994885</t>
  </si>
  <si>
    <t>임*해</t>
  </si>
  <si>
    <t>407</t>
  </si>
  <si>
    <t>20260205993699</t>
  </si>
  <si>
    <t>박*임</t>
  </si>
  <si>
    <t>408</t>
  </si>
  <si>
    <t>20260205995624</t>
  </si>
  <si>
    <t>409</t>
  </si>
  <si>
    <t>20260205994327</t>
  </si>
  <si>
    <t>정*희</t>
  </si>
  <si>
    <t>410</t>
  </si>
  <si>
    <t>20260205994708</t>
  </si>
  <si>
    <t>안*희</t>
  </si>
  <si>
    <t>411</t>
  </si>
  <si>
    <t>20260205994944</t>
  </si>
  <si>
    <t>목*선</t>
  </si>
  <si>
    <t>412</t>
  </si>
  <si>
    <t>20260205993006</t>
  </si>
  <si>
    <t>박*화</t>
  </si>
  <si>
    <t>413</t>
  </si>
  <si>
    <t>20260205993208</t>
  </si>
  <si>
    <t>김*학</t>
  </si>
  <si>
    <t>414</t>
  </si>
  <si>
    <t>20260205005766</t>
  </si>
  <si>
    <t>415</t>
  </si>
  <si>
    <t>20260205994165</t>
  </si>
  <si>
    <t>박*우</t>
  </si>
  <si>
    <t>416</t>
  </si>
  <si>
    <t>20260205994152</t>
  </si>
  <si>
    <t>417</t>
  </si>
  <si>
    <t>20260205994704</t>
  </si>
  <si>
    <t>418</t>
  </si>
  <si>
    <t>20260205993640</t>
  </si>
  <si>
    <t>김*연</t>
  </si>
  <si>
    <t>419</t>
  </si>
  <si>
    <t>20260205994989</t>
  </si>
  <si>
    <t>권*이</t>
  </si>
  <si>
    <t>420</t>
  </si>
  <si>
    <t>20260205993988</t>
  </si>
  <si>
    <t>전*생</t>
  </si>
  <si>
    <t>421</t>
  </si>
  <si>
    <t>20260205995233</t>
  </si>
  <si>
    <t>남*오</t>
  </si>
  <si>
    <t>422</t>
  </si>
  <si>
    <t>20260205995073</t>
  </si>
  <si>
    <t>배*자</t>
  </si>
  <si>
    <t>423</t>
  </si>
  <si>
    <t>20260205993674</t>
  </si>
  <si>
    <t>424</t>
  </si>
  <si>
    <t>20260205993680</t>
  </si>
  <si>
    <t>추*숙</t>
  </si>
  <si>
    <t>425</t>
  </si>
  <si>
    <t>20260205993664</t>
  </si>
  <si>
    <t>윤*미</t>
  </si>
  <si>
    <t>426</t>
  </si>
  <si>
    <t>20260205993052</t>
  </si>
  <si>
    <t>427</t>
  </si>
  <si>
    <t>20260205995037</t>
  </si>
  <si>
    <t>김*남</t>
  </si>
  <si>
    <t>428</t>
  </si>
  <si>
    <t>20260205995009</t>
  </si>
  <si>
    <t>이*은</t>
  </si>
  <si>
    <t>429</t>
  </si>
  <si>
    <t>20260205994035</t>
  </si>
  <si>
    <t>이*애</t>
  </si>
  <si>
    <t>430</t>
  </si>
  <si>
    <t>20260205992736</t>
  </si>
  <si>
    <t>431</t>
  </si>
  <si>
    <t>20260205993184</t>
  </si>
  <si>
    <t>이*란</t>
  </si>
  <si>
    <t>432</t>
  </si>
  <si>
    <t>20260205995023</t>
  </si>
  <si>
    <t>433</t>
  </si>
  <si>
    <t>20260205994048</t>
  </si>
  <si>
    <t>434</t>
  </si>
  <si>
    <t>20260205998293</t>
  </si>
  <si>
    <t>한*희</t>
  </si>
  <si>
    <t>435</t>
  </si>
  <si>
    <t>20260205995647</t>
  </si>
  <si>
    <t>L********N</t>
  </si>
  <si>
    <t>436</t>
  </si>
  <si>
    <t>20260206633008</t>
  </si>
  <si>
    <t>임*빈</t>
  </si>
  <si>
    <t>59163204</t>
  </si>
  <si>
    <t>[워커힐]워커힐 시그니처 양념 본갈비 4팩</t>
  </si>
  <si>
    <t>437</t>
  </si>
  <si>
    <t>20260205995006</t>
  </si>
  <si>
    <t>구*환</t>
  </si>
  <si>
    <t>2026-02-08</t>
  </si>
  <si>
    <t>438</t>
  </si>
  <si>
    <t>20260205992912</t>
  </si>
  <si>
    <t>정*구</t>
  </si>
  <si>
    <t>439</t>
  </si>
  <si>
    <t>20260205994412</t>
  </si>
  <si>
    <t>2026-02-10</t>
  </si>
  <si>
    <t>440</t>
  </si>
  <si>
    <t>20260209873932</t>
  </si>
  <si>
    <t>441</t>
  </si>
  <si>
    <t>20260208260475</t>
  </si>
  <si>
    <t>442</t>
  </si>
  <si>
    <t>20260207158331</t>
  </si>
  <si>
    <t>443</t>
  </si>
  <si>
    <t>20260208229524</t>
  </si>
  <si>
    <t>신*하</t>
  </si>
  <si>
    <t>444</t>
  </si>
  <si>
    <t>20260208244830</t>
  </si>
  <si>
    <t>445</t>
  </si>
  <si>
    <t>20260207151522</t>
  </si>
  <si>
    <t>446</t>
  </si>
  <si>
    <t>20260210360594</t>
  </si>
  <si>
    <t>447</t>
  </si>
  <si>
    <t>20260207150468</t>
  </si>
  <si>
    <t>유*기</t>
  </si>
  <si>
    <t>448</t>
  </si>
  <si>
    <t>20260206659552</t>
  </si>
  <si>
    <t>449</t>
  </si>
  <si>
    <t>20260206651056</t>
  </si>
  <si>
    <t>이*훈</t>
  </si>
  <si>
    <t>450</t>
  </si>
  <si>
    <t>20260207124110</t>
  </si>
  <si>
    <t>최*영</t>
  </si>
  <si>
    <t>451</t>
  </si>
  <si>
    <t>20260208259329</t>
  </si>
  <si>
    <t>452</t>
  </si>
  <si>
    <t>20260207150472</t>
  </si>
  <si>
    <t>453</t>
  </si>
  <si>
    <t>20260207147250</t>
  </si>
  <si>
    <t>454</t>
  </si>
  <si>
    <t>20260207147257</t>
  </si>
  <si>
    <t>455</t>
  </si>
  <si>
    <t>20260208260735</t>
  </si>
  <si>
    <t>456</t>
  </si>
  <si>
    <t>20260207117865</t>
  </si>
  <si>
    <t>457</t>
  </si>
  <si>
    <t>20260208259331</t>
  </si>
  <si>
    <t>458</t>
  </si>
  <si>
    <t>459</t>
  </si>
  <si>
    <t>20260205994829</t>
  </si>
  <si>
    <t>460</t>
  </si>
  <si>
    <t>20260205994617</t>
  </si>
  <si>
    <t>461</t>
  </si>
  <si>
    <t>20260203309850</t>
  </si>
  <si>
    <t>선**국</t>
  </si>
  <si>
    <t>462</t>
  </si>
  <si>
    <t>20260205994369</t>
  </si>
  <si>
    <t>463</t>
  </si>
  <si>
    <t>20260206641134</t>
  </si>
  <si>
    <t>464</t>
  </si>
  <si>
    <t>20260207151170</t>
  </si>
  <si>
    <t>이*민</t>
  </si>
  <si>
    <t>465</t>
  </si>
  <si>
    <t>20260205994815</t>
  </si>
  <si>
    <t>송*희</t>
  </si>
  <si>
    <t>466</t>
  </si>
  <si>
    <t>20260205992935</t>
  </si>
  <si>
    <t>467</t>
  </si>
  <si>
    <t>20260205995024</t>
  </si>
  <si>
    <t>468</t>
  </si>
  <si>
    <t>20260203309978</t>
  </si>
  <si>
    <t>이*우</t>
  </si>
  <si>
    <t>469</t>
  </si>
  <si>
    <t>20260205994069</t>
  </si>
  <si>
    <t>하*순</t>
  </si>
  <si>
    <t>470</t>
  </si>
  <si>
    <t>20260208250075</t>
  </si>
  <si>
    <t>천*자</t>
  </si>
  <si>
    <t>471</t>
  </si>
  <si>
    <t>20260205994926</t>
  </si>
  <si>
    <t>구*대</t>
  </si>
  <si>
    <t>472</t>
  </si>
  <si>
    <t>20260205993624</t>
  </si>
  <si>
    <t>박*은</t>
  </si>
  <si>
    <t>473</t>
  </si>
  <si>
    <t>20260205993757</t>
  </si>
  <si>
    <t>474</t>
  </si>
  <si>
    <t>20260208251315</t>
  </si>
  <si>
    <t>우*자</t>
  </si>
  <si>
    <t>475</t>
  </si>
  <si>
    <t>20260207149611</t>
  </si>
  <si>
    <t>476</t>
  </si>
  <si>
    <t>20260206650034</t>
  </si>
  <si>
    <t>477</t>
  </si>
  <si>
    <t>20260208250982</t>
  </si>
  <si>
    <t>권*자</t>
  </si>
  <si>
    <t>478</t>
  </si>
  <si>
    <t>20260209883427</t>
  </si>
  <si>
    <t>2026-02-11</t>
  </si>
  <si>
    <t>479</t>
  </si>
  <si>
    <t>20260210360516</t>
  </si>
  <si>
    <t>송*순</t>
  </si>
  <si>
    <t>480</t>
  </si>
  <si>
    <t>20260208247573</t>
  </si>
  <si>
    <t>481</t>
  </si>
  <si>
    <t>20260209919611</t>
  </si>
  <si>
    <t>문*기</t>
  </si>
  <si>
    <t>482</t>
  </si>
  <si>
    <t>483</t>
  </si>
  <si>
    <t>20260209904260</t>
  </si>
  <si>
    <t>484</t>
  </si>
  <si>
    <t>20260209896967</t>
  </si>
  <si>
    <t>485</t>
  </si>
  <si>
    <t>20260209898425</t>
  </si>
  <si>
    <t>한*현</t>
  </si>
  <si>
    <t>486</t>
  </si>
  <si>
    <t>20260210347699</t>
  </si>
  <si>
    <t>성*선</t>
  </si>
  <si>
    <t>487</t>
  </si>
  <si>
    <t>20260205993840</t>
  </si>
  <si>
    <t>488</t>
  </si>
  <si>
    <t>20260205995605</t>
  </si>
  <si>
    <t>489</t>
  </si>
  <si>
    <t>20260205995560</t>
  </si>
  <si>
    <t>문*례</t>
  </si>
  <si>
    <t>490</t>
  </si>
  <si>
    <t>20260209889552</t>
  </si>
  <si>
    <t>한*환</t>
  </si>
  <si>
    <t>491</t>
  </si>
  <si>
    <t>20260205992722</t>
  </si>
  <si>
    <t>492</t>
  </si>
  <si>
    <t>20260205994523</t>
  </si>
  <si>
    <t>백*자</t>
  </si>
  <si>
    <t>493</t>
  </si>
  <si>
    <t>20260209898048</t>
  </si>
  <si>
    <t>전*건</t>
  </si>
  <si>
    <t>494</t>
  </si>
  <si>
    <t>20260210360648</t>
  </si>
  <si>
    <t>차*희</t>
  </si>
  <si>
    <t>2026-02-12</t>
  </si>
  <si>
    <t>495</t>
  </si>
  <si>
    <t>20260210360890</t>
  </si>
  <si>
    <t>496</t>
  </si>
  <si>
    <t>20260210361100</t>
  </si>
  <si>
    <t>백*혜</t>
  </si>
  <si>
    <t>497</t>
  </si>
  <si>
    <t>20260210360249</t>
  </si>
  <si>
    <t>498</t>
  </si>
  <si>
    <t>20260210360429</t>
  </si>
  <si>
    <t>최*현</t>
  </si>
  <si>
    <t>499</t>
  </si>
  <si>
    <t>20260210361277</t>
  </si>
  <si>
    <t>추*옥</t>
  </si>
  <si>
    <t>500</t>
  </si>
  <si>
    <t>20260210361301</t>
  </si>
  <si>
    <t>박*경</t>
  </si>
  <si>
    <t>501</t>
  </si>
  <si>
    <t>20260210360542</t>
  </si>
  <si>
    <t>오*석</t>
  </si>
  <si>
    <t>502</t>
  </si>
  <si>
    <t>20260210361360</t>
  </si>
  <si>
    <t>방*현</t>
  </si>
  <si>
    <t>503</t>
  </si>
  <si>
    <t>20260210361554</t>
  </si>
  <si>
    <t>최*성</t>
  </si>
  <si>
    <t>504</t>
  </si>
  <si>
    <t>20260210361536</t>
  </si>
  <si>
    <t>진*순</t>
  </si>
  <si>
    <t>505</t>
  </si>
  <si>
    <t>20260210361726</t>
  </si>
  <si>
    <t>506</t>
  </si>
  <si>
    <t>20260210361322</t>
  </si>
  <si>
    <t>황*수</t>
  </si>
  <si>
    <t>507</t>
  </si>
  <si>
    <t>20260210361734</t>
  </si>
  <si>
    <t>508</t>
  </si>
  <si>
    <t>20260210360720</t>
  </si>
  <si>
    <t>509</t>
  </si>
  <si>
    <t>20260210361697</t>
  </si>
  <si>
    <t>송*이</t>
  </si>
  <si>
    <t>510</t>
  </si>
  <si>
    <t>20260210361959</t>
  </si>
  <si>
    <t>511</t>
  </si>
  <si>
    <t>20260210361974</t>
  </si>
  <si>
    <t>박*인</t>
  </si>
  <si>
    <t>512</t>
  </si>
  <si>
    <t>20260210362007</t>
  </si>
  <si>
    <t>513</t>
  </si>
  <si>
    <t>20260210361908</t>
  </si>
  <si>
    <t>514</t>
  </si>
  <si>
    <t>20260210360828</t>
  </si>
  <si>
    <t>515</t>
  </si>
  <si>
    <t>20260210360893</t>
  </si>
  <si>
    <t>516</t>
  </si>
  <si>
    <t>20260210360177</t>
  </si>
  <si>
    <t>우*민</t>
  </si>
  <si>
    <t>517</t>
  </si>
  <si>
    <t>20260210360092</t>
  </si>
  <si>
    <t>김*엽</t>
  </si>
  <si>
    <t>518</t>
  </si>
  <si>
    <t>20260210360272</t>
  </si>
  <si>
    <t>519</t>
  </si>
  <si>
    <t>20260210361097</t>
  </si>
  <si>
    <t>520</t>
  </si>
  <si>
    <t>20260210360282</t>
  </si>
  <si>
    <t>521</t>
  </si>
  <si>
    <t>20260210360283</t>
  </si>
  <si>
    <t>522</t>
  </si>
  <si>
    <t>20260210361227</t>
  </si>
  <si>
    <t>최*주</t>
  </si>
  <si>
    <t>523</t>
  </si>
  <si>
    <t>20260210361403</t>
  </si>
  <si>
    <t>524</t>
  </si>
  <si>
    <t>20260210360433</t>
  </si>
  <si>
    <t>525</t>
  </si>
  <si>
    <t>20260210361474</t>
  </si>
  <si>
    <t>김*림</t>
  </si>
  <si>
    <t>526</t>
  </si>
  <si>
    <t>20260210361861</t>
  </si>
  <si>
    <t>527</t>
  </si>
  <si>
    <t>20260210361346</t>
  </si>
  <si>
    <t>528</t>
  </si>
  <si>
    <t>20260210361491</t>
  </si>
  <si>
    <t>529</t>
  </si>
  <si>
    <t>20260210362075</t>
  </si>
  <si>
    <t>530</t>
  </si>
  <si>
    <t>20260210362158</t>
  </si>
  <si>
    <t>정*래</t>
  </si>
  <si>
    <t>531</t>
  </si>
  <si>
    <t>20260210360969</t>
  </si>
  <si>
    <t>532</t>
  </si>
  <si>
    <t>20260210361539</t>
  </si>
  <si>
    <t>533</t>
  </si>
  <si>
    <t>20260210361721</t>
  </si>
  <si>
    <t>534</t>
  </si>
  <si>
    <t>20260210360934</t>
  </si>
  <si>
    <t>송*고</t>
  </si>
  <si>
    <t>535</t>
  </si>
  <si>
    <t>20260210361184</t>
  </si>
  <si>
    <t>536</t>
  </si>
  <si>
    <t>20260210367975</t>
  </si>
  <si>
    <t>537</t>
  </si>
  <si>
    <t>20260210360674</t>
  </si>
  <si>
    <t>538</t>
  </si>
  <si>
    <t>20260210361998</t>
  </si>
  <si>
    <t>한*자</t>
  </si>
  <si>
    <t>539</t>
  </si>
  <si>
    <t>20260210362210</t>
  </si>
  <si>
    <t>임*애</t>
  </si>
  <si>
    <t>540</t>
  </si>
  <si>
    <t>20260210361307</t>
  </si>
  <si>
    <t>이*재</t>
  </si>
  <si>
    <t>541</t>
  </si>
  <si>
    <t>20260210360709</t>
  </si>
  <si>
    <t>배*영</t>
  </si>
  <si>
    <t>542</t>
  </si>
  <si>
    <t>20260210361913</t>
  </si>
  <si>
    <t>543</t>
  </si>
  <si>
    <t>20260210362003</t>
  </si>
  <si>
    <t>윤*근</t>
  </si>
  <si>
    <t>544</t>
  </si>
  <si>
    <t>20260210360756</t>
  </si>
  <si>
    <t>문*수</t>
  </si>
  <si>
    <t>545</t>
  </si>
  <si>
    <t>20260210361263</t>
  </si>
  <si>
    <t>강*은</t>
  </si>
  <si>
    <t>546</t>
  </si>
  <si>
    <t>20260210361940</t>
  </si>
  <si>
    <t>547</t>
  </si>
  <si>
    <t>20260210362078</t>
  </si>
  <si>
    <t>윤*애</t>
  </si>
  <si>
    <t>548</t>
  </si>
  <si>
    <t>20260210360785</t>
  </si>
  <si>
    <t>549</t>
  </si>
  <si>
    <t>20260210361138</t>
  </si>
  <si>
    <t>함*희</t>
  </si>
  <si>
    <t>550</t>
  </si>
  <si>
    <t>20260210360899</t>
  </si>
  <si>
    <t>551</t>
  </si>
  <si>
    <t>20260210360466</t>
  </si>
  <si>
    <t>김*금</t>
  </si>
  <si>
    <t>552</t>
  </si>
  <si>
    <t>20260210361648</t>
  </si>
  <si>
    <t>553</t>
  </si>
  <si>
    <t>20260210361577</t>
  </si>
  <si>
    <t>554</t>
  </si>
  <si>
    <t>20260210360979</t>
  </si>
  <si>
    <t>윤*순</t>
  </si>
  <si>
    <t>555</t>
  </si>
  <si>
    <t>20260210361256</t>
  </si>
  <si>
    <t>556</t>
  </si>
  <si>
    <t>20260210361264</t>
  </si>
  <si>
    <t>김*세</t>
  </si>
  <si>
    <t>557</t>
  </si>
  <si>
    <t>20260210360518</t>
  </si>
  <si>
    <t>558</t>
  </si>
  <si>
    <t>20260210361601</t>
  </si>
  <si>
    <t>559</t>
  </si>
  <si>
    <t>20260210361654</t>
  </si>
  <si>
    <t>560</t>
  </si>
  <si>
    <t>20260210361176</t>
  </si>
  <si>
    <t>신*숙</t>
  </si>
  <si>
    <t>561</t>
  </si>
  <si>
    <t>20260210361178</t>
  </si>
  <si>
    <t>상*식</t>
  </si>
  <si>
    <t>562</t>
  </si>
  <si>
    <t>20260210360293</t>
  </si>
  <si>
    <t>홍*상</t>
  </si>
  <si>
    <t>563</t>
  </si>
  <si>
    <t>20260210360216</t>
  </si>
  <si>
    <t>564</t>
  </si>
  <si>
    <t>20260210360543</t>
  </si>
  <si>
    <t>강*희</t>
  </si>
  <si>
    <t>565</t>
  </si>
  <si>
    <t>20260210361596</t>
  </si>
  <si>
    <t>566</t>
  </si>
  <si>
    <t>20260210361735</t>
  </si>
  <si>
    <t>567</t>
  </si>
  <si>
    <t>20260210361527</t>
  </si>
  <si>
    <t>엄*자</t>
  </si>
  <si>
    <t>568</t>
  </si>
  <si>
    <t>20260210360903</t>
  </si>
  <si>
    <t>이*현</t>
  </si>
  <si>
    <t>569</t>
  </si>
  <si>
    <t>20260210360818</t>
  </si>
  <si>
    <t>570</t>
  </si>
  <si>
    <t>20260210360436</t>
  </si>
  <si>
    <t>주*산</t>
  </si>
  <si>
    <t>571</t>
  </si>
  <si>
    <t>20260210361793</t>
  </si>
  <si>
    <t>김*혁</t>
  </si>
  <si>
    <t>572</t>
  </si>
  <si>
    <t>20260210361964</t>
  </si>
  <si>
    <t>573</t>
  </si>
  <si>
    <t>20260210361971</t>
  </si>
  <si>
    <t>574</t>
  </si>
  <si>
    <t>20260210360781</t>
  </si>
  <si>
    <t>조*진</t>
  </si>
  <si>
    <t>575</t>
  </si>
  <si>
    <t>20260210361080</t>
  </si>
  <si>
    <t>576</t>
  </si>
  <si>
    <t>20260210360206</t>
  </si>
  <si>
    <t>577</t>
  </si>
  <si>
    <t>20260210361198</t>
  </si>
  <si>
    <t>578</t>
  </si>
  <si>
    <t>20260210361300</t>
  </si>
  <si>
    <t>579</t>
  </si>
  <si>
    <t>20260210360681</t>
  </si>
  <si>
    <t>580</t>
  </si>
  <si>
    <t>20260210361731</t>
  </si>
  <si>
    <t>581</t>
  </si>
  <si>
    <t>20260210361854</t>
  </si>
  <si>
    <t>김*혜</t>
  </si>
  <si>
    <t>582</t>
  </si>
  <si>
    <t>20260210361906</t>
  </si>
  <si>
    <t>김*춘</t>
  </si>
  <si>
    <t>583</t>
  </si>
  <si>
    <t>20260210362118</t>
  </si>
  <si>
    <t>송*인</t>
  </si>
  <si>
    <t>584</t>
  </si>
  <si>
    <t>20260210360875</t>
  </si>
  <si>
    <t>585</t>
  </si>
  <si>
    <t>20260210360922</t>
  </si>
  <si>
    <t>유*분</t>
  </si>
  <si>
    <t>586</t>
  </si>
  <si>
    <t>20260210361163</t>
  </si>
  <si>
    <t>587</t>
  </si>
  <si>
    <t>20260210360271</t>
  </si>
  <si>
    <t>박*수</t>
  </si>
  <si>
    <t>588</t>
  </si>
  <si>
    <t>20260210360371</t>
  </si>
  <si>
    <t>이*엽</t>
  </si>
  <si>
    <t>589</t>
  </si>
  <si>
    <t>20260210361362</t>
  </si>
  <si>
    <t>590</t>
  </si>
  <si>
    <t>20260210361530</t>
  </si>
  <si>
    <t>남**선</t>
  </si>
  <si>
    <t>591</t>
  </si>
  <si>
    <t>20260210361628</t>
  </si>
  <si>
    <t>최*순</t>
  </si>
  <si>
    <t>592</t>
  </si>
  <si>
    <t>20260210360588</t>
  </si>
  <si>
    <t>593</t>
  </si>
  <si>
    <t>20260210360656</t>
  </si>
  <si>
    <t>정*혜</t>
  </si>
  <si>
    <t>594</t>
  </si>
  <si>
    <t>20260210360847</t>
  </si>
  <si>
    <t>합계</t>
  </si>
  <si>
    <t>항목</t>
  </si>
  <si>
    <t>금액</t>
  </si>
  <si>
    <t>총 매출액</t>
  </si>
  <si>
    <t>매출액</t>
  </si>
  <si>
    <t>네이버</t>
  </si>
  <si>
    <t>쿠팡</t>
  </si>
  <si>
    <t>기타</t>
  </si>
  <si>
    <t>지표</t>
  </si>
  <si>
    <t>금액/값</t>
  </si>
  <si>
    <t>목표</t>
  </si>
  <si>
    <t>상태</t>
  </si>
  <si>
    <t>재고 알람 건수</t>
  </si>
  <si>
    <t>0건</t>
  </si>
  <si>
    <t>총 판매건수</t>
  </si>
  <si>
    <t>-</t>
  </si>
  <si>
    <t>비중</t>
  </si>
  <si>
    <t>⚠️ 주의사항</t>
  </si>
  <si>
    <t>Layer</t>
  </si>
  <si>
    <t>Component</t>
  </si>
  <si>
    <t>Description</t>
  </si>
  <si>
    <t>1. 입력층</t>
  </si>
  <si>
    <t>채널 원본 데이터 (CSV/Excel 직접 입력)</t>
  </si>
  <si>
    <t>자사 SKU, 원가, 재고 마스터</t>
  </si>
  <si>
    <t>채널코드 ↔ 자사SKU 매핑 테이블</t>
  </si>
  <si>
    <t>2. 처리층</t>
  </si>
  <si>
    <t>표준 스키마로 정규화 (VLOOKUP 자동 매핑)</t>
  </si>
  <si>
    <t>재고 차감 엔진 (SUMIF 기반)</t>
  </si>
  <si>
    <t>손익 계산 엔진 (공헌이익/영업이익)</t>
  </si>
  <si>
    <t>3. 출력층</t>
  </si>
  <si>
    <t>KPI 시각화 및 알람</t>
  </si>
  <si>
    <t>Reports</t>
  </si>
  <si>
    <t>채널별/SKU별 분석 리포트</t>
  </si>
  <si>
    <t>🚀 확장 가이드</t>
  </si>
  <si>
    <t>확장 항목</t>
  </si>
  <si>
    <t>구현 방법</t>
  </si>
  <si>
    <t>난이도</t>
  </si>
  <si>
    <t>네이버/쿠팡 추가</t>
  </si>
  <si>
    <t>1) Raw_Naver, Raw_Coupang 시트 생성</t>
  </si>
  <si>
    <t>⭐ 쉬움</t>
  </si>
  <si>
    <t>2) Channel_Mapping에 해당 채널 코드 추가</t>
  </si>
  <si>
    <t>3) Normalized_Data 수식에서 해당 시트 참조 추가</t>
  </si>
  <si>
    <t>Power Query 자동화</t>
  </si>
  <si>
    <t>폴더 감시 → 자동 데이터 로드 구현</t>
  </si>
  <si>
    <t>⭐⭐ 중간</t>
  </si>
  <si>
    <t>VBA 버튼 추가</t>
  </si>
  <si>
    <t>"데이터 새로고침" 버튼으로 전체 갱신</t>
  </si>
  <si>
    <t>차트/피벗 추가</t>
  </si>
  <si>
    <t>PnL_Analysis 데이터로 차트/피벗테이블 생성</t>
  </si>
  <si>
    <t>✅ 시스템 구축 완료</t>
  </si>
  <si>
    <t>구축된 기능</t>
  </si>
  <si>
    <t>✓ 제품 마스터 데이터</t>
  </si>
  <si>
    <t>✅ 완료</t>
  </si>
  <si>
    <t>10개 샘플 SKU 등록됨</t>
  </si>
  <si>
    <t>✓ 채널 매핑 시스템</t>
  </si>
  <si>
    <t>SK스토아 5개 상품 매핑됨</t>
  </si>
  <si>
    <t>✓ 데이터 정규화 엔진</t>
  </si>
  <si>
    <t>VLOOKUP 기반 자동 변환</t>
  </si>
  <si>
    <t>✓ 재고 관리 시스템</t>
  </si>
  <si>
    <t>실시간 차감 및 알람 기능</t>
  </si>
  <si>
    <t>✓ P&amp;L 분석 엔진</t>
  </si>
  <si>
    <t>공헌이익/영업이익 자동계산</t>
  </si>
  <si>
    <t>✓ KPI 대시보드</t>
  </si>
  <si>
    <t>매출, 이익률, 재고알람 표시</t>
  </si>
  <si>
    <t>✓ 사용 가이드 문서</t>
  </si>
  <si>
    <t>단계별 가이드 및 수식 설명</t>
  </si>
  <si>
    <t>📊 현재 시스템 상태 (샘플 데이터 기준)</t>
  </si>
  <si>
    <t>수량/금액</t>
  </si>
  <si>
    <t>등록된 SKU</t>
  </si>
  <si>
    <t>10개</t>
  </si>
  <si>
    <t>매핑된 상품</t>
  </si>
  <si>
    <t>5개</t>
  </si>
  <si>
    <t>SK스토아 → 자사SKU 매핑</t>
  </si>
  <si>
    <t>처리된 주문</t>
  </si>
  <si>
    <t>실정산금액 기준</t>
  </si>
  <si>
    <t>총 공헌이익</t>
  </si>
  <si>
    <t>매출 - 원가</t>
  </si>
  <si>
    <t>🔍 빠른 참조</t>
  </si>
  <si>
    <t>클릭하면 해당 시트로 이동:</t>
  </si>
  <si>
    <t>SKU 관리</t>
  </si>
  <si>
    <t>데이터 입력</t>
  </si>
  <si>
    <t>재고 확인</t>
  </si>
  <si>
    <t>손익 분석</t>
  </si>
  <si>
    <t>→ 제품마스터</t>
  </si>
  <si>
    <t>→ 원본데이터_SK</t>
  </si>
  <si>
    <t>→ 재고현황</t>
  </si>
  <si>
    <t>→ 손익분석</t>
  </si>
  <si>
    <t>대시보드</t>
  </si>
  <si>
    <t>제품마스터</t>
  </si>
  <si>
    <t>채널매핑</t>
  </si>
  <si>
    <t>원본데이터_SK</t>
  </si>
  <si>
    <t>완료일, 단품코드, 배송수량, 벤더사지급대금</t>
  </si>
  <si>
    <t>정규화데이터</t>
  </si>
  <si>
    <t>재고현황</t>
  </si>
  <si>
    <t>손익분석</t>
  </si>
  <si>
    <t>원본데이터_SK 시트에 SK스토아 정산서 복사-붙여넣기</t>
  </si>
  <si>
    <t>제품마스터에 등록</t>
  </si>
  <si>
    <t>실제 SK스토아 데이터</t>
  </si>
  <si>
    <t>이익 / 매출</t>
  </si>
  <si>
    <t>🎉 시스템이 한국어로 완전히 변환되었습니다! 현재 실제 SK스토아 데이터 599건이 처리 중입니다.</t>
  </si>
  <si>
    <t>세트수량 (1세트당 SKU 개수)</t>
  </si>
  <si>
    <t>📝 세트 수량 설명</t>
  </si>
  <si>
    <t>예시:</t>
  </si>
  <si>
    <t>SK스토아에서 1세트 판매 = 자샊SKU 8개 소비</t>
  </si>
  <si>
    <t>설정:</t>
  </si>
  <si>
    <t>E열에 8 입력</t>
  </si>
  <si>
    <t>결과:</t>
  </si>
  <si>
    <t>채널에서 2세트 판매 → 재고 16개 차감</t>
  </si>
  <si>
    <t>1 (단품 판매)</t>
  </si>
  <si>
    <t>1세트당 포함된 SKU 개수 입력</t>
  </si>
  <si>
    <t>⚠️ 주의:</t>
  </si>
  <si>
    <t>파란색 = 수동 입력 필수</t>
  </si>
  <si>
    <t>기초재고 - 누적소비수량</t>
  </si>
  <si>
    <t>정규화데이터에서 실제 SKU 소비수량 합계</t>
  </si>
  <si>
    <t>(세트수량 반영됨)</t>
  </si>
  <si>
    <t>A2:H2를 아래로 복사하면 모든 SKU 자동 계산</t>
  </si>
  <si>
    <t>양념육</t>
    <phoneticPr fontId="3" type="noConversion"/>
  </si>
  <si>
    <t>[워커힐] 시그니처 양념갈비 300G</t>
    <phoneticPr fontId="3" type="noConversion"/>
  </si>
  <si>
    <t>총판매가</t>
  </si>
  <si>
    <t>배송비</t>
  </si>
  <si>
    <t>채널별 판매 수수료율 입력</t>
  </si>
  <si>
    <t>파란색 = 사용자 입력 필수</t>
  </si>
  <si>
    <t>물류사명</t>
  </si>
  <si>
    <t>최종수정일</t>
  </si>
  <si>
    <t>정인</t>
  </si>
  <si>
    <t>물류사</t>
  </si>
  <si>
    <t>택배비</t>
  </si>
  <si>
    <t>보관료(1.2%)</t>
  </si>
  <si>
    <t>작업료(포장)</t>
  </si>
  <si>
    <t>아이스박스/박스</t>
  </si>
  <si>
    <t>아이스팩</t>
  </si>
  <si>
    <t>보냉비닐</t>
  </si>
  <si>
    <t>드라이아이스</t>
  </si>
  <si>
    <t>OPP테이프</t>
  </si>
  <si>
    <t>현재 사용 중</t>
  </si>
  <si>
    <t>📌 사용 안내</t>
  </si>
  <si>
    <t>파란색 숫자</t>
  </si>
  <si>
    <t>💡 계산 방식</t>
  </si>
  <si>
    <t>총 물류비</t>
  </si>
  <si>
    <t>사용자가 수정 가능한 항목</t>
    <phoneticPr fontId="3" type="noConversion"/>
  </si>
  <si>
    <t>택배비 + 작업료 + 아이스박스 + 아이스팩 + 보냉비닐 + 드라이아이스 + OPP테이프</t>
    <phoneticPr fontId="3" type="noConversion"/>
  </si>
  <si>
    <t>VAT제외금액</t>
  </si>
  <si>
    <t>1</t>
  </si>
  <si>
    <t>20260204818446</t>
  </si>
  <si>
    <t>2</t>
  </si>
  <si>
    <t>20260204842609</t>
  </si>
  <si>
    <t>3</t>
  </si>
  <si>
    <t>20260205994554</t>
  </si>
  <si>
    <t>4</t>
  </si>
  <si>
    <t>5</t>
  </si>
  <si>
    <t>20260205974443</t>
  </si>
  <si>
    <t>최*민</t>
  </si>
  <si>
    <t>20260210361668</t>
  </si>
  <si>
    <t>20260210361308</t>
  </si>
  <si>
    <t>강*모</t>
  </si>
  <si>
    <t>20260210361311</t>
  </si>
  <si>
    <t>20260210361344</t>
  </si>
  <si>
    <t>20260210361574</t>
  </si>
  <si>
    <t>20260210361598</t>
  </si>
  <si>
    <t>20260210361706</t>
  </si>
  <si>
    <t>20260210361759</t>
  </si>
  <si>
    <t>백*숙</t>
  </si>
  <si>
    <t>20260210361684</t>
  </si>
  <si>
    <t>20260210361910</t>
  </si>
  <si>
    <t>방*임</t>
  </si>
  <si>
    <t>20260210362507</t>
  </si>
  <si>
    <t>심*옥</t>
  </si>
  <si>
    <t>20260210360232</t>
  </si>
  <si>
    <t>라*정</t>
  </si>
  <si>
    <t>20260210361309</t>
  </si>
  <si>
    <t>최*림</t>
  </si>
  <si>
    <t>20260210361341</t>
  </si>
  <si>
    <t>20260210361405</t>
  </si>
  <si>
    <t>20260210361631</t>
  </si>
  <si>
    <t>20260210360257</t>
  </si>
  <si>
    <t>황*재</t>
  </si>
  <si>
    <t>20260210361115</t>
  </si>
  <si>
    <t>장*미</t>
  </si>
  <si>
    <t>20260210361265</t>
  </si>
  <si>
    <t>노*숙</t>
  </si>
  <si>
    <t>20260210360560</t>
  </si>
  <si>
    <t>20260210360583</t>
  </si>
  <si>
    <t>20260210361670</t>
  </si>
  <si>
    <t>20260210361580</t>
  </si>
  <si>
    <t>20260210361782</t>
  </si>
  <si>
    <t>20260210360838</t>
  </si>
  <si>
    <t>20260210360168</t>
  </si>
  <si>
    <t>20260210360212</t>
  </si>
  <si>
    <t>20260210360219</t>
  </si>
  <si>
    <t>20260210361329</t>
  </si>
  <si>
    <t>20260210361022</t>
  </si>
  <si>
    <t>나*옥</t>
  </si>
  <si>
    <t>20260210361294</t>
  </si>
  <si>
    <t>심*향</t>
  </si>
  <si>
    <t>20260210361453</t>
  </si>
  <si>
    <t>20260210361516</t>
  </si>
  <si>
    <t>송*현</t>
  </si>
  <si>
    <t>20260210361966</t>
  </si>
  <si>
    <t>주*숙</t>
  </si>
  <si>
    <t>20260210362057</t>
  </si>
  <si>
    <t>20260210360761</t>
  </si>
  <si>
    <t>20260210361026</t>
  </si>
  <si>
    <t>20260210361068</t>
  </si>
  <si>
    <t>양*자</t>
  </si>
  <si>
    <t>20260210361681</t>
  </si>
  <si>
    <t>20260210362071</t>
  </si>
  <si>
    <t>도*순</t>
  </si>
  <si>
    <t>20260210360245</t>
  </si>
  <si>
    <t>20260210360461</t>
  </si>
  <si>
    <t>신*성</t>
  </si>
  <si>
    <t>20260210360338</t>
  </si>
  <si>
    <t>20260210361293</t>
  </si>
  <si>
    <t>20260210361484</t>
  </si>
  <si>
    <t>임*순</t>
  </si>
  <si>
    <t>20260210361723</t>
  </si>
  <si>
    <t>육*수</t>
  </si>
  <si>
    <t>20260210361843</t>
  </si>
  <si>
    <t>백*실</t>
  </si>
  <si>
    <t>20260210361131</t>
  </si>
  <si>
    <t>한*옥</t>
  </si>
  <si>
    <t>20260210361526</t>
  </si>
  <si>
    <t>20260210360438</t>
  </si>
  <si>
    <t>20260210361764</t>
  </si>
  <si>
    <t>이*호</t>
  </si>
  <si>
    <t>20260210361158</t>
  </si>
  <si>
    <t>20260210360710</t>
  </si>
  <si>
    <t>유*</t>
  </si>
  <si>
    <t>20260210361717</t>
  </si>
  <si>
    <t>서*자</t>
  </si>
  <si>
    <t>20260210362658</t>
  </si>
  <si>
    <t>이*실</t>
  </si>
  <si>
    <t>20260210360971</t>
  </si>
  <si>
    <t>20260210360957</t>
  </si>
  <si>
    <t>이*울</t>
  </si>
  <si>
    <t>20260210362164</t>
  </si>
  <si>
    <t>20260210362189</t>
  </si>
  <si>
    <t>고*성</t>
  </si>
  <si>
    <t>20260210360419</t>
  </si>
  <si>
    <t>엄*숙</t>
  </si>
  <si>
    <t>20260210361724</t>
  </si>
  <si>
    <t>20260210360288</t>
  </si>
  <si>
    <t>20260210361616</t>
  </si>
  <si>
    <t>20260210361828</t>
  </si>
  <si>
    <t>최*회</t>
  </si>
  <si>
    <t>20260210361688</t>
  </si>
  <si>
    <t>20260210361789</t>
  </si>
  <si>
    <t>병*희</t>
  </si>
  <si>
    <t>20260210360385</t>
  </si>
  <si>
    <t>방*래</t>
  </si>
  <si>
    <t>20260210361225</t>
  </si>
  <si>
    <t>정*정</t>
  </si>
  <si>
    <t>20260210360980</t>
  </si>
  <si>
    <t>박*열</t>
  </si>
  <si>
    <t>20260210360551</t>
  </si>
  <si>
    <t>하*희</t>
  </si>
  <si>
    <t>20260210361462</t>
  </si>
  <si>
    <t>20260210360692</t>
  </si>
  <si>
    <t>20260210361797</t>
  </si>
  <si>
    <t>홍*화</t>
  </si>
  <si>
    <t>20260210361781</t>
  </si>
  <si>
    <t>20260210361934</t>
  </si>
  <si>
    <t>송*령</t>
  </si>
  <si>
    <t>20260210361402</t>
  </si>
  <si>
    <t>20260210360997</t>
  </si>
  <si>
    <t>20260210361134</t>
  </si>
  <si>
    <t>임*주</t>
  </si>
  <si>
    <t>20260210362141</t>
  </si>
  <si>
    <t>박*주</t>
  </si>
  <si>
    <t>20260210362293</t>
  </si>
  <si>
    <t>20260210360398</t>
  </si>
  <si>
    <t>20260210361270</t>
  </si>
  <si>
    <t>20260210361324</t>
  </si>
  <si>
    <t>안*영</t>
  </si>
  <si>
    <t>20260210361350</t>
  </si>
  <si>
    <t>홍*아</t>
  </si>
  <si>
    <t>20260210360281</t>
  </si>
  <si>
    <t>20260210361461</t>
  </si>
  <si>
    <t>20260210361504</t>
  </si>
  <si>
    <t>강*준</t>
  </si>
  <si>
    <t>20260210361566</t>
  </si>
  <si>
    <t>20260210361903</t>
  </si>
  <si>
    <t>심*주</t>
  </si>
  <si>
    <t>20260210361968</t>
  </si>
  <si>
    <t>이*하</t>
  </si>
  <si>
    <t>20260210361727</t>
  </si>
  <si>
    <t>지*훈</t>
  </si>
  <si>
    <t>20260210362163</t>
  </si>
  <si>
    <t>전*식</t>
  </si>
  <si>
    <t>20260210360760</t>
  </si>
  <si>
    <t>강*화</t>
  </si>
  <si>
    <t>20260210361126</t>
  </si>
  <si>
    <t>20260210361312</t>
  </si>
  <si>
    <t>20260210361447</t>
  </si>
  <si>
    <t>20260210361487</t>
  </si>
  <si>
    <t>강*성</t>
  </si>
  <si>
    <t>20260210361437</t>
  </si>
  <si>
    <t>20260210361980</t>
  </si>
  <si>
    <t>20260210361671</t>
  </si>
  <si>
    <t>20260210361805</t>
  </si>
  <si>
    <t>595</t>
  </si>
  <si>
    <t>20260210361070</t>
  </si>
  <si>
    <t>596</t>
  </si>
  <si>
    <t>20260210361609</t>
  </si>
  <si>
    <t>변*영</t>
  </si>
  <si>
    <t>597</t>
  </si>
  <si>
    <t>20260210361990</t>
  </si>
  <si>
    <t>조*민</t>
  </si>
  <si>
    <t>598</t>
  </si>
  <si>
    <t>20260210361401</t>
  </si>
  <si>
    <t>윤*진</t>
  </si>
  <si>
    <t>599</t>
  </si>
  <si>
    <t>20260210360406</t>
  </si>
  <si>
    <t>심*임</t>
  </si>
  <si>
    <t>600</t>
  </si>
  <si>
    <t>20260210361356</t>
  </si>
  <si>
    <t>송*수</t>
  </si>
  <si>
    <t>601</t>
  </si>
  <si>
    <t>20260210360454</t>
  </si>
  <si>
    <t>602</t>
  </si>
  <si>
    <t>20260210360688</t>
  </si>
  <si>
    <t>603</t>
  </si>
  <si>
    <t>20260210361042</t>
  </si>
  <si>
    <t>604</t>
  </si>
  <si>
    <t>20260210360204</t>
  </si>
  <si>
    <t>605</t>
  </si>
  <si>
    <t>20260210360435</t>
  </si>
  <si>
    <t>심*점</t>
  </si>
  <si>
    <t>606</t>
  </si>
  <si>
    <t>20260210360324</t>
  </si>
  <si>
    <t>박*진</t>
  </si>
  <si>
    <t>607</t>
  </si>
  <si>
    <t>20260210361911</t>
  </si>
  <si>
    <t>조*미</t>
  </si>
  <si>
    <t>608</t>
  </si>
  <si>
    <t>20260210360246</t>
  </si>
  <si>
    <t>609</t>
  </si>
  <si>
    <t>20260210361622</t>
  </si>
  <si>
    <t>610</t>
  </si>
  <si>
    <t>20260210361123</t>
  </si>
  <si>
    <t>오*순</t>
  </si>
  <si>
    <t>611</t>
  </si>
  <si>
    <t>20260210361987</t>
  </si>
  <si>
    <t>612</t>
  </si>
  <si>
    <t>20260210360357</t>
  </si>
  <si>
    <t>홍*혜</t>
  </si>
  <si>
    <t>613</t>
  </si>
  <si>
    <t>20260210361780</t>
  </si>
  <si>
    <t>614</t>
  </si>
  <si>
    <t>20260210362100</t>
  </si>
  <si>
    <t>곽*채</t>
  </si>
  <si>
    <t>615</t>
  </si>
  <si>
    <t>20260210362228</t>
  </si>
  <si>
    <t>616</t>
  </si>
  <si>
    <t>20260210362212</t>
  </si>
  <si>
    <t>원*경</t>
  </si>
  <si>
    <t>617</t>
  </si>
  <si>
    <t>20260210360287</t>
  </si>
  <si>
    <t>최*송</t>
  </si>
  <si>
    <t>618</t>
  </si>
  <si>
    <t>20260210361930</t>
  </si>
  <si>
    <t>619</t>
  </si>
  <si>
    <t>20260210360895</t>
  </si>
  <si>
    <t>리*련</t>
  </si>
  <si>
    <t>620</t>
  </si>
  <si>
    <t>20260210362231</t>
  </si>
  <si>
    <t>최*선</t>
  </si>
  <si>
    <t>621</t>
  </si>
  <si>
    <t>20260210360226</t>
  </si>
  <si>
    <t>622</t>
  </si>
  <si>
    <t>20260210361153</t>
  </si>
  <si>
    <t>623</t>
  </si>
  <si>
    <t>20260210360972</t>
  </si>
  <si>
    <t>한*길</t>
  </si>
  <si>
    <t>624</t>
  </si>
  <si>
    <t>20260210360094</t>
  </si>
  <si>
    <t>625</t>
  </si>
  <si>
    <t>20260210360523</t>
  </si>
  <si>
    <t>김*라</t>
  </si>
  <si>
    <t>626</t>
  </si>
  <si>
    <t>20260210360229</t>
  </si>
  <si>
    <t>627</t>
  </si>
  <si>
    <t>20260205993517</t>
  </si>
  <si>
    <t>이*태</t>
  </si>
  <si>
    <t>628</t>
  </si>
  <si>
    <t>20260210361686</t>
  </si>
  <si>
    <t>윤*갑</t>
  </si>
  <si>
    <t>629</t>
  </si>
  <si>
    <t>20260210362230</t>
  </si>
  <si>
    <t>김*홍</t>
  </si>
  <si>
    <t>630</t>
  </si>
  <si>
    <t>20260210362386</t>
  </si>
  <si>
    <t>장*녀</t>
  </si>
  <si>
    <t>631</t>
  </si>
  <si>
    <t>20260210360765</t>
  </si>
  <si>
    <t>최*금</t>
  </si>
  <si>
    <t>632</t>
  </si>
  <si>
    <t>20260210362168</t>
  </si>
  <si>
    <t>633</t>
  </si>
  <si>
    <t>20260210362117</t>
  </si>
  <si>
    <t>634</t>
  </si>
  <si>
    <t>20260210360966</t>
  </si>
  <si>
    <t>강*원</t>
  </si>
  <si>
    <t>635</t>
  </si>
  <si>
    <t>20260210360823</t>
  </si>
  <si>
    <t>636</t>
  </si>
  <si>
    <t>20260210361576</t>
  </si>
  <si>
    <t>637</t>
  </si>
  <si>
    <t>20260210360962</t>
  </si>
  <si>
    <t>638</t>
  </si>
  <si>
    <t>20260210361691</t>
  </si>
  <si>
    <t>639</t>
  </si>
  <si>
    <t>20260210362134</t>
  </si>
  <si>
    <t>차*용</t>
  </si>
  <si>
    <t>640</t>
  </si>
  <si>
    <t>20260210361690</t>
  </si>
  <si>
    <t>주*화</t>
  </si>
  <si>
    <t>641</t>
  </si>
  <si>
    <t>20260210361261</t>
  </si>
  <si>
    <t>642</t>
  </si>
  <si>
    <t>20260210361855</t>
  </si>
  <si>
    <t>간*관</t>
  </si>
  <si>
    <t>643</t>
  </si>
  <si>
    <t>20260210360736</t>
  </si>
  <si>
    <t>644</t>
  </si>
  <si>
    <t>20260205994812</t>
  </si>
  <si>
    <t>박*심</t>
  </si>
  <si>
    <t>645</t>
  </si>
  <si>
    <t>20260210360424</t>
  </si>
  <si>
    <t>손*자</t>
  </si>
  <si>
    <t>646</t>
  </si>
  <si>
    <t>20260210361466</t>
  </si>
  <si>
    <t>조*정</t>
  </si>
  <si>
    <t>647</t>
  </si>
  <si>
    <t>20260210360877</t>
  </si>
  <si>
    <t>648</t>
  </si>
  <si>
    <t>20260210361967</t>
  </si>
  <si>
    <t>윤*화</t>
  </si>
  <si>
    <t>649</t>
  </si>
  <si>
    <t>20260210361778</t>
  </si>
  <si>
    <t>김*하</t>
  </si>
  <si>
    <t>650</t>
  </si>
  <si>
    <t>20260210360506</t>
  </si>
  <si>
    <t>651</t>
  </si>
  <si>
    <t>20260210361822</t>
  </si>
  <si>
    <t>장*혜</t>
  </si>
  <si>
    <t>652</t>
  </si>
  <si>
    <t>20260211862060</t>
  </si>
  <si>
    <t>653</t>
  </si>
  <si>
    <t>20260210361524</t>
  </si>
  <si>
    <t>최*봉</t>
  </si>
  <si>
    <t>654</t>
  </si>
  <si>
    <t>20260210361369</t>
  </si>
  <si>
    <t>655</t>
  </si>
  <si>
    <t>20260210361570</t>
  </si>
  <si>
    <t>656</t>
  </si>
  <si>
    <t>20260210361915</t>
  </si>
  <si>
    <t>657</t>
  </si>
  <si>
    <t>20260210362058</t>
  </si>
  <si>
    <t>658</t>
  </si>
  <si>
    <t>20260210364113</t>
  </si>
  <si>
    <t>659</t>
  </si>
  <si>
    <t>20260210366124</t>
  </si>
  <si>
    <t>660</t>
  </si>
  <si>
    <t>20260210360947</t>
  </si>
  <si>
    <t>661</t>
  </si>
  <si>
    <t>20260210360328</t>
  </si>
  <si>
    <t>662</t>
  </si>
  <si>
    <t>20260210360456</t>
  </si>
  <si>
    <t>한*주</t>
  </si>
  <si>
    <t>663</t>
  </si>
  <si>
    <t>20260210362454</t>
  </si>
  <si>
    <t>서*영</t>
  </si>
  <si>
    <t>664</t>
  </si>
  <si>
    <t>665</t>
  </si>
  <si>
    <t>20260210360296</t>
  </si>
  <si>
    <t>양*희</t>
  </si>
  <si>
    <t>666</t>
  </si>
  <si>
    <t>20260210362146</t>
  </si>
  <si>
    <t>667</t>
  </si>
  <si>
    <t>20260210360233</t>
  </si>
  <si>
    <t>668</t>
  </si>
  <si>
    <t>20260210361754</t>
  </si>
  <si>
    <t>669</t>
  </si>
  <si>
    <t>20260210361587</t>
  </si>
  <si>
    <t>670</t>
  </si>
  <si>
    <t>20260210361077</t>
  </si>
  <si>
    <t>671</t>
  </si>
  <si>
    <t>20260210360396</t>
  </si>
  <si>
    <t>672</t>
  </si>
  <si>
    <t>20260210360400</t>
  </si>
  <si>
    <t>황*월</t>
  </si>
  <si>
    <t>673</t>
  </si>
  <si>
    <t>20260210360481</t>
  </si>
  <si>
    <t>674</t>
  </si>
  <si>
    <t>20260210360563</t>
  </si>
  <si>
    <t>675</t>
  </si>
  <si>
    <t>20260210360427</t>
  </si>
  <si>
    <t>손*원</t>
  </si>
  <si>
    <t>676</t>
  </si>
  <si>
    <t>20260210361451</t>
  </si>
  <si>
    <t>677</t>
  </si>
  <si>
    <t>20260210361038</t>
  </si>
  <si>
    <t>678</t>
  </si>
  <si>
    <t>20260210360291</t>
  </si>
  <si>
    <t>679</t>
  </si>
  <si>
    <t>20260210361335</t>
  </si>
  <si>
    <t>현*희</t>
  </si>
  <si>
    <t>680</t>
  </si>
  <si>
    <t>20260210361495</t>
  </si>
  <si>
    <t>진*윤</t>
  </si>
  <si>
    <t>681</t>
  </si>
  <si>
    <t>20260210361579</t>
  </si>
  <si>
    <t>김*해</t>
  </si>
  <si>
    <t>682</t>
  </si>
  <si>
    <t>20260210362044</t>
  </si>
  <si>
    <t>박*덕</t>
  </si>
  <si>
    <t>683</t>
  </si>
  <si>
    <t>20260210360670</t>
  </si>
  <si>
    <t>684</t>
  </si>
  <si>
    <t>20260210360241</t>
  </si>
  <si>
    <t>685</t>
  </si>
  <si>
    <t>20260210361564</t>
  </si>
  <si>
    <t>강*지</t>
  </si>
  <si>
    <t>686</t>
  </si>
  <si>
    <t>20260210361948</t>
  </si>
  <si>
    <t>남*정</t>
  </si>
  <si>
    <t>687</t>
  </si>
  <si>
    <t>20260210361019</t>
  </si>
  <si>
    <t>한*연</t>
  </si>
  <si>
    <t>688</t>
  </si>
  <si>
    <t>20260210361847</t>
  </si>
  <si>
    <t>689</t>
  </si>
  <si>
    <t>20260210362019</t>
  </si>
  <si>
    <t>임*영</t>
  </si>
  <si>
    <t>690</t>
  </si>
  <si>
    <t>20260210362206</t>
  </si>
  <si>
    <t>고*녀</t>
  </si>
  <si>
    <t>691</t>
  </si>
  <si>
    <t>20260210361041</t>
  </si>
  <si>
    <t>나*련</t>
  </si>
  <si>
    <t>692</t>
  </si>
  <si>
    <t>20260210361683</t>
  </si>
  <si>
    <t>구*희</t>
  </si>
  <si>
    <t>693</t>
  </si>
  <si>
    <t>20260210361352</t>
  </si>
  <si>
    <t>김*임</t>
  </si>
  <si>
    <t>694</t>
  </si>
  <si>
    <t>20260210361525</t>
  </si>
  <si>
    <t>695</t>
  </si>
  <si>
    <t>20260210361011</t>
  </si>
  <si>
    <t>박*식</t>
  </si>
  <si>
    <t>696</t>
  </si>
  <si>
    <t>20260210361551</t>
  </si>
  <si>
    <t>697</t>
  </si>
  <si>
    <t>698</t>
  </si>
  <si>
    <t>699</t>
  </si>
  <si>
    <t>700</t>
  </si>
  <si>
    <t>701</t>
  </si>
  <si>
    <t>702</t>
  </si>
  <si>
    <t>20260210360596</t>
  </si>
  <si>
    <t>703</t>
  </si>
  <si>
    <t>20260210360302</t>
  </si>
  <si>
    <t>704</t>
  </si>
  <si>
    <t>20260210360928</t>
  </si>
  <si>
    <t>구*자</t>
  </si>
  <si>
    <t>705</t>
  </si>
  <si>
    <t>20260210360937</t>
  </si>
  <si>
    <t>706</t>
  </si>
  <si>
    <t>20260210360976</t>
  </si>
  <si>
    <t>서*란</t>
  </si>
  <si>
    <t>707</t>
  </si>
  <si>
    <t>20260210360392</t>
  </si>
  <si>
    <t>708</t>
  </si>
  <si>
    <t>20260210361319</t>
  </si>
  <si>
    <t>하*자</t>
  </si>
  <si>
    <t>709</t>
  </si>
  <si>
    <t>20260210361317</t>
  </si>
  <si>
    <t>710</t>
  </si>
  <si>
    <t>20260210361357</t>
  </si>
  <si>
    <t>박*생</t>
  </si>
  <si>
    <t>711</t>
  </si>
  <si>
    <t>20260210360557</t>
  </si>
  <si>
    <t>712</t>
  </si>
  <si>
    <t>20260210361392</t>
  </si>
  <si>
    <t>이*아</t>
  </si>
  <si>
    <t>713</t>
  </si>
  <si>
    <t>20260210361499</t>
  </si>
  <si>
    <t>714</t>
  </si>
  <si>
    <t>20260210360664</t>
  </si>
  <si>
    <t>715</t>
  </si>
  <si>
    <t>20260210361611</t>
  </si>
  <si>
    <t>차*윤</t>
  </si>
  <si>
    <t>716</t>
  </si>
  <si>
    <t>20260210361659</t>
  </si>
  <si>
    <t>717</t>
  </si>
  <si>
    <t>20260210361936</t>
  </si>
  <si>
    <t>우*훈</t>
  </si>
  <si>
    <t>718</t>
  </si>
  <si>
    <t>20260210362041</t>
  </si>
  <si>
    <t>719</t>
  </si>
  <si>
    <t>20260210362161</t>
  </si>
  <si>
    <t>장*복</t>
  </si>
  <si>
    <t>720</t>
  </si>
  <si>
    <t>20260210360981</t>
  </si>
  <si>
    <t>721</t>
  </si>
  <si>
    <t>20260210360090</t>
  </si>
  <si>
    <t>성*례</t>
  </si>
  <si>
    <t>722</t>
  </si>
  <si>
    <t>20260210360250</t>
  </si>
  <si>
    <t>723</t>
  </si>
  <si>
    <t>20260210360422</t>
  </si>
  <si>
    <t>우*성</t>
  </si>
  <si>
    <t>724</t>
  </si>
  <si>
    <t>20260210360428</t>
  </si>
  <si>
    <t>725</t>
  </si>
  <si>
    <t>20260210361274</t>
  </si>
  <si>
    <t>726</t>
  </si>
  <si>
    <t>20260210361271</t>
  </si>
  <si>
    <t>727</t>
  </si>
  <si>
    <t>20260210360545</t>
  </si>
  <si>
    <t>728</t>
  </si>
  <si>
    <t>20260210360564</t>
  </si>
  <si>
    <t>방*미</t>
  </si>
  <si>
    <t>729</t>
  </si>
  <si>
    <t>20260210360718</t>
  </si>
  <si>
    <t>730</t>
  </si>
  <si>
    <t>20260210361907</t>
  </si>
  <si>
    <t>731</t>
  </si>
  <si>
    <t>20260210361763</t>
  </si>
  <si>
    <t>김*리</t>
  </si>
  <si>
    <t>732</t>
  </si>
  <si>
    <t>20260210361537</t>
  </si>
  <si>
    <t>733</t>
  </si>
  <si>
    <t>20260210362086</t>
  </si>
  <si>
    <t>정*윤</t>
  </si>
  <si>
    <t>734</t>
  </si>
  <si>
    <t>20260210360468</t>
  </si>
  <si>
    <t>한*민</t>
  </si>
  <si>
    <t>735</t>
  </si>
  <si>
    <t>20260210360549</t>
  </si>
  <si>
    <t>736</t>
  </si>
  <si>
    <t>20260210360555</t>
  </si>
  <si>
    <t>737</t>
  </si>
  <si>
    <t>20260210361541</t>
  </si>
  <si>
    <t>신*은</t>
  </si>
  <si>
    <t>738</t>
  </si>
  <si>
    <t>20260210361534</t>
  </si>
  <si>
    <t>739</t>
  </si>
  <si>
    <t>20260210360682</t>
  </si>
  <si>
    <t>740</t>
  </si>
  <si>
    <t>20260210361794</t>
  </si>
  <si>
    <t>황*희</t>
  </si>
  <si>
    <t>741</t>
  </si>
  <si>
    <t>20260210361965</t>
  </si>
  <si>
    <t>742</t>
  </si>
  <si>
    <t>20260210362013</t>
  </si>
  <si>
    <t>743</t>
  </si>
  <si>
    <t>20260210360694</t>
  </si>
  <si>
    <t>744</t>
  </si>
  <si>
    <t>20260210361989</t>
  </si>
  <si>
    <t>손*영</t>
  </si>
  <si>
    <t>745</t>
  </si>
  <si>
    <t>20260210362685</t>
  </si>
  <si>
    <t>746</t>
  </si>
  <si>
    <t>20260210369877</t>
  </si>
  <si>
    <t>747</t>
  </si>
  <si>
    <t>20260210364014</t>
  </si>
  <si>
    <t>748</t>
  </si>
  <si>
    <t>20260210361013</t>
  </si>
  <si>
    <t>749</t>
  </si>
  <si>
    <t>20260210360886</t>
  </si>
  <si>
    <t>조*석</t>
  </si>
  <si>
    <t>750</t>
  </si>
  <si>
    <t>20260210360902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</si>
  <si>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</si>
  <si>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</si>
  <si>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</si>
  <si>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</si>
  <si>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</si>
  <si>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</si>
  <si>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</si>
  <si>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</si>
  <si>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</si>
  <si>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</si>
  <si>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</si>
  <si>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</si>
  <si>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</si>
  <si>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</si>
  <si>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</si>
  <si>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</si>
  <si>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</si>
  <si>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</si>
  <si>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</si>
  <si>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</si>
  <si>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</si>
  <si>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</si>
  <si>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</si>
  <si>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</si>
  <si>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</si>
  <si>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</si>
  <si>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</si>
  <si>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</si>
  <si>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</si>
  <si>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</si>
  <si>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</si>
  <si>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</si>
  <si>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</si>
  <si>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</si>
  <si>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</si>
  <si>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</si>
  <si>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</si>
  <si>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</si>
  <si>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</si>
  <si>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</si>
  <si>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</si>
  <si>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</si>
  <si>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</si>
  <si>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</si>
  <si>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</si>
  <si>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</si>
  <si>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</si>
  <si>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</si>
  <si>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</si>
  <si>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20260210361500</t>
  </si>
  <si>
    <t>안*순</t>
  </si>
  <si>
    <t>800</t>
  </si>
  <si>
    <t>20260210360722</t>
  </si>
  <si>
    <t>801</t>
  </si>
  <si>
    <t>20260210361757</t>
  </si>
  <si>
    <t>802</t>
  </si>
  <si>
    <t>20260210360526</t>
  </si>
  <si>
    <t>문*은</t>
  </si>
  <si>
    <t>803</t>
  </si>
  <si>
    <t>20260210361758</t>
  </si>
  <si>
    <t>박*란</t>
  </si>
  <si>
    <t>804</t>
  </si>
  <si>
    <t>20260210361268</t>
  </si>
  <si>
    <t>805</t>
  </si>
  <si>
    <t>20260210361522</t>
  </si>
  <si>
    <t>806</t>
  </si>
  <si>
    <t>20260210362264</t>
  </si>
  <si>
    <t>807</t>
  </si>
  <si>
    <t>20260210360898</t>
  </si>
  <si>
    <t>808</t>
  </si>
  <si>
    <t>20260210360968</t>
  </si>
  <si>
    <t>809</t>
  </si>
  <si>
    <t>20260210361315</t>
  </si>
  <si>
    <t>정*칠</t>
  </si>
  <si>
    <t>810</t>
  </si>
  <si>
    <t>20260210364732</t>
  </si>
  <si>
    <t>811</t>
  </si>
  <si>
    <t>20260210361752</t>
  </si>
  <si>
    <t>812</t>
  </si>
  <si>
    <t>20260210361404</t>
  </si>
  <si>
    <t>813</t>
  </si>
  <si>
    <t>20260210361750</t>
  </si>
  <si>
    <t>장*진</t>
  </si>
  <si>
    <t>814</t>
  </si>
  <si>
    <t>20260210361384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</si>
  <si>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</si>
  <si>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</si>
  <si>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</si>
  <si>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</si>
  <si>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</si>
  <si>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</si>
  <si>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</si>
  <si>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</si>
  <si>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</si>
  <si>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</si>
  <si>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</si>
  <si>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</si>
  <si>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</si>
  <si>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</si>
  <si>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</si>
  <si>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</si>
  <si>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</si>
  <si>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</si>
  <si>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</si>
  <si>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</si>
  <si>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</si>
  <si>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</si>
  <si>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</si>
  <si>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</si>
  <si>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</si>
  <si>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</si>
  <si>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</si>
  <si>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</si>
  <si>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</si>
  <si>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</si>
  <si>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</si>
  <si>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</si>
  <si>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</si>
  <si>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</si>
  <si>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</si>
  <si>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</si>
  <si>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20260205994463</t>
  </si>
  <si>
    <t>최*경</t>
  </si>
  <si>
    <t>851</t>
  </si>
  <si>
    <t>20260210360499</t>
  </si>
  <si>
    <t>홍*희</t>
  </si>
  <si>
    <t>852</t>
  </si>
  <si>
    <t>20260210361304</t>
  </si>
  <si>
    <t>853</t>
  </si>
  <si>
    <t>20260210361296</t>
  </si>
  <si>
    <t>854</t>
  </si>
  <si>
    <t>20260210361578</t>
  </si>
  <si>
    <t>855</t>
  </si>
  <si>
    <t>20260210360604</t>
  </si>
  <si>
    <t>856</t>
  </si>
  <si>
    <t>20260210361837</t>
  </si>
  <si>
    <t>857</t>
  </si>
  <si>
    <t>858</t>
  </si>
  <si>
    <t>20260210360558</t>
  </si>
  <si>
    <t>허*자</t>
  </si>
  <si>
    <t>859</t>
  </si>
  <si>
    <t>20260210360940</t>
  </si>
  <si>
    <t>조*창</t>
  </si>
  <si>
    <t>860</t>
  </si>
  <si>
    <t>861</t>
  </si>
  <si>
    <t>20260210360612</t>
  </si>
  <si>
    <t>862</t>
  </si>
  <si>
    <t>20260210361645</t>
  </si>
  <si>
    <t>863</t>
  </si>
  <si>
    <t>20260210362008</t>
  </si>
  <si>
    <t>손*화</t>
  </si>
  <si>
    <t>864</t>
  </si>
  <si>
    <t>20260210360697</t>
  </si>
  <si>
    <t>865</t>
  </si>
  <si>
    <t>20260210362079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</si>
  <si>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</si>
  <si>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</si>
  <si>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</si>
  <si>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</si>
  <si>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</si>
  <si>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</si>
  <si>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</si>
  <si>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</si>
  <si>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</si>
  <si>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</si>
  <si>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</si>
  <si>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</si>
  <si>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</si>
  <si>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</si>
  <si>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20260210360908</t>
  </si>
  <si>
    <t>송*호</t>
  </si>
  <si>
    <t>2026-02-13</t>
  </si>
  <si>
    <t>880</t>
  </si>
  <si>
    <t>20260210342835</t>
  </si>
  <si>
    <t>총 매출액 (VAT제외)</t>
  </si>
  <si>
    <t>번호</t>
  </si>
  <si>
    <t>묶음배송번호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</si>
  <si>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</si>
  <si>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</si>
  <si>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</si>
  <si>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</si>
  <si>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</si>
  <si>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</si>
  <si>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</si>
  <si>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</si>
  <si>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</si>
  <si>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</si>
  <si>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</si>
  <si>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</si>
  <si>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</si>
  <si>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</si>
  <si>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</si>
  <si>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</si>
  <si>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</si>
  <si>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</si>
  <si>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</si>
  <si>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</si>
  <si>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</si>
  <si>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</si>
  <si>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</si>
  <si>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</si>
  <si>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</si>
  <si>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</si>
  <si>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</si>
  <si>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</si>
  <si>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</si>
  <si>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</si>
  <si>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</si>
  <si>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</si>
  <si>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</si>
  <si>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결제위치</t>
  </si>
  <si>
    <t>배송유형</t>
  </si>
  <si>
    <t>한진택배</t>
  </si>
  <si>
    <t>분리배송불가</t>
  </si>
  <si>
    <t>워커힐 시그니처 양념 본갈비 300g</t>
  </si>
  <si>
    <t>300g 1개</t>
  </si>
  <si>
    <t>워커힐 시그니처 양념 본갈비 300g, 1개 (1개 300g)</t>
  </si>
  <si>
    <t>워커힐 시그니처 양념 본갈비 300g,300g 1개</t>
  </si>
  <si>
    <t>무료</t>
  </si>
  <si>
    <t>이정례</t>
  </si>
  <si>
    <t>0502-4122-2717</t>
  </si>
  <si>
    <t>경기도 김포시 월곶면 용강로57번길 31-5 1층</t>
  </si>
  <si>
    <t>문 앞</t>
  </si>
  <si>
    <t>안드로이드앱</t>
  </si>
  <si>
    <t>판매자 배송</t>
  </si>
  <si>
    <t>서은경</t>
  </si>
  <si>
    <t>0502-1697-1836</t>
  </si>
  <si>
    <t>서울특별시 동대문구 한천로37길 33 래미안 엘파인 아파트, 108동 1103호 ( 답십리동, 래미안엘파인아파트 )</t>
  </si>
  <si>
    <t>아이폰앱</t>
  </si>
  <si>
    <t>이미숙</t>
  </si>
  <si>
    <t>0502-5119-6719</t>
  </si>
  <si>
    <t>충청남도 천안시 서북구 공원로 196 103동2002호 ( 불당동, 펜타포트 )</t>
  </si>
  <si>
    <t>김원정</t>
  </si>
  <si>
    <t>0502-5175-0051</t>
  </si>
  <si>
    <t>강원특별자치도 삼척시 건지동 173 건지주공아파트 106동 906호</t>
  </si>
  <si>
    <t>300g 2개</t>
  </si>
  <si>
    <t>워커힐 시그니처 양념 본갈비 300g, 2개 (2개 300g)</t>
  </si>
  <si>
    <t>워커힐 시그니처 양념 본갈비 300g,300g 2개</t>
  </si>
  <si>
    <t>최복임</t>
  </si>
  <si>
    <t>0502-5169-1516</t>
  </si>
  <si>
    <t>서울특별시 도봉구 해등로 118 2동 207호(상아1차 @) ( 창동, 상아1차아파트 )</t>
  </si>
  <si>
    <t>300g 4개</t>
  </si>
  <si>
    <t>워커힐 시그니처 양념 본갈비 300g, 4개 (4개 300g)</t>
  </si>
  <si>
    <t>워커힐 시그니처 양념 본갈비 300g,300g 4개</t>
  </si>
  <si>
    <t>최명신</t>
  </si>
  <si>
    <t>0504-1889-4017</t>
  </si>
  <si>
    <t>서울특별시 구로구 구로동 1263 신도림롯데아파트 108동 901호</t>
  </si>
  <si>
    <t>함미자</t>
  </si>
  <si>
    <t>0504-2720-8765</t>
  </si>
  <si>
    <t>서울특별시 강동구 아리수로97길 20 강일리버507동901호 ( 강일동, 강일리버파크5단지아파트 )</t>
  </si>
  <si>
    <t>송현근</t>
  </si>
  <si>
    <t>0502-5003-2593</t>
  </si>
  <si>
    <t>서울특별시 용산구 유엔빌리지길 94 조이하우스 B101호(B1F) 엘레베이터 타시고 지하1층입니다. ( 한남동 )</t>
  </si>
  <si>
    <t>PC웹</t>
  </si>
  <si>
    <t>박영애</t>
  </si>
  <si>
    <t>0502-1688-7274</t>
  </si>
  <si>
    <t>서울특별시 마포구 성산동 13-21 예림아너스빌 301호</t>
  </si>
  <si>
    <t>장경남</t>
  </si>
  <si>
    <t>0502-1585-1491</t>
  </si>
  <si>
    <t>경기도 고양시 일산동구 장항동 877 호수마을3단지아파트 314동902호</t>
  </si>
  <si>
    <t>이은신</t>
  </si>
  <si>
    <t>0502-1811-1690</t>
  </si>
  <si>
    <t>경기도 안양시 동안구 동편로 80 동편마을204동1004호 ( 관양동, 동편마을2단지 )</t>
  </si>
  <si>
    <t>도착전에 연락바랍니다  수고하세요</t>
  </si>
  <si>
    <t>조현경</t>
  </si>
  <si>
    <t>0504-1314-8287</t>
  </si>
  <si>
    <t>서울 송파구 잠실4동 파크리오아파트 115동204호</t>
  </si>
  <si>
    <t>이인숙</t>
  </si>
  <si>
    <t>0504-3476-6324</t>
  </si>
  <si>
    <t>경기도 고양시 일산동구 장항동 호수마을 푸르지오 102동2104호</t>
  </si>
  <si>
    <t>직접 받고 부재 시 문 앞</t>
  </si>
  <si>
    <t>황복연</t>
  </si>
  <si>
    <t>0504-3494-0413</t>
  </si>
  <si>
    <t>서울특별시 종로구 부암동 245-1 1층(배송은2층자동문 들어와서 오른쪽 3번택배함에 요청)</t>
  </si>
  <si>
    <t>2층자동문 들어와서 오른쪽 3번택배함에 넣어주세요.</t>
  </si>
  <si>
    <t>김성옥</t>
  </si>
  <si>
    <t>0504-3431-5415</t>
  </si>
  <si>
    <t>서울특별시 영등포구 당산동2가 16-1 대우아파트 101동1710호</t>
  </si>
  <si>
    <t>상품주문번호</t>
  </si>
  <si>
    <t>배송속성</t>
  </si>
  <si>
    <t>풀필먼트사(주문 기준)</t>
  </si>
  <si>
    <t>택배사(주문 기준)</t>
  </si>
  <si>
    <t>배송방법(구매자 요청)</t>
  </si>
  <si>
    <t>배송방법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</si>
  <si>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</si>
  <si>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</si>
  <si>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</si>
  <si>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</si>
  <si>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</si>
  <si>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</si>
  <si>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</si>
  <si>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</si>
  <si>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수량클레임 여부</t>
  </si>
  <si>
    <t>결제일</t>
  </si>
  <si>
    <t>상품번호</t>
  </si>
  <si>
    <t>상품종류</t>
  </si>
  <si>
    <t>반품안심케어</t>
  </si>
  <si>
    <t>멤버십N배송</t>
  </si>
  <si>
    <t>옵션정보</t>
  </si>
  <si>
    <t>옵션관리코드</t>
  </si>
  <si>
    <t>수량</t>
  </si>
  <si>
    <t>옵션가격</t>
  </si>
  <si>
    <t>상품가격</t>
  </si>
  <si>
    <t>최종 상품별 할인액</t>
  </si>
  <si>
    <t>최초 상품별 할인액</t>
  </si>
  <si>
    <t>판매자 부담 할인액</t>
  </si>
  <si>
    <t>최종 상품별 총 주문금액</t>
  </si>
  <si>
    <t>최초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</si>
  <si>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</si>
  <si>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</si>
  <si>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</si>
  <si>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</si>
  <si>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</si>
  <si>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</si>
  <si>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</si>
  <si>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</si>
  <si>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</si>
  <si>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</si>
  <si>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</si>
  <si>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</si>
  <si>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판매자 내부코드1</t>
  </si>
  <si>
    <t>판매자 내부코드2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</si>
  <si>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</si>
  <si>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</si>
  <si>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</si>
  <si>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</si>
  <si>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</si>
  <si>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</si>
  <si>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출고지</t>
  </si>
  <si>
    <t>결제수단</t>
  </si>
  <si>
    <t>네이버페이 주문관리 수수료</t>
  </si>
  <si>
    <t>매출연동 수수료</t>
  </si>
  <si>
    <t>정산예정금액</t>
  </si>
  <si>
    <t>개인통관고유부호</t>
  </si>
  <si>
    <t>주문일시</t>
  </si>
  <si>
    <t>배송희망일</t>
  </si>
  <si>
    <t>구독신청회차</t>
  </si>
  <si>
    <t>구독진행회차</t>
  </si>
  <si>
    <t>구독배송희망일</t>
  </si>
  <si>
    <t>배송태그 유형</t>
  </si>
  <si>
    <t>출입방법 유형</t>
  </si>
  <si>
    <t>출입방법 내용</t>
  </si>
  <si>
    <t>수령위치 유형</t>
  </si>
  <si>
    <t>수령위치 내용</t>
  </si>
  <si>
    <t>일반배송</t>
  </si>
  <si>
    <t>택배,등기,소포</t>
  </si>
  <si>
    <t>스마트스토어</t>
  </si>
  <si>
    <t>이진우</t>
  </si>
  <si>
    <t>jinu****</t>
  </si>
  <si>
    <t>발송대기</t>
  </si>
  <si>
    <t>발주확인</t>
  </si>
  <si>
    <t>N</t>
  </si>
  <si>
    <t>PC</t>
  </si>
  <si>
    <t>워커힐 시그니처 양념 본갈비 300g, 2개</t>
  </si>
  <si>
    <t>단일상품</t>
  </si>
  <si>
    <t>비대상</t>
  </si>
  <si>
    <t>조건부무료</t>
  </si>
  <si>
    <t>A2</t>
  </si>
  <si>
    <t>010-4516-7881</t>
  </si>
  <si>
    <t>서울특별시 구로구 구로동로47길 24 (구로동, 구로중앙하이츠아파트) 102-906</t>
  </si>
  <si>
    <t>서울특별시 구로구 구로동로47길 24 (구로동, 구로중앙하이츠아파트)</t>
  </si>
  <si>
    <t>102-906</t>
  </si>
  <si>
    <t>(10318) 경기도 고양시 일산동구 동국로245번길 53</t>
  </si>
  <si>
    <t>신용카드 간편결제</t>
  </si>
  <si>
    <t>선우동국</t>
  </si>
  <si>
    <t>alei****</t>
  </si>
  <si>
    <t>워커힐 시그니처 양념 본갈비 300g, 1개</t>
  </si>
  <si>
    <t>A1</t>
  </si>
  <si>
    <t>010-3090-6765</t>
  </si>
  <si>
    <t>서울특별시 동대문구 사가정로 190 (전농동, 전농우성아파트) 3동 1103호</t>
  </si>
  <si>
    <t>서울특별시 동대문구 사가정로 190 (전농동, 전농우성아파트)</t>
  </si>
  <si>
    <t>3동 1103호</t>
  </si>
  <si>
    <t>dmsr*****</t>
  </si>
  <si>
    <t>MOBILE</t>
  </si>
  <si>
    <t>010-7470-6174</t>
  </si>
  <si>
    <t>서울특별시 동대문구 한천로37길 33 (답십리동, 래미안엘파인아파트) 108동 1103호</t>
  </si>
  <si>
    <t>서울특별시 동대문구 한천로37길 33 (답십리동, 래미안엘파인아파트)</t>
  </si>
  <si>
    <t>108동 1103호</t>
  </si>
  <si>
    <t>현정화</t>
  </si>
  <si>
    <t>kk****</t>
  </si>
  <si>
    <t>010-8718-8985</t>
  </si>
  <si>
    <t>경기도 고양시 덕양구 대덕산로 21 (덕은동, DMC자이 더 포레리버뷰) 104동 804호</t>
  </si>
  <si>
    <t>경기도 고양시 덕양구 대덕산로 21 (덕은동, DMC자이 더 포레리버뷰)</t>
  </si>
  <si>
    <t>104동 804호</t>
  </si>
  <si>
    <t>결제번호</t>
  </si>
  <si>
    <t>배송지/수신자정보 입력일</t>
  </si>
  <si>
    <t>채널상품번호</t>
  </si>
  <si>
    <t>옵션</t>
  </si>
  <si>
    <t>택배사코드</t>
  </si>
  <si>
    <t>수령인명</t>
  </si>
  <si>
    <t>수령인연락처1</t>
  </si>
  <si>
    <t>하이픈포함 수령인연락처1</t>
  </si>
  <si>
    <t>수령인연락처2</t>
  </si>
  <si>
    <t>하이픈포함 수령인연락처2</t>
  </si>
  <si>
    <t>배송지주소</t>
  </si>
  <si>
    <t>타입</t>
  </si>
  <si>
    <t>발송예정일</t>
  </si>
  <si>
    <t>배송지연출고일</t>
  </si>
  <si>
    <t>상품금액</t>
  </si>
  <si>
    <t>옵션금액</t>
  </si>
  <si>
    <t>판매자할인금액</t>
  </si>
  <si>
    <t>판매자쿠폰할인금액</t>
  </si>
  <si>
    <t>정산기준금액</t>
  </si>
  <si>
    <t>기본수수료</t>
  </si>
  <si>
    <t>노출추가수수료</t>
  </si>
  <si>
    <t>추천리워드수수료</t>
  </si>
  <si>
    <t>수수료할인금액</t>
  </si>
  <si>
    <t>브랜드</t>
  </si>
  <si>
    <t>모델명</t>
  </si>
  <si>
    <t>판매자상품번호</t>
  </si>
  <si>
    <t>옵션코드</t>
  </si>
  <si>
    <t>최초배송비번호</t>
  </si>
  <si>
    <t>배송비지불방법</t>
  </si>
  <si>
    <t>기본배송비 유형</t>
  </si>
  <si>
    <t>기본배송비 금액</t>
  </si>
  <si>
    <t>도서산간 추가 배송비 금액</t>
  </si>
  <si>
    <t>유입경로</t>
  </si>
  <si>
    <t>톡딜여부</t>
  </si>
  <si>
    <t>상품유형</t>
  </si>
  <si>
    <t xml:space="preserve">biz판매여부 </t>
  </si>
  <si>
    <t>301 배송 준비 중</t>
  </si>
  <si>
    <t>택배배송</t>
  </si>
  <si>
    <t>서O경</t>
  </si>
  <si>
    <t>서울 동대문구 한천로33길 11 (답십리동, 래미안엘파인아파트) 108동 1103호</t>
  </si>
  <si>
    <t>톡스토어</t>
  </si>
  <si>
    <t>워커힐</t>
  </si>
  <si>
    <t>선불</t>
  </si>
  <si>
    <t>조건부 무료</t>
  </si>
  <si>
    <t>톡딜</t>
  </si>
  <si>
    <t>배송</t>
  </si>
  <si>
    <t>이O아</t>
  </si>
  <si>
    <t>010-7558-1194</t>
  </si>
  <si>
    <t>충북 충주시 염밭로 22 (용산동, 남산동일하이빌) 110-603</t>
  </si>
  <si>
    <t>010-4178-6174</t>
  </si>
  <si>
    <t>서울 동대문구 한천로33길 11 (답십리동, 래미안엘파인아파트) 래미안엘파인108동1103호</t>
  </si>
  <si>
    <t>오O미</t>
  </si>
  <si>
    <t>010-4713-0595</t>
  </si>
  <si>
    <t>충북 충주시 지현천변2길 27-1 (지현동, 태영하이츠타운2차) 8동201호</t>
  </si>
  <si>
    <t>유O옥</t>
  </si>
  <si>
    <t>010-3329-2563</t>
  </si>
  <si>
    <t>서울 강서구 강서로18가길 7-15 (화곡동, 이수아트빌) 이수아트빌 503호</t>
  </si>
  <si>
    <t>주문자명</t>
  </si>
  <si>
    <t>주문자연락처</t>
  </si>
  <si>
    <t>주문자휴대폰</t>
  </si>
  <si>
    <t>수령인</t>
  </si>
  <si>
    <t>수령인연락처</t>
  </si>
  <si>
    <t>수령인휴대폰</t>
  </si>
  <si>
    <t>전체주소(도로명)</t>
  </si>
  <si>
    <t>전체주소(지번)</t>
  </si>
  <si>
    <t>(추가) 옵션</t>
  </si>
  <si>
    <t>(추가) 정산금액</t>
  </si>
  <si>
    <t>공급가</t>
  </si>
  <si>
    <t>보낼수량</t>
  </si>
  <si>
    <t>사용자메모</t>
  </si>
  <si>
    <t>상품고유번호</t>
  </si>
  <si>
    <t>출고상품번호</t>
  </si>
  <si>
    <t>보낸수량</t>
  </si>
  <si>
    <t>정산금액</t>
  </si>
  <si>
    <t>매출(vat-)</t>
  </si>
  <si>
    <t>발주일자</t>
  </si>
  <si>
    <t>편경화</t>
  </si>
  <si>
    <t>010-6268-4062</t>
  </si>
  <si>
    <t>경기 안양시 만안구 안양천서로 357 안양역한양수자인리버파크 101동 2404호</t>
  </si>
  <si>
    <t>워커힐 본갈비 3+1 최초❤️5만원대! 총1.2kg✨호텔특제 양념갈비 8인분 (✨1인분 7,375원꼴! / [300g,2인분] x 총 4팩  / ✨초이스등급 본갈비 / ❣️워커힐 특제 비법소스)</t>
  </si>
  <si>
    <t>✨1인분 7,375원꼴! / [300g,2인분] x 총 4팩  / ✨초이스등급 본갈비 / ❣️워커힐 특제 비법소스)</t>
  </si>
  <si>
    <t>OPT-2474637-2720942</t>
  </si>
  <si>
    <t>CJ대한통운</t>
  </si>
  <si>
    <t>정희순</t>
  </si>
  <si>
    <t>010-8509-1977</t>
  </si>
  <si>
    <t>부산 남구 전포대로20번길 15 102동 2402호</t>
  </si>
  <si>
    <t>문 앞에 놔주세요.</t>
  </si>
  <si>
    <t>OPT-2474614-2720917</t>
  </si>
  <si>
    <t>서경수</t>
  </si>
  <si>
    <t>010-3268-6326</t>
  </si>
  <si>
    <t>인천광역시 서구 봉오재1로 49 (신현동, 루원시티루에블리) 806동2203호</t>
  </si>
  <si>
    <t>OPT-2474611-2720914</t>
  </si>
  <si>
    <t>유경태</t>
  </si>
  <si>
    <t>010-7104-8919</t>
  </si>
  <si>
    <t>서울 은평구 갈현로1길 31 103동701호</t>
  </si>
  <si>
    <t>OPT-2474591-2720893</t>
  </si>
  <si>
    <t>김남희</t>
  </si>
  <si>
    <t>010-5018-5129</t>
  </si>
  <si>
    <t>충남 서산시 부춘2로 47 대림동신아파트 202동1308호</t>
  </si>
  <si>
    <t>OPT-2474590-2720892</t>
  </si>
  <si>
    <t>노 도빈</t>
  </si>
  <si>
    <t>010-5095-3185</t>
  </si>
  <si>
    <t>서울특별시 강남구 선릉로 221 (도곡동, 도곡렉슬아파트) 212동 201호</t>
  </si>
  <si>
    <t>OPT-2474583-2720885</t>
  </si>
  <si>
    <t>김인경</t>
  </si>
  <si>
    <t>010-4276-8831</t>
  </si>
  <si>
    <t>경기도 성남시 분당구 백현로 105 (수내동) B동 1601</t>
  </si>
  <si>
    <t>OPT-2474579-2720881</t>
  </si>
  <si>
    <t>김성민</t>
  </si>
  <si>
    <t>010-2499-3939</t>
  </si>
  <si>
    <t>010-2799-5539</t>
  </si>
  <si>
    <t>서울 광진구 아차산로76길 31 102동805호(광장동, 광나루현대아파트)</t>
  </si>
  <si>
    <t>문앞</t>
  </si>
  <si>
    <t>OPT-2474568-2720870</t>
  </si>
  <si>
    <t>신현정</t>
  </si>
  <si>
    <t>010-8395-9816</t>
  </si>
  <si>
    <t>서울 중랑구 동일로 752 중화한신아파트 105동2106호</t>
  </si>
  <si>
    <t>OPT-2474500-2720801</t>
  </si>
  <si>
    <t>zzangbc</t>
  </si>
  <si>
    <t>010-8931-5099</t>
  </si>
  <si>
    <t>전북특별자치도 김제시 남북3길 10 오베르힐1201</t>
  </si>
  <si>
    <t>문앞에 놔주시고 문자주세요</t>
  </si>
  <si>
    <t>OPT-2474485-2720782</t>
  </si>
  <si>
    <t>오경숙</t>
  </si>
  <si>
    <t>010-9052-5262</t>
  </si>
  <si>
    <t>전북특별자치도 완주군 소양면 신교응암길 95-28 단독주택</t>
  </si>
  <si>
    <t>OPT-2474476-2720770</t>
  </si>
  <si>
    <t>김민정</t>
  </si>
  <si>
    <t>010-9995-6948</t>
  </si>
  <si>
    <t>경기 수원시 권선구 권광로 55 122동1104호</t>
  </si>
  <si>
    <t>OPT-2474473-2720767</t>
  </si>
  <si>
    <t>eunhee</t>
  </si>
  <si>
    <t>010-5642-1975</t>
  </si>
  <si>
    <t>경기 이천시 대월면 대산로288번길 72 카페드르와</t>
  </si>
  <si>
    <t>OPT-2474470-2720764</t>
  </si>
  <si>
    <t>김민경</t>
  </si>
  <si>
    <t>010-9319-4939</t>
  </si>
  <si>
    <t>서울특별시 구로구 부일로 927 (궁동, 궁동 우남푸르미아아파트) 101동 503호</t>
  </si>
  <si>
    <t>OPT-2474469-2720763</t>
  </si>
  <si>
    <t>구동욱</t>
  </si>
  <si>
    <t>010-9479-1804</t>
  </si>
  <si>
    <t>대구 달서구 한실로 117 309동703호</t>
  </si>
  <si>
    <t>OPT-2474466-2720760</t>
  </si>
  <si>
    <t>지희</t>
  </si>
  <si>
    <t>010-6359-8751</t>
  </si>
  <si>
    <t>경기 파주시 하우고개길 183 104-101</t>
  </si>
  <si>
    <t>OPT-2474457-2720749</t>
  </si>
  <si>
    <t>김동길</t>
  </si>
  <si>
    <t>010-9919-7804</t>
  </si>
  <si>
    <t>대구광역시 동구 금강로16길 17-8 (신서동) 201호</t>
  </si>
  <si>
    <t>OPT-2474448-2720740</t>
  </si>
  <si>
    <t>예지</t>
  </si>
  <si>
    <t>010-4321-4906</t>
  </si>
  <si>
    <t>충남 천안시 서북구 오성8길 8 코지빌 403호</t>
  </si>
  <si>
    <t>OPT-2474438-2720728</t>
  </si>
  <si>
    <t>고종희</t>
  </si>
  <si>
    <t>010-3266-0597</t>
  </si>
  <si>
    <t>서울특별시 은평구 통일로 796 (불광동, 북한산 힐스테이트7차) 108동 202호</t>
  </si>
  <si>
    <t>OPT-2474427-2720716</t>
  </si>
  <si>
    <t>김진수</t>
  </si>
  <si>
    <t>010-4145-7149</t>
  </si>
  <si>
    <t>충남 보령시 명천로 106 105동 905호</t>
  </si>
  <si>
    <t>OPT-2474425-2720714</t>
  </si>
  <si>
    <t>김승환</t>
  </si>
  <si>
    <t>010-7920-5186</t>
  </si>
  <si>
    <t>엄순덕</t>
  </si>
  <si>
    <t>010-7702-2826</t>
  </si>
  <si>
    <t>강원특별자치도 원주시 지정면 조엄로 391 130동 1402호</t>
  </si>
  <si>
    <t>OPT-2474423-2720712</t>
  </si>
  <si>
    <t>신정민</t>
  </si>
  <si>
    <t>010-8918-6118</t>
  </si>
  <si>
    <t>jmin</t>
  </si>
  <si>
    <t>경기 성남시 분당구 판교대장로5길 58 1107동 1301호</t>
  </si>
  <si>
    <t>OPT-2474421-2720710</t>
  </si>
  <si>
    <t>황인아</t>
  </si>
  <si>
    <t>010-9107-3089</t>
  </si>
  <si>
    <t>서울 마포구 상암산로1길 92 701동 701호</t>
  </si>
  <si>
    <t>OPT-2474418-2720707</t>
  </si>
  <si>
    <t>김호종</t>
  </si>
  <si>
    <t>010-4611-1343</t>
  </si>
  <si>
    <t>경기도 용인시 수지구 손곡로 67 (동천동, 수진마을 우미 이노스빌) 301-106</t>
  </si>
  <si>
    <t>OPT-2474417-2720706</t>
  </si>
  <si>
    <t>김교욱</t>
  </si>
  <si>
    <t>010-9402-9909</t>
  </si>
  <si>
    <t>경기 용인시 수지구 동천로153번길 7 1102동 602호</t>
  </si>
  <si>
    <t>OPT-2474412-2720701</t>
  </si>
  <si>
    <t>문효진</t>
  </si>
  <si>
    <t>010-3382-1494</t>
  </si>
  <si>
    <t>서울 강동구 고덕로 333 118동 2102호</t>
  </si>
  <si>
    <t>문앞 배송후 문자부탁드립니다</t>
  </si>
  <si>
    <t>OPT-2474407-2720696</t>
  </si>
  <si>
    <t>Yumi Chun</t>
  </si>
  <si>
    <t>010-9011-3805</t>
  </si>
  <si>
    <t>경기 용인시 수지구 용구대로 2720 105동 1206호</t>
  </si>
  <si>
    <t>OPT-2474405-2720694</t>
  </si>
  <si>
    <t>임국찬</t>
  </si>
  <si>
    <t>010-5503-6926</t>
  </si>
  <si>
    <t>박순자</t>
  </si>
  <si>
    <t>전남 함평군 학교면 선암길 28-8 집앞</t>
  </si>
  <si>
    <t>대문 안쪽 집앞에 부탁드립니다</t>
  </si>
  <si>
    <t>OPT-2474398-2720685</t>
  </si>
  <si>
    <t>친절한 재무코치 희순</t>
  </si>
  <si>
    <t>010-9346-2780</t>
  </si>
  <si>
    <t>부산 수영구 광안해변로307번길 37 101호</t>
  </si>
  <si>
    <t>현관문안쪽두세요</t>
  </si>
  <si>
    <t>OPT-2474395-2720682</t>
  </si>
  <si>
    <t>코코넛</t>
  </si>
  <si>
    <t>010-7531-0337</t>
  </si>
  <si>
    <t>서울특별시 송파구 위례송파로 123 (거여동, 포레나송파) 1707동 603호</t>
  </si>
  <si>
    <t>드라이스 아이스 빵빵하게 부탁드립니다.</t>
  </si>
  <si>
    <t>OPT-2474394-2720681</t>
  </si>
  <si>
    <t>조종원</t>
  </si>
  <si>
    <t>010-3837-3626</t>
  </si>
  <si>
    <t>경남 양산시 동면 금오16길 65 경남 양산시 동면 금오16길65,106동2401호(남양산이편한세상1차)</t>
  </si>
  <si>
    <t>OPT-2474387-2720672</t>
  </si>
  <si>
    <t>최수연</t>
  </si>
  <si>
    <t>010-9984-1481</t>
  </si>
  <si>
    <t>서울 성북구 서경로 28 102동 1001호</t>
  </si>
  <si>
    <t>OPT-2474385-2720670</t>
  </si>
  <si>
    <t>Harry”</t>
  </si>
  <si>
    <t>010-8868-1996</t>
  </si>
  <si>
    <t>경기 성남시 분당구 판교백현로 38 101동 1201호</t>
  </si>
  <si>
    <t>OPT-2474381-2720665</t>
  </si>
  <si>
    <t>박진혁</t>
  </si>
  <si>
    <t>010-9158-3106</t>
  </si>
  <si>
    <t>경기 수원시 영통구 광교호수공원로 277 110동 4603호</t>
  </si>
  <si>
    <t>OPT-2474377-2720661</t>
  </si>
  <si>
    <t>구자봉</t>
  </si>
  <si>
    <t>010-3067-1884</t>
  </si>
  <si>
    <t>서울 강동구 고덕로 360 아르테온 아파트 323동705호</t>
  </si>
  <si>
    <t>아르테온 아파트 323동705호</t>
  </si>
  <si>
    <t>OPT-2474376-2720660</t>
  </si>
  <si>
    <t>이명열</t>
  </si>
  <si>
    <t>010-2730-5221</t>
  </si>
  <si>
    <t>명열</t>
  </si>
  <si>
    <t>경기 용인시 수지구 동천로135번길 21 1310-802</t>
  </si>
  <si>
    <t>OPT-2474370-2720653</t>
  </si>
  <si>
    <t>장효숙</t>
  </si>
  <si>
    <t>010-4733-0806</t>
  </si>
  <si>
    <t>장석경</t>
  </si>
  <si>
    <t>010-8419-0367</t>
  </si>
  <si>
    <t>제주특별자치도 제주시 과원로 11 부영2차 204동 910호</t>
  </si>
  <si>
    <t>OPT-2474362-2720644</t>
  </si>
  <si>
    <t>Jin 김현진</t>
  </si>
  <si>
    <t>010-4880-9223</t>
  </si>
  <si>
    <t>서울 서초구 남부순환로 2311-12 105-1901(방배래미안아트힐아파트)</t>
  </si>
  <si>
    <t>OPT-2474361-2720643</t>
  </si>
  <si>
    <t>단빈 송병선</t>
  </si>
  <si>
    <t>010-5360-4696</t>
  </si>
  <si>
    <t>송병선</t>
  </si>
  <si>
    <t>경기 부천시 원미구 부흥로 102 한아름한국아파트 1538동 103호</t>
  </si>
  <si>
    <t>OPT-2474355-2720635</t>
  </si>
  <si>
    <t>Jeeyoung</t>
  </si>
  <si>
    <t>010-9097-7084</t>
  </si>
  <si>
    <t>경기 의왕시 내손중앙로 11 1110-2504</t>
  </si>
  <si>
    <t>OPT-2474350-2720629</t>
  </si>
  <si>
    <t>제민맘짱</t>
  </si>
  <si>
    <t>010-4427-5129</t>
  </si>
  <si>
    <t>충청남도 천안시 서북구 한들3로 100 (백석동, 백석마을아이파크아파트) 114동 402호</t>
  </si>
  <si>
    <t>OPT-2474349-2720628</t>
  </si>
  <si>
    <t>chungyoul</t>
  </si>
  <si>
    <t>010-6360-8033</t>
  </si>
  <si>
    <t>서울특별시 마포구 월드컵로 338 (상암동, 상암월드컵파크 3단지) 309동301호</t>
  </si>
  <si>
    <t>OPT-2474341-2720620</t>
  </si>
  <si>
    <t>곽규환</t>
  </si>
  <si>
    <t>010-6389-1775</t>
  </si>
  <si>
    <t>경기도 성남시 분당구 판교대장로5길 20 (대장동, 판교 풍경채 어바니티 5단지) 502동 1003호</t>
  </si>
  <si>
    <t>OPT-2474340-2720619</t>
  </si>
  <si>
    <t>손민기(칡소)</t>
  </si>
  <si>
    <t>010-5217-7255</t>
  </si>
  <si>
    <t>경기 성남시 수정구 수정로 2 103동 706호(수진동,삼정그린뷰아파트)</t>
  </si>
  <si>
    <t>OPT-2474338-2720617</t>
  </si>
  <si>
    <t>최복식</t>
  </si>
  <si>
    <t>010-3198-2621</t>
  </si>
  <si>
    <t>부산광역시 기장군 정관읍 정관5로 12 (동원로얄듀크2차아파트) 214동 1705호</t>
  </si>
  <si>
    <t>OPT-2474337-2720616</t>
  </si>
  <si>
    <t>jihyun</t>
  </si>
  <si>
    <t>010-8501-9350</t>
  </si>
  <si>
    <t>부산광역시 동래구 명륜로 170 (명륜동, 명륜아이파크1단지) 107동 802호</t>
  </si>
  <si>
    <t>OPT-2474335-2720614</t>
  </si>
  <si>
    <t>이순분</t>
  </si>
  <si>
    <t>010-7135-4709</t>
  </si>
  <si>
    <t>인천광역시 부평구 아트센터로 118 (십정동, 동암신동아아파트) 신동아104동205호</t>
  </si>
  <si>
    <t>OPT-2474334-2720613</t>
  </si>
  <si>
    <t>시냇가에 심은 나무처럼~</t>
  </si>
  <si>
    <t>010-3412-0497</t>
  </si>
  <si>
    <t>서울 동작구 성대로 164 상도푸르지오클라베뉴  106동905호</t>
  </si>
  <si>
    <t>OPT-2474332-2720611</t>
  </si>
  <si>
    <t>WJ</t>
  </si>
  <si>
    <t>010-8602-5630</t>
  </si>
  <si>
    <t>경기 고양시 일산서구 킨텍스로 240 106동 2201호</t>
  </si>
  <si>
    <t>OPT-2474319-2720594</t>
  </si>
  <si>
    <t>이정희martha</t>
  </si>
  <si>
    <t>010-4538-2572</t>
  </si>
  <si>
    <t>인천광역시 강화군 강화읍 강화대로 96-1 (강화씨앤블루빌) 2동 18호</t>
  </si>
  <si>
    <t>삼프로 홍보 보고 주문해요</t>
  </si>
  <si>
    <t>OPT-2474316-2720591</t>
  </si>
  <si>
    <t>김지혜 / jumjum__2</t>
  </si>
  <si>
    <t>010-4274-7225</t>
  </si>
  <si>
    <t>경기 의왕시 내손순환로 8 202동 403호</t>
  </si>
  <si>
    <t>OPT-2474314-2720589</t>
  </si>
  <si>
    <t>김은영</t>
  </si>
  <si>
    <t>010-4991-3103</t>
  </si>
  <si>
    <t>경남 김해시 장유로 500 103동3603호</t>
  </si>
  <si>
    <t>OPT-2474311-2720586</t>
  </si>
  <si>
    <t>노영신</t>
  </si>
  <si>
    <t>010-3371-3214</t>
  </si>
  <si>
    <t>서울 강서구 강서로56나길 37 307동 603호</t>
  </si>
  <si>
    <t>OPT-2474308-2720583</t>
  </si>
  <si>
    <t>박보경</t>
  </si>
  <si>
    <t>010-4180-0848</t>
  </si>
  <si>
    <t>대전 유성구 지족로190번길 36 102동604호</t>
  </si>
  <si>
    <t>OPT-2474304-2720579</t>
  </si>
  <si>
    <t>신혜순</t>
  </si>
  <si>
    <t>010-6401-4459</t>
  </si>
  <si>
    <t>경기도 수원시 영통구 영통로200번길 112 (망포동, 영통 SK VIEW) 102동 1503호</t>
  </si>
  <si>
    <t>OPT-2474303-2720578</t>
  </si>
  <si>
    <t>곽민지(Hailey)</t>
  </si>
  <si>
    <t>010-8945-6652</t>
  </si>
  <si>
    <t>곽판수님</t>
  </si>
  <si>
    <t>010-4555-7150</t>
  </si>
  <si>
    <t>부산 사하구 다대로 473 113-405</t>
  </si>
  <si>
    <t>문앞에 놔주세요</t>
  </si>
  <si>
    <t>OPT-2474298-2720573</t>
  </si>
  <si>
    <t>박정훈</t>
  </si>
  <si>
    <t>010-6733-7558</t>
  </si>
  <si>
    <t>인천광역시 남동구 구월로60번길 5 (간석동) 이한팔라티움 301호</t>
  </si>
  <si>
    <t>OPT-2474293-2720567</t>
  </si>
  <si>
    <t>경기 성남시 분당구 수내로 148 114-3002</t>
  </si>
  <si>
    <t>OPT-2474287-2720559</t>
  </si>
  <si>
    <t>민이</t>
  </si>
  <si>
    <t>010-5758-6251</t>
  </si>
  <si>
    <t>김종민</t>
  </si>
  <si>
    <t>충북 청주시 청원구 오창읍 오창중앙로 105 908동 804호</t>
  </si>
  <si>
    <t>OPT-2474286-2720558</t>
  </si>
  <si>
    <t>오희웅</t>
  </si>
  <si>
    <t>010-2338-7174</t>
  </si>
  <si>
    <t>010-5529-7174</t>
  </si>
  <si>
    <t>경기 부천시 소사구 은성로37번길 61 3층</t>
  </si>
  <si>
    <t>3층 안쪽에 넣어주세요</t>
  </si>
  <si>
    <t>OPT-2474282-2720554</t>
  </si>
  <si>
    <t>류임식</t>
  </si>
  <si>
    <t>010-9038-2398</t>
  </si>
  <si>
    <t>강동현</t>
  </si>
  <si>
    <t>010-9302-2134</t>
  </si>
  <si>
    <t>부산 강서구 명지오션시티1로 155 105동 202호</t>
  </si>
  <si>
    <t>OPT-2474281-2720553</t>
  </si>
  <si>
    <t>김한영</t>
  </si>
  <si>
    <t>010-9947-6428</t>
  </si>
  <si>
    <t>서울특별시 노원구 덕릉로77길 5 (중계동, 벽산아파트) 101동 1403호</t>
  </si>
  <si>
    <t>OPT-2474276-2720546</t>
  </si>
  <si>
    <t>유정희</t>
  </si>
  <si>
    <t>010-3220-0063</t>
  </si>
  <si>
    <t>경기도 양주시 옥정서로1길 60 (옥정동, e편한세상 옥정 더퍼스트) 1501-104</t>
  </si>
  <si>
    <t>OPT-2474274-2720544</t>
  </si>
  <si>
    <t>여영찬</t>
  </si>
  <si>
    <t>010-4880-0685</t>
  </si>
  <si>
    <t>서울특별시 강남구 논현로 209 (도곡동, 경남아파트) 104동 105호</t>
  </si>
  <si>
    <t>OPT-2474273-2720543</t>
  </si>
  <si>
    <t>강유정</t>
  </si>
  <si>
    <t>010-5094-7257</t>
  </si>
  <si>
    <t>부산 사하구 다대로 381 삼환2차 101동 1402호</t>
  </si>
  <si>
    <t>배송전 안내문자 요청드림</t>
  </si>
  <si>
    <t>OPT-2474272-2720542</t>
  </si>
  <si>
    <t>성영아</t>
  </si>
  <si>
    <t>010-4691-0932</t>
  </si>
  <si>
    <t>서울 동대문구 답십리로 130 304동902호</t>
  </si>
  <si>
    <t>OPT-2474270-2720540</t>
  </si>
  <si>
    <t>차은경</t>
  </si>
  <si>
    <t>010-4118-3866</t>
  </si>
  <si>
    <t>서울 서초구 동산로10길 13 이설하이츠빌라 203호</t>
  </si>
  <si>
    <t>OPT-2474269-2720539</t>
  </si>
  <si>
    <t>이현호</t>
  </si>
  <si>
    <t>010-8939-0299</t>
  </si>
  <si>
    <t>이현정</t>
  </si>
  <si>
    <t>010-3699-7964</t>
  </si>
  <si>
    <t>경기 평택시 안중읍 안현로서7길 9 201동 1301호</t>
  </si>
  <si>
    <t>OPT-2474268-2720538</t>
  </si>
  <si>
    <t>선화</t>
  </si>
  <si>
    <t>010-7544-5398</t>
  </si>
  <si>
    <t>인천 중구 흰바위로 249 239-802</t>
  </si>
  <si>
    <t>OPT-2474266-2720536</t>
  </si>
  <si>
    <t>조영훈</t>
  </si>
  <si>
    <t>010-9088-8007</t>
  </si>
  <si>
    <t>경기 용인시 처인구 명지로116번길 9-70 명지엘펜하임 103-604</t>
  </si>
  <si>
    <t>문앞, 전화</t>
  </si>
  <si>
    <t>OPT-2474263-2720533</t>
  </si>
  <si>
    <t>서울 성북구 솔샘로 120 122동 604호</t>
  </si>
  <si>
    <t>OPT-2474262-2720532</t>
  </si>
  <si>
    <t>김수이</t>
  </si>
  <si>
    <t>010-7600-4839</t>
  </si>
  <si>
    <t>경기 화성시 10용사2길 38 301</t>
  </si>
  <si>
    <t>OPT-2474259-2720529</t>
  </si>
  <si>
    <t>임용식</t>
  </si>
  <si>
    <t>010-3459-3122</t>
  </si>
  <si>
    <t>경기 수원시 영통구 봉영로 1620 102동 2301호</t>
  </si>
  <si>
    <t>문앞에 놓아주시고 문자주세요</t>
  </si>
  <si>
    <t>OPT-2474257-2720527</t>
  </si>
  <si>
    <t>권우석</t>
  </si>
  <si>
    <t>010-2692-8622</t>
  </si>
  <si>
    <t>추정미</t>
  </si>
  <si>
    <t>010-2520-6161</t>
  </si>
  <si>
    <t>서울 서초구 사평대로 142 신반포궁전아파트 1동306호</t>
  </si>
  <si>
    <t>OPT-2474252-2720522</t>
  </si>
  <si>
    <t>김연희</t>
  </si>
  <si>
    <t>010-4415-1588</t>
  </si>
  <si>
    <t>인천광역시 서구 이음2로 90 (당하동, 우미린 파크뷰 2단지) 201동 2304호</t>
  </si>
  <si>
    <t>OPT-2474251-2720521</t>
  </si>
  <si>
    <t>정희</t>
  </si>
  <si>
    <t>010-7444-9867</t>
  </si>
  <si>
    <t>충남 당진시 송악읍 틀모시로 768-38 305동301호</t>
  </si>
  <si>
    <t>OPT-2474250-2720520</t>
  </si>
  <si>
    <t>장하선</t>
  </si>
  <si>
    <t>010-2263-4795</t>
  </si>
  <si>
    <t>경기 평택시 상서재로 80 506-2504</t>
  </si>
  <si>
    <t>OPT-2474248-2720518</t>
  </si>
  <si>
    <t>진경안 (징카)</t>
  </si>
  <si>
    <t>010-2609-8728</t>
  </si>
  <si>
    <t>서울 강남구 역삼로 306 105-803</t>
  </si>
  <si>
    <t>OPT-2474246-2720516</t>
  </si>
  <si>
    <t>신현준</t>
  </si>
  <si>
    <t>010-7412-9077</t>
  </si>
  <si>
    <t>경기 성남시 수정구 수정로170번길 20-8 1층</t>
  </si>
  <si>
    <t>OPT-2474245-2720515</t>
  </si>
  <si>
    <t>전혜진</t>
  </si>
  <si>
    <t>010-3151-0372</t>
  </si>
  <si>
    <t>서울특별시 종로구 경교장길 35 (평동, 경희궁자이 3단지) 303동1506호</t>
  </si>
  <si>
    <t>OPT-2474240-2720510</t>
  </si>
  <si>
    <t>jung</t>
  </si>
  <si>
    <t>010-9181-5414</t>
  </si>
  <si>
    <t>임정</t>
  </si>
  <si>
    <t>경기 광명시 양지로 16 광명역 써밋103-604</t>
  </si>
  <si>
    <t>OPT-2474234-2720503</t>
  </si>
  <si>
    <t>홍성호</t>
  </si>
  <si>
    <t>010-8995-0281</t>
  </si>
  <si>
    <t>경기도 안산시 상록구 해양5로 17 (사동, 그랑시티자이 2차) 203동 3003호</t>
  </si>
  <si>
    <t>OPT-2474233-2720502</t>
  </si>
  <si>
    <t>레오</t>
  </si>
  <si>
    <t>010-3129-3165</t>
  </si>
  <si>
    <t>서울특별시 강남구 선릉로 120 (대치동, 개포1,2차우성아파트) 7동 1503호</t>
  </si>
  <si>
    <t>OPT-2474232-2720501</t>
  </si>
  <si>
    <t>류경아</t>
  </si>
  <si>
    <t>010-9301-3583</t>
  </si>
  <si>
    <t>경남 창녕군 창녕읍 조산서재골로 69-3 104동403호010  9301  3583</t>
  </si>
  <si>
    <t>배송 전 안내문자주세요</t>
  </si>
  <si>
    <t>OPT-2474230-2720499</t>
  </si>
  <si>
    <t>허경란</t>
  </si>
  <si>
    <t>010-6567-4263</t>
  </si>
  <si>
    <t>전북특별자치도 전주시 완산구 송정로 42-8 1층</t>
  </si>
  <si>
    <t>대문안 1층 계단위에 올려주세요</t>
  </si>
  <si>
    <t>OPT-2474229-2720498</t>
  </si>
  <si>
    <t>김미자</t>
  </si>
  <si>
    <t>010-4713-2179</t>
  </si>
  <si>
    <t>허원</t>
  </si>
  <si>
    <t>010-5536-3020</t>
  </si>
  <si>
    <t>경남 김해시 율하5로 46 109-1204</t>
  </si>
  <si>
    <t>OPT-2474228-2720497</t>
  </si>
  <si>
    <t>종윤</t>
  </si>
  <si>
    <t>010-3565-6861</t>
  </si>
  <si>
    <t>충남 아산시 배방읍 설화고길2번길 3-7 2층</t>
  </si>
  <si>
    <t>배송전 연락주세요</t>
  </si>
  <si>
    <t>OPT-2474227-2720496</t>
  </si>
  <si>
    <t>이현우</t>
  </si>
  <si>
    <t>010-4507-9876</t>
  </si>
  <si>
    <t>경남 하동군 금성면 회목길 58 103동 502호</t>
  </si>
  <si>
    <t>대문앞에 놓아주세요</t>
  </si>
  <si>
    <t>OPT-2474226-2720495</t>
  </si>
  <si>
    <t>김봉여</t>
  </si>
  <si>
    <t>010-6789-8686</t>
  </si>
  <si>
    <t>서울 은평구 연서로27길 11-9 타미 에코빌 602호</t>
  </si>
  <si>
    <t>문앞에</t>
  </si>
  <si>
    <t>OPT-2474224-2720493</t>
  </si>
  <si>
    <t>JEONG 근자</t>
  </si>
  <si>
    <t>010-5467-2931</t>
  </si>
  <si>
    <t>경기 수원시 영통구 매영로310번길 27 651동902호</t>
  </si>
  <si>
    <t>OPT-2474222-2720490</t>
  </si>
  <si>
    <t>(예정)</t>
  </si>
  <si>
    <t>010-4295-3200</t>
  </si>
  <si>
    <t>경기 화성시 동탄구 동탄기흥로353번길 76 1631동 207호</t>
  </si>
  <si>
    <t>OPT-2474220-2720488</t>
  </si>
  <si>
    <t>박미정</t>
  </si>
  <si>
    <t>010-2300-5662</t>
  </si>
  <si>
    <t>010-4313-5662</t>
  </si>
  <si>
    <t>경기 고양시 덕양구 오금2로 26 201동402호</t>
  </si>
  <si>
    <t>OPT-2474219-2720487</t>
  </si>
  <si>
    <t>이대영</t>
  </si>
  <si>
    <t>010-3043-1632</t>
  </si>
  <si>
    <t>경기 수원시 장안구 금당로39번길 34 211동1403호</t>
  </si>
  <si>
    <t>OPT-2474218-2720486</t>
  </si>
  <si>
    <t>쭈니향기(현자 김)</t>
  </si>
  <si>
    <t>010-4757-8078</t>
  </si>
  <si>
    <t>경기 용인시 수지구 성복2로 158 605동202호(lg빌리지6차)</t>
  </si>
  <si>
    <t>OPT-2474217-2720485</t>
  </si>
  <si>
    <t>김소정</t>
  </si>
  <si>
    <t>010-8872-3470</t>
  </si>
  <si>
    <t>서울 강남구 광평로10길 15 101-202</t>
  </si>
  <si>
    <t>OPT-2474215-2720483</t>
  </si>
  <si>
    <t>차은영</t>
  </si>
  <si>
    <t>010-2358-8874</t>
  </si>
  <si>
    <t>인천광역시 계양구 계산새로 108 (계산동, 은행마을강북.삼보아파트) 403동1502호</t>
  </si>
  <si>
    <t>문앞배송</t>
  </si>
  <si>
    <t>OPT-2474214-2720482</t>
  </si>
  <si>
    <t>임희규</t>
  </si>
  <si>
    <t>010-2551-3537</t>
  </si>
  <si>
    <t>서울특별시 송파구 올림픽로 99 (잠실동, 잠실엘스) 129동 1601호</t>
  </si>
  <si>
    <t>OPT-2474212-2720480</t>
  </si>
  <si>
    <t>김범준</t>
  </si>
  <si>
    <t>010-5484-9644</t>
  </si>
  <si>
    <t>Bumjoon Kim</t>
  </si>
  <si>
    <t>서울 은평구 수색로 200 103동 303호</t>
  </si>
  <si>
    <t>OPT-2474210-2720478</t>
  </si>
  <si>
    <t>최희</t>
  </si>
  <si>
    <t>010-5156-6560</t>
  </si>
  <si>
    <t>서울특별시 동작구 장승배기로11가길 11 (상도동, 상도파크자이) 101-1403</t>
  </si>
  <si>
    <t>OPT-2474211-2720479</t>
  </si>
  <si>
    <t>전명경</t>
  </si>
  <si>
    <t>010-5556-5716</t>
  </si>
  <si>
    <t>경기 고양시 덕양구 화중로 219 118동 404호</t>
  </si>
  <si>
    <t>감사합니다</t>
  </si>
  <si>
    <t>OPT-2474206-2720473</t>
  </si>
  <si>
    <t>김동민</t>
  </si>
  <si>
    <t>010-5037-4286</t>
  </si>
  <si>
    <t>김송제</t>
  </si>
  <si>
    <t>010-9049-0476</t>
  </si>
  <si>
    <t>경기 광주시 태봉로13번길 6 상가2층 미진세탁</t>
  </si>
  <si>
    <t>맛있게드세요!(경덕&amp;동민)</t>
  </si>
  <si>
    <t>OPT-2474205-2720472</t>
  </si>
  <si>
    <t>이여빈</t>
  </si>
  <si>
    <t>010-8863-6984</t>
  </si>
  <si>
    <t>전북특별자치도 전주시 완산구 홍산로 77 211동204호(우미린더프레스티지)</t>
  </si>
  <si>
    <t>문앞에 놓아주세요</t>
  </si>
  <si>
    <t>OPT-2474202-2720469</t>
  </si>
  <si>
    <t>장성원</t>
  </si>
  <si>
    <t>010-3481-3465</t>
  </si>
  <si>
    <t>010-2593-0906</t>
  </si>
  <si>
    <t>전남 목포시 산정로 165-1 모락모락떡집 4층</t>
  </si>
  <si>
    <t>4층 문 앞에 부탁드립니다</t>
  </si>
  <si>
    <t>OPT-2474200-2720467</t>
  </si>
  <si>
    <t>오용석</t>
  </si>
  <si>
    <t>010-7191-3771</t>
  </si>
  <si>
    <t>경기 남양주시 다산중앙로82번길 12 5310-1703</t>
  </si>
  <si>
    <t>OPT-2474199-2720466</t>
  </si>
  <si>
    <t>김현진</t>
  </si>
  <si>
    <t>010-4703-1188</t>
  </si>
  <si>
    <t>경기 포천시 내촌면 포천로 63-7 가운데 큰창고</t>
  </si>
  <si>
    <t>주말은 사람 없어요.</t>
  </si>
  <si>
    <t>OPT-2474197-2720464</t>
  </si>
  <si>
    <t>이은희</t>
  </si>
  <si>
    <t>010-6551-4162</t>
  </si>
  <si>
    <t>경기 하남시 미사강변대로 270 707-1803</t>
  </si>
  <si>
    <t>OPT-2474196-2720463</t>
  </si>
  <si>
    <t>33년만의 80승</t>
  </si>
  <si>
    <t>010-3318-2976</t>
  </si>
  <si>
    <t>류주현</t>
  </si>
  <si>
    <t>인천광역시 연수구 송도과학로51번길 136 (송도동, 송도 캐슬&amp;amp;해모로) 210-102</t>
  </si>
  <si>
    <t>OPT-2474195-2720462</t>
  </si>
  <si>
    <t>이순덕</t>
  </si>
  <si>
    <t>010-9185-2905</t>
  </si>
  <si>
    <t>서울특별시 강동구 고덕로 131 (암사동, 강동 롯데캐슬퍼스트아파트) 136동1701호</t>
  </si>
  <si>
    <t>OPT-2474192-2720459</t>
  </si>
  <si>
    <t>배수정</t>
  </si>
  <si>
    <t>010-7108-3332</t>
  </si>
  <si>
    <t>서울특별시 중랑구 망우로 223-8 (중화동, 미영리치타운102) 1401호</t>
  </si>
  <si>
    <t>OPT-2474193-2720460</t>
  </si>
  <si>
    <t>김경은</t>
  </si>
  <si>
    <t>010-3273-9870</t>
  </si>
  <si>
    <t>강원특별자치도 춘천시 지석로 67 201동 501호</t>
  </si>
  <si>
    <t>OPT-2474191-2720458</t>
  </si>
  <si>
    <t>이정민</t>
  </si>
  <si>
    <t>010-9271-5244</t>
  </si>
  <si>
    <t>경기도 남양주시 다산중앙로146번길 7 (다산동, 다산롯데캐슬) 2206-2503호</t>
  </si>
  <si>
    <t>OPT-2474190-2720457</t>
  </si>
  <si>
    <t>소잉랩 베로 구미애</t>
  </si>
  <si>
    <t>010-7475-5610</t>
  </si>
  <si>
    <t>서울 동작구 동작대로29길 91 208동동 706호</t>
  </si>
  <si>
    <t>문앞에 놓아주세요. 감사합니다.</t>
  </si>
  <si>
    <t>OPT-2474186-2720453</t>
  </si>
  <si>
    <t>이상현</t>
  </si>
  <si>
    <t>010-8171-3411</t>
  </si>
  <si>
    <t>경기도 용인시 수지구 상현로 30-10 (상현동, 광교상떼빌파크뷰) 4808-201</t>
  </si>
  <si>
    <t>OPT-2474187-2720454</t>
  </si>
  <si>
    <t>권수경</t>
  </si>
  <si>
    <t>010-5280-2553</t>
  </si>
  <si>
    <t>경남 김해시 대청로210번길 13 904동201호</t>
  </si>
  <si>
    <t>OPT-2474185-2720452</t>
  </si>
  <si>
    <t>김영회</t>
  </si>
  <si>
    <t>010-5478-1299</t>
  </si>
  <si>
    <t>서울특별시 서대문구 통일로 395 (홍제동, 홍제 센트럴 IPARK) 108/1601</t>
  </si>
  <si>
    <t>OPT-2474184-2720451</t>
  </si>
  <si>
    <t>류문식</t>
  </si>
  <si>
    <t>010-9250-9947</t>
  </si>
  <si>
    <t xml:space="preserve">울산 남구 두왕로34번길 42 104동1502호 </t>
  </si>
  <si>
    <t>OPT-2474183-2720450</t>
  </si>
  <si>
    <t>손호희</t>
  </si>
  <si>
    <t>010-7452-0121</t>
  </si>
  <si>
    <t>손상철</t>
  </si>
  <si>
    <t>010-2560-7715</t>
  </si>
  <si>
    <t>경북 영주시 가흥로 345-27 401동 1101호</t>
  </si>
  <si>
    <t>OPT-2474182-2720449</t>
  </si>
  <si>
    <t>우지안</t>
  </si>
  <si>
    <t>010-8897-7574</t>
  </si>
  <si>
    <t>서울 강남구 밤고개로23길 20-14 102호</t>
  </si>
  <si>
    <t>OPT-2474181-2720448</t>
  </si>
  <si>
    <t>김미애</t>
  </si>
  <si>
    <t>010-6490-1227</t>
  </si>
  <si>
    <t>전북특별자치도 전주시 완산구 장승배기로 398 101동801호</t>
  </si>
  <si>
    <t>부재시 문 앞에</t>
  </si>
  <si>
    <t>OPT-2474179-2720446</t>
  </si>
  <si>
    <t>서영민</t>
  </si>
  <si>
    <t>010-4906-7992</t>
  </si>
  <si>
    <t>경기도 용인시 기흥구 사은로84번길 10 (보라동, 용인 보라 효성해링턴플레이스) 106동701호</t>
  </si>
  <si>
    <t>OPT-2474178-2720445</t>
  </si>
  <si>
    <t>박영미</t>
  </si>
  <si>
    <t>010-3110-2474</t>
  </si>
  <si>
    <t>서울특별시 노원구 노해로 508 (상계동, 상계주공6단지아파트) 618-102호</t>
  </si>
  <si>
    <t>OPT-2474176-2720443</t>
  </si>
  <si>
    <t>임명희</t>
  </si>
  <si>
    <t>010-3226-1378</t>
  </si>
  <si>
    <t>대전 서구 구봉산북로 52 2차 207-303</t>
  </si>
  <si>
    <t>OPT-2474175-2720442</t>
  </si>
  <si>
    <t>정진영</t>
  </si>
  <si>
    <t>010-5564-8600</t>
  </si>
  <si>
    <t>경기 의정부시 시민로179번길 10 203동  501호</t>
  </si>
  <si>
    <t>OPT-2474174-2720441</t>
  </si>
  <si>
    <t>김진희</t>
  </si>
  <si>
    <t>010-8979-0151</t>
  </si>
  <si>
    <t>경기도 성남시 수정구 수정로 319 (신흥동, 산성역포레스티아아파트) 133동805호</t>
  </si>
  <si>
    <t>OPT-2474173-2720440</t>
  </si>
  <si>
    <t>신문우</t>
  </si>
  <si>
    <t>010-3425-2192</t>
  </si>
  <si>
    <t>충북 청주시 청원구 오창읍 오창중앙로 94 807동 1005호</t>
  </si>
  <si>
    <t>OPT-2474171-2720438</t>
  </si>
  <si>
    <t>유익종</t>
  </si>
  <si>
    <t>010-2085-3390</t>
  </si>
  <si>
    <t>대구광역시 달서구 장산남로 33 (용산동, 용산롯데캐슬그랜드) 111동1402</t>
  </si>
  <si>
    <t>OPT-2474170-2720437</t>
  </si>
  <si>
    <t>우경미</t>
  </si>
  <si>
    <t>010-4309-3737</t>
  </si>
  <si>
    <t>인천 부평구 영성중로 16 505동1103호</t>
  </si>
  <si>
    <t>부재시 문앞에두세요</t>
  </si>
  <si>
    <t>OPT-2474166-2720433</t>
  </si>
  <si>
    <t>우연</t>
  </si>
  <si>
    <t>010-6479-0261</t>
  </si>
  <si>
    <t>정우연</t>
  </si>
  <si>
    <t>서울 은평구 갈현로 263 5층</t>
  </si>
  <si>
    <t>문앞에 놓아 주세요</t>
  </si>
  <si>
    <t>OPT-2474164-2720431</t>
  </si>
  <si>
    <t>지현미</t>
  </si>
  <si>
    <t>010-4408-5742</t>
  </si>
  <si>
    <t>충북 충주시 호암수청1로 13 104동 1504호</t>
  </si>
  <si>
    <t>OPT-2474163-2720430</t>
  </si>
  <si>
    <t>홍수오</t>
  </si>
  <si>
    <t>010-4595-6327</t>
  </si>
  <si>
    <t>충남 천안시 서북구 봉서산1길 35 114-102</t>
  </si>
  <si>
    <t>OPT-2474161-2720428</t>
  </si>
  <si>
    <t>백선정</t>
  </si>
  <si>
    <t>010-5000-5266</t>
  </si>
  <si>
    <t>경기도 안양시 만안구 경수대로 1184 (안양동, 디아망) 디아망 1502호</t>
  </si>
  <si>
    <t>현관,  종+2580</t>
  </si>
  <si>
    <t>OPT-2474159-2720426</t>
  </si>
  <si>
    <t>현숙(민정♡연정)</t>
  </si>
  <si>
    <t>010-6327-5437</t>
  </si>
  <si>
    <t>경기도 안양시 동안구 안양천동로 162 (비산동, 비산힐스테이트아파트) 비산힐스테이트 107동1202호</t>
  </si>
  <si>
    <t>OPT-2474158-2720425</t>
  </si>
  <si>
    <t>김갑민</t>
  </si>
  <si>
    <t>010-9447-1354</t>
  </si>
  <si>
    <t>충남 아산시 남부로8번길 46-11 .</t>
  </si>
  <si>
    <t>OPT-2474157-2720424</t>
  </si>
  <si>
    <t>홍현용</t>
  </si>
  <si>
    <t>010-5348-0400</t>
  </si>
  <si>
    <t>경기 화성시 수노을1로 108 306동501호</t>
  </si>
  <si>
    <t>OPT-2474154-2720421</t>
  </si>
  <si>
    <t>이수진</t>
  </si>
  <si>
    <t>010-8992-7590</t>
  </si>
  <si>
    <t>경기도 성남시 분당구 이매로 160 (이매동, 이매동연립주택 베스티아3차) 301동 101호</t>
  </si>
  <si>
    <t>OPT-2474153-2720420</t>
  </si>
  <si>
    <t>김법희</t>
  </si>
  <si>
    <t>010-2656-2491</t>
  </si>
  <si>
    <t>경기 수원시 영통구 태장로36번길 36 201동 2203호</t>
  </si>
  <si>
    <t>OPT-2474152-2720419</t>
  </si>
  <si>
    <t>Amber</t>
  </si>
  <si>
    <t>010-9992-3343</t>
  </si>
  <si>
    <t>충남 아산시 못마루로 139 1006동 2404호</t>
  </si>
  <si>
    <t>OPT-2474151-2720418</t>
  </si>
  <si>
    <t>김상오</t>
  </si>
  <si>
    <t>010-4317-7022</t>
  </si>
  <si>
    <t>충청남도 천안시 서북구 불당13길 2 (불당동) 302호</t>
  </si>
  <si>
    <t>OPT-2474150-2720417</t>
  </si>
  <si>
    <t>고우열</t>
  </si>
  <si>
    <t>010-3427-3509</t>
  </si>
  <si>
    <t>대전 유성구 배울2로 78 612동 1402호</t>
  </si>
  <si>
    <t>OPT-2474149-2720416</t>
  </si>
  <si>
    <t>박윤주</t>
  </si>
  <si>
    <t>010-7133-8869</t>
  </si>
  <si>
    <t>부산 북구 화명신도시로 70 109-2005</t>
  </si>
  <si>
    <t>OPT-2474147-2720414</t>
  </si>
  <si>
    <t>박경희</t>
  </si>
  <si>
    <t>010-2630-1228</t>
  </si>
  <si>
    <t>서울특별시 양천구 목동중앙서로 37 (목동, 목동금호어울림아파트) 105동104호</t>
  </si>
  <si>
    <t>OPT-2474146-2720413</t>
  </si>
  <si>
    <t>Kim Kwanghan</t>
  </si>
  <si>
    <t>010-8863-1686</t>
  </si>
  <si>
    <t>경기도 용인시 기흥구 언남로29번길 34 (언남동, 더포레타운하우스) 104동402호</t>
  </si>
  <si>
    <t>OPT-2474145-2720412</t>
  </si>
  <si>
    <t>박정섭</t>
  </si>
  <si>
    <t>010-3587-8023</t>
  </si>
  <si>
    <t>부산 해운대구 대천로103번길 47 대림1차 108동 603호</t>
  </si>
  <si>
    <t>OPT-2474144-2720411</t>
  </si>
  <si>
    <t>김미연</t>
  </si>
  <si>
    <t>010-8373-0665</t>
  </si>
  <si>
    <t>서울특별시 강남구 논현로154길 12 (신사동, 압구정 아인빌) 102호</t>
  </si>
  <si>
    <t>OPT-2474143-2720410</t>
  </si>
  <si>
    <t>임해창</t>
  </si>
  <si>
    <t>010-9019-3195</t>
  </si>
  <si>
    <t>서울특별시 송파구 올림픽로 435 (신천동, 파크리오) 223동 501호</t>
  </si>
  <si>
    <t>OPT-2474142-2720409</t>
  </si>
  <si>
    <t>주일이당!</t>
  </si>
  <si>
    <t>010-5309-5340</t>
  </si>
  <si>
    <t>경상북도 안동시 송현길 154-16 (송현동, 송현2차삼성명가타운) 202동 405호</t>
  </si>
  <si>
    <t>OPT-2474140-2720407</t>
  </si>
  <si>
    <t>신유파파</t>
  </si>
  <si>
    <t>010-9530-6942</t>
  </si>
  <si>
    <t>서울 용산구 청파로 213 A동 1302호</t>
  </si>
  <si>
    <t>OPT-2474139-2720406</t>
  </si>
  <si>
    <t>김정현</t>
  </si>
  <si>
    <t>010-3442-3310</t>
  </si>
  <si>
    <t>인천 서구 이음6로 33 3203-802</t>
  </si>
  <si>
    <t>OPT-2474138-2720405</t>
  </si>
  <si>
    <t>이경미</t>
  </si>
  <si>
    <t>010-4247-9396</t>
  </si>
  <si>
    <t>부산광역시 부산진구 진남로 455 (전포동, e편한세상 시민공원 1단지) 113동 402호</t>
  </si>
  <si>
    <t>OPT-2474137-2720404</t>
  </si>
  <si>
    <t>전지현❤️</t>
  </si>
  <si>
    <t>010-7721-6531</t>
  </si>
  <si>
    <t>부산광역시 동래구 안남로 79 (안락동, 강변뜨란채) 106동 204호</t>
  </si>
  <si>
    <t>OPT-2474136-2720403</t>
  </si>
  <si>
    <t>박선혜</t>
  </si>
  <si>
    <t>010-2848-0070</t>
  </si>
  <si>
    <t>010-5508-7504</t>
  </si>
  <si>
    <t>울산 남구 남부순환도로29번길 36 고운말언어치료실</t>
  </si>
  <si>
    <t>OPT-2474127-2720393</t>
  </si>
  <si>
    <t>이성계</t>
  </si>
  <si>
    <t>010-9371-9979</t>
  </si>
  <si>
    <t>인천 부평구 부영로166번길 16 창보아파트 101동 1706호</t>
  </si>
  <si>
    <t>OPT-2474119-2720385</t>
  </si>
  <si>
    <t>고국진</t>
  </si>
  <si>
    <t>010-3639-5450</t>
  </si>
  <si>
    <t>제주특별자치도 제주시 아연로 51 (연동) 파인그로브 101동 402호</t>
  </si>
  <si>
    <t>OPT-2474109-2720374</t>
  </si>
  <si>
    <t>오인주</t>
  </si>
  <si>
    <t>010-5557-1492</t>
  </si>
  <si>
    <t>송춘자님</t>
  </si>
  <si>
    <t>010-5612-8933</t>
  </si>
  <si>
    <t>전북특별자치도 익산시 동서로16길 13-10 동서로 16길 13-1</t>
  </si>
  <si>
    <t>OPT-2474107-2720372</t>
  </si>
  <si>
    <t>배재이</t>
  </si>
  <si>
    <t>010-3717-7025</t>
  </si>
  <si>
    <t>경기 시흥시 배곧3로 27-7 713-404</t>
  </si>
  <si>
    <t>OPT-2474103-2720368</t>
  </si>
  <si>
    <t>최숙현</t>
  </si>
  <si>
    <t>010-2840-1956</t>
  </si>
  <si>
    <t>부산 동구 충장대로 160 협성마리나 A동6001호</t>
  </si>
  <si>
    <t>OPT-2474102-2720367</t>
  </si>
  <si>
    <t>박윤영</t>
  </si>
  <si>
    <t>010-9719-9942</t>
  </si>
  <si>
    <t>경기도 광주시 행정타운로69번길 36-6 (송정동, 송정낙원 포레시티) 103동102호</t>
  </si>
  <si>
    <t>OPT-2474094-2720359</t>
  </si>
  <si>
    <t>ro</t>
  </si>
  <si>
    <t>010-9105-7514</t>
  </si>
  <si>
    <t>경기 김포시 고촌읍 상미1로 7 208-301</t>
  </si>
  <si>
    <t>OPT-2474092-2720357</t>
  </si>
  <si>
    <t>김보경</t>
  </si>
  <si>
    <t>010-8562-0056</t>
  </si>
  <si>
    <t>경상북도 포항시 북구 학전로 103 (두호동, 우방하이츠) 포항시 북구 학전로 103  우방하이츠101동605호</t>
  </si>
  <si>
    <t>OPT-2474089-2720352</t>
  </si>
  <si>
    <t>010-3069-6373</t>
  </si>
  <si>
    <t>경북 예천군 호명읍 새움3로 7 경북도청아이파크아파트 104동 502호</t>
  </si>
  <si>
    <t>OPT-2474085-2720348</t>
  </si>
  <si>
    <t>이진숙</t>
  </si>
  <si>
    <t>010-8250-4588</t>
  </si>
  <si>
    <t>이노경</t>
  </si>
  <si>
    <t>010-4333-3327</t>
  </si>
  <si>
    <t>전남 구례군 간전면 중평길 3 (886-1)</t>
  </si>
  <si>
    <t>OPT-2474084-2720347</t>
  </si>
  <si>
    <t>조은구</t>
  </si>
  <si>
    <t>010-2291-4335</t>
  </si>
  <si>
    <t>서울 서초구 고무래로 89 101동 1901호</t>
  </si>
  <si>
    <t>OPT-2474074-2720336</t>
  </si>
  <si>
    <t>문장혁  행복한 나</t>
  </si>
  <si>
    <t>010-2373-8634</t>
  </si>
  <si>
    <t>경기 고양시 일산동구 경의로 375-93 3층</t>
  </si>
  <si>
    <t>OPT-2474071-2720332</t>
  </si>
  <si>
    <t>현</t>
  </si>
  <si>
    <t>010-4657-3897</t>
  </si>
  <si>
    <t>전남 순천시 해룡면 장선배기길 298 104동 1304호</t>
  </si>
  <si>
    <t>배송후 문자 남겨 주세요~~</t>
  </si>
  <si>
    <t>OPT-2474069-2720330</t>
  </si>
  <si>
    <t>윤기환</t>
  </si>
  <si>
    <t>010-5329-9911</t>
  </si>
  <si>
    <t>경기도 용인시 수지구 동천로63번길 10 (동천동, 동천마을현대2차홈타운) 209동1601호</t>
  </si>
  <si>
    <t>OPT-2474068-2720329</t>
  </si>
  <si>
    <t>김상섭</t>
  </si>
  <si>
    <t>010-4427-1977</t>
  </si>
  <si>
    <t>경기도 성남시 수정구 위례광장로 19 (창곡동) 지하1층 위례파크 사우나</t>
  </si>
  <si>
    <t>OPT-2474058-2720318</t>
  </si>
  <si>
    <t>김태형</t>
  </si>
  <si>
    <t>010-8614-1525</t>
  </si>
  <si>
    <t>전남 여수시 박람회길 61 112동 1501호</t>
  </si>
  <si>
    <t>OPT-2474057-2720317</t>
  </si>
  <si>
    <t>문태훈</t>
  </si>
  <si>
    <t>010-9073-9699</t>
  </si>
  <si>
    <t>010-4193-9699</t>
  </si>
  <si>
    <t>경기 군포시 고산로643번길 10 1156동402호</t>
  </si>
  <si>
    <t>OPT-2474055-2720315</t>
  </si>
  <si>
    <t>김복운</t>
  </si>
  <si>
    <t>010-7360-6593</t>
  </si>
  <si>
    <t>경기 파주시 한울로 100 603동1803호</t>
  </si>
  <si>
    <t>OPT-2474053-2720312</t>
  </si>
  <si>
    <t>최명희 엘리사벳</t>
  </si>
  <si>
    <t>010-5244-3580</t>
  </si>
  <si>
    <t>강원특별자치도 속초시 청대로 210 102동 1401호</t>
  </si>
  <si>
    <t>OPT-2474052-2720311</t>
  </si>
  <si>
    <t>임태순</t>
  </si>
  <si>
    <t>010-9187-0406</t>
  </si>
  <si>
    <t>경기도 수원시 영통구 청명북로 33 (영통동, 청명마을삼성아파트) 438-802</t>
  </si>
  <si>
    <t>OPT-2474051-2720310</t>
  </si>
  <si>
    <t>이성철</t>
  </si>
  <si>
    <t>010-2809-5088</t>
  </si>
  <si>
    <t>서울 영등포구 여의대로6길 17 공작아파트 D동102호</t>
  </si>
  <si>
    <t>배송비 문자 주세요</t>
  </si>
  <si>
    <t>OPT-2474047-2720306</t>
  </si>
  <si>
    <t>정연수</t>
  </si>
  <si>
    <t>010-6395-7611</t>
  </si>
  <si>
    <t>서울 송파구 양재대로 1218 올림픽선수촌아파트 128동 1903호</t>
  </si>
  <si>
    <t>OPT-2474046-2720305</t>
  </si>
  <si>
    <t>Rebekah.Kim</t>
  </si>
  <si>
    <t>010-9937-0424</t>
  </si>
  <si>
    <t>경기 수원시 영통구 망포로84번길 10 305-202</t>
  </si>
  <si>
    <t>배송 전 연락주세요</t>
  </si>
  <si>
    <t>OPT-2474044-2720303</t>
  </si>
  <si>
    <t>이은광</t>
  </si>
  <si>
    <t>010-4366-6778</t>
  </si>
  <si>
    <t>충청남도 천안시 서북구 충무로 5-16 (쌍용동, 쌍용동일하이빌아파트) 107동1202호</t>
  </si>
  <si>
    <t>OPT-2474043-2720302</t>
  </si>
  <si>
    <t>신충태</t>
  </si>
  <si>
    <t>010-9797-4481</t>
  </si>
  <si>
    <t>서울 광진구 광나루로56길 32 구의현대2단지 210동 2102호</t>
  </si>
  <si>
    <t>문 앞 배송 부탁합니다.</t>
  </si>
  <si>
    <t>OPT-2474039-2720298</t>
  </si>
  <si>
    <t>여덕수</t>
  </si>
  <si>
    <t>010-7670-8224</t>
  </si>
  <si>
    <t>서울 광진구 자양로23나길 26 명진아트빌 502호</t>
  </si>
  <si>
    <t>OPT-2474038-2720297</t>
  </si>
  <si>
    <t>김광훈</t>
  </si>
  <si>
    <t>010-4718-3587</t>
  </si>
  <si>
    <t>010-2231-3587</t>
  </si>
  <si>
    <t>경기 고양시 덕양구 화정로 27 602동602호</t>
  </si>
  <si>
    <t>OPT-2474034-2720293</t>
  </si>
  <si>
    <t>위주아</t>
  </si>
  <si>
    <t>010-9737-1728</t>
  </si>
  <si>
    <t>경기 안양시 동안구 학의로408번길 13 117동 2105호</t>
  </si>
  <si>
    <t>OPT-2474031-2720288</t>
  </si>
  <si>
    <t>김향원(호놀)</t>
  </si>
  <si>
    <t>010-6686-2747</t>
  </si>
  <si>
    <t>서울 서대문구 연희로4길 24 5층(공동현관비번 종2658)</t>
  </si>
  <si>
    <t>OPT-2474028-2720285</t>
  </si>
  <si>
    <t>이혜정dani</t>
  </si>
  <si>
    <t>010-6209-2676</t>
  </si>
  <si>
    <t>경기도 고양시 일산동구 일산로 205 (마두동, 백마마을2단지아파트) 207동802호</t>
  </si>
  <si>
    <t>OPT-2474025-2720281</t>
  </si>
  <si>
    <t>길상규</t>
  </si>
  <si>
    <t>010-8624-2030</t>
  </si>
  <si>
    <t>광주 서구 금호운천길 83 상무푸르지오 103동 1301호</t>
  </si>
  <si>
    <t>OPT-2474023-2720279</t>
  </si>
  <si>
    <t>정상수(서진파파)</t>
  </si>
  <si>
    <t>010-8847-6716</t>
  </si>
  <si>
    <t>경기 의왕시 백운중앙로 46 107동 1301호</t>
  </si>
  <si>
    <t>OPT-2474022-2720278</t>
  </si>
  <si>
    <t>서보우</t>
  </si>
  <si>
    <t>010-6421-9142</t>
  </si>
  <si>
    <t>충청북도 청주시 상당구 호미로 2 (동남지구 대성베르힐2차) 208동404호</t>
  </si>
  <si>
    <t>OPT-2474021-2720277</t>
  </si>
  <si>
    <t>노유정</t>
  </si>
  <si>
    <t>010-3119-3693</t>
  </si>
  <si>
    <t>광주 서구 학생독립로9번길 8 101동509호</t>
  </si>
  <si>
    <t>OPT-2474020-2720276</t>
  </si>
  <si>
    <t>김진훈</t>
  </si>
  <si>
    <t>010-9997-8001</t>
  </si>
  <si>
    <t>경기 용인시 수지구 성복2로 126 307동 102호</t>
  </si>
  <si>
    <t>OPT-2474017-2720273</t>
  </si>
  <si>
    <t>고기봉</t>
  </si>
  <si>
    <t>010-5659-9711</t>
  </si>
  <si>
    <t>경기 하남시 위례중앙로 215 6413동2504호</t>
  </si>
  <si>
    <t>OPT-2474015-2720271</t>
  </si>
  <si>
    <t>ㆍ한봉우</t>
  </si>
  <si>
    <t>010-2909-2051</t>
  </si>
  <si>
    <t>서울 노원구 섬밭로 139 풍림아파트 110동 1901호</t>
  </si>
  <si>
    <t>OPT-2474014-2720270</t>
  </si>
  <si>
    <t>이은한</t>
  </si>
  <si>
    <t>010-3993-7537</t>
  </si>
  <si>
    <t>경기도 양평군 양평읍 마유산로 33 (더샵양평리버포레) 101동301호</t>
  </si>
  <si>
    <t>OPT-2474013-2720269</t>
  </si>
  <si>
    <t>엄성운</t>
  </si>
  <si>
    <t>010-8433-4900</t>
  </si>
  <si>
    <t>서울 은평구 통일로 796 101동 503호</t>
  </si>
  <si>
    <t>문앞에 부탁드려요</t>
  </si>
  <si>
    <t>OPT-2474008-2720264</t>
  </si>
  <si>
    <t>쑥이</t>
  </si>
  <si>
    <t>010-4552-1392</t>
  </si>
  <si>
    <t>윤숙희</t>
  </si>
  <si>
    <t>010-9227-0806</t>
  </si>
  <si>
    <t>경남 함안군 칠북면 검단4길 31 1층</t>
  </si>
  <si>
    <t>OPT-2474009-2720265</t>
  </si>
  <si>
    <t>하성운</t>
  </si>
  <si>
    <t>010-3582-7933</t>
  </si>
  <si>
    <t>경남 창원시 마산회원구 석전서1길 12-19 1층</t>
  </si>
  <si>
    <t>OPT-2474007-2720263</t>
  </si>
  <si>
    <t>김지숙</t>
  </si>
  <si>
    <t>010-4614-0480</t>
  </si>
  <si>
    <t>인천 부평구 경인로 1110 이도엘리브 1002호</t>
  </si>
  <si>
    <t>집앞에 두고 가세요 감사합니다</t>
  </si>
  <si>
    <t>OPT-2474006-2720262</t>
  </si>
  <si>
    <t>김성중</t>
  </si>
  <si>
    <t>010-5505-1410</t>
  </si>
  <si>
    <t>대구광역시 수성구 청수로 261 (황금동, 캐슬골드파크 4단지) 1412동 1103호</t>
  </si>
  <si>
    <t>OPT-2474004-2720260</t>
  </si>
  <si>
    <t>고남숙</t>
  </si>
  <si>
    <t>010-4592-2993</t>
  </si>
  <si>
    <t>충청북도 청주시 흥덕구 서경로12번길 2 (가경동) 301호</t>
  </si>
  <si>
    <t>OPT-2474003-2720259</t>
  </si>
  <si>
    <t>이수혜</t>
  </si>
  <si>
    <t>010-8029-7307</t>
  </si>
  <si>
    <t>김령아</t>
  </si>
  <si>
    <t>010-5716-5251</t>
  </si>
  <si>
    <t>경기 하남시 미사강변중앙로 190 1036호</t>
  </si>
  <si>
    <t>OPT-2473998-2720254</t>
  </si>
  <si>
    <t>이태우</t>
  </si>
  <si>
    <t>010-9158-2606</t>
  </si>
  <si>
    <t>서울 강남구 광평로47길 17 702-203</t>
  </si>
  <si>
    <t>OPT-2473997-2720253</t>
  </si>
  <si>
    <t>최현우</t>
  </si>
  <si>
    <t>010-2922-7778</t>
  </si>
  <si>
    <t>서울 성북구 화랑로13길 69 102호</t>
  </si>
  <si>
    <t>OPT-2473996-2720252</t>
  </si>
  <si>
    <t>심지혜</t>
  </si>
  <si>
    <t>010-6488-1443</t>
  </si>
  <si>
    <t>서울 송파구 백제고분로22길 34-14 301호</t>
  </si>
  <si>
    <t>OPT-2473994-2720250</t>
  </si>
  <si>
    <t>목연수</t>
  </si>
  <si>
    <t>010-3238-1873</t>
  </si>
  <si>
    <t>서울 용산구 효창원로8길 16 101동 302호</t>
  </si>
  <si>
    <t>OPT-2473992-2720248</t>
  </si>
  <si>
    <t>온누리</t>
  </si>
  <si>
    <t>010-2867-4643</t>
  </si>
  <si>
    <t>전북특별자치도 전주시 완산구 효천중앙로 50 (효자동2가, 리버클래스) 306동 1104호</t>
  </si>
  <si>
    <t>OPT-2473991-2720247</t>
  </si>
  <si>
    <t>김지연</t>
  </si>
  <si>
    <t>010-8527-9943</t>
  </si>
  <si>
    <t>부산 강서구 명지오션시티10로 16 211-103</t>
  </si>
  <si>
    <t>OPT-2473990-2720246</t>
  </si>
  <si>
    <t>명화석</t>
  </si>
  <si>
    <t>010-6349-3689</t>
  </si>
  <si>
    <t>.명화석</t>
  </si>
  <si>
    <t>충북 청주시 상당구 월운로 116 동남힐데스하임 107동802호</t>
  </si>
  <si>
    <t>OPT-2473989-2720245</t>
  </si>
  <si>
    <t>김가림</t>
  </si>
  <si>
    <t>010-6761-5251</t>
  </si>
  <si>
    <t>서울 중랑구 면목로54길 44 301호</t>
  </si>
  <si>
    <t>OPT-2473988-2720244</t>
  </si>
  <si>
    <t>이제신</t>
  </si>
  <si>
    <t>010-3338-3924</t>
  </si>
  <si>
    <t>광주광역시 남구 효천2로 1 (임암동, 시티프라디움 아파트) 105동 805호</t>
  </si>
  <si>
    <t>OPT-2473985-2720241</t>
  </si>
  <si>
    <t>김태근</t>
  </si>
  <si>
    <t>010-2809-0006</t>
  </si>
  <si>
    <t>서울 영등포구 선유서로 116 양평역월드메르디앙아파트 101동 306호</t>
  </si>
  <si>
    <t>OPT-2473982-2720238</t>
  </si>
  <si>
    <t>김재현</t>
  </si>
  <si>
    <t>010-9007-4353</t>
  </si>
  <si>
    <t>경기도 성남시 분당구 불정로 219 (한솔마을청구아파트) 113동1601호</t>
  </si>
  <si>
    <t>OPT-2473975-2720231</t>
  </si>
  <si>
    <t>강성진</t>
  </si>
  <si>
    <t>010-4855-3990</t>
  </si>
  <si>
    <t>광주 북구 우치로537번길 10 동아 103동 104호</t>
  </si>
  <si>
    <t>OPT-2473970-2720224</t>
  </si>
  <si>
    <t>김종숙</t>
  </si>
  <si>
    <t>010-5505-7798</t>
  </si>
  <si>
    <t>경기 안양시 만안구 안양천서로 249 115동1505호</t>
  </si>
  <si>
    <t>OPT-2473946-2720196</t>
  </si>
  <si>
    <t>이승은</t>
  </si>
  <si>
    <t>010-9772-0830</t>
  </si>
  <si>
    <t>서울 양천구 목동서로 280 810-404</t>
  </si>
  <si>
    <t>문앞에두세요</t>
  </si>
  <si>
    <t>OPT-2473924-2720171</t>
  </si>
  <si>
    <t>김태흥</t>
  </si>
  <si>
    <t>010-9543-6676</t>
  </si>
  <si>
    <t>대구 달서구 장산남로 33 용산롯데캐슬그랜드 109동2307호</t>
  </si>
  <si>
    <t>OPT-2473897-2720141</t>
  </si>
  <si>
    <t>권민수_Indonesia</t>
  </si>
  <si>
    <t>010-3782-6732</t>
  </si>
  <si>
    <t>서남순</t>
  </si>
  <si>
    <t>010-5477-3264</t>
  </si>
  <si>
    <t>서울 광진구 능동로30길 39 2층</t>
  </si>
  <si>
    <t>2층 현관 앞에 두시고 전화 주세요</t>
  </si>
  <si>
    <t>OPT-2473884-2720128</t>
  </si>
  <si>
    <t>이혜영</t>
  </si>
  <si>
    <t>010-5070-2378</t>
  </si>
  <si>
    <t>경기 남양주시 덕송2로10번길 27-2 302호</t>
  </si>
  <si>
    <t>OPT-2473852-2720095</t>
  </si>
  <si>
    <t>오은숙</t>
  </si>
  <si>
    <t>010-7536-3669</t>
  </si>
  <si>
    <t>대전 유성구 엑스포로 448 엑스포아파트109동304호</t>
  </si>
  <si>
    <t>집앞배송</t>
  </si>
  <si>
    <t>OPT-2473723-2719953</t>
  </si>
  <si>
    <t>김 연 경</t>
  </si>
  <si>
    <t>010-2046-2940</t>
  </si>
  <si>
    <t>서울 구로구 남부순환로 775 푸르지오아파트 103동 2001호</t>
  </si>
  <si>
    <t>OPT-2473710-2719935</t>
  </si>
  <si>
    <t>정재호</t>
  </si>
  <si>
    <t>010-3720-9452</t>
  </si>
  <si>
    <t>경기 성남시 분당구 판교로 20 103동 1702호</t>
  </si>
  <si>
    <t>OPT-2473700-2719925</t>
  </si>
  <si>
    <t>강효진</t>
  </si>
  <si>
    <t>010-3691-6905</t>
  </si>
  <si>
    <t>서울 강서구 등촌로 163 122-403</t>
  </si>
  <si>
    <t>OPT-2473690-2719915</t>
  </si>
  <si>
    <t>한성국</t>
  </si>
  <si>
    <t>010-9771-0129</t>
  </si>
  <si>
    <t>서울특별시 동작구 상도로 346-1 (상도동, 힐스테이트 상도 센트럴파크) 116동 1405호</t>
  </si>
  <si>
    <t>OPT-2473679-2719903</t>
  </si>
  <si>
    <t>이동</t>
  </si>
  <si>
    <t>010-4654-2663</t>
  </si>
  <si>
    <t>이선화</t>
  </si>
  <si>
    <t>010-4635-2663</t>
  </si>
  <si>
    <t>서울 동대문구 이문로 120 이문아이파크자이오피스텔 100-1424</t>
  </si>
  <si>
    <t>OPT-2473673-2719896</t>
  </si>
  <si>
    <t>한희정</t>
  </si>
  <si>
    <t>010-2633-4717</t>
  </si>
  <si>
    <t>부산 남구 석포로 128 2층 아이비치과</t>
  </si>
  <si>
    <t>OPT-2473625-2719843</t>
  </si>
  <si>
    <t>김정수</t>
  </si>
  <si>
    <t>010-8706-2748</t>
  </si>
  <si>
    <t>김종열</t>
  </si>
  <si>
    <t>010-2506-0225</t>
  </si>
  <si>
    <t>경북 성주군 용암면 운용로 1044 2층</t>
  </si>
  <si>
    <t>이월생 010-3493-0603</t>
  </si>
  <si>
    <t>OPT-2473603-2719817</t>
  </si>
  <si>
    <t>원미애</t>
  </si>
  <si>
    <t>010-3776-7136</t>
  </si>
  <si>
    <t>경기 김포시 김포한강11로 275 309동2102호  롯데캐슬</t>
  </si>
  <si>
    <t>OPT-2473587-2719800</t>
  </si>
  <si>
    <t>최성우</t>
  </si>
  <si>
    <t>010-2656-9682</t>
  </si>
  <si>
    <t>서울 성동구 매봉길 50 123동 1201호</t>
  </si>
  <si>
    <t>OPT-2473550-2719760</t>
  </si>
  <si>
    <t>김영수</t>
  </si>
  <si>
    <t>010-3372-5622</t>
  </si>
  <si>
    <t>경기도 남양주시 사릉로452번길 3 (동성아파트) 동성아파트102동1106호</t>
  </si>
  <si>
    <t>OPT-2473544-2719753</t>
  </si>
  <si>
    <t>김현우</t>
  </si>
  <si>
    <t>010-3419-0242</t>
  </si>
  <si>
    <t>김미미</t>
  </si>
  <si>
    <t>010-9823-0302</t>
  </si>
  <si>
    <t>서울 송파구 올림픽로 135 237동 2501호</t>
  </si>
  <si>
    <t>OPT-2473503-2719711</t>
  </si>
  <si>
    <t>녹산 (sbw)</t>
  </si>
  <si>
    <t>OPT-2473500-2719708</t>
  </si>
  <si>
    <t>충남 홍성군 홍북읍 신대로 54 106동 2601호</t>
  </si>
  <si>
    <t>OPT-2473394-2719584</t>
  </si>
  <si>
    <t>김재성</t>
  </si>
  <si>
    <t>010-5068-1144</t>
  </si>
  <si>
    <t>서울 광진구 동일로70길 32 202호</t>
  </si>
  <si>
    <t>OPT-2473376-2719558</t>
  </si>
  <si>
    <t>정명진</t>
  </si>
  <si>
    <t>010-6382-1918</t>
  </si>
  <si>
    <t>서울특별시 성북구 종암로24가길 80 (종암동, 래미안라센트) 109동 1002호</t>
  </si>
  <si>
    <t>워커힐 본갈비 3+1 최초❤️5만원대! 총1.2kg✨호텔특제 양념갈비 8인분 (✨1인분 7,375원꼴! / [300g,2인분] x 총 4팩  / ✨초이스등급 본갈비 / ❣️워커힐 특제 비법소스) ([추가구매할인] 본갈비 2팩 더! (+20,000원))</t>
  </si>
  <si>
    <t>✨1인분 7,375원꼴! / [300g,2인분] x 총 4팩  / ✨초이스등급 본갈비 / ❣️워커힐 특제 비법소스) ([추가구매할인] 본갈비 2팩 더! (+20,000원))</t>
  </si>
  <si>
    <t>&lt;span style='color:red'&gt;연결상품&lt;/span&gt;</t>
  </si>
  <si>
    <t>SUB-2474633-306901</t>
  </si>
  <si>
    <t>이치우</t>
  </si>
  <si>
    <t>010-7546-3173</t>
  </si>
  <si>
    <t>경기도 화성시 동탄대로시범길 53 (청계동, 동탄역시범대원칸타빌아파트) 1452동1901호</t>
  </si>
  <si>
    <t>SUB-2474615-306899</t>
  </si>
  <si>
    <t>김보삼</t>
  </si>
  <si>
    <t>010-3638-8184</t>
  </si>
  <si>
    <t>서울특별시 강북구 한천로130가길 12-12 (번동) 2층</t>
  </si>
  <si>
    <t>SUB-2474608-306898</t>
  </si>
  <si>
    <t>신길수</t>
  </si>
  <si>
    <t>010-5465-5404</t>
  </si>
  <si>
    <t>서울 강동구 고덕로 333 146동 1206호</t>
  </si>
  <si>
    <t>SUB-2474456-306893</t>
  </si>
  <si>
    <t>최혜령</t>
  </si>
  <si>
    <t>010-2574-8739</t>
  </si>
  <si>
    <t>광주 북구 청계로 13 103-304</t>
  </si>
  <si>
    <t>SUB-2474419-306891</t>
  </si>
  <si>
    <t>정유선</t>
  </si>
  <si>
    <t>010-2266-7510</t>
  </si>
  <si>
    <t>서울 강서구 초록마을로 176 2동603호</t>
  </si>
  <si>
    <t>SUB-2474399-306889</t>
  </si>
  <si>
    <t>최디나</t>
  </si>
  <si>
    <t>010-4696-5879</t>
  </si>
  <si>
    <t>서울 강남구 삼성로51길 37 109-1505</t>
  </si>
  <si>
    <t>SUB-2474348-306885</t>
  </si>
  <si>
    <t>윤종철</t>
  </si>
  <si>
    <t>010-3165-0970</t>
  </si>
  <si>
    <t>경기 남양주시 와부읍 덕소로2번길 39 107동 1502호</t>
  </si>
  <si>
    <t>SUB-2474323-306884</t>
  </si>
  <si>
    <t>날개</t>
  </si>
  <si>
    <t>010-5822-7576</t>
  </si>
  <si>
    <t>경기 수원시 영통구 중부대로448번길 28 205동 1705호</t>
  </si>
  <si>
    <t>SUB-2474320-306882</t>
  </si>
  <si>
    <t>오성훈</t>
  </si>
  <si>
    <t>010-3943-3304</t>
  </si>
  <si>
    <t>경기 남양주시 별내3로 23 4404동 802호</t>
  </si>
  <si>
    <t>SUB-2474317-306881</t>
  </si>
  <si>
    <t>한상호</t>
  </si>
  <si>
    <t>010-5693-4023</t>
  </si>
  <si>
    <t>인천 부평구 마장로 121 현대아파트 304동705호</t>
  </si>
  <si>
    <t>SUB-2474280-306880</t>
  </si>
  <si>
    <t>오현방</t>
  </si>
  <si>
    <t>010-3229-5076</t>
  </si>
  <si>
    <t>이진영 선생님</t>
  </si>
  <si>
    <t>010-2877-8271</t>
  </si>
  <si>
    <t>경기 고양시 덕양구 성신로 77 햇빛마을 1815동 103호</t>
  </si>
  <si>
    <t>SUB-2474265-306879</t>
  </si>
  <si>
    <t>이길용</t>
  </si>
  <si>
    <t>010-9082-7231</t>
  </si>
  <si>
    <t>경기 남양주시 다산지금로16번길 88 7102-2401</t>
  </si>
  <si>
    <t>SUB-2474244-306878</t>
  </si>
  <si>
    <t>sunny</t>
  </si>
  <si>
    <t>010-2210-0532</t>
  </si>
  <si>
    <t>경기 성남시 분당구 정자일로213번길 19 201동 1604호</t>
  </si>
  <si>
    <t>SUB-2474238-306877</t>
  </si>
  <si>
    <t>곽윤탁</t>
  </si>
  <si>
    <t>010-3824-5300</t>
  </si>
  <si>
    <t>대구 중구 명덕로 241 101-1002</t>
  </si>
  <si>
    <t>SUB-2474231-306876</t>
  </si>
  <si>
    <t>sun</t>
  </si>
  <si>
    <t>010-6313-0649</t>
  </si>
  <si>
    <t>경기 과천시 광창로 56-1 Sy골드빌 103동201호</t>
  </si>
  <si>
    <t>문앞에 놔 주세요</t>
  </si>
  <si>
    <t>SUB-2474221-306875</t>
  </si>
  <si>
    <t>김옥희</t>
  </si>
  <si>
    <t>010-3816-6266</t>
  </si>
  <si>
    <t>대구 수성구 들안로 360 105 동  2601호</t>
  </si>
  <si>
    <t>SUB-2474209-306874</t>
  </si>
  <si>
    <t>이정기</t>
  </si>
  <si>
    <t>010-4228-9956</t>
  </si>
  <si>
    <t>한대천</t>
  </si>
  <si>
    <t>경기도 화성시 동탄지성로 150-12 (동탄능동마을 주공아파트) 721동804호</t>
  </si>
  <si>
    <t>SUB-2474204-306873</t>
  </si>
  <si>
    <t>패랭이(김혜영)</t>
  </si>
  <si>
    <t>010-4784-4705</t>
  </si>
  <si>
    <t>경기도 고양시 일산동구 호수로 606 (장항동) B동1511호</t>
  </si>
  <si>
    <t>SUB-2474194-306872</t>
  </si>
  <si>
    <t>김종현</t>
  </si>
  <si>
    <t>010-3859-1863</t>
  </si>
  <si>
    <t>부산광역시 수영구 광안로 12 (광안동, 광안동에스케이뷰) 103동1101호</t>
  </si>
  <si>
    <t>SUB-2474155-306870</t>
  </si>
  <si>
    <t>최지영</t>
  </si>
  <si>
    <t>010-5209-1004</t>
  </si>
  <si>
    <t>서울 강남구 도곡로57길 12 역삼2차아이파크 103동1203호</t>
  </si>
  <si>
    <t>SUB-2474125-306869</t>
  </si>
  <si>
    <t>조상준</t>
  </si>
  <si>
    <t>010-5260-0855</t>
  </si>
  <si>
    <t>경기 성남시 수정구 위례동로 15 5710동 202호</t>
  </si>
  <si>
    <t>SUB-2474067-306866</t>
  </si>
  <si>
    <t>禎源</t>
  </si>
  <si>
    <t>010-4023-8815</t>
  </si>
  <si>
    <t>전남 무안군 일로읍 오룡중앙동로 37 102동902호</t>
  </si>
  <si>
    <t>SUB-2474059-306865</t>
  </si>
  <si>
    <t>이정균</t>
  </si>
  <si>
    <t>010-5300-1745</t>
  </si>
  <si>
    <t>충북 증평군 증평읍 초중4길 57 블루힐 402호</t>
  </si>
  <si>
    <t>SUB-2474030-306864</t>
  </si>
  <si>
    <t>최광열</t>
  </si>
  <si>
    <t>010-8826-2979</t>
  </si>
  <si>
    <t>대전 중구 동서대로1322번길 107 1층 나무대문안</t>
  </si>
  <si>
    <t>SUB-2474002-306863</t>
  </si>
  <si>
    <t>구양회</t>
  </si>
  <si>
    <t>010-5211-4758</t>
  </si>
  <si>
    <t>서울 동작구 동작대로19길 24 302호</t>
  </si>
  <si>
    <t>SUB-2473986-306862</t>
  </si>
  <si>
    <t>박범우</t>
  </si>
  <si>
    <t>010-3363-1864</t>
  </si>
  <si>
    <t>세종특별자치시 해밀2로 78 (해밀동) 시그니메종빌리지 103동 103호</t>
  </si>
  <si>
    <t>SUB-2473984-306861</t>
  </si>
  <si>
    <t>서영석</t>
  </si>
  <si>
    <t>010-9348-4430</t>
  </si>
  <si>
    <t>경기 용인시 수지구 성복2로76번길 31 101동404호</t>
  </si>
  <si>
    <t>SUB-2473898-306857</t>
  </si>
  <si>
    <t>김윤상</t>
  </si>
  <si>
    <t>010-2048-5904</t>
  </si>
  <si>
    <t>경기 고양시 일산동구 숲속마을1로 87 501동101호</t>
  </si>
  <si>
    <t>SUB-2473863-306855</t>
  </si>
  <si>
    <t>구용주</t>
  </si>
  <si>
    <t>010-3235-2685</t>
  </si>
  <si>
    <t>경기 고양시 일산동구 무궁화로75번길 15 211-303</t>
  </si>
  <si>
    <t>SUB-2473750-306851</t>
  </si>
  <si>
    <t>윤혁</t>
  </si>
  <si>
    <t>010-9891-2535</t>
  </si>
  <si>
    <t>인천 남동구 선수촌로 8 803동404호</t>
  </si>
  <si>
    <t>SUB-2473683-306845</t>
  </si>
  <si>
    <t>함동진</t>
  </si>
  <si>
    <t>010-9648-6001</t>
  </si>
  <si>
    <t>함수민</t>
  </si>
  <si>
    <t>010-4733-1490</t>
  </si>
  <si>
    <t>서울 강동구 양재대로122길 34 가동 202호</t>
  </si>
  <si>
    <t>OPT-2474188-2720455</t>
  </si>
  <si>
    <t>박희연</t>
  </si>
  <si>
    <t>010-3717-4702</t>
  </si>
  <si>
    <t>서울 광진구 뚝섬로 467 105동2805호</t>
  </si>
  <si>
    <t>OPT-2474390-2720676</t>
  </si>
  <si>
    <t>김대성</t>
  </si>
  <si>
    <t>010-5526-0803</t>
  </si>
  <si>
    <t>윤용강</t>
  </si>
  <si>
    <t>010-6257-3828</t>
  </si>
  <si>
    <t>경기 용인시 기흥구 연원로42번길 2 벽산아파트 113동 2004호</t>
  </si>
  <si>
    <t>OPT-2474638-2720943</t>
  </si>
  <si>
    <t>박연풍</t>
  </si>
  <si>
    <t>010-2354-0899</t>
  </si>
  <si>
    <t>서울특별시 용산구 회나무로 64 (이태원동, 언트플러스(피지대사관)) F동 202호 (라마라마꽃집 건물 3층)</t>
  </si>
  <si>
    <t>OPT-2474639-2720944</t>
  </si>
  <si>
    <t>이범설</t>
  </si>
  <si>
    <t>010-6343-6701</t>
  </si>
  <si>
    <t>경기도 부천시 소사구 경인로26번길 22 (송내동, 송내 자이) 송내자이102동1501호</t>
  </si>
  <si>
    <t>OPT-2474656-2720962</t>
  </si>
  <si>
    <t>ky kim</t>
  </si>
  <si>
    <t>010-2405-7787</t>
  </si>
  <si>
    <t>서울 동대문구 장안벚꽃로 167 202 동 1201호</t>
  </si>
  <si>
    <t>OPT-2474662-2720968</t>
  </si>
  <si>
    <t>신중배</t>
  </si>
  <si>
    <t>010-9017-1258</t>
  </si>
  <si>
    <t>서울 성북구 정릉로34길 26-2 2층</t>
  </si>
  <si>
    <t>OPT-2474671-2720979</t>
  </si>
  <si>
    <t>최은아</t>
  </si>
  <si>
    <t>010-7633-1716</t>
  </si>
  <si>
    <t>경북 경주시 불국신택지3길 13 디멘션커피</t>
  </si>
  <si>
    <t>OPT-2474694-2721003</t>
  </si>
  <si>
    <t>한영순</t>
  </si>
  <si>
    <t>010-9332-2966</t>
  </si>
  <si>
    <t>경기도 수원시 영통구 웰빙타운로 70 (이의동, 광교 호반베르디움) 8707동1502호</t>
  </si>
  <si>
    <t>OPT-2474696-2721005</t>
  </si>
  <si>
    <t>쭈잉</t>
  </si>
  <si>
    <t>010-7511-6740</t>
  </si>
  <si>
    <t>인천광역시 남동구 구월로 192 (구월동, 힐스테이트롯데캐슬골드1단지아파트) 1114동 1002호</t>
  </si>
  <si>
    <t>OPT-2474701-2721010</t>
  </si>
  <si>
    <t>백경흠</t>
  </si>
  <si>
    <t>010-4248-3453</t>
  </si>
  <si>
    <t>서울특별시 동대문구 외대역동로 36 (휘경동, 동양2차아파트) 202동 1101호</t>
  </si>
  <si>
    <t>OPT-2474714-2721024</t>
  </si>
  <si>
    <t>꼬마야랑</t>
  </si>
  <si>
    <t>010-7110-9243</t>
  </si>
  <si>
    <t>경기 평택시 동막길 55-25 돌계단집</t>
  </si>
  <si>
    <t>OPT-2474718-2721028</t>
  </si>
  <si>
    <t>서재원</t>
  </si>
  <si>
    <t>010-2325-0175</t>
  </si>
  <si>
    <t>경기 용인시 수지구 신봉2로 72 222동 504호</t>
  </si>
  <si>
    <t>OPT-2474719-2721029</t>
  </si>
  <si>
    <t>손기덕</t>
  </si>
  <si>
    <t>010-5096-8717</t>
  </si>
  <si>
    <t>김정엽</t>
  </si>
  <si>
    <t>010-4933-7213</t>
  </si>
  <si>
    <t>부산 서구 대티로 159 106동 601호</t>
  </si>
  <si>
    <t>OPT-2474728-2721038</t>
  </si>
  <si>
    <t>김민수</t>
  </si>
  <si>
    <t>010-8705-3653</t>
  </si>
  <si>
    <t>부산 부산진구 가야대로 701 611호</t>
  </si>
  <si>
    <t>OPT-2474731-2721041</t>
  </si>
  <si>
    <t>호수마을지기</t>
  </si>
  <si>
    <t>010-3149-0549</t>
  </si>
  <si>
    <t>이경석</t>
  </si>
  <si>
    <t>경기 용인시 수지구 고기로45번길 40-18 205동 1104호</t>
  </si>
  <si>
    <t>문앞에 두시면 고맙습니다</t>
  </si>
  <si>
    <t>OPT-2474732-2721042</t>
  </si>
  <si>
    <t>박현수</t>
  </si>
  <si>
    <t>010-7301-0849</t>
  </si>
  <si>
    <t>송용미</t>
  </si>
  <si>
    <t>010-4191-8416</t>
  </si>
  <si>
    <t>서울 서초구 언남길 47 501호</t>
  </si>
  <si>
    <t>OPT-2474739-2721050</t>
  </si>
  <si>
    <t>ParkSungHm</t>
  </si>
  <si>
    <t>010-9050-1364</t>
  </si>
  <si>
    <t>경기 부천시 원미구 계남로 128 상가 지하1층 중동세탁</t>
  </si>
  <si>
    <t>OPT-2474747-2721058</t>
  </si>
  <si>
    <t>이영신</t>
  </si>
  <si>
    <t>010-7508-3692</t>
  </si>
  <si>
    <t>인천 부평구 부평대로165번길 102-8 113동 202호</t>
  </si>
  <si>
    <t>OPT-2474748-2721059</t>
  </si>
  <si>
    <t>신만규</t>
  </si>
  <si>
    <t>010-6413-3751</t>
  </si>
  <si>
    <t>서울 성북구 성북로6가길 23 504호</t>
  </si>
  <si>
    <t>OPT-2474750-2721061</t>
  </si>
  <si>
    <t>노현주</t>
  </si>
  <si>
    <t>010-3702-1424</t>
  </si>
  <si>
    <t>경기 의정부시 용민로 442 1504동 1204호</t>
  </si>
  <si>
    <t>OPT-2474755-2721066</t>
  </si>
  <si>
    <t>김중우</t>
  </si>
  <si>
    <t>010-2385-5246</t>
  </si>
  <si>
    <t>박원모 대표</t>
  </si>
  <si>
    <t>010-8339-8041</t>
  </si>
  <si>
    <t>서울 서초구 서운로19길 22 서초월드오피스텔 907호</t>
  </si>
  <si>
    <t>OPT-2474772-2721083</t>
  </si>
  <si>
    <t>요니 (LEE yoo yeon)</t>
  </si>
  <si>
    <t>010-6331-9470</t>
  </si>
  <si>
    <t>경기 용인시 수지구 수풍로23번길 35 112동 405호</t>
  </si>
  <si>
    <t>OPT-2474784-2721096</t>
  </si>
  <si>
    <t>김현지</t>
  </si>
  <si>
    <t>010-5606-9866</t>
  </si>
  <si>
    <t>경기 파주시 산내로 90 1209-803</t>
  </si>
  <si>
    <t>OPT-2474801-2721114</t>
  </si>
  <si>
    <t>안창순</t>
  </si>
  <si>
    <t>010-9038-2610</t>
  </si>
  <si>
    <t>경기 용인시 수지구 동천로 18 풍림아파트 201동803호</t>
  </si>
  <si>
    <t>OPT-2474816-2721140</t>
  </si>
  <si>
    <t>김지현</t>
  </si>
  <si>
    <t>010-2125-0504</t>
  </si>
  <si>
    <t>충청북도 청주시 청원구 오창읍 과학산업3로 216 (오창반도유보라퍼스티지) 오창반도유보라 104동 104호</t>
  </si>
  <si>
    <t>OPT-2474828-2721153</t>
  </si>
  <si>
    <t>지니</t>
  </si>
  <si>
    <t>010-2350-9981</t>
  </si>
  <si>
    <t>경기도 파주시 문산읍 문향로 22 (한진아파트) 1동808호</t>
  </si>
  <si>
    <t>OPT-2474838-2721164</t>
  </si>
  <si>
    <t>성준용</t>
  </si>
  <si>
    <t>010-2172-4136</t>
  </si>
  <si>
    <t>서울 강북구 오현로25가길 51 202호</t>
  </si>
  <si>
    <t>OPT-2474847-2721173</t>
  </si>
  <si>
    <t>도대회</t>
  </si>
  <si>
    <t>010-2567-3455</t>
  </si>
  <si>
    <t>경기 성남시 분당구 미금로 215 802-1304</t>
  </si>
  <si>
    <t>OPT-2474863-2721190</t>
  </si>
  <si>
    <t>이시원</t>
  </si>
  <si>
    <t>010-6210-7733</t>
  </si>
  <si>
    <t>서울특별시 관악구 구암길 76 (관악드림타운아파트) 147동 215호</t>
  </si>
  <si>
    <t>서울특별시 관악구 봉천동 1712-1 관악드림타운아파트 147동 215호</t>
  </si>
  <si>
    <t>OPT-2474871-2721198</t>
  </si>
  <si>
    <t>윤은경</t>
  </si>
  <si>
    <t>010-8976-4659</t>
  </si>
  <si>
    <t>서울 금천구 시흥대로 291 금천롯데캐슬골드파크3차 305동 1005호</t>
  </si>
  <si>
    <t>OPT-2474903-2721232</t>
  </si>
  <si>
    <t>jin</t>
  </si>
  <si>
    <t>010-9116-5578</t>
  </si>
  <si>
    <t>부산 해운대구 대천로 187 103동 1501호</t>
  </si>
  <si>
    <t>OPT-2474908-2721237</t>
  </si>
  <si>
    <t>이친구 귀엽구만</t>
  </si>
  <si>
    <t>010-7788-8108</t>
  </si>
  <si>
    <t>서울 노원구 덕릉로 595 102동 2108호</t>
  </si>
  <si>
    <t>OPT-2474923-2721252</t>
  </si>
  <si>
    <t>지금주</t>
  </si>
  <si>
    <t>010-6776-7609</t>
  </si>
  <si>
    <t>대구 달서구 선원로 171 105동 109호</t>
  </si>
  <si>
    <t>배송전 문자주세요</t>
  </si>
  <si>
    <t>OPT-2474980-2721314</t>
  </si>
  <si>
    <t>박시훈</t>
  </si>
  <si>
    <t>010-3123-9684</t>
  </si>
  <si>
    <t>경상남도 창원시 마산합포구 문화북2길 50 단독주택</t>
  </si>
  <si>
    <t>부재시 파란작은대문안</t>
  </si>
  <si>
    <t>OPT-2474995-2721331</t>
  </si>
  <si>
    <t>김수연</t>
  </si>
  <si>
    <t>010-4114-0389</t>
  </si>
  <si>
    <t>경기 성남시 수정구 수정로 288 201동 1103호</t>
  </si>
  <si>
    <t>OPT-2475093-2721437</t>
  </si>
  <si>
    <t>김주영(종문맘)</t>
  </si>
  <si>
    <t>010-2585-9290</t>
  </si>
  <si>
    <t>서울 서초구 방배로 21 103-1801</t>
  </si>
  <si>
    <t>OPT-2475102-2721447</t>
  </si>
  <si>
    <t>한연신</t>
  </si>
  <si>
    <t>010-3056-7369</t>
  </si>
  <si>
    <t>서울 서대문구 독립문공원길 17 극동아파트 113-102</t>
  </si>
  <si>
    <t>OPT-2475103-2721448</t>
  </si>
  <si>
    <t>박혜련</t>
  </si>
  <si>
    <t>010-4749-9087</t>
  </si>
  <si>
    <t>서울 강남구 역삼로 306 103-1403</t>
  </si>
  <si>
    <t>OPT-2475104-2721449</t>
  </si>
  <si>
    <t>백옥련</t>
  </si>
  <si>
    <t>010-2224-7782</t>
  </si>
  <si>
    <t>서울 광진구 구의강변로3가길 39 703동 1807호</t>
  </si>
  <si>
    <t>OPT-2475106-2721451</t>
  </si>
  <si>
    <t>김정은</t>
  </si>
  <si>
    <t>010-8874-1159</t>
  </si>
  <si>
    <t>인천 연수구 컨벤시아대로42번길 77 906동 1002호</t>
  </si>
  <si>
    <t>OPT-2475109-2721454</t>
  </si>
  <si>
    <t>정순실</t>
  </si>
  <si>
    <t>010-5268-3252</t>
  </si>
  <si>
    <t>정의석</t>
  </si>
  <si>
    <t>010-9181-4418</t>
  </si>
  <si>
    <t>서울 중랑구 용마산로 670 206동2401호</t>
  </si>
  <si>
    <t>OPT-2475110-2721455</t>
  </si>
  <si>
    <t>서울특별시 강동구 아리수로93길 40 (강일동, 강일리버파크3단지아파트) 308동807호</t>
  </si>
  <si>
    <t>OPT-2475115-2721460</t>
  </si>
  <si>
    <t>플로라</t>
  </si>
  <si>
    <t>010-5428-7634</t>
  </si>
  <si>
    <t>인천 남동구 구월로 65 현대홈타운 109동 702호</t>
  </si>
  <si>
    <t>OPT-2475117-2721462</t>
  </si>
  <si>
    <t>문영숙</t>
  </si>
  <si>
    <t>010-6255-0975</t>
  </si>
  <si>
    <t>경기도 의정부시 용현로 118 (민락동, 송산센트럴아파트) 705동303호</t>
  </si>
  <si>
    <t>OPT-2475119-2721464</t>
  </si>
  <si>
    <t>이정은</t>
  </si>
  <si>
    <t>010-9082-6153</t>
  </si>
  <si>
    <t>경기 파주시 가람로116번길 130 710동1101호</t>
  </si>
  <si>
    <t>OPT-2475121-2721466</t>
  </si>
  <si>
    <t>김민균</t>
  </si>
  <si>
    <t>010-8393-8303</t>
  </si>
  <si>
    <t>제주특별자치도 제주시 원노형2길 29-2 802호</t>
  </si>
  <si>
    <t>현관비번 열쇠2765열쇠</t>
  </si>
  <si>
    <t>OPT-2475123-2721468</t>
  </si>
  <si>
    <t>유연주</t>
  </si>
  <si>
    <t>010-7152-8850</t>
  </si>
  <si>
    <t>경기 남양주시 천마산로 65 116동 1703호</t>
  </si>
  <si>
    <t>OPT-2475128-2721473</t>
  </si>
  <si>
    <t>임수진</t>
  </si>
  <si>
    <t>010-2258-2347</t>
  </si>
  <si>
    <t>오영란</t>
  </si>
  <si>
    <t>010-6749-8922</t>
  </si>
  <si>
    <t>강원특별자치도 양구군 양구읍 중앙길 68 형제방아</t>
  </si>
  <si>
    <t>OPT-2475130-2721475</t>
  </si>
  <si>
    <t>김규형</t>
  </si>
  <si>
    <t>010-4365-7999</t>
  </si>
  <si>
    <t>경기 용인시 기흥구 중부대로788번길 15 205-704</t>
  </si>
  <si>
    <t>부재시 현관앞에</t>
  </si>
  <si>
    <t>OPT-2475131-2721476</t>
  </si>
  <si>
    <t>코스모스</t>
  </si>
  <si>
    <t>010-7536-6575</t>
  </si>
  <si>
    <t>경기 화성시 수노을중앙로 293 1003동 903호</t>
  </si>
  <si>
    <t>OPT-2475136-2721482</t>
  </si>
  <si>
    <t>정경옥</t>
  </si>
  <si>
    <t>010-7722-8062</t>
  </si>
  <si>
    <t>경기 안양시 만안구 연현로79번길 84 엘지빌리지 301동201호</t>
  </si>
  <si>
    <t>배송전 미리 문자 남겨 주세요</t>
  </si>
  <si>
    <t>OPT-2475141-2721487</t>
  </si>
  <si>
    <t>SJ.Park</t>
  </si>
  <si>
    <t>010-8889-0961</t>
  </si>
  <si>
    <t>유상심</t>
  </si>
  <si>
    <t>010-4426-0963</t>
  </si>
  <si>
    <t>전남 광양시 금영로 16 201동1303호</t>
  </si>
  <si>
    <t>OPT-2475146-2721492</t>
  </si>
  <si>
    <t>한선진</t>
  </si>
  <si>
    <t>010-2877-2095</t>
  </si>
  <si>
    <t>서울 강동구 양재대로 1300 올림픽파크포레온 313동1801호</t>
  </si>
  <si>
    <t>OPT-2475151-2721498</t>
  </si>
  <si>
    <t>신화수</t>
  </si>
  <si>
    <t>010-9487-5442</t>
  </si>
  <si>
    <t>경기도 과천시 과천대로 12 (갈현동) 오르투스 103동1205호</t>
  </si>
  <si>
    <t>OPT-2475159-2721507</t>
  </si>
  <si>
    <t>이성행</t>
  </si>
  <si>
    <t>010-6471-6921</t>
  </si>
  <si>
    <t>충남 당진시 신평면 소창길 20 단독주택</t>
  </si>
  <si>
    <t>OPT-2475160-2721508</t>
  </si>
  <si>
    <t>sehhee</t>
  </si>
  <si>
    <t>010-5404-1416</t>
  </si>
  <si>
    <t>경기 고양시 일산동구 위시티3로 111 202동3201호</t>
  </si>
  <si>
    <t>OPT-2475166-2721515</t>
  </si>
  <si>
    <t>이동석</t>
  </si>
  <si>
    <t>010-9981-0102</t>
  </si>
  <si>
    <t>서울 성동구 무학로 33 106동704호</t>
  </si>
  <si>
    <t>문앞에 부탁드립니다</t>
  </si>
  <si>
    <t>OPT-2475181-2721530</t>
  </si>
  <si>
    <t>이명아</t>
  </si>
  <si>
    <t>010-5885-2349</t>
  </si>
  <si>
    <t>제주특별자치도 서귀포시 안덕면 평화로319번길 145 145</t>
  </si>
  <si>
    <t>OPT-2475185-2721534</t>
  </si>
  <si>
    <t>박광수</t>
  </si>
  <si>
    <t>010-9272-2101</t>
  </si>
  <si>
    <t>경기 시흥시 중심상가로 106 104-304</t>
  </si>
  <si>
    <t>OPT-2475189-2721539</t>
  </si>
  <si>
    <t>김 효신</t>
  </si>
  <si>
    <t>010-8228-4100</t>
  </si>
  <si>
    <t>인천 서구 청라루비로144번길 16 201호</t>
  </si>
  <si>
    <t>OPT-2475194-2721544</t>
  </si>
  <si>
    <t>김효정</t>
  </si>
  <si>
    <t>010-2795-0740</t>
  </si>
  <si>
    <t>경기 광명시 소하로 162 701동 1001호</t>
  </si>
  <si>
    <t>OPT-2475207-2721557</t>
  </si>
  <si>
    <t>서울 금천구 한내로 62 한신아파트 8동 706호</t>
  </si>
  <si>
    <t>OPT-2475211-2721561</t>
  </si>
  <si>
    <t>이경숙</t>
  </si>
  <si>
    <t>010-2284-7047</t>
  </si>
  <si>
    <t>경기 고양시 덕양구 화신로 106 2412-303</t>
  </si>
  <si>
    <t>OPT-2475223-2721574</t>
  </si>
  <si>
    <t>여선경</t>
  </si>
  <si>
    <t>010-8829-9787</t>
  </si>
  <si>
    <t>주진형</t>
  </si>
  <si>
    <t>010-8162-4389</t>
  </si>
  <si>
    <t>서울 강서구 양천로71가길 22 101동 1502호</t>
  </si>
  <si>
    <t>OPT-2475227-2721578</t>
  </si>
  <si>
    <t>이장현</t>
  </si>
  <si>
    <t>010-2724-2503</t>
  </si>
  <si>
    <t>서울 강남구 자곡로 101 611동 803호</t>
  </si>
  <si>
    <t>OPT-2475238-2721589</t>
  </si>
  <si>
    <t>김근호</t>
  </si>
  <si>
    <t>010-5214-4569</t>
  </si>
  <si>
    <t>김자옥</t>
  </si>
  <si>
    <t>010-6238-9265</t>
  </si>
  <si>
    <t>전남 나주시 봉황면 봉황로 632 착한푸드</t>
  </si>
  <si>
    <t>OPT-2475243-2721595</t>
  </si>
  <si>
    <t>은서채</t>
  </si>
  <si>
    <t>010-8906-4814</t>
  </si>
  <si>
    <t>경기 광명시 디지털로 63 1208동902호</t>
  </si>
  <si>
    <t>OPT-2475253-2721606</t>
  </si>
  <si>
    <t>한진숙</t>
  </si>
  <si>
    <t>010-8661-5244</t>
  </si>
  <si>
    <t>제주특별자치도 제주시 화삼로 167 307동1002호</t>
  </si>
  <si>
    <t>OPT-2475257-2721610</t>
  </si>
  <si>
    <t>김민우</t>
  </si>
  <si>
    <t>010-7143-6786</t>
  </si>
  <si>
    <t>경기도 용인시 수지구 만현로 25 (상현동, 만현마을롯데캐슬아파트) 103동 101호</t>
  </si>
  <si>
    <t>OPT-2475282-2721637</t>
  </si>
  <si>
    <t>재유니</t>
  </si>
  <si>
    <t>010-9389-1942</t>
  </si>
  <si>
    <t>유여사</t>
  </si>
  <si>
    <t>010-9907-1942</t>
  </si>
  <si>
    <t>경기 수원시 장안구 창훈로 30 104동 302호</t>
  </si>
  <si>
    <t>OPT-2475285-2721640</t>
  </si>
  <si>
    <t>윤동진</t>
  </si>
  <si>
    <t>010-2690-0523</t>
  </si>
  <si>
    <t>대구 달서구 학산로 15 102동 1007호</t>
  </si>
  <si>
    <t>OPT-2475293-2721648</t>
  </si>
  <si>
    <t>김준형</t>
  </si>
  <si>
    <t>010-3772-1244</t>
  </si>
  <si>
    <t>광주 남구 봉선중앙로 46 105동 1106호</t>
  </si>
  <si>
    <t>OPT-2475301-2721656</t>
  </si>
  <si>
    <t>김태윤</t>
  </si>
  <si>
    <t>010-2644-3452</t>
  </si>
  <si>
    <t>제주특별자치도 제주시 연동4길 6-11 해모로루민 201동802호</t>
  </si>
  <si>
    <t>OPT-2475311-2721666</t>
  </si>
  <si>
    <t>잔디</t>
  </si>
  <si>
    <t>010-5153-9722</t>
  </si>
  <si>
    <t>경기 의정부시 장곡로596번길 18 108-1801</t>
  </si>
  <si>
    <t>OPT-2475315-2721671</t>
  </si>
  <si>
    <t>무창</t>
  </si>
  <si>
    <t>010-7242-2396</t>
  </si>
  <si>
    <t>경기 부천시 소사구 경인로26번길 22 송내자이 108동 1902호</t>
  </si>
  <si>
    <t>부재시 문앞에 부탁드려요</t>
  </si>
  <si>
    <t>OPT-2475322-2721679</t>
  </si>
  <si>
    <t>조영순</t>
  </si>
  <si>
    <t>010-9269-3817</t>
  </si>
  <si>
    <t>경기 김포시 김포한강8로 173-88 603동1002호</t>
  </si>
  <si>
    <t>OPT-2475335-2721694</t>
  </si>
  <si>
    <t>하성수</t>
  </si>
  <si>
    <t>010-3711-3165</t>
  </si>
  <si>
    <t>서울특별시 도봉구 덕릉로59바길 37-5 (창동) 창2동585-27호</t>
  </si>
  <si>
    <t>OPT-2475336-2721695</t>
  </si>
  <si>
    <t>권혁천</t>
  </si>
  <si>
    <t>010-3360-5919</t>
  </si>
  <si>
    <t>경기 광명시 광덕산로 26 광명 두산위브트레지움 101동 1203호</t>
  </si>
  <si>
    <t>OPT-2475374-2721735</t>
  </si>
  <si>
    <t>홍진옥</t>
  </si>
  <si>
    <t>010-3331-1992</t>
  </si>
  <si>
    <t>제주특별자치도 제주시 기와4길 14-16 효성해링턴코트 2차202동202호</t>
  </si>
  <si>
    <t>OPT-2475388-2721749</t>
  </si>
  <si>
    <t>전태우</t>
  </si>
  <si>
    <t>010-5332-6288</t>
  </si>
  <si>
    <t>서울 중구 청구로1길 23 104동 902호</t>
  </si>
  <si>
    <t>문 앞에 두고 연락 부탁드립니다.</t>
  </si>
  <si>
    <t>OPT-2475410-2721772</t>
  </si>
  <si>
    <t>김진오</t>
  </si>
  <si>
    <t>010-2081-8759</t>
  </si>
  <si>
    <t>대구 달성군 다사읍 서재로12길 41-16 102동 208호</t>
  </si>
  <si>
    <t>OPT-2475416-2721778</t>
  </si>
  <si>
    <t>이윤배</t>
  </si>
  <si>
    <t>010-8751-7518</t>
  </si>
  <si>
    <t>주은정</t>
  </si>
  <si>
    <t>010-2974-1512</t>
  </si>
  <si>
    <t>대전 서구 도안동로 183 1503동1303호</t>
  </si>
  <si>
    <t>OPT-2475432-2721794</t>
  </si>
  <si>
    <t>정현~</t>
  </si>
  <si>
    <t>010-5320-4406</t>
  </si>
  <si>
    <t>서울 관악구 신림동3길 30 7층</t>
  </si>
  <si>
    <t>공동현관9403#</t>
  </si>
  <si>
    <t>OPT-2475458-2721821</t>
  </si>
  <si>
    <t>정대규</t>
  </si>
  <si>
    <t>010-3739-0296</t>
  </si>
  <si>
    <t>서울특별시 송파구 송파대로8길 42 (장지동, 송파파인타운12단지) 1201동 201호</t>
  </si>
  <si>
    <t>OPT-2475465-2721828</t>
  </si>
  <si>
    <t>김강미</t>
  </si>
  <si>
    <t>010-5213-4358</t>
  </si>
  <si>
    <t>세종특별자치시 대평로 80 해들마을6단지 604동 2702호</t>
  </si>
  <si>
    <t>배송시 문자메세지</t>
  </si>
  <si>
    <t>OPT-2475499-2721864</t>
  </si>
  <si>
    <t>백종민</t>
  </si>
  <si>
    <t>010-2234-1481</t>
  </si>
  <si>
    <t>김용자</t>
  </si>
  <si>
    <t>010-7724-6701</t>
  </si>
  <si>
    <t>전남 고흥군 풍양면 하림길 63-3 1층</t>
  </si>
  <si>
    <t>OPT-2475517-2721885</t>
  </si>
  <si>
    <t>James Jongmin Baek</t>
  </si>
  <si>
    <t>서울 양천구 목동동로 130 1427동 606호</t>
  </si>
  <si>
    <t>OPT-2475519-2721887</t>
  </si>
  <si>
    <t>윤</t>
  </si>
  <si>
    <t>010-9979-3438</t>
  </si>
  <si>
    <t>경기도 이천시 부발읍 경충대로2050번길 15-44 (현대성우오스타3단지) 현대성우3단지 302-1203</t>
  </si>
  <si>
    <t>문앞에 놔주세요 감사합니다</t>
  </si>
  <si>
    <t>OPT-2475572-2721941</t>
  </si>
  <si>
    <t>송은미</t>
  </si>
  <si>
    <t>010-9930-2687</t>
  </si>
  <si>
    <t>경기 광명시 성채로 37 413동101호</t>
  </si>
  <si>
    <t>OPT-2475579-2721948</t>
  </si>
  <si>
    <t>김주순</t>
  </si>
  <si>
    <t>010-9530-7132</t>
  </si>
  <si>
    <t>경기 용인시 수지구 성복2로 10 성복역 롯데캐슬 골드타운 111동1006호</t>
  </si>
  <si>
    <t>OPT-2475586-2721955</t>
  </si>
  <si>
    <t>김형진</t>
  </si>
  <si>
    <t>010-5254-3824</t>
  </si>
  <si>
    <t>서울 양천구 목동동로 130 1413-1104</t>
  </si>
  <si>
    <t>OPT-2475594-2721963</t>
  </si>
  <si>
    <t>이남희</t>
  </si>
  <si>
    <t>010-9019-6340</t>
  </si>
  <si>
    <t>김광석</t>
  </si>
  <si>
    <t>010-5069-7341</t>
  </si>
  <si>
    <t xml:space="preserve">경기 남양주시 와부읍 덕소로 286 105동1702호 </t>
  </si>
  <si>
    <t>OPT-2475599-2721968</t>
  </si>
  <si>
    <t>이혜원</t>
  </si>
  <si>
    <t>010-9064-3284</t>
  </si>
  <si>
    <t>강원특별자치도 춘천시 지석로 97 103동1005호</t>
  </si>
  <si>
    <t>OPT-2475644-2722015</t>
  </si>
  <si>
    <t>숙영</t>
  </si>
  <si>
    <t>010-9804-2981</t>
  </si>
  <si>
    <t>대전 중구 계백로1615번길 34 115-1904</t>
  </si>
  <si>
    <t>OPT-2475649-2722020</t>
  </si>
  <si>
    <t>Angel</t>
  </si>
  <si>
    <t>010-3261-1038</t>
  </si>
  <si>
    <t>충남 아산시 권곡로 47 더샵퍼스트타워아파트104동702호</t>
  </si>
  <si>
    <t>OPT-2475658-2722029</t>
  </si>
  <si>
    <t>김경희</t>
  </si>
  <si>
    <t>010-9149-8778</t>
  </si>
  <si>
    <t>서울 강남구 광평로10길 6 106동 306호</t>
  </si>
  <si>
    <t>OPT-2475659-2722030</t>
  </si>
  <si>
    <t>최필규01052712158</t>
  </si>
  <si>
    <t>010-5271-2158</t>
  </si>
  <si>
    <t>인천 계양구 하느재로 15 103동404호</t>
  </si>
  <si>
    <t>OPT-2475673-2722045</t>
  </si>
  <si>
    <t>김영규</t>
  </si>
  <si>
    <t>010-3877-3300</t>
  </si>
  <si>
    <t>부산 남구 분포로 111 140동1002호</t>
  </si>
  <si>
    <t>OPT-2475680-2722053</t>
  </si>
  <si>
    <t>최애란</t>
  </si>
  <si>
    <t>010-9401-3639</t>
  </si>
  <si>
    <t>대전 유성구 은구비남로 34 804동1402호</t>
  </si>
  <si>
    <t>OPT-2475688-2722062</t>
  </si>
  <si>
    <t>김태훈</t>
  </si>
  <si>
    <t>010-2976-2927</t>
  </si>
  <si>
    <t>서울 중랑구 상봉로15길 41 B동 201호</t>
  </si>
  <si>
    <t>OPT-2475704-2722085</t>
  </si>
  <si>
    <t>충남 당진시 고대면 항곡로 279-46 1층</t>
  </si>
  <si>
    <t>OPT-2475709-2722091</t>
  </si>
  <si>
    <t>류지숙</t>
  </si>
  <si>
    <t>010-2576-4061</t>
  </si>
  <si>
    <t>울산 북구 제내3길 6-10 예담빌 2동 401호</t>
  </si>
  <si>
    <t>OPT-2475765-2722151</t>
  </si>
  <si>
    <t>lee sunsuk</t>
  </si>
  <si>
    <t>010-4253-7165</t>
  </si>
  <si>
    <t>서울 성동구 둘레15길 7 청구강변 101동203호</t>
  </si>
  <si>
    <t>OPT-2475814-2722203</t>
  </si>
  <si>
    <t>김재욱</t>
  </si>
  <si>
    <t>010-5546-5595</t>
  </si>
  <si>
    <t>김찬이</t>
  </si>
  <si>
    <t>서울 서초구 신반포로15길 19 103-1103</t>
  </si>
  <si>
    <t>OPT-2475858-2722251</t>
  </si>
  <si>
    <t>서울 강남구 압구정로 313 43-603</t>
  </si>
  <si>
    <t>OPT-2475873-2722267</t>
  </si>
  <si>
    <t>아현맘</t>
  </si>
  <si>
    <t>010-6285-6400</t>
  </si>
  <si>
    <t>경기 과천시 별양로 164 706동1201호</t>
  </si>
  <si>
    <t>OPT-2475913-2722307</t>
  </si>
  <si>
    <t>추정희</t>
  </si>
  <si>
    <t>010-8034-9332</t>
  </si>
  <si>
    <t>울산 중구 약사로 25 306동504호</t>
  </si>
  <si>
    <t>OPT-2475917-2722311</t>
  </si>
  <si>
    <t>강성용</t>
  </si>
  <si>
    <t>010-9929-5789</t>
  </si>
  <si>
    <t>경상남도 거제시 양정5길 36 (양정동, 거제아이파크1차) 106동1303호</t>
  </si>
  <si>
    <t>OPT-2475925-2722322</t>
  </si>
  <si>
    <t>유금자</t>
  </si>
  <si>
    <t>010-8841-4743</t>
  </si>
  <si>
    <t>경기 시흥시 장현순환로 58 호반1203동802호</t>
  </si>
  <si>
    <t>OPT-2475936-2722333</t>
  </si>
  <si>
    <t>김계남</t>
  </si>
  <si>
    <t>010-4133-2257</t>
  </si>
  <si>
    <t>경기 하남시 위례순환로 270 위례그린파크 푸르지오 6501동801호</t>
  </si>
  <si>
    <t>부재시 문앞에 두고 가주세요</t>
  </si>
  <si>
    <t>OPT-2476107-2722512</t>
  </si>
  <si>
    <t>최진호</t>
  </si>
  <si>
    <t>010-9416-7526</t>
  </si>
  <si>
    <t>서울 성북구 한천로 713 506-1704</t>
  </si>
  <si>
    <t>OPT-2476121-2722526</t>
  </si>
  <si>
    <t>최순자</t>
  </si>
  <si>
    <t>010-2202-0747</t>
  </si>
  <si>
    <t>010-2286-0747</t>
  </si>
  <si>
    <t>강원특별자치도 원주시 배울로 154 116동 503호</t>
  </si>
  <si>
    <t>OPT-2476181-2722596</t>
  </si>
  <si>
    <t>010-9007-7000</t>
  </si>
  <si>
    <t>경기 수원시 권선구 망포로 14 210-1104</t>
  </si>
  <si>
    <t>OPT-2476182-2722597</t>
  </si>
  <si>
    <t>손연선</t>
  </si>
  <si>
    <t>010-4217-3182</t>
  </si>
  <si>
    <t>이종성</t>
  </si>
  <si>
    <t>043-847-3901</t>
  </si>
  <si>
    <t>충북 충주시 금제1길 5 1동1002호</t>
  </si>
  <si>
    <t>현관앞에 배송해주세요.</t>
  </si>
  <si>
    <t>SUB-2474836-306911</t>
  </si>
  <si>
    <t>최해주</t>
  </si>
  <si>
    <t>010-2540-9617</t>
  </si>
  <si>
    <t>서울 강남구 언주로 202 109동 604호</t>
  </si>
  <si>
    <t>SUB-2474882-306913</t>
  </si>
  <si>
    <t>김성대</t>
  </si>
  <si>
    <t>010-6384-3119</t>
  </si>
  <si>
    <t>서울특별시 영등포구 도신로 68 (신길동, 신길우성아파트) 103동903호</t>
  </si>
  <si>
    <t>SUB-2475186-306922</t>
  </si>
  <si>
    <t>엄지유</t>
  </si>
  <si>
    <t>010-2286-9979</t>
  </si>
  <si>
    <t>경기도 여주시 점동면 한밭들길 31-2 1층</t>
  </si>
  <si>
    <t>SUB-2475259-306925</t>
  </si>
  <si>
    <t>안경</t>
  </si>
  <si>
    <t>010-7583-1609</t>
  </si>
  <si>
    <t>대구 동구 입석로1길 32-2 루비5차 301호</t>
  </si>
  <si>
    <t>SUB-2475290-306927</t>
  </si>
  <si>
    <t>경기 화성시 동탄구 동탄순환대로17길 15 서희스타힐스 2421동1904호</t>
  </si>
  <si>
    <t>SUB-2475295-306929</t>
  </si>
  <si>
    <t>010-5635-5464</t>
  </si>
  <si>
    <t>최기정</t>
  </si>
  <si>
    <t>경기 구리시 장자대로111번길 11 201동 1506호</t>
  </si>
  <si>
    <t>SUB-2475405-306933</t>
  </si>
  <si>
    <t>양은성</t>
  </si>
  <si>
    <t>010-7612-7674</t>
  </si>
  <si>
    <t>서울 마포구 마포대로 115-8 104동 907호</t>
  </si>
  <si>
    <t>SUB-2475590-306938</t>
  </si>
  <si>
    <t>An_Teon</t>
  </si>
  <si>
    <t>010-3264-3082</t>
  </si>
  <si>
    <t>서울 마포구 대흥로24길 41 1층 상가안</t>
  </si>
  <si>
    <t>SUB-2475728-306947</t>
  </si>
  <si>
    <t>권오경</t>
  </si>
  <si>
    <t>010-9859-8500</t>
  </si>
  <si>
    <t>경기도 수원시 장안구 수성로339번길 14-37 (정자동) 401호</t>
  </si>
  <si>
    <t>SUB-2475941-306960</t>
  </si>
  <si>
    <t>이나래</t>
  </si>
  <si>
    <t>010-3381-8921</t>
  </si>
  <si>
    <t>경기 안양시 만안구 안양천서로 249 111-104</t>
  </si>
  <si>
    <t>공동현관문 104#1234</t>
  </si>
  <si>
    <t>SUB-2476162-306968</t>
  </si>
  <si>
    <t>cha</t>
  </si>
  <si>
    <t>010-2048-6133</t>
  </si>
  <si>
    <t>서울 송파구 오금로32길 14 송파 래미안아파트 110동703호</t>
  </si>
  <si>
    <t>OPT-2479440-2726054</t>
  </si>
  <si>
    <t>WB</t>
  </si>
  <si>
    <t>010-9168-7889</t>
  </si>
  <si>
    <t>김석진</t>
  </si>
  <si>
    <t>서울특별시 강남구 선릉로 221 (도곡동, 도곡렉슬아파트) 406-301</t>
  </si>
  <si>
    <t>OPT-2479142-2725748</t>
  </si>
  <si>
    <t>은영</t>
  </si>
  <si>
    <t>010-4541-7076</t>
  </si>
  <si>
    <t>이영호</t>
  </si>
  <si>
    <t>010-2094-2405</t>
  </si>
  <si>
    <t>경기 평택시 청북읍 안청로4길 42 104동602호</t>
  </si>
  <si>
    <t>설명절 연휴이전 배송 부탁드립니다 꼭!!</t>
  </si>
  <si>
    <t>OPT-2478930-2725532</t>
  </si>
  <si>
    <t>권광열</t>
  </si>
  <si>
    <t>010-2913-9995</t>
  </si>
  <si>
    <t>경기 화성시 봉담읍 와우로34번길 11 108동 802호</t>
  </si>
  <si>
    <t>OPT-2478903-2725503</t>
  </si>
  <si>
    <t>KY</t>
  </si>
  <si>
    <t>010-7126-3389</t>
  </si>
  <si>
    <t>강원특별자치도 속초시 청호로 22 102-903</t>
  </si>
  <si>
    <t>OPT-2478886-2725485</t>
  </si>
  <si>
    <t>서지수</t>
  </si>
  <si>
    <t>010-2959-0757</t>
  </si>
  <si>
    <t>서울특별시 서대문구 연희로41길 162 (홍은동, 홍은동동아아파트) 동아빌라 101호</t>
  </si>
  <si>
    <t>OPT-2478871-2725469</t>
  </si>
  <si>
    <t>엄병철</t>
  </si>
  <si>
    <t>010-4371-6531</t>
  </si>
  <si>
    <t>울산 중구 고복수길 11 302호</t>
  </si>
  <si>
    <t>OPT-2478683-2725265</t>
  </si>
  <si>
    <t>성향아  85097608</t>
  </si>
  <si>
    <t>010-8509-7608</t>
  </si>
  <si>
    <t>서울 광진구 아차산로27길 19-7 2층</t>
  </si>
  <si>
    <t>OPT-2478669-2725251</t>
  </si>
  <si>
    <t>예닮이명희</t>
  </si>
  <si>
    <t>010-6268-0657</t>
  </si>
  <si>
    <t>서울 성북구 돌곶이로8다길 6-9 석관동 62-16</t>
  </si>
  <si>
    <t>OPT-2478575-2725150</t>
  </si>
  <si>
    <t>Sophia</t>
  </si>
  <si>
    <t>010-2051-2576</t>
  </si>
  <si>
    <t>경기도 용인시 수지구 신봉2로 26 (신봉마을엘지자이1차아파트) 113동 1403호</t>
  </si>
  <si>
    <t>OPT-2478562-2725137</t>
  </si>
  <si>
    <t>도융남</t>
  </si>
  <si>
    <t>대구 중구 남산로13길 17 보성황실 106동 1205호</t>
  </si>
  <si>
    <t>OPT-2478560-2725135</t>
  </si>
  <si>
    <t>김현식</t>
  </si>
  <si>
    <t>010-5418-1975</t>
  </si>
  <si>
    <t>경기 양주시 옥정로7길 34 214동3001호</t>
  </si>
  <si>
    <t>OPT-2478552-2725127</t>
  </si>
  <si>
    <t>OPT-2478543-2725117</t>
  </si>
  <si>
    <t>주영지</t>
  </si>
  <si>
    <t>010-2350-6785</t>
  </si>
  <si>
    <t>경기도 용인시 처인구 한터로275번길 40 (고림동, 예원마을코아루아파트) 101동1503호</t>
  </si>
  <si>
    <t>OPT-2478516-2725090</t>
  </si>
  <si>
    <t>김경원</t>
  </si>
  <si>
    <t>010-6359-5362</t>
  </si>
  <si>
    <t>서울 강동구 천중로9길 50 304호</t>
  </si>
  <si>
    <t>OPT-2478513-2725087</t>
  </si>
  <si>
    <t>윤여훈</t>
  </si>
  <si>
    <t>010-7209-7422</t>
  </si>
  <si>
    <t>충청남도 공주시 우금티로 704 (덕성그린타운) 102동 604호</t>
  </si>
  <si>
    <t>OPT-2478487-2725058</t>
  </si>
  <si>
    <t>박경환</t>
  </si>
  <si>
    <t>010-5082-7442</t>
  </si>
  <si>
    <t>전라남도 장성군 삼계면 능성로 548 (상무아파트) 210동403호</t>
  </si>
  <si>
    <t>OPT-2478434-2725005</t>
  </si>
  <si>
    <t>Ssuny(황인선)</t>
  </si>
  <si>
    <t>010-6214-5190</t>
  </si>
  <si>
    <t>황인선</t>
  </si>
  <si>
    <t>서울 성북구 종암로25길 30 102동 1801호</t>
  </si>
  <si>
    <t>OPT-2478409-2724979</t>
  </si>
  <si>
    <t>정선호</t>
  </si>
  <si>
    <t>010-4392-5685</t>
  </si>
  <si>
    <t>이영희</t>
  </si>
  <si>
    <t>010-7322-5685</t>
  </si>
  <si>
    <t>서울 광진구 답십리로76길 10 302호</t>
  </si>
  <si>
    <t>OPT-2478384-2724947</t>
  </si>
  <si>
    <t>김민영</t>
  </si>
  <si>
    <t>010-6768-0699</t>
  </si>
  <si>
    <t>경기 군포시 군포로 109 101동1402호</t>
  </si>
  <si>
    <t>OPT-2478377-2724940</t>
  </si>
  <si>
    <t>강동윤</t>
  </si>
  <si>
    <t>010-3833-6277</t>
  </si>
  <si>
    <t>서울 동작구 동작대로29길 118 501동 1310호(신동아아파트, 사당동)</t>
  </si>
  <si>
    <t>배송저 연락요망</t>
  </si>
  <si>
    <t>OPT-2478297-2724859</t>
  </si>
  <si>
    <t>이재호(ihad)</t>
  </si>
  <si>
    <t>010-2019-1173</t>
  </si>
  <si>
    <t>경기 광주시 장지3길 51 304</t>
  </si>
  <si>
    <t>OPT-2478296-2724858</t>
  </si>
  <si>
    <t>최수빈</t>
  </si>
  <si>
    <t>010-3078-9712</t>
  </si>
  <si>
    <t>강원특별자치도 춘천시 충열로 32 108동1005호</t>
  </si>
  <si>
    <t>현관 #1005 /3817</t>
  </si>
  <si>
    <t>OPT-2478282-2724843</t>
  </si>
  <si>
    <t>김현혜</t>
  </si>
  <si>
    <t>010-5577-4403</t>
  </si>
  <si>
    <t>경남 의령군 용덕면 덕암로4길 39 1층</t>
  </si>
  <si>
    <t>OPT-2478198-2724743</t>
  </si>
  <si>
    <t>정재필</t>
  </si>
  <si>
    <t>010-6242-2804</t>
  </si>
  <si>
    <t>나지연</t>
  </si>
  <si>
    <t>010-3778-2204</t>
  </si>
  <si>
    <t>경기 시흥시 배곧1로 27-16 한라 208동 1404호</t>
  </si>
  <si>
    <t>OPT-2478184-2724729</t>
  </si>
  <si>
    <t>양원호</t>
  </si>
  <si>
    <t>010-3639-7438</t>
  </si>
  <si>
    <t>제주특별자치도 제주시 애월읍 광령8길 47 1층</t>
  </si>
  <si>
    <t>OPT-2478180-2724725</t>
  </si>
  <si>
    <t>이은정</t>
  </si>
  <si>
    <t>010-3479-0723</t>
  </si>
  <si>
    <t>함원준</t>
  </si>
  <si>
    <t>010-2858-7887</t>
  </si>
  <si>
    <t>경기 고양시 일산동구 무궁화로 7-63 438호</t>
  </si>
  <si>
    <t>OPT-2478171-2724716</t>
  </si>
  <si>
    <t>이재원</t>
  </si>
  <si>
    <t>010-3674-9762</t>
  </si>
  <si>
    <t>경기 고양시 덕양구 대덕산로 20 107-2005</t>
  </si>
  <si>
    <t>OPT-2478167-2724712</t>
  </si>
  <si>
    <t>박영희</t>
  </si>
  <si>
    <t>010-8879-6257</t>
  </si>
  <si>
    <t>이점복</t>
  </si>
  <si>
    <t>010-3438-6257</t>
  </si>
  <si>
    <t>대구 서구 당산로 324 8동 207호</t>
  </si>
  <si>
    <t>OPT-2478140-2724684</t>
  </si>
  <si>
    <t>유성훈</t>
  </si>
  <si>
    <t>010-8488-7777</t>
  </si>
  <si>
    <t>서울 강남구 영동대로112길 67 동일파크스위트 903호</t>
  </si>
  <si>
    <t>OPT-2478126-2724670</t>
  </si>
  <si>
    <t>JM•SW</t>
  </si>
  <si>
    <t>010-3144-0215</t>
  </si>
  <si>
    <t>경기 수원시 영통구 대학로 98 8107동1304호</t>
  </si>
  <si>
    <t>OPT-2478121-2724665</t>
  </si>
  <si>
    <t>010-9288-7004</t>
  </si>
  <si>
    <t>경기 부천시 소사구 송내대로33번길 48-3 1층</t>
  </si>
  <si>
    <t>OPT-2478110-2724653</t>
  </si>
  <si>
    <t>이상혁</t>
  </si>
  <si>
    <t>010-6389-4568</t>
  </si>
  <si>
    <t>경기 동두천시 거북마루로 64 대방샤인힐 703동1404호</t>
  </si>
  <si>
    <t>OPT-2478101-2724644</t>
  </si>
  <si>
    <t>김준영</t>
  </si>
  <si>
    <t>010-3738-7587</t>
  </si>
  <si>
    <t>경기 화성시 동탄구 동탄신리천로5길 43 3862동 1403호</t>
  </si>
  <si>
    <t>OPT-2478099-2724642</t>
  </si>
  <si>
    <t>정미진</t>
  </si>
  <si>
    <t>010-3666-2136</t>
  </si>
  <si>
    <t>경기 남양주시 미금로57번길 20 713동 1101호 다산리버펠리체</t>
  </si>
  <si>
    <t>OPT-2478098-2724641</t>
  </si>
  <si>
    <t>이상희</t>
  </si>
  <si>
    <t>010-9509-9328</t>
  </si>
  <si>
    <t>부산 사상구 학감대로49번길 15 구학마을아파트101동501호</t>
  </si>
  <si>
    <t>현관문앞에 놓아주세요</t>
  </si>
  <si>
    <t>OPT-2478096-2724639</t>
  </si>
  <si>
    <t>유상현</t>
  </si>
  <si>
    <t>010-4656-6562</t>
  </si>
  <si>
    <t>충북 청주시 흥덕구 짐대로 6 벽산A 102-1203</t>
  </si>
  <si>
    <t>OPT-2478084-2724627</t>
  </si>
  <si>
    <t>김홍현</t>
  </si>
  <si>
    <t>010-6327-3251</t>
  </si>
  <si>
    <t>서울 양천구 신정로 300 501동 603호</t>
  </si>
  <si>
    <t>OPT-2478013-2724553</t>
  </si>
  <si>
    <t>나성희</t>
  </si>
  <si>
    <t>010-6444-8506</t>
  </si>
  <si>
    <t>경기도 광주시 태재로 20-15 (이편한세상태재1단지) 107동 1301호</t>
  </si>
  <si>
    <t>OPT-2478008-2724548</t>
  </si>
  <si>
    <t>장연옥</t>
  </si>
  <si>
    <t>010-2694-0823</t>
  </si>
  <si>
    <t>충청북도 청주시 서원구 용호로15번길 21 (성화동) 용호빌301호</t>
  </si>
  <si>
    <t>OPT-2477994-2724534</t>
  </si>
  <si>
    <t>강유진</t>
  </si>
  <si>
    <t>010-2747-0904</t>
  </si>
  <si>
    <t>강동휘</t>
  </si>
  <si>
    <t>010-9391-6536</t>
  </si>
  <si>
    <t>서울 강서구 강서로 348 우장산힐스테이트A 137동 702호</t>
  </si>
  <si>
    <t>배송 도착전 문자 연락부탁드립니다</t>
  </si>
  <si>
    <t>OPT-2477802-2724328</t>
  </si>
  <si>
    <t>곽지원</t>
  </si>
  <si>
    <t>010-8717-3402</t>
  </si>
  <si>
    <t>서울특별시 도봉구 도봉로110다길 51 (창동, 태영창동데시앙) 109동 1601호</t>
  </si>
  <si>
    <t>OPT-2477789-2724315</t>
  </si>
  <si>
    <t>고현민</t>
  </si>
  <si>
    <t>010-2867-3960</t>
  </si>
  <si>
    <t>고정래</t>
  </si>
  <si>
    <t>010-3645-4393</t>
  </si>
  <si>
    <t>전남 나주시 남평읍 남평3로 21 단독주택</t>
  </si>
  <si>
    <t>부재 시 대문 앞에 보관 부탁 드립니다.</t>
  </si>
  <si>
    <t>OPT-2477648-2724158</t>
  </si>
  <si>
    <t>이수원</t>
  </si>
  <si>
    <t>010-8723-3053</t>
  </si>
  <si>
    <t>남병옥</t>
  </si>
  <si>
    <t>010-4532-5041</t>
  </si>
  <si>
    <t>경북 영덕군 축산면 도곡길 23 구 141번지</t>
  </si>
  <si>
    <t>부재시 전화부탁드립니다</t>
  </si>
  <si>
    <t>OPT-2477647-2724157</t>
  </si>
  <si>
    <t>전광현</t>
  </si>
  <si>
    <t>010-2791-0479</t>
  </si>
  <si>
    <t>경기도 의정부시 용현로 111 (민락동, 송산푸르지오) 101-1203</t>
  </si>
  <si>
    <t>OPT-2477621-2724131</t>
  </si>
  <si>
    <t>이경희</t>
  </si>
  <si>
    <t>010-7227-6658</t>
  </si>
  <si>
    <t>임정애</t>
  </si>
  <si>
    <t>010-6650-7110</t>
  </si>
  <si>
    <t>전북특별자치도 완주군 용진읍 용흥시천길 30-1 시천마을</t>
  </si>
  <si>
    <t>OPT-2477601-2724111</t>
  </si>
  <si>
    <t>박귀숙</t>
  </si>
  <si>
    <t>010-9005-1031</t>
  </si>
  <si>
    <t>박병국</t>
  </si>
  <si>
    <t>010-2138-1160</t>
  </si>
  <si>
    <t>서울 도봉구 도봉로123길 39-10 정원파크빌 401호</t>
  </si>
  <si>
    <t>OPT-2477582-2724087</t>
  </si>
  <si>
    <t>이선주</t>
  </si>
  <si>
    <t>010-9093-0413</t>
  </si>
  <si>
    <t>김종심</t>
  </si>
  <si>
    <t>010-2763-4242</t>
  </si>
  <si>
    <t>전북특별자치도 부안군 위도면 진리안길 32 집앞</t>
  </si>
  <si>
    <t>OPT-2477573-2724077</t>
  </si>
  <si>
    <t>박병완</t>
  </si>
  <si>
    <t>010-9274-5923</t>
  </si>
  <si>
    <t>경기 용인시 기흥구 흥덕2로 126 현대 힐스테이트아파트 701동 602호</t>
  </si>
  <si>
    <t>OPT-2477572-2724076</t>
  </si>
  <si>
    <t>심영선</t>
  </si>
  <si>
    <t>010-9039-7820</t>
  </si>
  <si>
    <t>서울 강남구 삼성로85길 11 101동 1601호</t>
  </si>
  <si>
    <t>OPT-2477561-2724064</t>
  </si>
  <si>
    <t>김지영</t>
  </si>
  <si>
    <t>010-4457-0246</t>
  </si>
  <si>
    <t>서울 동작구 신대방3길 28 2층</t>
  </si>
  <si>
    <t>벨눌러 주시고 문앞에 놓아 주세요.</t>
  </si>
  <si>
    <t>OPT-2477524-2724027</t>
  </si>
  <si>
    <t>김민아</t>
  </si>
  <si>
    <t>010-2213-7524</t>
  </si>
  <si>
    <t>서울특별시 도봉구 시루봉로6길 53 (쌍문동, 쌍문동현대아파트) 201동1503호</t>
  </si>
  <si>
    <t>OPT-2477517-2724020</t>
  </si>
  <si>
    <t>010-9077-4273</t>
  </si>
  <si>
    <t>이훈민</t>
  </si>
  <si>
    <t>010-7444-5590</t>
  </si>
  <si>
    <t>광주 서구 눌재로 470 시내버스차고지 사무동 3층</t>
  </si>
  <si>
    <t>짬이 잘 안나서 직접 인사못드리고 감사의 마음 전합니다. 전화기 보내주셔서 감사해요!</t>
  </si>
  <si>
    <t>OPT-2477504-2724007</t>
  </si>
  <si>
    <t>김유경</t>
  </si>
  <si>
    <t>010-8446-8313</t>
  </si>
  <si>
    <t>경기도 안산시 상록구 광덕산1로 39-20 302호</t>
  </si>
  <si>
    <t>OPT-2477500-2724003</t>
  </si>
  <si>
    <t>이형래</t>
  </si>
  <si>
    <t>010-3800-4194</t>
  </si>
  <si>
    <t>이상준</t>
  </si>
  <si>
    <t>010-5438-4194</t>
  </si>
  <si>
    <t>경북 포항시 남구 구룡포읍 호미로449번길 229 끝집농장</t>
  </si>
  <si>
    <t>OPT-2477478-2723981</t>
  </si>
  <si>
    <t>김성욱.   The King &amp; I</t>
  </si>
  <si>
    <t>010-9091-8282</t>
  </si>
  <si>
    <t>남혜린</t>
  </si>
  <si>
    <t>010-4773-5001</t>
  </si>
  <si>
    <t xml:space="preserve">경남 창원시 진해구 충장로 361 2층 육내과 </t>
  </si>
  <si>
    <t>OPT-2477374-2723871</t>
  </si>
  <si>
    <t>박명희</t>
  </si>
  <si>
    <t>010-4786-9484</t>
  </si>
  <si>
    <t>경남 창원시 진해구 해원로 45 114-604</t>
  </si>
  <si>
    <t>OPT-2477370-2723867</t>
  </si>
  <si>
    <t>벅영미</t>
  </si>
  <si>
    <t>010-7156-6545</t>
  </si>
  <si>
    <t xml:space="preserve">경남 창원시 진해구 태백서로45번길 3 102동801호 </t>
  </si>
  <si>
    <t>OPT-2477367-2723864</t>
  </si>
  <si>
    <t>김용겸</t>
  </si>
  <si>
    <t>010-8703-4479</t>
  </si>
  <si>
    <t>충남 천안시 동남구 순천향4길 50 2층 모임방다방</t>
  </si>
  <si>
    <t>OPT-2477354-2723851</t>
  </si>
  <si>
    <t>홍승민</t>
  </si>
  <si>
    <t>010-5684-7858</t>
  </si>
  <si>
    <t>서울 영등포구 63로 45 6동21호</t>
  </si>
  <si>
    <t>OPT-2477348-2723844</t>
  </si>
  <si>
    <t>정희경</t>
  </si>
  <si>
    <t>010-8845-7683</t>
  </si>
  <si>
    <t>충북 충주시 염밭로 22 106동1406호(용산동,남산동일하이빌)</t>
  </si>
  <si>
    <t>OPT-2477345-2723841</t>
  </si>
  <si>
    <t>이상진</t>
  </si>
  <si>
    <t>010-3739-6455</t>
  </si>
  <si>
    <t>김연주</t>
  </si>
  <si>
    <t>010-3358-6455</t>
  </si>
  <si>
    <t>서울 마포구 백범로37길 12 102동 2104호</t>
  </si>
  <si>
    <t>OPT-2477324-2723818</t>
  </si>
  <si>
    <t>정하연</t>
  </si>
  <si>
    <t>010-6790-8939</t>
  </si>
  <si>
    <t>전남 화순군 화순읍 광덕로 204 부영아파트 506동 304호</t>
  </si>
  <si>
    <t>OPT-2477296-2723790</t>
  </si>
  <si>
    <t>태하맘</t>
  </si>
  <si>
    <t>010-6559-8885</t>
  </si>
  <si>
    <t>울산광역시 동구 서부로 51 (서부동, 신영 울산 지웰시티 자이 2단지) 206동 402호</t>
  </si>
  <si>
    <t>OPT-2477244-2723733</t>
  </si>
  <si>
    <t>경기 평택시 포승읍 여술로43번길 18 203동702호</t>
  </si>
  <si>
    <t>OPT-2477238-2723727</t>
  </si>
  <si>
    <t>이광호</t>
  </si>
  <si>
    <t>010-5555-2440</t>
  </si>
  <si>
    <t>대구광역시 동구 안심로73길 22 (신서 롯데캐슬레전드) 101~1809</t>
  </si>
  <si>
    <t>OPT-2477208-2723693</t>
  </si>
  <si>
    <t>정광석</t>
  </si>
  <si>
    <t>010-5510-4678</t>
  </si>
  <si>
    <t>김장환</t>
  </si>
  <si>
    <t>010-3872-6502</t>
  </si>
  <si>
    <t>부산 북구 화명신도시로 194 103동 803호</t>
  </si>
  <si>
    <t>OPT-2477172-2723656</t>
  </si>
  <si>
    <t>010-3369-1680</t>
  </si>
  <si>
    <t>박영심</t>
  </si>
  <si>
    <t>010-4609-8775</t>
  </si>
  <si>
    <t>서울 강서구 방화대로21길 73 국제방아간</t>
  </si>
  <si>
    <t>OPT-2477169-2723653</t>
  </si>
  <si>
    <t>손민기</t>
  </si>
  <si>
    <t>손용현</t>
  </si>
  <si>
    <t>010-9373-1422</t>
  </si>
  <si>
    <t>대전 유성구 엑스포로151번길 19 B동506호</t>
  </si>
  <si>
    <t>OPT-2477125-2723609</t>
  </si>
  <si>
    <t>서연의</t>
  </si>
  <si>
    <t>010-5720-1064</t>
  </si>
  <si>
    <t>대전 서구 둔산북로 215 12동501호 가람아파트</t>
  </si>
  <si>
    <t>OPT-2477107-2723591</t>
  </si>
  <si>
    <t>JOY</t>
  </si>
  <si>
    <t>010-4609-9533</t>
  </si>
  <si>
    <t>광주 광산구 수완로73번길 40 602동1103호</t>
  </si>
  <si>
    <t>OPT-2477106-2723590</t>
  </si>
  <si>
    <t>이희백</t>
  </si>
  <si>
    <t>010-5553-8731</t>
  </si>
  <si>
    <t>경상북도 영천시 자양면 배양골길 36-3 36-3</t>
  </si>
  <si>
    <t>OPT-2477087-2723570</t>
  </si>
  <si>
    <t>jiNa</t>
  </si>
  <si>
    <t>010-5624-8834</t>
  </si>
  <si>
    <t>경기 과천시 별양로 110 623-205</t>
  </si>
  <si>
    <t>OPT-2477064-2723545</t>
  </si>
  <si>
    <t>김경숙 미카엘라</t>
  </si>
  <si>
    <t>010-3238-9741</t>
  </si>
  <si>
    <t>경기도 김포시 고촌읍 고송로 17 (숲속마을대우아파트) 105-1302</t>
  </si>
  <si>
    <t>OPT-2477056-2723537</t>
  </si>
  <si>
    <t>김형일</t>
  </si>
  <si>
    <t>010-2867-5977</t>
  </si>
  <si>
    <t>서울 서초구 서초중앙로29길 28 306-1207</t>
  </si>
  <si>
    <t>OPT-2477038-2723519</t>
  </si>
  <si>
    <t>형종</t>
  </si>
  <si>
    <t>010-8605-9000</t>
  </si>
  <si>
    <t>광주광역시 서구 화개중앙로 116 (금호동, 이지더원아파트) 101809</t>
  </si>
  <si>
    <t>OPT-2477032-2723513</t>
  </si>
  <si>
    <t>인생은 속도가 아니라 방향이다</t>
  </si>
  <si>
    <t>010-3041-6666</t>
  </si>
  <si>
    <t>부산 동래구 아시아드대로181번가길 88 제일아트빌 201호</t>
  </si>
  <si>
    <t>배송 후 연락주세요</t>
  </si>
  <si>
    <t>OPT-2477029-2723510</t>
  </si>
  <si>
    <t>천성수</t>
  </si>
  <si>
    <t>010-4802-2758</t>
  </si>
  <si>
    <t>천수빈</t>
  </si>
  <si>
    <t>010-4017-0282</t>
  </si>
  <si>
    <t>대구 북구 칠곡중앙대로 434 103동603호</t>
  </si>
  <si>
    <t>OPT-2477028-2723509</t>
  </si>
  <si>
    <t>민주현</t>
  </si>
  <si>
    <t>010-9034-1349</t>
  </si>
  <si>
    <t>서울 영등포구 영등포로 206 신한드림빌 205호</t>
  </si>
  <si>
    <t>OPT-2477023-2723502</t>
  </si>
  <si>
    <t>권혁균</t>
  </si>
  <si>
    <t>010-5151-7221</t>
  </si>
  <si>
    <t>권호준</t>
  </si>
  <si>
    <t>010-2324-8727</t>
  </si>
  <si>
    <t>경기 성남시 분당구 서현로 177 105동 1304호</t>
  </si>
  <si>
    <t>OPT-2477021-2723500</t>
  </si>
  <si>
    <t>권호웅</t>
  </si>
  <si>
    <t>010-3318-3030</t>
  </si>
  <si>
    <t>경기 안성시 석정2길 13-8 신원아침도시 105동 601호</t>
  </si>
  <si>
    <t>OPT-2477018-2723497</t>
  </si>
  <si>
    <t>HJ</t>
  </si>
  <si>
    <t>010-9207-7067</t>
  </si>
  <si>
    <t>서화정</t>
  </si>
  <si>
    <t>서울 영등포구 도신로62길 23 202호</t>
  </si>
  <si>
    <t>배송전 연락 바랍니다</t>
  </si>
  <si>
    <t>OPT-2477006-2723485</t>
  </si>
  <si>
    <t>僧行什麽(한산)</t>
  </si>
  <si>
    <t>010-7773-0773</t>
  </si>
  <si>
    <t>우성제(한산)</t>
  </si>
  <si>
    <t>서울 강북구 삼양로87길 24-4 1층</t>
  </si>
  <si>
    <t>인증샷</t>
  </si>
  <si>
    <t>OPT-2476979-2723453</t>
  </si>
  <si>
    <t>서울 마포구 독막로42길 5 101동 1402호</t>
  </si>
  <si>
    <t>OPT-2476974-2723447</t>
  </si>
  <si>
    <t>김명이</t>
  </si>
  <si>
    <t>010-3012-9861</t>
  </si>
  <si>
    <t>김성자</t>
  </si>
  <si>
    <t>010-2004-1645</t>
  </si>
  <si>
    <t>서울 중랑구 공릉로18길 59 브라운스톤태릉아파트 102동 1506호</t>
  </si>
  <si>
    <t>집앞에 놓아주세요</t>
  </si>
  <si>
    <t>OPT-2476965-2723435</t>
  </si>
  <si>
    <t>신민영</t>
  </si>
  <si>
    <t>010-6605-7701</t>
  </si>
  <si>
    <t>경상남도 진주시 에나로175번길 11 (충무공동, 혁신도시중흥에스-클래스센트럴시티4단지) 401/1703</t>
  </si>
  <si>
    <t>OPT-2476953-2723420</t>
  </si>
  <si>
    <t>조민정</t>
  </si>
  <si>
    <t>010-4585-6999</t>
  </si>
  <si>
    <t>서울 송파구 양재대로 1218 107-1501</t>
  </si>
  <si>
    <t>OPT-2476935-2723402</t>
  </si>
  <si>
    <t>황영숙</t>
  </si>
  <si>
    <t>010-9460-3105</t>
  </si>
  <si>
    <t>강원특별자치도 강릉시 연당길 89 (초당동아트피아아파트) 511호</t>
  </si>
  <si>
    <t>OPT-2476860-2723320</t>
  </si>
  <si>
    <t>이정현</t>
  </si>
  <si>
    <t>010-6653-3316</t>
  </si>
  <si>
    <t>서울특별시 광진구 뚝섬로46길 33 (자양동) 401호</t>
  </si>
  <si>
    <t>OPT-2476855-2723315</t>
  </si>
  <si>
    <t>한길례</t>
  </si>
  <si>
    <t>010-2974-0815</t>
  </si>
  <si>
    <t>경기 용인시 기흥구 기흥역로58번길 10 205-3302</t>
  </si>
  <si>
    <t>OPT-2476848-2723308</t>
  </si>
  <si>
    <t>오진완</t>
  </si>
  <si>
    <t>010-5320-6474</t>
  </si>
  <si>
    <t>서울특별시 성동구 매봉길 50 (옥수동, 이편한세상옥수파크힐스) 104동 905호</t>
  </si>
  <si>
    <t>OPT-2476846-2723305</t>
  </si>
  <si>
    <t>용인조군.조현우</t>
  </si>
  <si>
    <t>010-5411-5690</t>
  </si>
  <si>
    <t>경기 평택시 현신2길 33-48 풀하우스 402호</t>
  </si>
  <si>
    <t>OPT-2476843-2723302</t>
  </si>
  <si>
    <t>forest</t>
  </si>
  <si>
    <t>010-4730-3120</t>
  </si>
  <si>
    <t>경기 의정부시 장곡로226번길 83 107동2003호</t>
  </si>
  <si>
    <t>OPT-2476840-2723299</t>
  </si>
  <si>
    <t>010-3726-2595</t>
  </si>
  <si>
    <t>전라남도 여수시 여서로 304 (여서동, 경남1차아파트) 105동903호</t>
  </si>
  <si>
    <t>OPT-2476809-2723265</t>
  </si>
  <si>
    <t>정철윤</t>
  </si>
  <si>
    <t>010-7424-7845</t>
  </si>
  <si>
    <t>한현숙</t>
  </si>
  <si>
    <t>010-9639-7845</t>
  </si>
  <si>
    <t>광주 서구 상무공원로 92 치평동 상무대주1차  103동 1210호</t>
  </si>
  <si>
    <t>OPT-2476796-2723252</t>
  </si>
  <si>
    <t>이란아</t>
  </si>
  <si>
    <t>010-7305-7786</t>
  </si>
  <si>
    <t>전북특별자치도 전주시 완산구 안행2길 14 (삼천동1가, 안행현대아파트) 101동1104호</t>
  </si>
  <si>
    <t>OPT-2476794-2723249</t>
  </si>
  <si>
    <t>박지현</t>
  </si>
  <si>
    <t>010-7380-9690</t>
  </si>
  <si>
    <t>이은주</t>
  </si>
  <si>
    <t>010-2772-4072</t>
  </si>
  <si>
    <t xml:space="preserve">경기 시흥시 정왕천로389번길 17-1 3층 </t>
  </si>
  <si>
    <t>OPT-2476789-2723244</t>
  </si>
  <si>
    <t>ᆢㆍ소나무</t>
  </si>
  <si>
    <t>010-5180-4372</t>
  </si>
  <si>
    <t>서울 성북구 화랑로13길 79-4 하월곡동  101호</t>
  </si>
  <si>
    <t>OPT-2476788-2723243</t>
  </si>
  <si>
    <t>최진희</t>
  </si>
  <si>
    <t>010-6361-5227</t>
  </si>
  <si>
    <t>경기도 수원시 장안구 만석로 29 (천천동, 비단마을현대성우.우방아파트) 716동 1206호</t>
  </si>
  <si>
    <t>OPT-2476784-2723239</t>
  </si>
  <si>
    <t>박종은</t>
  </si>
  <si>
    <t>010-3411-9946</t>
  </si>
  <si>
    <t>김경애</t>
  </si>
  <si>
    <t>010-2353-3799</t>
  </si>
  <si>
    <t>충북 충주시 동수5길 12 102호</t>
  </si>
  <si>
    <t>배송전 연락바랍니다</t>
  </si>
  <si>
    <t>OPT-2476780-2723235</t>
  </si>
  <si>
    <t>유종석</t>
  </si>
  <si>
    <t>010-8336-3614</t>
  </si>
  <si>
    <t>경기도 용인시 처인구 남사읍 한숲로 123 (e편한세상 용인 한숲시티) 308동 1804호</t>
  </si>
  <si>
    <t>OPT-2476779-2723234</t>
  </si>
  <si>
    <t>김윤미</t>
  </si>
  <si>
    <t>010-9053-8285</t>
  </si>
  <si>
    <t>서울 광진구 능동로 165-1 화양동 프라하임 505호</t>
  </si>
  <si>
    <t>OPT-2476778-2723233</t>
  </si>
  <si>
    <t>송미진(승환승원맘)</t>
  </si>
  <si>
    <t>010-3541-4734</t>
  </si>
  <si>
    <t>서울 강동구 양재대로 1300 302-3404</t>
  </si>
  <si>
    <t>OPT-2476771-2723226</t>
  </si>
  <si>
    <t>심정보</t>
  </si>
  <si>
    <t>010-3608-2508</t>
  </si>
  <si>
    <t>광주 북구 설죽로 515 메디팜일곡큰사랑약국</t>
  </si>
  <si>
    <t>OPT-2476767-2723222</t>
  </si>
  <si>
    <t>홍성표</t>
  </si>
  <si>
    <t>010-2634-2378</t>
  </si>
  <si>
    <t>경기도 용인시 수지구 신봉1로 112-2 (신봉동, 신봉마을 엘지빌리지5차) 513동 1404호</t>
  </si>
  <si>
    <t>OPT-2476764-2723218</t>
  </si>
  <si>
    <t>이주화</t>
  </si>
  <si>
    <t>010-9929-9958</t>
  </si>
  <si>
    <t>경북 경주시 강변로 540 e편한세상 102동 1304호</t>
  </si>
  <si>
    <t>OPT-2476758-2723212</t>
  </si>
  <si>
    <t>박상미</t>
  </si>
  <si>
    <t>010-9259-1577</t>
  </si>
  <si>
    <t>경기도 성남시 분당구 판교대장로7길 69 (대장동, 판교 퍼스트힐 푸르지오 1단지) 101동 1603호</t>
  </si>
  <si>
    <t>OPT-2476736-2723188</t>
  </si>
  <si>
    <t>박진우</t>
  </si>
  <si>
    <t>010-9136-6935</t>
  </si>
  <si>
    <t>서울특별시 은평구 녹번로1길 23-9 (녹번동, 대림에코빌) 601호</t>
  </si>
  <si>
    <t>OPT-2476727-2723178</t>
  </si>
  <si>
    <t>김주희</t>
  </si>
  <si>
    <t>010-8934-7637</t>
  </si>
  <si>
    <t>경기도 남양주시 불암로 337 (별내동, 남양주별내 유승 한내들) 5101-1502</t>
  </si>
  <si>
    <t>OPT-2476725-2723176</t>
  </si>
  <si>
    <t>구승관</t>
  </si>
  <si>
    <t>010-4754-5178</t>
  </si>
  <si>
    <t>김춘례</t>
  </si>
  <si>
    <t>010-2611-5178</t>
  </si>
  <si>
    <t>경기 남양주시 별내면 청학로68번길 24 408동 903호</t>
  </si>
  <si>
    <t>OPT-2476704-2723155</t>
  </si>
  <si>
    <t>양종선</t>
  </si>
  <si>
    <t>010-8565-2555</t>
  </si>
  <si>
    <t>경기도 안산시 단원구 당곡로 33 (고잔동) 102-1906</t>
  </si>
  <si>
    <t>OPT-2476693-2723143</t>
  </si>
  <si>
    <t>김선희</t>
  </si>
  <si>
    <t>010-2593-8868</t>
  </si>
  <si>
    <t>서울특별시 노원구 동일로242라길 21-11 (상계동, 비콘드림힐아파트) 201-302</t>
  </si>
  <si>
    <t>OPT-2476662-2723110</t>
  </si>
  <si>
    <t>박재형</t>
  </si>
  <si>
    <t>010-2142-1756</t>
  </si>
  <si>
    <t>인천 남동구 인주대로591번길 94 위너스타워 703호</t>
  </si>
  <si>
    <t>OPT-2476652-2723100</t>
  </si>
  <si>
    <t>조성곤</t>
  </si>
  <si>
    <t>010-5334-1883</t>
  </si>
  <si>
    <t>경기 하남시 위례순환로 270 6504동1402호</t>
  </si>
  <si>
    <t>OPT-2476651-2723099</t>
  </si>
  <si>
    <t>김정태</t>
  </si>
  <si>
    <t>010-2735-1076</t>
  </si>
  <si>
    <t>서울 성북구 낙산길 255 보문동3가이편한세상 대림.@  106동603호</t>
  </si>
  <si>
    <t>OPT-2476648-2723096</t>
  </si>
  <si>
    <t>오정욱</t>
  </si>
  <si>
    <t>010-9665-6365</t>
  </si>
  <si>
    <t>부산광역시 동래구 복천로5번길 31 (복천동, 동래복천현대아파트) 102동 503호</t>
  </si>
  <si>
    <t>문 앞에 놓아 주세요</t>
  </si>
  <si>
    <t>OPT-2476642-2723090</t>
  </si>
  <si>
    <t>Anna</t>
  </si>
  <si>
    <t>010-5378-6493</t>
  </si>
  <si>
    <t>서울 광진구 뚝섬로 467 롯데캐슬리버파크시그니처 103-2605</t>
  </si>
  <si>
    <t>OPT-2476641-2723089</t>
  </si>
  <si>
    <t>오분선</t>
  </si>
  <si>
    <t>010-6234-1228</t>
  </si>
  <si>
    <t>경남 거제시 국산로 191 자이온더퍼스트아파트102동1102호</t>
  </si>
  <si>
    <t>OPT-2476633-2723076</t>
  </si>
  <si>
    <t>현숙</t>
  </si>
  <si>
    <t>010-3381-6930</t>
  </si>
  <si>
    <t>경기 파주시 해솔로 20 411-2003</t>
  </si>
  <si>
    <t>OPT-2476631-2723073</t>
  </si>
  <si>
    <t>장미</t>
  </si>
  <si>
    <t>010-8670-9057</t>
  </si>
  <si>
    <t>서울특별시 광진구 뚝섬로30가길 5-13 (자양동) 2층자양동</t>
  </si>
  <si>
    <t>오렌지색작은대문열고2층 펜스안쪽에 넣어주세요</t>
  </si>
  <si>
    <t>OPT-2476630-2723072</t>
  </si>
  <si>
    <t>TAEYEON</t>
  </si>
  <si>
    <t>010-8274-3357</t>
  </si>
  <si>
    <t>서울특별시 동대문구 이문로12길 3-10 (이문동, 래미안이문2차아파트) 101동 702호</t>
  </si>
  <si>
    <t>OPT-2476626-2723068</t>
  </si>
  <si>
    <t>조주연</t>
  </si>
  <si>
    <t>010-2701-4331</t>
  </si>
  <si>
    <t>서울 강남구 도곡로 404 101동 603호</t>
  </si>
  <si>
    <t>OPT-2476624-2723066</t>
  </si>
  <si>
    <t>한정희</t>
  </si>
  <si>
    <t>010-5240-0014</t>
  </si>
  <si>
    <t>서울특별시 성북구 길음로 16 (길음동, 길음뉴타운) 612동 202호</t>
  </si>
  <si>
    <t>OPT-2476622-2723064</t>
  </si>
  <si>
    <t>김태영</t>
  </si>
  <si>
    <t>010-2080-8837</t>
  </si>
  <si>
    <t>경기 남양주시 식송1로 216 301호</t>
  </si>
  <si>
    <t>OPT-2476621-2723063</t>
  </si>
  <si>
    <t>신연성</t>
  </si>
  <si>
    <t>010-3228-1330</t>
  </si>
  <si>
    <t>경기도 성남시 분당구 양현로 138 (이매동, 이매촌진흥아파트) 진흥아파트802동402호</t>
  </si>
  <si>
    <t>OPT-2476499-2722932</t>
  </si>
  <si>
    <t>김의원</t>
  </si>
  <si>
    <t>010-4842-2311</t>
  </si>
  <si>
    <t>서울 강동구 아리수로93길 40 308동 706호</t>
  </si>
  <si>
    <t>OPT-2476497-2722930</t>
  </si>
  <si>
    <t>조장연</t>
  </si>
  <si>
    <t>010-5252-0816</t>
  </si>
  <si>
    <t>이미화</t>
  </si>
  <si>
    <t>010-3735-6633</t>
  </si>
  <si>
    <t>경기 군포시 번영로 403 503동 1502호</t>
  </si>
  <si>
    <t>OPT-2476486-2722917</t>
  </si>
  <si>
    <t>이범하</t>
  </si>
  <si>
    <t>010-8955-6904</t>
  </si>
  <si>
    <t>경기도 성남시 분당구 판교대장로5길 19 (대장동, 힐스테이트 판교 엘포레 A4BL) 401-502</t>
  </si>
  <si>
    <t>OPT-2476479-2722910</t>
  </si>
  <si>
    <t>hyein park</t>
  </si>
  <si>
    <t>010-7121-3248</t>
  </si>
  <si>
    <t>류지현</t>
  </si>
  <si>
    <t>010-6538-6934</t>
  </si>
  <si>
    <t>경기 용인시 기흥구 죽전로27번길 14-8 3층  302호</t>
  </si>
  <si>
    <t>OPT-2476435-2722865</t>
  </si>
  <si>
    <t>박승구</t>
  </si>
  <si>
    <t>서울 금천구 독산로78가길 20 401호</t>
  </si>
  <si>
    <t>OPT-2476429-2722859</t>
  </si>
  <si>
    <t>임도형</t>
  </si>
  <si>
    <t>인천 서구 청라라임로 40 134동 1304호</t>
  </si>
  <si>
    <t>OPT-2476426-2722856</t>
  </si>
  <si>
    <t>song</t>
  </si>
  <si>
    <t>010-7477-1598</t>
  </si>
  <si>
    <t>이영애</t>
  </si>
  <si>
    <t>대전 서구 둔산로 201 국화아파트 105동 1202호</t>
  </si>
  <si>
    <t>OPT-2476421-2722850</t>
  </si>
  <si>
    <t>010-5604-9638</t>
  </si>
  <si>
    <t>광주 서구 풍암순환로 82 남양삼능 103~1406</t>
  </si>
  <si>
    <t>OPT-2476420-2722849</t>
  </si>
  <si>
    <t>조성근</t>
  </si>
  <si>
    <t>010-4227-8733</t>
  </si>
  <si>
    <t>서울 강동구 아리수로94길 19 610동101호</t>
  </si>
  <si>
    <t>OPT-2476416-2722845</t>
  </si>
  <si>
    <t>이현희</t>
  </si>
  <si>
    <t>010-7376-7629</t>
  </si>
  <si>
    <t>010-6397-2567</t>
  </si>
  <si>
    <t>경기 의정부시 동일로 397 장암주공2단지 212동 1404호</t>
  </si>
  <si>
    <t>OPT-2476412-2722841</t>
  </si>
  <si>
    <t>한승원</t>
  </si>
  <si>
    <t>010-3793-0103</t>
  </si>
  <si>
    <t>서울 용산구 이촌로 324-10 2동506호</t>
  </si>
  <si>
    <t>대문앞에 놓아 주세요</t>
  </si>
  <si>
    <t>OPT-2476410-2722839</t>
  </si>
  <si>
    <t>박은미</t>
  </si>
  <si>
    <t>010-9633-4969</t>
  </si>
  <si>
    <t>서울 금천구 가산디지털1로 119 B동 811호</t>
  </si>
  <si>
    <t>OPT-2476396-2722824</t>
  </si>
  <si>
    <t>정병진</t>
  </si>
  <si>
    <t>010-2973-8283</t>
  </si>
  <si>
    <t>광주 북구 중문로 55 301동707호</t>
  </si>
  <si>
    <t>OPT-2476387-2722815</t>
  </si>
  <si>
    <t>양수준</t>
  </si>
  <si>
    <t>010-9786-0801</t>
  </si>
  <si>
    <t>경기 광주시 능평로30번길 30-11 303호</t>
  </si>
  <si>
    <t>OPT-2476380-2722808</t>
  </si>
  <si>
    <t>쁠루 jack.lee</t>
  </si>
  <si>
    <t>010-3239-1905</t>
  </si>
  <si>
    <t>서울특별시 금천구 벚꽃로 100 (독산동, 독산역 롯데캐슬) 101동203호</t>
  </si>
  <si>
    <t>OPT-2476325-2722749</t>
  </si>
  <si>
    <t>고소영</t>
  </si>
  <si>
    <t>010-5105-1731</t>
  </si>
  <si>
    <t>경기 수원시 영통구 영통로 232 두산우성한신 아파트 824동1604호</t>
  </si>
  <si>
    <t>OPT-2476277-2722697</t>
  </si>
  <si>
    <t>박정화</t>
  </si>
  <si>
    <t>010-6287-8323</t>
  </si>
  <si>
    <t>경기 남양주시 도농로17번길 17-15 202호 공통현관 열쇠4321종</t>
  </si>
  <si>
    <t>OPT-2476269-2722689</t>
  </si>
  <si>
    <t>김홍진(outdoor)</t>
  </si>
  <si>
    <t>010-2024-4024</t>
  </si>
  <si>
    <t>010-5313-1268</t>
  </si>
  <si>
    <t>강원특별자치도 원주시 흥업면 남원로 52-25 103동 1103호</t>
  </si>
  <si>
    <t>OPT-2476236-2722654</t>
  </si>
  <si>
    <t>김동순</t>
  </si>
  <si>
    <t>010-8895-6674</t>
  </si>
  <si>
    <t>강원특별자치도 춘천시 우두1길 70 (우두동, 춘천우두이지더원시그니처) 106동 602호</t>
  </si>
  <si>
    <t>OPT-2476216-2722634</t>
  </si>
  <si>
    <t>윤한성</t>
  </si>
  <si>
    <t>010-2566-8627</t>
  </si>
  <si>
    <t>01-2566-8627</t>
  </si>
  <si>
    <t>울산 중구 남외로 60 207동506호</t>
  </si>
  <si>
    <t>OPT-2476205-2722623</t>
  </si>
  <si>
    <t>최규삼</t>
  </si>
  <si>
    <t>010-9120-7426</t>
  </si>
  <si>
    <t>최규광</t>
  </si>
  <si>
    <t>010-3569-9963</t>
  </si>
  <si>
    <t>울산 남구 은월로40번길 8 울산남구은월로40번길8대륙2차102동908호</t>
  </si>
  <si>
    <t>OPT-2475736-2722120</t>
  </si>
  <si>
    <t>최청순</t>
  </si>
  <si>
    <t>010-4534-8986</t>
  </si>
  <si>
    <t>경기 고양시 덕양구 충장로 118-30 샘터마을206동1101호</t>
  </si>
  <si>
    <t>OPT-2475735-2722119</t>
  </si>
  <si>
    <t>은주련</t>
  </si>
  <si>
    <t>010-8993-4179</t>
  </si>
  <si>
    <t>경기도 성남시 수정구 위례광장로 70 (창곡동, 위례 아트리버 푸르지오 1단지) 101동801호</t>
  </si>
  <si>
    <t>OPT-2475674-2722046</t>
  </si>
  <si>
    <t>박용준</t>
  </si>
  <si>
    <t>010-8726-0536</t>
  </si>
  <si>
    <t>박병노</t>
  </si>
  <si>
    <t>010-4612-6820</t>
  </si>
  <si>
    <t>서울 서대문구 통일로34길 43 110동 204호</t>
  </si>
  <si>
    <t>롯데택배</t>
  </si>
  <si>
    <t>OPT-2479247-2725857</t>
  </si>
  <si>
    <t>윤홍내</t>
  </si>
  <si>
    <t>010-8996-6318</t>
  </si>
  <si>
    <t>대전 중구 목동로 37 107동302호</t>
  </si>
  <si>
    <t>설전에 배송부탁드립니다</t>
  </si>
  <si>
    <t>OPT-2479153-2725759</t>
  </si>
  <si>
    <t>김효연</t>
  </si>
  <si>
    <t>010-6252-6149</t>
  </si>
  <si>
    <t>서울 서초구 방배중앙로15길 39 201호</t>
  </si>
  <si>
    <t>OPT-2478994-2725598</t>
  </si>
  <si>
    <t>신용조</t>
  </si>
  <si>
    <t>010-3587-6781</t>
  </si>
  <si>
    <t>부산광역시 수영구 황령대로473번길 15 (남천동, 남천 엑슬루타워) 101동3004호</t>
  </si>
  <si>
    <t>SUB-2478510-307130</t>
  </si>
  <si>
    <t>뿌꾸엄마</t>
  </si>
  <si>
    <t>010-9448-2098</t>
  </si>
  <si>
    <t>부산 수영구 수영로 754 104동2703호</t>
  </si>
  <si>
    <t>SUB-2478413-307120</t>
  </si>
  <si>
    <t>이정춘</t>
  </si>
  <si>
    <t>010-3682-2934</t>
  </si>
  <si>
    <t>전북특별자치도 전주시 완산구 안행로 175 (중화산동1가, 현대1차아파트) 103동504호</t>
  </si>
  <si>
    <t>SUB-2478329-307113</t>
  </si>
  <si>
    <t>안은수</t>
  </si>
  <si>
    <t>010-9797-3266</t>
  </si>
  <si>
    <t>경기 화성시 동탄순환대로20길 69 2255/102</t>
  </si>
  <si>
    <t>SUB-2478319-307108</t>
  </si>
  <si>
    <t>송연아</t>
  </si>
  <si>
    <t>010-9500-4702</t>
  </si>
  <si>
    <t>전남 여수시 여문2로 54-26 코아루수 107동 901호</t>
  </si>
  <si>
    <t>SUB-2478287-307107</t>
  </si>
  <si>
    <t>조호성</t>
  </si>
  <si>
    <t>010-5670-1436</t>
  </si>
  <si>
    <t>서울 강서구 강서로 348 105동 203호</t>
  </si>
  <si>
    <t>SUB-2478170-307097</t>
  </si>
  <si>
    <t>김상목</t>
  </si>
  <si>
    <t>010-8772-2942</t>
  </si>
  <si>
    <t>경기 하남시 미사강변동로 100 104동2702호</t>
  </si>
  <si>
    <t>SUB-2478144-307094</t>
  </si>
  <si>
    <t>SUB-2478142-307093</t>
  </si>
  <si>
    <t>떡써는 석봉</t>
  </si>
  <si>
    <t>010-8696-3141</t>
  </si>
  <si>
    <t>강원특별자치도 강릉시 가작로 78 (교동, 강릉 교동(1)주공아파트) 106동 804호</t>
  </si>
  <si>
    <t>SUB-2477719-307075</t>
  </si>
  <si>
    <t>SUB-2477717-307074</t>
  </si>
  <si>
    <t>j ha</t>
  </si>
  <si>
    <t>서울특별시 구로구 신도림로 16 (신도림동, 신도림 대림아파트) 506-1001</t>
  </si>
  <si>
    <t>SUB-2477599-307064</t>
  </si>
  <si>
    <t>010-5342-6321</t>
  </si>
  <si>
    <t>서울 강남구 광평로10길 15 상록수아파트 205동306호</t>
  </si>
  <si>
    <t>도착전 문자주세요</t>
  </si>
  <si>
    <t>SUB-2477593-307063</t>
  </si>
  <si>
    <t>최윤석(Miguel) 한국톡</t>
  </si>
  <si>
    <t>010-9623-8395</t>
  </si>
  <si>
    <t>최상재</t>
  </si>
  <si>
    <t>010-3725-6432</t>
  </si>
  <si>
    <t>경기 용인시 수지구 만현로 127 두산위브아파트802동702호</t>
  </si>
  <si>
    <t>SUB-2477539-307058</t>
  </si>
  <si>
    <t>이철수</t>
  </si>
  <si>
    <t>010-9780-9579</t>
  </si>
  <si>
    <t>경기 고양시 일산서구 주엽로 161 동아아파트 809동 1902호</t>
  </si>
  <si>
    <t>SUB-2477436-307052</t>
  </si>
  <si>
    <t>김세영</t>
  </si>
  <si>
    <t>010-3402-9330</t>
  </si>
  <si>
    <t>010-5161-9330</t>
  </si>
  <si>
    <t>서울 동대문구 장한로22길 20-16 301호</t>
  </si>
  <si>
    <t>SUB-2477334-307044</t>
  </si>
  <si>
    <t>SUB-2477013-307027</t>
  </si>
  <si>
    <t>황진원</t>
  </si>
  <si>
    <t>010-8314-3521</t>
  </si>
  <si>
    <t>경기도 안양시 동안구 귀인로 210 (귀인마을현대홈타운) 201동 1501호</t>
  </si>
  <si>
    <t>SUB-2476906-307020</t>
  </si>
  <si>
    <t>이건진</t>
  </si>
  <si>
    <t>010-2409-0245</t>
  </si>
  <si>
    <t>강원특별자치도 원주시 관설안길 10 302호</t>
  </si>
  <si>
    <t>SUB-2476875-307018</t>
  </si>
  <si>
    <t>이영복</t>
  </si>
  <si>
    <t>010-7731-3470</t>
  </si>
  <si>
    <t>서울 강남구 도곡로78길 22 108동2106호</t>
  </si>
  <si>
    <t>SUB-2476829-307016</t>
  </si>
  <si>
    <t>김성준</t>
  </si>
  <si>
    <t>010-9903-9635</t>
  </si>
  <si>
    <t>경기 성남시 중원구 둔촌대로127번길 6-12 3층</t>
  </si>
  <si>
    <t>SUB-2476799-307011</t>
  </si>
  <si>
    <t>이풍수</t>
  </si>
  <si>
    <t>010-3709-3838</t>
  </si>
  <si>
    <t>경기 성남시 중원구 제일로63번길 8-5 104호/대문옆 우측에, 작은문으로 들어서면 계단위에104호 보입니다.</t>
  </si>
  <si>
    <t>배송전 미리 연락주십시요.</t>
  </si>
  <si>
    <t>SUB-2476792-307010</t>
  </si>
  <si>
    <t>jhp</t>
  </si>
  <si>
    <t>SUB-2476754-307009</t>
  </si>
  <si>
    <t>박은주</t>
  </si>
  <si>
    <t>010-9087-2813</t>
  </si>
  <si>
    <t>김선기</t>
  </si>
  <si>
    <t>010-9099-4123</t>
  </si>
  <si>
    <t>경기 과천시 매봉로 29 매일해오름</t>
  </si>
  <si>
    <t>SUB-2476742-307008</t>
  </si>
  <si>
    <t>스키마</t>
  </si>
  <si>
    <t>010-8927-7284</t>
  </si>
  <si>
    <t>경기 성남시 분당구 정자일로 55 107-1302호</t>
  </si>
  <si>
    <t>SUB-2476610-307002</t>
  </si>
  <si>
    <t>010-9098-7077</t>
  </si>
  <si>
    <t>인천광역시 미추홀구 염전로 414 (주안동, 주안역 센트레빌) 107동 1601호</t>
  </si>
  <si>
    <t>SUB-2476519-306995</t>
  </si>
  <si>
    <t>성신여대 방산고 새로운시작! 힘차게!</t>
  </si>
  <si>
    <t>010-3236-8155</t>
  </si>
  <si>
    <t>배경률</t>
  </si>
  <si>
    <t>서울특별시 송파구 송이로19길 4-8 (가락동) 5층</t>
  </si>
  <si>
    <t>부재시 문앞에 두시기 바랍니다~</t>
  </si>
  <si>
    <t>SUB-2476390-306983</t>
  </si>
  <si>
    <t>배수현</t>
  </si>
  <si>
    <t>010-8028-8155</t>
  </si>
  <si>
    <t xml:space="preserve">충남 천안시 동남구 일봉로 110 삼성쉐르빌 104동1002호 </t>
  </si>
  <si>
    <t>SUB-2476386-306982</t>
  </si>
  <si>
    <t>임남정</t>
  </si>
  <si>
    <t>010-9008-8516</t>
  </si>
  <si>
    <t>인천광역시 동구 방축로23번길 38 (송현동) 우복기계</t>
  </si>
  <si>
    <t>평일배송바람. 직장주소임</t>
  </si>
  <si>
    <t>SUB-2476343-306979</t>
  </si>
  <si>
    <t>이보미</t>
  </si>
  <si>
    <t>010-6688-8064</t>
  </si>
  <si>
    <t>서울특별시 마포구 토정로 158 (하중동, 한강밤섬자이) 102-503</t>
  </si>
  <si>
    <t>OPT-2481555-2728241</t>
  </si>
  <si>
    <t>조우진</t>
  </si>
  <si>
    <t>010-4317-1205</t>
  </si>
  <si>
    <t>경기 부천시 원미구 장말로 137 1622동 1502호 (상동,사랑마을청구아파트)</t>
  </si>
  <si>
    <t>OPT-2481126-2727807</t>
  </si>
  <si>
    <t>임지연</t>
  </si>
  <si>
    <t>010-9874-5774</t>
  </si>
  <si>
    <t>경기도 고양시 덕양구 중앙로558번길 57 (행신동, 햇빛마을18단지아파트) 1823동1904 호</t>
  </si>
  <si>
    <t>OPT-2481090-2727770</t>
  </si>
  <si>
    <t>과거가 현재를 도울 수 있는가</t>
  </si>
  <si>
    <t>010-4946-3095</t>
  </si>
  <si>
    <t>인천 계양구 안남로 560 206동402호</t>
  </si>
  <si>
    <t>부재시 문앞에 놔두세요</t>
  </si>
  <si>
    <t>OPT-2480801-2727479</t>
  </si>
  <si>
    <t>이창용</t>
  </si>
  <si>
    <t>010-3901-7252</t>
  </si>
  <si>
    <t>김경심</t>
  </si>
  <si>
    <t>010-9470-1586</t>
  </si>
  <si>
    <t>전남 보성군 벌교읍 홍암로 123-6 901호</t>
  </si>
  <si>
    <t>베송전 연락주세요</t>
  </si>
  <si>
    <t>OPT-2480536-2727201</t>
  </si>
  <si>
    <t>송광</t>
  </si>
  <si>
    <t>010-5943-0688</t>
  </si>
  <si>
    <t>인천 연수구 원인재로 56 106동 601호</t>
  </si>
  <si>
    <t>OPT-2480408-2727069</t>
  </si>
  <si>
    <t>지인천</t>
  </si>
  <si>
    <t>010-5833-5211</t>
  </si>
  <si>
    <t>전북특별자치도 전주시 완산구 새터로 60 201동 702호</t>
  </si>
  <si>
    <t>집앞현관문앞에놔둬주세요</t>
  </si>
  <si>
    <t>OPT-2480405-2727066</t>
  </si>
  <si>
    <t>ㄱ.정원욱</t>
  </si>
  <si>
    <t>010-4712-3231</t>
  </si>
  <si>
    <t>경기 수원시 영통구 효원로 363 131동406호</t>
  </si>
  <si>
    <t>OPT-2480388-2727049</t>
  </si>
  <si>
    <t>이남기</t>
  </si>
  <si>
    <t>010-2831-0209</t>
  </si>
  <si>
    <t>경기 의정부시 상금로 36 107동 202호</t>
  </si>
  <si>
    <t>OPT-2480344-2727003</t>
  </si>
  <si>
    <t>그린비</t>
  </si>
  <si>
    <t>010-5518-4256</t>
  </si>
  <si>
    <t>서울 성동구 독서당로 344 힐스테이트 서울숲리버 104동 503호</t>
  </si>
  <si>
    <t>OPT-2480306-2726965</t>
  </si>
  <si>
    <t>허성규</t>
  </si>
  <si>
    <t>010-9968-2641</t>
  </si>
  <si>
    <t>서울 마포구 대흥로4길 20 402호</t>
  </si>
  <si>
    <t>OPT-2480285-2726944</t>
  </si>
  <si>
    <t>김재완</t>
  </si>
  <si>
    <t>010-2039-8186</t>
  </si>
  <si>
    <t>경남 김해시 분성로 14 일동한신 127동 901호</t>
  </si>
  <si>
    <t>문 앞에 놔둬주세요~</t>
  </si>
  <si>
    <t>OPT-2480211-2726868</t>
  </si>
  <si>
    <t>윤용필</t>
  </si>
  <si>
    <t>010-9509-4577</t>
  </si>
  <si>
    <t>윤용</t>
  </si>
  <si>
    <t>010-5697-1359</t>
  </si>
  <si>
    <t>세종특별자치시 누리로 59 첫마을5단지 515동402호</t>
  </si>
  <si>
    <t>OPT-2480111-2726760</t>
  </si>
  <si>
    <t>주연희</t>
  </si>
  <si>
    <t>010-3242-4367</t>
  </si>
  <si>
    <t>경기도 안양시 동안구 관평로 68 (평촌동, 꿈마을한신아파트) 706동 501호</t>
  </si>
  <si>
    <t>OPT-2480104-2726753</t>
  </si>
  <si>
    <t>정수</t>
  </si>
  <si>
    <t>010-6551-1589</t>
  </si>
  <si>
    <t>경기 고양시 일산동구 하늘마을1로 25 511동 1404호</t>
  </si>
  <si>
    <t>OPT-2480095-2726744</t>
  </si>
  <si>
    <t>김대환</t>
  </si>
  <si>
    <t>010-7756-8315</t>
  </si>
  <si>
    <t>이기례</t>
  </si>
  <si>
    <t>010-4079-3900</t>
  </si>
  <si>
    <t>서울 영등포구 디지털로 420 101동 202호</t>
  </si>
  <si>
    <t>OPT-2479634-2726259</t>
  </si>
  <si>
    <t>김태원</t>
  </si>
  <si>
    <t>서울 마포구 백범로 178 B동603호</t>
  </si>
  <si>
    <t>OPT-2479629-2726254</t>
  </si>
  <si>
    <t>최현수</t>
  </si>
  <si>
    <t>010-6550-6972</t>
  </si>
  <si>
    <t>경남 거제시 거제면 내간2길 56 경로당 옆집</t>
  </si>
  <si>
    <t>OPT-2479581-2726205</t>
  </si>
  <si>
    <t>김문호</t>
  </si>
  <si>
    <t>010-2488-5534</t>
  </si>
  <si>
    <t>서울 마포구 마포대로1길 21 마포대림1차 102동802호</t>
  </si>
  <si>
    <t>OPT-2479557-2726175</t>
  </si>
  <si>
    <t>윤병준</t>
  </si>
  <si>
    <t>010-3746-0811</t>
  </si>
  <si>
    <t>강원도 횡성군 갑천로807번길 12-30 (상대리 467)</t>
  </si>
  <si>
    <t>현관 문앞에 놓아주세요.</t>
  </si>
  <si>
    <t>OPT-2479539-2726156</t>
  </si>
  <si>
    <t>선한 영향력!</t>
  </si>
  <si>
    <t>010-2354-8749</t>
  </si>
  <si>
    <t>양혁승</t>
  </si>
  <si>
    <t>부산 금정구 서곡로 27-2 2층 목양실</t>
  </si>
  <si>
    <t>빠른 배송 바랍니다.</t>
  </si>
  <si>
    <t>OPT-2479516-2726133</t>
  </si>
  <si>
    <t>JIYOUNG BONG</t>
  </si>
  <si>
    <t>010-5682-6322</t>
  </si>
  <si>
    <t>경기도 군포시 수리산로 40 (산본동, 한양수리아파트) 808-2101</t>
  </si>
  <si>
    <t>OPT-2479471-2726088</t>
  </si>
  <si>
    <t>이경원</t>
  </si>
  <si>
    <t>010-8167-2100</t>
  </si>
  <si>
    <t>대구 동구 파계로116길 40 전원주택</t>
  </si>
  <si>
    <t>OPT-2478181-2724726</t>
  </si>
  <si>
    <t>정창모</t>
  </si>
  <si>
    <t>010-3726-3870</t>
  </si>
  <si>
    <t xml:space="preserve">서울 강남구 압구정로29길 71 31동 602호 압구정동 현대아파트 </t>
  </si>
  <si>
    <t>OPT-2478151-2724696</t>
  </si>
  <si>
    <t>신선섭  Shin, Seon-Seop</t>
  </si>
  <si>
    <t>010-9009-1252</t>
  </si>
  <si>
    <t>백수인</t>
  </si>
  <si>
    <t>010-8545-9739</t>
  </si>
  <si>
    <t xml:space="preserve">경기 평택시 평택로 17 롯데 인벤스 스카이 아파트 104동804호 </t>
  </si>
  <si>
    <t>OPT-2477448-2723949</t>
  </si>
  <si>
    <t>김정미</t>
  </si>
  <si>
    <t>010-2468-3528</t>
  </si>
  <si>
    <t>경남 창원시 마산회원구 용마로 142 102동 705호</t>
  </si>
  <si>
    <t>OPT-2477368-2723865</t>
  </si>
  <si>
    <t>오인영</t>
  </si>
  <si>
    <t>010-3787-4119</t>
  </si>
  <si>
    <t>오승열</t>
  </si>
  <si>
    <t>010-5236-2156</t>
  </si>
  <si>
    <t>경기 시흥시 서울대학로278번길 43-7 1738호</t>
  </si>
  <si>
    <t>OPT-2477053-2723534</t>
  </si>
  <si>
    <t>최규수</t>
  </si>
  <si>
    <t>010-2248-0261</t>
  </si>
  <si>
    <t>충남 서산시 갈산8길 144-9 전원주택</t>
  </si>
  <si>
    <t>충남 서산시 갈산동 864-9 전원주택</t>
  </si>
  <si>
    <t>OPT-2475737-2722121</t>
  </si>
  <si>
    <t>010-5264-4149</t>
  </si>
  <si>
    <t>경기 안양시 만안구 병목안로130번길 18-8 102동 501호</t>
  </si>
  <si>
    <t>경기 안양시 만안구 안양동 973-8 102동 501호</t>
  </si>
  <si>
    <t>OPT-2475734-2722118</t>
  </si>
  <si>
    <t>consolation</t>
  </si>
  <si>
    <t>010-9144-6961</t>
  </si>
  <si>
    <t>김애자</t>
  </si>
  <si>
    <t>010-3574-0852</t>
  </si>
  <si>
    <t>부산 해운대구 청사포로 12 sk뷰 아파트 116동 104호</t>
  </si>
  <si>
    <t>OPT-2474471-2720765</t>
  </si>
  <si>
    <t>박용근</t>
  </si>
  <si>
    <t>010-2697-3624</t>
  </si>
  <si>
    <t>010-5112-3624</t>
  </si>
  <si>
    <t>서울특별시 송파구 거마로 56 (송파시그니처롯데캐슬) 113동 801호</t>
  </si>
  <si>
    <t>서울특별시 송파구 거여동 697 송파시그니처롯데캐슬 113동 801호</t>
  </si>
  <si>
    <t>OPT-2482163-2728855</t>
  </si>
  <si>
    <t>OPT-2482148-2728840</t>
  </si>
  <si>
    <t>이재희</t>
  </si>
  <si>
    <t>010-4578-0078</t>
  </si>
  <si>
    <t>경상북도 경주시 안강읍 칠평남길 25 (대흥강변타운아파트) 306호</t>
  </si>
  <si>
    <t>OPT-2482130-2728822</t>
  </si>
  <si>
    <t>이재근</t>
  </si>
  <si>
    <t>010-8029-8803</t>
  </si>
  <si>
    <t>010-8994-3336</t>
  </si>
  <si>
    <t>경기 용인시 수지구 용구대로2771번길 66 수지벽산 2단지 206동 1502호</t>
  </si>
  <si>
    <t>OPT-2482100-2728792</t>
  </si>
  <si>
    <t>배주환</t>
  </si>
  <si>
    <t>010-7170-0108</t>
  </si>
  <si>
    <t>서울특별시 송파구 양재대로 1218 (방이동, 올림픽선수기자촌아파트) 314동 402호</t>
  </si>
  <si>
    <t>OPT-2481669-2728355</t>
  </si>
  <si>
    <t>최진영</t>
  </si>
  <si>
    <t>010-2002-1543</t>
  </si>
  <si>
    <t>서울 구로구 개봉로17마길 17-23 한백아트리움 401호</t>
  </si>
  <si>
    <t>OPT-2480358-2727018</t>
  </si>
  <si>
    <t>문금희</t>
  </si>
  <si>
    <t>010-5676-4535</t>
  </si>
  <si>
    <t>오상우</t>
  </si>
  <si>
    <t>010-8757-7185</t>
  </si>
  <si>
    <t>전북특별자치도 익산시 무왕로16길 26 103동 1303호</t>
  </si>
  <si>
    <t>OPT-2480099-2726748</t>
  </si>
  <si>
    <t>문경길</t>
  </si>
  <si>
    <t>010-5383-9599</t>
  </si>
  <si>
    <t>서울 영등포구 대방천로14길 32 305동 206호</t>
  </si>
  <si>
    <t>OPT-2480092-2726741</t>
  </si>
  <si>
    <t>정서연</t>
  </si>
  <si>
    <t>010-5645-7768</t>
  </si>
  <si>
    <t>충청북도 제천시 하소로1안길 8-2 (하소동) 서연세탁소</t>
  </si>
  <si>
    <t>OPT-2480013-2726655</t>
  </si>
  <si>
    <t>동건!</t>
  </si>
  <si>
    <t>010-3802-1224</t>
  </si>
  <si>
    <t>김동건</t>
  </si>
  <si>
    <t>서울 서대문구 연희로 377 102동 902호</t>
  </si>
  <si>
    <t>OPT-2479643-2726268</t>
  </si>
  <si>
    <t>정철수</t>
  </si>
  <si>
    <t>010-7579-5678</t>
  </si>
  <si>
    <t>경기도 안양시 동안구 흥안대로223번길 47 (호계동, 샘마을대우,한양아파트) 샘마을 한양아파트 119동 502호</t>
  </si>
  <si>
    <t>SUB-2480711-307328</t>
  </si>
  <si>
    <t>김수형</t>
  </si>
  <si>
    <t>010-8948-5299</t>
  </si>
  <si>
    <t>서울 강동구 진황도로61길 7 101동 402호</t>
  </si>
  <si>
    <t>SUB-2480409-307302</t>
  </si>
  <si>
    <t>김신실</t>
  </si>
  <si>
    <t>010-7747-2176</t>
  </si>
  <si>
    <t>서울 강동구 올림픽로 659 530호</t>
  </si>
  <si>
    <t>SUB-2480073-307267</t>
  </si>
  <si>
    <t>ㆍ</t>
  </si>
  <si>
    <t>SUB-2479687-307232</t>
  </si>
  <si>
    <t>배소현</t>
  </si>
  <si>
    <t>010-5623-9929</t>
  </si>
  <si>
    <t>서울 강북구 도봉로96가길 24-6 부강훼밀리 D동 201호</t>
  </si>
  <si>
    <t>서울 강북구 번동 469-108 부강훼밀리 D동 201호</t>
  </si>
  <si>
    <t>SUB-2476384-306981</t>
  </si>
  <si>
    <t>이삼례</t>
  </si>
  <si>
    <t>010-3367-6275</t>
  </si>
  <si>
    <t>서울 종로구 통일로 246-20 무악현대아파트 109-1603</t>
  </si>
  <si>
    <t>벨 눌러 주시고 문 앞에 놓아 주세요.</t>
  </si>
  <si>
    <t>OPT-2483865-2730654</t>
  </si>
  <si>
    <t>박한성</t>
  </si>
  <si>
    <t>010-6630-0722</t>
  </si>
  <si>
    <t>경기도 남양주시 별내5로 22 (별내동, 별빛마을3단지) 3305동 1203호</t>
  </si>
  <si>
    <t>OPT-2483850-2730639</t>
  </si>
  <si>
    <t>이성하</t>
  </si>
  <si>
    <t>010-8588-9055</t>
  </si>
  <si>
    <t>경북 경주시 봉황로 128-12 다은빌502</t>
  </si>
  <si>
    <t>(묶음배송)</t>
  </si>
  <si>
    <t>OPT-2483644-2730424</t>
  </si>
  <si>
    <t>뮤즈플랫폼(김종훈)</t>
  </si>
  <si>
    <t>010-5143-5032</t>
  </si>
  <si>
    <t>이태훈</t>
  </si>
  <si>
    <t>010-9071-0504</t>
  </si>
  <si>
    <t>서울 강북구 도봉로45길 34-7 토암하이빌 302호</t>
  </si>
  <si>
    <t>OPT-2483198-2729968</t>
  </si>
  <si>
    <t>신용호</t>
  </si>
  <si>
    <t>010-3045-0749</t>
  </si>
  <si>
    <t>서울 마포구 독막로 266 태영아파트 114-205</t>
  </si>
  <si>
    <t>OPT-2483197-2729967</t>
  </si>
  <si>
    <t>김종훈</t>
  </si>
  <si>
    <t>김연배</t>
  </si>
  <si>
    <t>010-8839-4829</t>
  </si>
  <si>
    <t>경기 하남시 미사강변대로 95 센트럴 자이아파트 108-601</t>
  </si>
  <si>
    <t>OPT-2483196-2729966</t>
  </si>
  <si>
    <t>박찬길</t>
  </si>
  <si>
    <t>010-3748-6268</t>
  </si>
  <si>
    <t>경기 고양시 일산서구 대산로 141 407-303</t>
  </si>
  <si>
    <t>OPT-2483194-2729964</t>
  </si>
  <si>
    <t>한향임</t>
  </si>
  <si>
    <t>010-4549-9122</t>
  </si>
  <si>
    <t>경상남도 산청군 오부면 오동로 632-24 ㆍ</t>
  </si>
  <si>
    <t>OPT-2482968-2729716</t>
  </si>
  <si>
    <t>홍태양</t>
  </si>
  <si>
    <t>010-4735-7498</t>
  </si>
  <si>
    <t>울산 남구 삼호로 68 105-1804</t>
  </si>
  <si>
    <t>OPT-2482791-2729525</t>
  </si>
  <si>
    <t>임한별</t>
  </si>
  <si>
    <t>010-6240-9191</t>
  </si>
  <si>
    <t>임상혁</t>
  </si>
  <si>
    <t>010-3628-1079</t>
  </si>
  <si>
    <t>전남 목포시 정의로 30 108호 법무사 이달호 사무소</t>
  </si>
  <si>
    <t>OPT-2482452-2729169</t>
  </si>
  <si>
    <t>지원</t>
  </si>
  <si>
    <t>010-6348-1910</t>
  </si>
  <si>
    <t>경기도 남양주시 순화궁로 384 (별내동, 대원 칸타빌) 2405동901호</t>
  </si>
  <si>
    <t>OPT-2482300-2729001</t>
  </si>
  <si>
    <t>010-6366-1539</t>
  </si>
  <si>
    <t>경기 의정부시 녹양로62번길 12 104동 2101호  녹양힐스테이트</t>
  </si>
  <si>
    <t>배송전 문자 후에 문앞에 두세요.</t>
  </si>
  <si>
    <t>OPT-2482213-2728910</t>
  </si>
  <si>
    <t>안창원</t>
  </si>
  <si>
    <t>010-3465-6411</t>
  </si>
  <si>
    <t>서울특별시 송파구 올림픽로 99 (잠실동, 잠실엘스) 145동 2601호</t>
  </si>
  <si>
    <t>OPT-2482199-2728895</t>
  </si>
  <si>
    <t>안경환</t>
  </si>
  <si>
    <t>010-2070-4744</t>
  </si>
  <si>
    <t>서울특별시 동대문구 외대역동로1길 60-3 (휘경동, 휘경 해모로 프레스티지) 104동 302호</t>
  </si>
  <si>
    <t>OPT-2483837-2730626</t>
  </si>
  <si>
    <t>김선아</t>
  </si>
  <si>
    <t>010-4050-8209</t>
  </si>
  <si>
    <t>010-4244-2047</t>
  </si>
  <si>
    <t>서울 관악구 봉천로35길 20-5 2층</t>
  </si>
  <si>
    <t>2층 문앞에 놓아주세요.  출입구비번 6999*</t>
  </si>
  <si>
    <t>OPT-2483686-2730468</t>
  </si>
  <si>
    <t>이선민</t>
  </si>
  <si>
    <t>010-2658-4190</t>
  </si>
  <si>
    <t>최정자</t>
  </si>
  <si>
    <t>충북 제천시 청풍호로10길 53 104동 301호</t>
  </si>
  <si>
    <t>OPT-2483670-2730451</t>
  </si>
  <si>
    <t>김기성</t>
  </si>
  <si>
    <t>010-3282-9288</t>
  </si>
  <si>
    <t>경기도 용인시 기흥구 구성로 90 (언남동, 삼성래미안2차아파트) 208-201</t>
  </si>
  <si>
    <t>OPT-2483331-2730104</t>
  </si>
  <si>
    <t>김태복</t>
  </si>
  <si>
    <t>010-3581-5219</t>
  </si>
  <si>
    <t>경기 광명시 광이로 49 104동 1501호</t>
  </si>
  <si>
    <t>OPT-2483122-2729882</t>
  </si>
  <si>
    <t>김주태</t>
  </si>
  <si>
    <t>010-9238-3943</t>
  </si>
  <si>
    <t>010-5420-1308</t>
  </si>
  <si>
    <t>충남 부여군 충화면 가화로38번길 8 가화로 38번길 8</t>
  </si>
  <si>
    <t>OPT-2483077-2729833</t>
  </si>
  <si>
    <t>한서현</t>
  </si>
  <si>
    <t>010-3997-7569</t>
  </si>
  <si>
    <t>서울 노원구 덕릉로71길 30 102동2104호</t>
  </si>
  <si>
    <t>OPT-2483035-2729785</t>
  </si>
  <si>
    <t>정미경</t>
  </si>
  <si>
    <t>010-7266-6720</t>
  </si>
  <si>
    <t>박창민</t>
  </si>
  <si>
    <t>010-2995-6720</t>
  </si>
  <si>
    <t>경기 화성시 동탄구 동탄기흥로257번나길 24-11 5층</t>
  </si>
  <si>
    <t>OPT-2483021-2729771</t>
  </si>
  <si>
    <t>강경희</t>
  </si>
  <si>
    <t>010-5206-0448</t>
  </si>
  <si>
    <t>강종수</t>
  </si>
  <si>
    <t>010-8788-0864</t>
  </si>
  <si>
    <t>경북 구미시 선산읍 조남로 183 단독주택</t>
  </si>
  <si>
    <t>OPT-2482909-2729655</t>
  </si>
  <si>
    <t>정미영</t>
  </si>
  <si>
    <t>010-3494-0043</t>
  </si>
  <si>
    <t>경북 구미시 옥성면 하농소길 17-5 단독주택</t>
  </si>
  <si>
    <t>OPT-2482906-2729651</t>
  </si>
  <si>
    <t>현식 수빈맘</t>
  </si>
  <si>
    <t>010-8895-3503</t>
  </si>
  <si>
    <t>서울특별시 마포구 광성로 17 (신수동, 신촌숲아이파크) 101동 605호</t>
  </si>
  <si>
    <t>OPT-2482705-2729431</t>
  </si>
  <si>
    <t>윤성빈</t>
  </si>
  <si>
    <t>010-6297-3857</t>
  </si>
  <si>
    <t>충북 청주시 서원구 수곡로 88 101동 808호</t>
  </si>
  <si>
    <t>OPT-2482234-2728931</t>
  </si>
  <si>
    <t>이준용</t>
  </si>
  <si>
    <t>010-7450-1104</t>
  </si>
  <si>
    <t>서울특별시 동작구 남부순환로267길 20 (사당동) 101호</t>
  </si>
  <si>
    <t>SUB-2483575-307439</t>
  </si>
  <si>
    <t>강소엽</t>
  </si>
  <si>
    <t>010-3289-6364</t>
  </si>
  <si>
    <t>경기 광명시 소하로 162 715-1502</t>
  </si>
  <si>
    <t>SUB-2483165-307412</t>
  </si>
  <si>
    <t>옥수수</t>
  </si>
  <si>
    <t>010-2523-4622</t>
  </si>
  <si>
    <t>백정옥</t>
  </si>
  <si>
    <t>경상북도 포항시 북구 성실로 55 (장성동, 현진에버빌1단지아파트) 104동802</t>
  </si>
  <si>
    <t>SUB-2483141-307406</t>
  </si>
  <si>
    <t>윤정남</t>
  </si>
  <si>
    <t>010-9348-0212</t>
  </si>
  <si>
    <t>경기도 파주시 한빛로 20 (야당동, 롯데캐슬 파크타운 Ⅱ) 405동 701호</t>
  </si>
  <si>
    <t>SUB-2483059-307401</t>
  </si>
  <si>
    <t>이일용</t>
  </si>
  <si>
    <t>010-7494-1234</t>
  </si>
  <si>
    <t>충남 천안시 서북구 성정로 75 102동106호</t>
  </si>
  <si>
    <t>SUB-2482959-307395</t>
  </si>
  <si>
    <t>이민주</t>
  </si>
  <si>
    <t>010-2634-0783</t>
  </si>
  <si>
    <t>전북특별자치도 전주시 완산구 태평2길 22 (태평동, 태평SKVIEW아파트) 106동 701호</t>
  </si>
  <si>
    <t>SUB-2482410-307370</t>
  </si>
  <si>
    <t>서울폰</t>
  </si>
  <si>
    <t>010-9456-9298</t>
  </si>
  <si>
    <t>서울 관악구 청룡16길 43 이편한 세상 서울대입구 2단지 205동404호</t>
  </si>
  <si>
    <t>문앞배송부탁드립니다</t>
  </si>
  <si>
    <t>SUB-2482209-307358</t>
  </si>
  <si>
    <t>원가</t>
  </si>
  <si>
    <t>리씽크</t>
  </si>
  <si>
    <t>쿠팡_미지정</t>
  </si>
  <si>
    <t>카카오</t>
  </si>
  <si>
    <t>워커힐 본갈비 3+1 최초❤️5만원대! 총1.2kg</t>
  </si>
  <si>
    <t>워커힐 본갈비 추가구매</t>
  </si>
  <si>
    <t>쿠팡(기본)</t>
  </si>
  <si>
    <t>DEFAULT</t>
  </si>
  <si>
    <t>워커힐 시그니처 양념 본갈비 300g (기본)</t>
  </si>
  <si>
    <t xml:space="preserve">워커힐 본갈비 3+1 최초❤️5만원대! 총1.2kg✨호텔특제 양념갈비 8인분 (✨1인분 7,375원꼴! / [300g,2인분] x 총 4팩  / ✨초이스등급 본갈비 / ❣️워커힐 </t>
  </si>
  <si>
    <t>공헌이익율</t>
  </si>
  <si>
    <t>매출 - 변동비</t>
  </si>
  <si>
    <t>1단계: 매출(VAT제외)</t>
  </si>
  <si>
    <t>2단계: 변동비(총원가)</t>
  </si>
  <si>
    <t>3단계: 공헌이익</t>
  </si>
  <si>
    <t>📊 주요 KPI</t>
  </si>
  <si>
    <t>데이터 기간</t>
  </si>
  <si>
    <t>2026-02-04 ~ 2026-02-05</t>
  </si>
  <si>
    <t>📅 기간별 매출 조회</t>
  </si>
  <si>
    <t>조회 기간 선택</t>
  </si>
  <si>
    <t>일별</t>
  </si>
  <si>
    <t>조회할 날짜 입력</t>
  </si>
  <si>
    <t>(예: 20260204)</t>
  </si>
  <si>
    <t>일별 매출</t>
  </si>
  <si>
    <t>건수</t>
  </si>
  <si>
    <t>월별</t>
  </si>
  <si>
    <t>조회할 월 입력</t>
  </si>
  <si>
    <t>(예: 202602)</t>
  </si>
  <si>
    <t>월별 매출</t>
  </si>
  <si>
    <t>2026-02</t>
  </si>
  <si>
    <t>📊 채널별 성과</t>
  </si>
  <si>
    <t>카카오+리씨크</t>
  </si>
  <si>
    <t>데이터 흐름</t>
  </si>
  <si>
    <t>KPI, 기간별 조회, 채널 성과</t>
  </si>
  <si>
    <t>SK스토아 원본 데이터</t>
  </si>
  <si>
    <t>현재고 및 발주 알람</t>
  </si>
  <si>
    <t>SKU, 현재고, 안전재고, 발주상태</t>
  </si>
  <si>
    <t>거래별 수익성 분석</t>
  </si>
  <si>
    <t>매출, 원가, 공헌이익, 공헌이익률</t>
  </si>
  <si>
    <t>채널별 원본 시트</t>
  </si>
  <si>
    <t>각 채널별 원본 데이터</t>
  </si>
  <si>
    <t>핵심 수식</t>
  </si>
  <si>
    <t>예시</t>
  </si>
  <si>
    <t>채널별 매출</t>
  </si>
  <si>
    <t>기간별 조회</t>
  </si>
  <si>
    <t>주문번호로 날짜 필터링</t>
  </si>
  <si>
    <t>색상 규칙</t>
  </si>
  <si>
    <t>📖 시스템 가이드 &amp; 사용 설명서</t>
  </si>
  <si>
    <t>📊 데이터 흐름도</t>
  </si>
  <si>
    <t>단계</t>
  </si>
  <si>
    <t>작업</t>
  </si>
  <si>
    <t>시트</t>
  </si>
  <si>
    <t>1. 판매 데이터 입력</t>
  </si>
  <si>
    <t>2. 정규화</t>
  </si>
  <si>
    <t>모든 채널 데이터를 통합 형식으로 변환</t>
  </si>
  <si>
    <t>3. 채널-SKU 매핑</t>
  </si>
  <si>
    <t>채널 상품코드 → 자사SKU 연결</t>
  </si>
  <si>
    <t>4. 원가 조회</t>
  </si>
  <si>
    <t>SKU별 매입원가 찾기</t>
  </si>
  <si>
    <t>5. 손익 계산</t>
  </si>
  <si>
    <t>매출, 원가, 공헌이익 자동 계산</t>
  </si>
  <si>
    <t>6. 재고 관리</t>
  </si>
  <si>
    <t>기초재고 - 누적 판매량</t>
  </si>
  <si>
    <t>7. 대시보드 표시</t>
  </si>
  <si>
    <t>주요 KPI 및 채널별 성과 시각화</t>
  </si>
  <si>
    <t>📁 시트 구조 설명</t>
  </si>
  <si>
    <t>주요 컨럼</t>
  </si>
  <si>
    <t>채널별 상품코드 ↔ 자샊SKU 매핑</t>
  </si>
  <si>
    <t>모든 채널 데이터 통합</t>
  </si>
  <si>
    <t>판매채널, 주문번호, 자사SKU, 수럁, 금액</t>
  </si>
  <si>
    <t>쿠팡, 네이버, 카카오, 리써크</t>
  </si>
  <si>
    <t>🔧 핵심 수식 가이드</t>
  </si>
  <si>
    <t>1. 매출액 계산 기준</t>
  </si>
  <si>
    <t>VAT제외금액 (J열) 사용</t>
  </si>
  <si>
    <t>실정산금액(I열) 사용 금지!</t>
  </si>
  <si>
    <t>2. 반품 처리</t>
  </si>
  <si>
    <t>음수 수량으로 포함</t>
  </si>
  <si>
    <t>제외하지 않음</t>
  </si>
  <si>
    <t>3. 벤더 수수료</t>
  </si>
  <si>
    <t>제품코드 58481090에만 2% 적용</t>
  </si>
  <si>
    <t>손익분석 시트 K열 확인</t>
  </si>
  <si>
    <t>4. 공헌이익</t>
  </si>
  <si>
    <t>고정비는 제외됨</t>
  </si>
  <si>
    <t>5. 정규화데이터</t>
  </si>
  <si>
    <t>모든 분석의 기초</t>
  </si>
  <si>
    <t>수정 시 모든 지표에 영향</t>
  </si>
  <si>
    <t>6. 주문번호 형식</t>
  </si>
  <si>
    <t>14자리 (YYYYMMDD + 6자리)</t>
  </si>
  <si>
    <t>예: 20260204818446</t>
  </si>
  <si>
    <t>7. 카카오+리써크</t>
  </si>
  <si>
    <t>통합 표시</t>
  </si>
  <si>
    <t>두 채널 합산하여 표시</t>
  </si>
  <si>
    <t>출시일</t>
  </si>
  <si>
    <t>중량</t>
  </si>
  <si>
    <t>보관온도</t>
  </si>
  <si>
    <t>소비기한</t>
  </si>
  <si>
    <t>식품유형</t>
  </si>
  <si>
    <t>면/과세</t>
  </si>
  <si>
    <t>품목바코드</t>
  </si>
  <si>
    <t>제조원가</t>
  </si>
  <si>
    <t>로얄티</t>
  </si>
  <si>
    <t>상품원가</t>
  </si>
  <si>
    <t>유통전문판매원</t>
  </si>
  <si>
    <t>제조사</t>
  </si>
  <si>
    <t>물류지</t>
  </si>
  <si>
    <t>발주리드타임</t>
  </si>
  <si>
    <t>입수</t>
  </si>
  <si>
    <t>적재수/1PLT</t>
  </si>
  <si>
    <t>제품규격_가로</t>
  </si>
  <si>
    <t>제품규격_세로</t>
  </si>
  <si>
    <t>제품규격_높이</t>
  </si>
  <si>
    <t>MOQ</t>
  </si>
  <si>
    <t>주식회사 정인</t>
  </si>
  <si>
    <t>01월 30일</t>
  </si>
  <si>
    <t>300g</t>
  </si>
  <si>
    <t>냉동</t>
  </si>
  <si>
    <t>제조일로부터 1년</t>
  </si>
  <si>
    <t>양념육(비살균제품)</t>
  </si>
  <si>
    <t>SK네트웍스ⓚSC워커힐</t>
  </si>
  <si>
    <t>주식회사 미더스</t>
  </si>
  <si>
    <t>4주</t>
  </si>
  <si>
    <t>주문일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</si>
</sst>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\-#,##0"/>
    <numFmt numFmtId="177" formatCode="0.0%"/>
    <numFmt numFmtId="178" formatCode="0&quot;건&quot;"/>
    <numFmt numFmtId="179" formatCode="0_);[Red]\(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6B00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9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2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rgb="FF008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9" borderId="0" xfId="0" applyFill="1">
      <alignment vertical="center"/>
    </xf>
    <xf numFmtId="3" fontId="0" fillId="9" borderId="0" xfId="0" applyNumberFormat="1" applyFill="1">
      <alignment vertical="center"/>
    </xf>
    <xf numFmtId="0" fontId="8" fillId="1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5" fillId="11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176" fontId="13" fillId="0" borderId="1" xfId="0" applyNumberFormat="1" applyFont="1" applyBorder="1" applyAlignment="1">
      <alignment horizontal="right" vertical="center" wrapText="1"/>
    </xf>
    <xf numFmtId="3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3" fontId="2" fillId="3" borderId="0" xfId="0" applyNumberFormat="1" applyFont="1" applyFill="1">
      <alignment vertical="center"/>
    </xf>
    <xf numFmtId="0" fontId="2" fillId="6" borderId="0" xfId="0" applyFont="1" applyFill="1" applyAlignment="1">
      <alignment horizontal="center" vertical="center"/>
    </xf>
    <xf numFmtId="3" fontId="6" fillId="0" borderId="0" xfId="0" applyNumberFormat="1" applyFont="1">
      <alignment vertical="center"/>
    </xf>
    <xf numFmtId="14" fontId="0" fillId="0" borderId="0" xfId="0" applyNumberFormat="1">
      <alignment vertical="center"/>
    </xf>
    <xf numFmtId="1" fontId="6" fillId="0" borderId="0" xfId="0" applyNumberFormat="1" applyFont="1">
      <alignment vertical="center"/>
    </xf>
    <xf numFmtId="0" fontId="9" fillId="3" borderId="0" xfId="0" applyFont="1" applyFill="1">
      <alignment vertical="center"/>
    </xf>
    <xf numFmtId="0" fontId="5" fillId="7" borderId="0" xfId="0" applyFont="1" applyFill="1" applyAlignment="1">
      <alignment horizontal="center" vertical="center"/>
    </xf>
    <xf numFmtId="177" fontId="2" fillId="3" borderId="0" xfId="0" applyNumberFormat="1" applyFont="1" applyFill="1">
      <alignment vertical="center"/>
    </xf>
    <xf numFmtId="0" fontId="14" fillId="3" borderId="0" xfId="0" applyFont="1" applyFill="1">
      <alignment vertical="center"/>
    </xf>
    <xf numFmtId="0" fontId="5" fillId="9" borderId="0" xfId="0" applyFont="1" applyFill="1" applyAlignment="1">
      <alignment horizontal="center" vertical="center"/>
    </xf>
    <xf numFmtId="10" fontId="6" fillId="0" borderId="0" xfId="0" applyNumberFormat="1" applyFont="1">
      <alignment vertical="center"/>
    </xf>
    <xf numFmtId="0" fontId="15" fillId="3" borderId="0" xfId="0" applyFont="1" applyFill="1">
      <alignment vertical="center"/>
    </xf>
    <xf numFmtId="0" fontId="14" fillId="0" borderId="0" xfId="0" applyFont="1">
      <alignment vertical="center"/>
    </xf>
    <xf numFmtId="0" fontId="7" fillId="8" borderId="0" xfId="0" applyFont="1" applyFill="1">
      <alignment vertical="center"/>
    </xf>
    <xf numFmtId="0" fontId="16" fillId="13" borderId="0" xfId="0" applyFont="1" applyFill="1">
      <alignment vertical="center"/>
    </xf>
    <xf numFmtId="0" fontId="19" fillId="0" borderId="0" xfId="0" applyFont="1">
      <alignment vertical="center"/>
    </xf>
    <xf numFmtId="0" fontId="20" fillId="6" borderId="0" xfId="0" applyFont="1" applyFill="1">
      <alignment vertical="center"/>
    </xf>
    <xf numFmtId="0" fontId="20" fillId="8" borderId="0" xfId="0" applyFont="1" applyFill="1">
      <alignment vertical="center"/>
    </xf>
    <xf numFmtId="3" fontId="19" fillId="0" borderId="0" xfId="0" applyNumberFormat="1" applyFont="1">
      <alignment vertical="center"/>
    </xf>
    <xf numFmtId="0" fontId="20" fillId="3" borderId="0" xfId="0" applyFont="1" applyFill="1">
      <alignment vertical="center"/>
    </xf>
    <xf numFmtId="0" fontId="20" fillId="0" borderId="0" xfId="0" applyFont="1">
      <alignment vertical="center"/>
    </xf>
    <xf numFmtId="177" fontId="19" fillId="3" borderId="0" xfId="0" applyNumberFormat="1" applyFont="1" applyFill="1">
      <alignment vertical="center"/>
    </xf>
    <xf numFmtId="0" fontId="20" fillId="12" borderId="0" xfId="0" applyFont="1" applyFill="1">
      <alignment vertical="center"/>
    </xf>
    <xf numFmtId="0" fontId="20" fillId="10" borderId="0" xfId="0" applyFont="1" applyFill="1">
      <alignment vertical="center"/>
    </xf>
    <xf numFmtId="0" fontId="21" fillId="0" borderId="0" xfId="1" quotePrefix="1" applyFont="1">
      <alignment vertical="center"/>
    </xf>
    <xf numFmtId="178" fontId="19" fillId="0" borderId="0" xfId="0" applyNumberFormat="1" applyFont="1">
      <alignment vertical="center"/>
    </xf>
    <xf numFmtId="3" fontId="19" fillId="3" borderId="0" xfId="0" applyNumberFormat="1" applyFont="1" applyFill="1">
      <alignment vertical="center"/>
    </xf>
    <xf numFmtId="22" fontId="0" fillId="0" borderId="0" xfId="0" applyNumberFormat="1">
      <alignment vertical="center"/>
    </xf>
    <xf numFmtId="0" fontId="0" fillId="3" borderId="0" xfId="0" applyFill="1">
      <alignment vertical="center"/>
    </xf>
    <xf numFmtId="177" fontId="2" fillId="0" borderId="0" xfId="0" applyNumberFormat="1" applyFont="1">
      <alignment vertical="center"/>
    </xf>
    <xf numFmtId="0" fontId="0" fillId="8" borderId="0" xfId="0" applyFill="1">
      <alignment vertical="center"/>
    </xf>
    <xf numFmtId="0" fontId="8" fillId="7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2" fillId="6" borderId="0" xfId="0" applyFont="1" applyFill="1">
      <alignment vertical="center"/>
    </xf>
    <xf numFmtId="3" fontId="0" fillId="8" borderId="0" xfId="0" applyNumberFormat="1" applyFill="1">
      <alignment vertical="center"/>
    </xf>
    <xf numFmtId="177" fontId="6" fillId="0" borderId="0" xfId="0" applyNumberFormat="1" applyFont="1">
      <alignment vertical="center"/>
    </xf>
    <xf numFmtId="0" fontId="2" fillId="8" borderId="0" xfId="0" applyFont="1" applyFill="1">
      <alignment vertical="center"/>
    </xf>
    <xf numFmtId="3" fontId="2" fillId="8" borderId="0" xfId="0" applyNumberFormat="1" applyFont="1" applyFill="1">
      <alignment vertical="center"/>
    </xf>
    <xf numFmtId="177" fontId="2" fillId="8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17" fillId="2" borderId="0" xfId="0" applyFont="1" applyFill="1" applyAlignment="1">
      <alignment horizontal="center" vertical="center"/>
    </xf>
    <xf numFmtId="179" fontId="0" fillId="0" borderId="0" xfId="0" applyNumberFormat="1">
      <alignment vertical="center"/>
    </xf>
    <xf numFmtId="14" fontId="11" fillId="0" borderId="0" xfId="0" applyNumberFormat="1" applyFont="1">
      <alignment vertical="center"/>
    </xf>
    <xf numFmtId="0" fontId="18" fillId="4" borderId="0" xfId="0" applyFont="1" applyFill="1" applyAlignment="1">
      <alignment horizontal="center" vertical="center"/>
    </xf>
    <xf numFmtId="0" fontId="18" fillId="2" borderId="0" xfId="0" applyFont="1" applyFill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2DA0C0-1ED8-487D-BB97-9C644630D6F3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D166-C4A3-41AD-BB00-F9B150F428E5}">
  <dimension ref="A1:H92"/>
  <sheetViews>
    <sheetView showGridLines="0" workbookViewId="0">
      <selection activeCell="H24" sqref="A15:H24"/>
    </sheetView>
  </sheetViews>
  <sheetFormatPr defaultRowHeight="13.5" x14ac:dyDescent="0.3"/>
  <cols>
    <col min="1" max="1" width="17" style="38" customWidth="1"/>
    <col min="2" max="5" width="25" style="38" customWidth="1"/>
    <col min="6" max="6" width="34" style="38" bestFit="1" customWidth="1"/>
    <col min="7" max="8" width="25" style="38" customWidth="1"/>
    <col min="9" max="16384" width="9" style="38"/>
  </cols>
  <sheetData>
    <row r="1" spans="1:8" ht="17.25" x14ac:dyDescent="0.3">
      <c r="A1" s="54" t="s">
        <v>26</v>
      </c>
      <c r="B1"/>
      <c r="C1"/>
      <c r="D1"/>
      <c r="E1"/>
      <c r="F1"/>
      <c r="G1"/>
      <c r="H1"/>
    </row>
    <row r="2" spans="1:8" ht="16.5" x14ac:dyDescent="0.3">
      <c r="A2"/>
      <c r="B2"/>
      <c r="C2"/>
      <c r="D2"/>
      <c r="E2"/>
      <c r="F2"/>
      <c r="G2"/>
      <c r="H2"/>
    </row>
    <row r="3" spans="1:8" ht="16.5" x14ac:dyDescent="0.3">
      <c r="A3" s="55" t="s">
        <v>5608</v>
      </c>
      <c r="B3"/>
      <c r="C3"/>
      <c r="D3"/>
      <c r="E3"/>
      <c r="F3" s="55" t="s">
        <v>5623</v>
      </c>
      <c r="G3"/>
      <c r="H3"/>
    </row>
    <row r="4" spans="1:8" ht="16.5" x14ac:dyDescent="0.3">
      <c r="A4"/>
      <c r="B4"/>
      <c r="C4"/>
      <c r="D4"/>
      <c r="E4"/>
      <c r="F4"/>
      <c r="G4"/>
      <c r="H4"/>
    </row>
    <row r="5" spans="1:8" ht="16.5" x14ac:dyDescent="0.3">
      <c r="A5" s="24" t="s">
        <v>1675</v>
      </c>
      <c r="B5" s="24" t="s">
        <v>1676</v>
      </c>
      <c r="C5" s="24" t="s">
        <v>1677</v>
      </c>
      <c r="D5" s="24" t="s">
        <v>1678</v>
      </c>
      <c r="E5"/>
      <c r="F5" s="24" t="s">
        <v>67</v>
      </c>
      <c r="G5" s="24" t="s">
        <v>1671</v>
      </c>
      <c r="H5" s="24" t="s">
        <v>1683</v>
      </c>
    </row>
    <row r="6" spans="1:8" ht="16.5" x14ac:dyDescent="0.3">
      <c r="A6" s="7" t="s">
        <v>2515</v>
      </c>
      <c r="B6" s="3">
        <f>SUM(손익분석!J:J)</f>
        <v>126910600.00000152</v>
      </c>
      <c r="C6" s="25">
        <v>50000000</v>
      </c>
      <c r="D6" t="str">
        <f>IF(B6&gt;=C6,"✅ 달성","🔺 미달")</f>
        <v>✅ 달성</v>
      </c>
      <c r="E6"/>
      <c r="F6" s="7" t="s">
        <v>41</v>
      </c>
      <c r="G6" s="3">
        <f>SUMIF(손익분석!A:A,"SK스토아",손익분석!J:J)</f>
        <v>94332145.454544798</v>
      </c>
      <c r="H6" s="22">
        <f>IF($G$10=0,0,G6/$G$10)</f>
        <v>0.98856483158396757</v>
      </c>
    </row>
    <row r="7" spans="1:8" ht="16.5" x14ac:dyDescent="0.3">
      <c r="A7" s="7" t="s">
        <v>69</v>
      </c>
      <c r="B7" s="57">
        <f>SUM(손익분석!M:M)</f>
        <v>50148217.999997959</v>
      </c>
      <c r="C7"/>
      <c r="D7"/>
      <c r="E7"/>
      <c r="F7" s="7" t="s">
        <v>1672</v>
      </c>
      <c r="G7" s="3">
        <f>SUMIF(손익분석!A:A,"네이버",손익분석!J:J)</f>
        <v>94000</v>
      </c>
      <c r="H7" s="22">
        <f>IF($G$10=0,0,G7/$G$10)</f>
        <v>9.8508407416292841E-4</v>
      </c>
    </row>
    <row r="8" spans="1:8" ht="16.5" x14ac:dyDescent="0.3">
      <c r="A8" s="7" t="s">
        <v>70</v>
      </c>
      <c r="B8" s="22">
        <f>IF(B6=0,0,B7/B6)</f>
        <v>0.39514601617199319</v>
      </c>
      <c r="C8" s="58">
        <v>0.1</v>
      </c>
      <c r="D8" t="str">
        <f>IF(B8&gt;=C8,"✅ 달성","🔺 미달")</f>
        <v>✅ 달성</v>
      </c>
      <c r="E8"/>
      <c r="F8" s="7" t="s">
        <v>1673</v>
      </c>
      <c r="G8" s="3">
        <f>SUMIF(손익분석!A:A,"쿠팡",손익분석!J:J)</f>
        <v>705727.27272727259</v>
      </c>
      <c r="H8" s="22">
        <f>IF($G$10=0,0,G8/$G$10)</f>
        <v>7.3957520964475932E-3</v>
      </c>
    </row>
    <row r="9" spans="1:8" ht="16.5" x14ac:dyDescent="0.3">
      <c r="A9" s="7" t="s">
        <v>1679</v>
      </c>
      <c r="B9" s="12">
        <f>COUNTIF(재고현황!G:G,"*발주필요*")</f>
        <v>0</v>
      </c>
      <c r="C9" s="2" t="s">
        <v>1680</v>
      </c>
      <c r="D9" t="str">
        <f>IF(B9=0,"✅ 정상","⚠️ 확인필요")</f>
        <v>✅ 정상</v>
      </c>
      <c r="E9"/>
      <c r="F9" s="7" t="s">
        <v>5624</v>
      </c>
      <c r="G9" s="3">
        <f>SUMIF(손익분석!A:A,"카카오",손익분석!J:J)+SUMIF(손익분석!A:A,"리씨크",손익분석!J:J)</f>
        <v>291454.54545454541</v>
      </c>
      <c r="H9" s="22">
        <f>IF($G$10=0,0,G9/$G$10)</f>
        <v>3.0543322454219999E-3</v>
      </c>
    </row>
    <row r="10" spans="1:8" ht="16.5" x14ac:dyDescent="0.3">
      <c r="A10" s="7" t="s">
        <v>1681</v>
      </c>
      <c r="B10" s="3">
        <f>COUNTA(정규화데이터!A:A)-1</f>
        <v>1544</v>
      </c>
      <c r="C10" t="s">
        <v>1682</v>
      </c>
      <c r="D10"/>
      <c r="E10"/>
      <c r="F10" s="7" t="s">
        <v>1667</v>
      </c>
      <c r="G10" s="23">
        <f>SUM(G6:G9)</f>
        <v>95423327.27272661</v>
      </c>
      <c r="H10" s="30">
        <f>SUM(H6:H9)</f>
        <v>1.0000000000000002</v>
      </c>
    </row>
    <row r="11" spans="1:8" ht="16.5" x14ac:dyDescent="0.3">
      <c r="A11" s="7" t="s">
        <v>5609</v>
      </c>
      <c r="B11" t="s">
        <v>5610</v>
      </c>
      <c r="C11"/>
      <c r="D11"/>
      <c r="E11"/>
      <c r="F11" s="59" t="s">
        <v>5625</v>
      </c>
      <c r="G11" s="59" t="s">
        <v>1669</v>
      </c>
      <c r="H11"/>
    </row>
    <row r="12" spans="1:8" ht="16.5" x14ac:dyDescent="0.3">
      <c r="A12"/>
      <c r="B12"/>
      <c r="C12"/>
      <c r="D12"/>
      <c r="E12"/>
      <c r="F12"/>
      <c r="G12"/>
      <c r="H12"/>
    </row>
    <row r="13" spans="1:8" ht="16.5" x14ac:dyDescent="0.3">
      <c r="A13" s="5" t="s">
        <v>5611</v>
      </c>
      <c r="B13"/>
      <c r="C13"/>
      <c r="D13"/>
      <c r="E13"/>
      <c r="F13" s="7" t="s">
        <v>5605</v>
      </c>
      <c r="G13" s="3">
        <f>SUM(손익분석!J:J)</f>
        <v>126910600.00000152</v>
      </c>
      <c r="H13"/>
    </row>
    <row r="14" spans="1:8" ht="16.5" x14ac:dyDescent="0.3">
      <c r="A14"/>
      <c r="B14"/>
      <c r="C14"/>
      <c r="D14"/>
      <c r="E14"/>
      <c r="F14" s="7" t="s">
        <v>5606</v>
      </c>
      <c r="G14" s="3">
        <f>SUM(손익분석!L:L)</f>
        <v>76762382</v>
      </c>
      <c r="H14"/>
    </row>
    <row r="15" spans="1:8" ht="16.5" x14ac:dyDescent="0.3">
      <c r="A15" s="59" t="s">
        <v>5612</v>
      </c>
      <c r="B15" s="59" t="s">
        <v>5613</v>
      </c>
      <c r="C15"/>
      <c r="D15"/>
      <c r="E15"/>
      <c r="F15" s="59" t="s">
        <v>5607</v>
      </c>
      <c r="G15" s="60">
        <f>SUM(손익분석!M:M)</f>
        <v>50148217.999997959</v>
      </c>
      <c r="H15" s="53" t="s">
        <v>5604</v>
      </c>
    </row>
    <row r="16" spans="1:8" ht="16.5" x14ac:dyDescent="0.3">
      <c r="A16" s="7" t="s">
        <v>5614</v>
      </c>
      <c r="B16" s="27">
        <v>20260210</v>
      </c>
      <c r="C16" t="s">
        <v>5615</v>
      </c>
      <c r="D16"/>
      <c r="E16"/>
      <c r="F16" s="59" t="s">
        <v>70</v>
      </c>
      <c r="G16" s="61">
        <f>IF(G13=0,0,G15/G13)</f>
        <v>0.39514601617199319</v>
      </c>
      <c r="H16"/>
    </row>
    <row r="17" spans="1:8" ht="16.5" x14ac:dyDescent="0.3">
      <c r="A17"/>
      <c r="B17"/>
      <c r="C17"/>
      <c r="D17"/>
      <c r="E17"/>
      <c r="F17"/>
      <c r="G17"/>
      <c r="H17"/>
    </row>
    <row r="18" spans="1:8" ht="16.5" x14ac:dyDescent="0.3">
      <c r="A18" s="56" t="s">
        <v>5616</v>
      </c>
      <c r="B18" s="56" t="s">
        <v>1669</v>
      </c>
      <c r="C18" s="56" t="s">
        <v>5617</v>
      </c>
      <c r="D18" s="56" t="s">
        <v>69</v>
      </c>
      <c r="E18"/>
      <c r="F18"/>
      <c r="G18"/>
      <c r="H18"/>
    </row>
    <row r="19" spans="1:8" ht="16.5" x14ac:dyDescent="0.3">
      <c r="A19" s="26">
        <v>46057</v>
      </c>
      <c r="B19" s="3">
        <f>SUMIFS(손익분석!J:J,손익분석!B:B,"&gt;="&amp;B16&amp;"000000",손익분석!B:B,"&lt;="&amp;B16&amp;"999999")</f>
        <v>41454636.363636196</v>
      </c>
      <c r="C19" s="3">
        <f>COUNTIFS(손익분석!B:B,"&gt;="&amp;B16&amp;"000000",손익분석!B:B,"&lt;="&amp;B16&amp;"999999")</f>
        <v>388</v>
      </c>
      <c r="D19" s="3">
        <f>SUMIFS(손익분석!M:M,손익분석!B:B,"&gt;="&amp;B16&amp;"000000",손익분석!B:B,"&lt;="&amp;B16&amp;"999999")</f>
        <v>17532692.36363636</v>
      </c>
      <c r="E19"/>
      <c r="F19"/>
      <c r="G19"/>
      <c r="H19"/>
    </row>
    <row r="20" spans="1:8" ht="16.5" x14ac:dyDescent="0.3">
      <c r="A20"/>
      <c r="B20"/>
      <c r="C20"/>
      <c r="D20"/>
      <c r="E20"/>
      <c r="F20"/>
      <c r="G20"/>
      <c r="H20"/>
    </row>
    <row r="21" spans="1:8" ht="16.5" x14ac:dyDescent="0.3">
      <c r="A21" s="59" t="s">
        <v>5612</v>
      </c>
      <c r="B21" s="59" t="s">
        <v>5618</v>
      </c>
      <c r="C21"/>
      <c r="D21"/>
      <c r="E21"/>
      <c r="F21"/>
      <c r="G21"/>
      <c r="H21"/>
    </row>
    <row r="22" spans="1:8" ht="16.5" x14ac:dyDescent="0.3">
      <c r="A22" s="7" t="s">
        <v>5619</v>
      </c>
      <c r="B22" s="27">
        <v>202602</v>
      </c>
      <c r="C22" t="s">
        <v>5620</v>
      </c>
      <c r="D22"/>
      <c r="E22"/>
      <c r="F22"/>
      <c r="G22"/>
      <c r="H22"/>
    </row>
    <row r="23" spans="1:8" ht="16.5" x14ac:dyDescent="0.3">
      <c r="A23" s="56" t="s">
        <v>5621</v>
      </c>
      <c r="B23" s="56" t="s">
        <v>1669</v>
      </c>
      <c r="C23" s="56" t="s">
        <v>5617</v>
      </c>
      <c r="D23" s="56" t="s">
        <v>69</v>
      </c>
      <c r="E23"/>
      <c r="F23"/>
      <c r="G23"/>
      <c r="H23"/>
    </row>
    <row r="24" spans="1:8" ht="16.5" x14ac:dyDescent="0.3">
      <c r="A24" t="s">
        <v>5622</v>
      </c>
      <c r="B24" s="3">
        <f>SUMIFS(손익분석!J:J,손익분석!B:B,"&gt;="&amp;B22&amp;"00000000",손익분석!B:B,"&lt;="&amp;B22&amp;"99999999")</f>
        <v>94332145.454544798</v>
      </c>
      <c r="C24" s="3">
        <f>COUNTIFS(손익분석!B:B,"&gt;="&amp;B22&amp;"00000000",손익분석!B:B,"&lt;="&amp;B22&amp;"99999999")</f>
        <v>880</v>
      </c>
      <c r="D24" s="3">
        <f>SUMIFS(손익분석!M:M,손익분석!B:B,"&gt;="&amp;B22&amp;"00000000",손익분석!B:B,"&lt;="&amp;B22&amp;"99999999")</f>
        <v>39692949.454545133</v>
      </c>
      <c r="E24"/>
      <c r="F24"/>
      <c r="G24"/>
      <c r="H24"/>
    </row>
    <row r="25" spans="1:8" ht="16.5" x14ac:dyDescent="0.3">
      <c r="A25"/>
      <c r="B25"/>
      <c r="C25"/>
      <c r="D25"/>
      <c r="E25"/>
      <c r="F25"/>
      <c r="G25"/>
      <c r="H25"/>
    </row>
    <row r="26" spans="1:8" ht="16.5" x14ac:dyDescent="0.3">
      <c r="A26"/>
      <c r="B26"/>
      <c r="C26"/>
      <c r="D26"/>
      <c r="E26"/>
      <c r="F26"/>
      <c r="G26"/>
      <c r="H26"/>
    </row>
    <row r="27" spans="1:8" ht="16.5" x14ac:dyDescent="0.3">
      <c r="A27"/>
      <c r="B27"/>
      <c r="C27"/>
      <c r="D27"/>
      <c r="E27"/>
      <c r="F27"/>
      <c r="G27"/>
      <c r="H27"/>
    </row>
    <row r="28" spans="1:8" ht="16.5" x14ac:dyDescent="0.3">
      <c r="A28"/>
      <c r="B28"/>
      <c r="C28"/>
      <c r="D28"/>
      <c r="E28"/>
      <c r="F28"/>
      <c r="G28"/>
      <c r="H28"/>
    </row>
    <row r="29" spans="1:8" ht="16.5" x14ac:dyDescent="0.3">
      <c r="A29"/>
      <c r="B29"/>
      <c r="C29"/>
      <c r="D29"/>
      <c r="E29"/>
      <c r="F29"/>
      <c r="G29"/>
      <c r="H29"/>
    </row>
    <row r="30" spans="1:8" ht="16.5" x14ac:dyDescent="0.3">
      <c r="A30"/>
      <c r="B30"/>
      <c r="C30"/>
      <c r="D30"/>
      <c r="E30"/>
      <c r="F30"/>
      <c r="G30"/>
      <c r="H30"/>
    </row>
    <row r="31" spans="1:8" ht="16.5" x14ac:dyDescent="0.3">
      <c r="A31"/>
      <c r="B31"/>
      <c r="C31"/>
      <c r="D31"/>
      <c r="E31"/>
      <c r="F31"/>
      <c r="G31"/>
      <c r="H31"/>
    </row>
    <row r="32" spans="1:8" ht="16.5" x14ac:dyDescent="0.3">
      <c r="A32"/>
      <c r="B32"/>
      <c r="C32"/>
      <c r="D32"/>
      <c r="E32"/>
      <c r="F32"/>
      <c r="G32"/>
      <c r="H32"/>
    </row>
    <row r="33" spans="1:8" ht="16.5" x14ac:dyDescent="0.3">
      <c r="A33"/>
      <c r="B33"/>
      <c r="C33"/>
      <c r="D33"/>
      <c r="E33"/>
      <c r="F33"/>
      <c r="G33"/>
      <c r="H33"/>
    </row>
    <row r="34" spans="1:8" ht="16.5" x14ac:dyDescent="0.3">
      <c r="A34"/>
      <c r="B34"/>
      <c r="C34"/>
      <c r="D34"/>
      <c r="E34"/>
      <c r="F34"/>
      <c r="G34"/>
      <c r="H34"/>
    </row>
    <row r="35" spans="1:8" ht="16.5" x14ac:dyDescent="0.3">
      <c r="A35"/>
      <c r="B35"/>
      <c r="C35"/>
      <c r="D35"/>
      <c r="E35"/>
      <c r="F35"/>
      <c r="G35"/>
      <c r="H35"/>
    </row>
    <row r="36" spans="1:8" ht="16.5" x14ac:dyDescent="0.3">
      <c r="A36"/>
      <c r="B36"/>
      <c r="C36"/>
      <c r="D36"/>
      <c r="E36"/>
      <c r="F36"/>
      <c r="G36"/>
      <c r="H36"/>
    </row>
    <row r="37" spans="1:8" ht="16.5" x14ac:dyDescent="0.3">
      <c r="A37"/>
      <c r="B37"/>
      <c r="C37"/>
      <c r="D37"/>
      <c r="E37"/>
      <c r="F37"/>
      <c r="G37"/>
      <c r="H37"/>
    </row>
    <row r="38" spans="1:8" ht="16.5" x14ac:dyDescent="0.3">
      <c r="A38"/>
      <c r="B38"/>
      <c r="C38"/>
      <c r="D38"/>
      <c r="E38"/>
      <c r="F38"/>
      <c r="G38"/>
      <c r="H38"/>
    </row>
    <row r="39" spans="1:8" ht="16.5" x14ac:dyDescent="0.3">
      <c r="A39"/>
      <c r="B39"/>
      <c r="C39"/>
      <c r="D39"/>
      <c r="E39"/>
      <c r="F39"/>
      <c r="G39"/>
      <c r="H39"/>
    </row>
    <row r="40" spans="1:8" ht="16.5" x14ac:dyDescent="0.3">
      <c r="A40"/>
      <c r="B40"/>
      <c r="C40"/>
      <c r="D40"/>
      <c r="E40"/>
      <c r="F40"/>
      <c r="G40"/>
      <c r="H40"/>
    </row>
    <row r="41" spans="1:8" ht="16.5" x14ac:dyDescent="0.3">
      <c r="A41"/>
      <c r="B41"/>
      <c r="C41"/>
      <c r="D41"/>
      <c r="E41"/>
      <c r="F41"/>
      <c r="G41"/>
      <c r="H41"/>
    </row>
    <row r="42" spans="1:8" ht="16.5" x14ac:dyDescent="0.3">
      <c r="A42"/>
      <c r="B42"/>
      <c r="C42"/>
      <c r="D42"/>
      <c r="E42"/>
      <c r="F42"/>
      <c r="G42"/>
      <c r="H42"/>
    </row>
    <row r="43" spans="1:8" ht="16.5" x14ac:dyDescent="0.3">
      <c r="A43"/>
      <c r="B43"/>
      <c r="C43"/>
      <c r="D43"/>
      <c r="E43"/>
      <c r="F43"/>
      <c r="G43"/>
      <c r="H43"/>
    </row>
    <row r="44" spans="1:8" ht="16.5" x14ac:dyDescent="0.3">
      <c r="A44"/>
      <c r="B44"/>
      <c r="C44"/>
      <c r="D44"/>
      <c r="E44"/>
      <c r="F44"/>
      <c r="G44"/>
      <c r="H44"/>
    </row>
    <row r="45" spans="1:8" ht="16.5" x14ac:dyDescent="0.3">
      <c r="A45"/>
      <c r="B45"/>
      <c r="C45"/>
      <c r="D45"/>
      <c r="E45"/>
      <c r="F45"/>
      <c r="G45"/>
      <c r="H45"/>
    </row>
    <row r="46" spans="1:8" ht="16.5" x14ac:dyDescent="0.3">
      <c r="A46"/>
      <c r="B46"/>
      <c r="C46"/>
      <c r="D46"/>
      <c r="E46"/>
      <c r="F46"/>
      <c r="G46"/>
      <c r="H46"/>
    </row>
    <row r="47" spans="1:8" ht="16.5" x14ac:dyDescent="0.3">
      <c r="A47"/>
      <c r="B47"/>
      <c r="C47"/>
      <c r="D47"/>
      <c r="E47"/>
      <c r="F47"/>
      <c r="G47"/>
      <c r="H47"/>
    </row>
    <row r="48" spans="1:8" ht="16.5" x14ac:dyDescent="0.3">
      <c r="A48"/>
      <c r="B48"/>
      <c r="C48"/>
      <c r="D48"/>
      <c r="E48"/>
      <c r="F48"/>
      <c r="G48"/>
      <c r="H48"/>
    </row>
    <row r="49" spans="1:8" ht="16.5" x14ac:dyDescent="0.3">
      <c r="A49"/>
      <c r="B49"/>
      <c r="C49"/>
      <c r="D49"/>
      <c r="E49"/>
      <c r="F49"/>
      <c r="G49"/>
      <c r="H49"/>
    </row>
    <row r="50" spans="1:8" ht="16.5" x14ac:dyDescent="0.3">
      <c r="A50"/>
      <c r="B50"/>
      <c r="C50"/>
      <c r="D50"/>
      <c r="E50"/>
      <c r="F50"/>
      <c r="G50"/>
      <c r="H50"/>
    </row>
    <row r="52" spans="1:8" x14ac:dyDescent="0.3">
      <c r="A52" s="39" t="s">
        <v>1685</v>
      </c>
      <c r="B52" s="39" t="s">
        <v>1686</v>
      </c>
      <c r="C52" s="39" t="s">
        <v>1687</v>
      </c>
    </row>
    <row r="53" spans="1:8" x14ac:dyDescent="0.3">
      <c r="A53" s="42" t="s">
        <v>1688</v>
      </c>
      <c r="B53" s="38" t="s">
        <v>22</v>
      </c>
      <c r="C53" s="38" t="s">
        <v>1689</v>
      </c>
    </row>
    <row r="54" spans="1:8" x14ac:dyDescent="0.3">
      <c r="B54" s="38" t="s">
        <v>17</v>
      </c>
      <c r="C54" s="38" t="s">
        <v>1690</v>
      </c>
    </row>
    <row r="55" spans="1:8" x14ac:dyDescent="0.3">
      <c r="B55" s="38" t="s">
        <v>20</v>
      </c>
      <c r="C55" s="38" t="s">
        <v>1691</v>
      </c>
    </row>
    <row r="56" spans="1:8" x14ac:dyDescent="0.3">
      <c r="A56" s="40" t="s">
        <v>1692</v>
      </c>
      <c r="B56" s="38" t="s">
        <v>23</v>
      </c>
      <c r="C56" s="38" t="s">
        <v>1693</v>
      </c>
    </row>
    <row r="57" spans="1:8" x14ac:dyDescent="0.3">
      <c r="B57" s="38" t="s">
        <v>24</v>
      </c>
      <c r="C57" s="38" t="s">
        <v>1694</v>
      </c>
    </row>
    <row r="58" spans="1:8" x14ac:dyDescent="0.3">
      <c r="B58" s="38" t="s">
        <v>25</v>
      </c>
      <c r="C58" s="38" t="s">
        <v>1695</v>
      </c>
    </row>
    <row r="59" spans="1:8" x14ac:dyDescent="0.3">
      <c r="A59" s="45" t="s">
        <v>1696</v>
      </c>
      <c r="B59" s="38" t="s">
        <v>15</v>
      </c>
      <c r="C59" s="38" t="s">
        <v>1697</v>
      </c>
    </row>
    <row r="60" spans="1:8" x14ac:dyDescent="0.3">
      <c r="B60" s="38" t="s">
        <v>1698</v>
      </c>
      <c r="C60" s="38" t="s">
        <v>1699</v>
      </c>
    </row>
    <row r="62" spans="1:8" x14ac:dyDescent="0.3">
      <c r="A62" s="69" t="s">
        <v>1700</v>
      </c>
      <c r="B62" s="69"/>
      <c r="C62" s="69"/>
      <c r="D62" s="69"/>
      <c r="E62" s="69"/>
      <c r="F62" s="69"/>
      <c r="G62" s="69"/>
      <c r="H62" s="69"/>
    </row>
    <row r="64" spans="1:8" x14ac:dyDescent="0.3">
      <c r="A64" s="40" t="s">
        <v>1701</v>
      </c>
      <c r="B64" s="40" t="s">
        <v>1702</v>
      </c>
      <c r="C64" s="40" t="s">
        <v>1703</v>
      </c>
    </row>
    <row r="65" spans="1:8" x14ac:dyDescent="0.3">
      <c r="A65" s="38" t="s">
        <v>1704</v>
      </c>
      <c r="B65" s="38" t="s">
        <v>1705</v>
      </c>
      <c r="C65" s="38" t="s">
        <v>1706</v>
      </c>
    </row>
    <row r="66" spans="1:8" x14ac:dyDescent="0.3">
      <c r="B66" s="38" t="s">
        <v>1707</v>
      </c>
    </row>
    <row r="67" spans="1:8" x14ac:dyDescent="0.3">
      <c r="B67" s="38" t="s">
        <v>1708</v>
      </c>
    </row>
    <row r="68" spans="1:8" x14ac:dyDescent="0.3">
      <c r="A68" s="38" t="s">
        <v>1709</v>
      </c>
      <c r="B68" s="38" t="s">
        <v>1710</v>
      </c>
      <c r="C68" s="38" t="s">
        <v>1711</v>
      </c>
    </row>
    <row r="69" spans="1:8" x14ac:dyDescent="0.3">
      <c r="A69" s="38" t="s">
        <v>1712</v>
      </c>
      <c r="B69" s="38" t="s">
        <v>1713</v>
      </c>
      <c r="C69" s="38" t="s">
        <v>1711</v>
      </c>
    </row>
    <row r="70" spans="1:8" x14ac:dyDescent="0.3">
      <c r="A70" s="38" t="s">
        <v>1714</v>
      </c>
      <c r="B70" s="38" t="s">
        <v>1715</v>
      </c>
      <c r="C70" s="38" t="s">
        <v>1706</v>
      </c>
    </row>
    <row r="72" spans="1:8" x14ac:dyDescent="0.3">
      <c r="A72" s="66" t="s">
        <v>1716</v>
      </c>
      <c r="B72" s="66"/>
      <c r="C72" s="66"/>
      <c r="D72" s="66"/>
      <c r="E72" s="66"/>
      <c r="F72" s="66"/>
      <c r="G72" s="66"/>
      <c r="H72" s="66"/>
    </row>
    <row r="74" spans="1:8" x14ac:dyDescent="0.3">
      <c r="A74" s="40" t="s">
        <v>1717</v>
      </c>
      <c r="B74" s="40" t="s">
        <v>1678</v>
      </c>
      <c r="C74" s="40" t="s">
        <v>6</v>
      </c>
    </row>
    <row r="75" spans="1:8" x14ac:dyDescent="0.3">
      <c r="A75" s="38" t="s">
        <v>1718</v>
      </c>
      <c r="B75" s="38" t="s">
        <v>1719</v>
      </c>
      <c r="C75" s="38" t="s">
        <v>1720</v>
      </c>
    </row>
    <row r="76" spans="1:8" x14ac:dyDescent="0.3">
      <c r="A76" s="38" t="s">
        <v>1721</v>
      </c>
      <c r="B76" s="38" t="s">
        <v>1719</v>
      </c>
      <c r="C76" s="38" t="s">
        <v>1722</v>
      </c>
    </row>
    <row r="77" spans="1:8" x14ac:dyDescent="0.3">
      <c r="A77" s="38" t="s">
        <v>1723</v>
      </c>
      <c r="B77" s="38" t="s">
        <v>1719</v>
      </c>
      <c r="C77" s="38" t="s">
        <v>1724</v>
      </c>
    </row>
    <row r="78" spans="1:8" x14ac:dyDescent="0.3">
      <c r="A78" s="38" t="s">
        <v>1725</v>
      </c>
      <c r="B78" s="38" t="s">
        <v>1719</v>
      </c>
      <c r="C78" s="38" t="s">
        <v>1726</v>
      </c>
    </row>
    <row r="79" spans="1:8" x14ac:dyDescent="0.3">
      <c r="A79" s="38" t="s">
        <v>1727</v>
      </c>
      <c r="B79" s="38" t="s">
        <v>1719</v>
      </c>
      <c r="C79" s="38" t="s">
        <v>1728</v>
      </c>
    </row>
    <row r="80" spans="1:8" x14ac:dyDescent="0.3">
      <c r="A80" s="38" t="s">
        <v>1729</v>
      </c>
      <c r="B80" s="38" t="s">
        <v>1719</v>
      </c>
      <c r="C80" s="38" t="s">
        <v>1730</v>
      </c>
    </row>
    <row r="81" spans="1:8" x14ac:dyDescent="0.3">
      <c r="A81" s="38" t="s">
        <v>1731</v>
      </c>
      <c r="B81" s="38" t="s">
        <v>1719</v>
      </c>
      <c r="C81" s="38" t="s">
        <v>1732</v>
      </c>
    </row>
    <row r="83" spans="1:8" x14ac:dyDescent="0.3">
      <c r="A83" s="67" t="s">
        <v>1733</v>
      </c>
      <c r="B83" s="67"/>
      <c r="C83" s="67"/>
      <c r="D83" s="67"/>
      <c r="E83" s="67"/>
      <c r="F83" s="67"/>
      <c r="G83" s="67"/>
      <c r="H83" s="67"/>
    </row>
    <row r="85" spans="1:8" x14ac:dyDescent="0.3">
      <c r="A85" s="39" t="s">
        <v>1668</v>
      </c>
      <c r="B85" s="39" t="s">
        <v>1734</v>
      </c>
      <c r="C85" s="39" t="s">
        <v>27</v>
      </c>
      <c r="F85" s="46" t="s">
        <v>1744</v>
      </c>
    </row>
    <row r="86" spans="1:8" x14ac:dyDescent="0.3">
      <c r="A86" s="38" t="s">
        <v>1735</v>
      </c>
      <c r="B86" s="38" t="s">
        <v>1736</v>
      </c>
      <c r="C86" s="38" t="s">
        <v>1763</v>
      </c>
      <c r="F86" s="43" t="s">
        <v>1745</v>
      </c>
    </row>
    <row r="87" spans="1:8" x14ac:dyDescent="0.3">
      <c r="A87" s="38" t="s">
        <v>1737</v>
      </c>
      <c r="B87" s="38" t="s">
        <v>1738</v>
      </c>
      <c r="C87" s="38" t="s">
        <v>1739</v>
      </c>
      <c r="F87" s="47" t="s">
        <v>1750</v>
      </c>
      <c r="G87" s="38" t="s">
        <v>1746</v>
      </c>
    </row>
    <row r="88" spans="1:8" x14ac:dyDescent="0.3">
      <c r="A88" s="38" t="s">
        <v>1740</v>
      </c>
      <c r="B88" s="48">
        <f>COUNTA(원본데이터_SK!A:A)-1</f>
        <v>880</v>
      </c>
      <c r="C88" s="38" t="s">
        <v>1764</v>
      </c>
      <c r="F88" s="47" t="s">
        <v>1751</v>
      </c>
      <c r="G88" s="38" t="s">
        <v>1747</v>
      </c>
    </row>
    <row r="89" spans="1:8" x14ac:dyDescent="0.3">
      <c r="A89" s="38" t="s">
        <v>1670</v>
      </c>
      <c r="B89" s="41">
        <f>손익분석!B596</f>
        <v>20260210361070</v>
      </c>
      <c r="C89" s="38" t="s">
        <v>1741</v>
      </c>
      <c r="F89" s="47" t="s">
        <v>1752</v>
      </c>
      <c r="G89" s="38" t="s">
        <v>1748</v>
      </c>
    </row>
    <row r="90" spans="1:8" x14ac:dyDescent="0.3">
      <c r="A90" s="38" t="s">
        <v>1742</v>
      </c>
      <c r="B90" s="49">
        <f>손익분석!B598</f>
        <v>20260210361990</v>
      </c>
      <c r="C90" s="38" t="s">
        <v>1743</v>
      </c>
      <c r="F90" s="47" t="s">
        <v>1753</v>
      </c>
      <c r="G90" s="38" t="s">
        <v>1749</v>
      </c>
    </row>
    <row r="91" spans="1:8" x14ac:dyDescent="0.3">
      <c r="A91" s="38" t="s">
        <v>70</v>
      </c>
      <c r="B91" s="44" t="str">
        <f>손익분석!C598</f>
        <v>[워커힐]워커힐 고메 시그니처 양념 본갈비 8팩</v>
      </c>
      <c r="C91" s="38" t="s">
        <v>1765</v>
      </c>
    </row>
    <row r="92" spans="1:8" x14ac:dyDescent="0.3">
      <c r="A92" s="68" t="s">
        <v>1766</v>
      </c>
      <c r="B92" s="68"/>
      <c r="C92" s="68"/>
      <c r="D92" s="68"/>
      <c r="E92" s="68"/>
      <c r="F92" s="68"/>
      <c r="G92" s="68"/>
      <c r="H92" s="68"/>
    </row>
  </sheetData>
  <mergeCells count="4">
    <mergeCell ref="A72:H72"/>
    <mergeCell ref="A83:H83"/>
    <mergeCell ref="A92:H92"/>
    <mergeCell ref="A62:H62"/>
  </mergeCells>
  <phoneticPr fontId="3" type="noConversion"/>
  <hyperlinks>
    <hyperlink ref="F87" location="'제품마스터'!A1" tooltip="제품마스터 시트로 이동" display="'제품마스터'!A1" xr:uid="{D01625CB-2F98-4D85-ACB4-11854655A0C3}"/>
    <hyperlink ref="F88" location="'원본데이터_SK'!A1" tooltip="원본데이터_SK 시트로 이동" display="'원본데이터_SK'!A1" xr:uid="{279DDD77-4D59-4E3B-999D-BFBA2B815DE9}"/>
    <hyperlink ref="F89" location="'재고현황'!A1" tooltip="재고현황 시트로 이동" display="'재고현황'!A1" xr:uid="{5EE469F6-00B1-4104-8466-DB18DDD8EDA2}"/>
    <hyperlink ref="F90" location="'손익분석'!A1" tooltip="손익분석 시트로 이동" display="'손익분석'!A1" xr:uid="{93D874BF-798A-4331-B4A5-F1539A99FA3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0D11-754A-4877-9556-2DFB07D2F4A9}">
  <dimension ref="A1:AB2"/>
  <sheetViews>
    <sheetView showGridLines="0" workbookViewId="0">
      <selection activeCell="G22" sqref="G22"/>
    </sheetView>
  </sheetViews>
  <sheetFormatPr defaultRowHeight="16.5" x14ac:dyDescent="0.3"/>
  <cols>
    <col min="1" max="1" width="13.625" customWidth="1"/>
    <col min="2" max="2" width="31.75" bestFit="1" customWidth="1"/>
    <col min="3" max="7" width="20" customWidth="1"/>
    <col min="25" max="25" width="18.25" customWidth="1"/>
    <col min="26" max="26" width="15.875" customWidth="1"/>
    <col min="27" max="27" width="14.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1792</v>
      </c>
      <c r="H1" s="63" t="s">
        <v>2748</v>
      </c>
      <c r="I1" s="63" t="s">
        <v>5685</v>
      </c>
      <c r="J1" s="63" t="s">
        <v>5686</v>
      </c>
      <c r="K1" s="63" t="s">
        <v>5687</v>
      </c>
      <c r="L1" s="63" t="s">
        <v>5688</v>
      </c>
      <c r="M1" s="63" t="s">
        <v>5689</v>
      </c>
      <c r="N1" s="63" t="s">
        <v>5690</v>
      </c>
      <c r="O1" s="63" t="s">
        <v>5691</v>
      </c>
      <c r="P1" s="63" t="s">
        <v>5692</v>
      </c>
      <c r="Q1" s="63" t="s">
        <v>5693</v>
      </c>
      <c r="R1" s="63" t="s">
        <v>5694</v>
      </c>
      <c r="S1" s="63" t="s">
        <v>5695</v>
      </c>
      <c r="T1" s="63" t="s">
        <v>5696</v>
      </c>
      <c r="U1" s="63" t="s">
        <v>5697</v>
      </c>
      <c r="V1" s="63" t="s">
        <v>5698</v>
      </c>
      <c r="W1" s="63" t="s">
        <v>5699</v>
      </c>
      <c r="X1" s="63" t="s">
        <v>5700</v>
      </c>
      <c r="Y1" s="63" t="s">
        <v>5701</v>
      </c>
      <c r="Z1" s="63" t="s">
        <v>5702</v>
      </c>
      <c r="AA1" s="63" t="s">
        <v>5703</v>
      </c>
      <c r="AB1" s="63" t="s">
        <v>5704</v>
      </c>
    </row>
    <row r="2" spans="1:28" x14ac:dyDescent="0.3">
      <c r="A2" s="2" t="s">
        <v>7</v>
      </c>
      <c r="B2" t="s">
        <v>1784</v>
      </c>
      <c r="C2" t="s">
        <v>1783</v>
      </c>
      <c r="D2" s="3">
        <v>7687</v>
      </c>
      <c r="E2" s="3">
        <v>25000</v>
      </c>
      <c r="F2" s="4">
        <v>5000</v>
      </c>
      <c r="G2" s="2" t="s">
        <v>5705</v>
      </c>
      <c r="H2" s="37" t="s">
        <v>2766</v>
      </c>
      <c r="I2" t="s">
        <v>5706</v>
      </c>
      <c r="J2" t="s">
        <v>5707</v>
      </c>
      <c r="K2" t="s">
        <v>5708</v>
      </c>
      <c r="L2" t="s">
        <v>5709</v>
      </c>
      <c r="M2" t="s">
        <v>5710</v>
      </c>
      <c r="N2" t="s">
        <v>116</v>
      </c>
      <c r="O2">
        <v>8800286500186</v>
      </c>
      <c r="P2">
        <v>7300</v>
      </c>
      <c r="Q2">
        <v>387</v>
      </c>
      <c r="R2">
        <v>7687</v>
      </c>
      <c r="S2" t="s">
        <v>5711</v>
      </c>
      <c r="T2" t="s">
        <v>5712</v>
      </c>
      <c r="U2" t="s">
        <v>5705</v>
      </c>
      <c r="V2" t="s">
        <v>5713</v>
      </c>
      <c r="W2">
        <v>30</v>
      </c>
      <c r="X2">
        <v>42</v>
      </c>
      <c r="Y2">
        <v>164</v>
      </c>
      <c r="Z2">
        <v>214</v>
      </c>
      <c r="AA2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B1D2-8054-465F-B675-162EF0AB6646}">
  <dimension ref="A1:H11"/>
  <sheetViews>
    <sheetView showGridLines="0" workbookViewId="0">
      <selection activeCell="C19" sqref="C19"/>
    </sheetView>
  </sheetViews>
  <sheetFormatPr defaultRowHeight="16.5" x14ac:dyDescent="0.3"/>
  <cols>
    <col min="1" max="1" width="9.25" bestFit="1" customWidth="1"/>
    <col min="2" max="2" width="13.25" bestFit="1" customWidth="1"/>
    <col min="3" max="3" width="44" bestFit="1" customWidth="1"/>
    <col min="4" max="5" width="23.375" customWidth="1"/>
    <col min="6" max="6" width="25.625" customWidth="1"/>
    <col min="7" max="7" width="25.875" bestFit="1" customWidth="1"/>
  </cols>
  <sheetData>
    <row r="1" spans="1:8" ht="17.25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1767</v>
      </c>
      <c r="F1" s="6" t="s">
        <v>12</v>
      </c>
      <c r="G1" s="11" t="s">
        <v>1768</v>
      </c>
    </row>
    <row r="2" spans="1:8" x14ac:dyDescent="0.3">
      <c r="A2" t="s">
        <v>41</v>
      </c>
      <c r="B2">
        <v>58999583</v>
      </c>
      <c r="C2" t="s">
        <v>112</v>
      </c>
      <c r="D2" s="16" t="s">
        <v>7</v>
      </c>
      <c r="E2" s="27">
        <v>8</v>
      </c>
      <c r="F2" s="26">
        <v>45306</v>
      </c>
      <c r="G2" s="7" t="s">
        <v>1769</v>
      </c>
      <c r="H2" t="s">
        <v>1770</v>
      </c>
    </row>
    <row r="3" spans="1:8" x14ac:dyDescent="0.3">
      <c r="A3" t="s">
        <v>41</v>
      </c>
      <c r="B3">
        <v>58481090</v>
      </c>
      <c r="C3" t="s">
        <v>112</v>
      </c>
      <c r="D3" s="16" t="s">
        <v>7</v>
      </c>
      <c r="E3" s="27">
        <v>8</v>
      </c>
      <c r="F3" s="26">
        <v>45306</v>
      </c>
      <c r="G3" s="7" t="s">
        <v>1771</v>
      </c>
      <c r="H3" t="s">
        <v>1772</v>
      </c>
    </row>
    <row r="4" spans="1:8" x14ac:dyDescent="0.3">
      <c r="A4" t="s">
        <v>41</v>
      </c>
      <c r="B4">
        <v>59163204</v>
      </c>
      <c r="C4" t="s">
        <v>1276</v>
      </c>
      <c r="D4" s="16" t="s">
        <v>7</v>
      </c>
      <c r="E4" s="27">
        <v>4</v>
      </c>
      <c r="F4" s="26"/>
      <c r="G4" s="7" t="s">
        <v>1773</v>
      </c>
      <c r="H4" t="s">
        <v>1774</v>
      </c>
    </row>
    <row r="5" spans="1:8" x14ac:dyDescent="0.3">
      <c r="A5" t="s">
        <v>1673</v>
      </c>
      <c r="B5" t="s">
        <v>5595</v>
      </c>
      <c r="C5" t="s">
        <v>2555</v>
      </c>
      <c r="D5" s="16" t="s">
        <v>7</v>
      </c>
      <c r="E5" s="27">
        <v>1</v>
      </c>
      <c r="F5" s="26"/>
    </row>
    <row r="6" spans="1:8" x14ac:dyDescent="0.3">
      <c r="A6" t="s">
        <v>1672</v>
      </c>
      <c r="B6" t="s">
        <v>2708</v>
      </c>
      <c r="C6" t="s">
        <v>2707</v>
      </c>
      <c r="D6" s="16" t="s">
        <v>7</v>
      </c>
      <c r="E6" s="27">
        <v>1</v>
      </c>
      <c r="F6" s="26"/>
      <c r="G6" s="8" t="s">
        <v>1787</v>
      </c>
      <c r="H6" t="s">
        <v>1775</v>
      </c>
    </row>
    <row r="7" spans="1:8" x14ac:dyDescent="0.3">
      <c r="A7" t="s">
        <v>1672</v>
      </c>
      <c r="B7" t="s">
        <v>2698</v>
      </c>
      <c r="C7" t="s">
        <v>2694</v>
      </c>
      <c r="D7" s="16" t="s">
        <v>7</v>
      </c>
      <c r="E7" s="27">
        <v>2</v>
      </c>
      <c r="G7" s="31" t="s">
        <v>1788</v>
      </c>
      <c r="H7" t="s">
        <v>1776</v>
      </c>
    </row>
    <row r="8" spans="1:8" x14ac:dyDescent="0.3">
      <c r="A8" t="s">
        <v>5596</v>
      </c>
      <c r="B8" t="s">
        <v>2708</v>
      </c>
      <c r="C8" t="s">
        <v>2707</v>
      </c>
      <c r="D8" s="16" t="s">
        <v>7</v>
      </c>
      <c r="E8" s="27">
        <v>1</v>
      </c>
      <c r="G8" s="13" t="s">
        <v>1777</v>
      </c>
      <c r="H8" t="s">
        <v>1778</v>
      </c>
    </row>
    <row r="9" spans="1:8" x14ac:dyDescent="0.3">
      <c r="A9" t="s">
        <v>5594</v>
      </c>
      <c r="B9">
        <v>143790</v>
      </c>
      <c r="C9" t="s">
        <v>5597</v>
      </c>
      <c r="D9" s="16" t="s">
        <v>7</v>
      </c>
      <c r="E9" s="27">
        <v>4</v>
      </c>
    </row>
    <row r="10" spans="1:8" x14ac:dyDescent="0.3">
      <c r="A10" t="s">
        <v>5594</v>
      </c>
      <c r="B10">
        <v>143812</v>
      </c>
      <c r="C10" t="s">
        <v>5598</v>
      </c>
      <c r="D10" s="16" t="s">
        <v>7</v>
      </c>
      <c r="E10" s="27">
        <v>2</v>
      </c>
    </row>
    <row r="11" spans="1:8" x14ac:dyDescent="0.3">
      <c r="A11" t="s">
        <v>5599</v>
      </c>
      <c r="B11" t="s">
        <v>5600</v>
      </c>
      <c r="C11" t="s">
        <v>5601</v>
      </c>
      <c r="D11" s="16" t="s">
        <v>7</v>
      </c>
      <c r="E11" s="27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07FB-BC34-4FCB-A9EA-24A3033CA343}">
  <dimension ref="A1:AK881"/>
  <sheetViews>
    <sheetView workbookViewId="0">
      <selection activeCell="AL11" sqref="AL11"/>
    </sheetView>
  </sheetViews>
  <sheetFormatPr defaultRowHeight="16.5" x14ac:dyDescent="0.3"/>
  <cols>
    <col min="1" max="10" width="20" customWidth="1"/>
  </cols>
  <sheetData>
    <row r="1" spans="1:37" ht="16.5" customHeight="1" x14ac:dyDescent="0.3">
      <c r="A1" s="17" t="s">
        <v>71</v>
      </c>
      <c r="B1" s="17" t="s">
        <v>72</v>
      </c>
      <c r="C1" s="17" t="s">
        <v>73</v>
      </c>
      <c r="D1" s="17" t="s">
        <v>38</v>
      </c>
      <c r="E1" s="17" t="s">
        <v>74</v>
      </c>
      <c r="F1" s="17" t="s">
        <v>75</v>
      </c>
      <c r="G1" s="17" t="s">
        <v>76</v>
      </c>
      <c r="H1" s="17" t="s">
        <v>77</v>
      </c>
      <c r="I1" s="17" t="s">
        <v>78</v>
      </c>
      <c r="J1" s="17" t="s">
        <v>79</v>
      </c>
      <c r="K1" s="17" t="s">
        <v>80</v>
      </c>
      <c r="L1" s="17" t="s">
        <v>81</v>
      </c>
      <c r="M1" s="17" t="s">
        <v>82</v>
      </c>
      <c r="N1" s="17" t="s">
        <v>83</v>
      </c>
      <c r="O1" s="17" t="s">
        <v>84</v>
      </c>
      <c r="P1" s="17" t="s">
        <v>85</v>
      </c>
      <c r="Q1" s="17" t="s">
        <v>86</v>
      </c>
      <c r="R1" s="17" t="s">
        <v>87</v>
      </c>
      <c r="S1" s="17" t="s">
        <v>88</v>
      </c>
      <c r="T1" s="17" t="s">
        <v>89</v>
      </c>
      <c r="U1" s="17" t="s">
        <v>90</v>
      </c>
      <c r="V1" s="17" t="s">
        <v>91</v>
      </c>
      <c r="W1" s="17" t="s">
        <v>92</v>
      </c>
      <c r="X1" s="17" t="s">
        <v>93</v>
      </c>
      <c r="Y1" s="17" t="s">
        <v>94</v>
      </c>
      <c r="Z1" s="17" t="s">
        <v>95</v>
      </c>
      <c r="AA1" s="17" t="s">
        <v>96</v>
      </c>
      <c r="AB1" s="17" t="s">
        <v>97</v>
      </c>
      <c r="AC1" s="17" t="s">
        <v>98</v>
      </c>
      <c r="AD1" s="17" t="s">
        <v>99</v>
      </c>
      <c r="AE1" s="17" t="s">
        <v>100</v>
      </c>
      <c r="AF1" s="17" t="s">
        <v>101</v>
      </c>
      <c r="AG1" s="17" t="s">
        <v>102</v>
      </c>
      <c r="AH1" s="17" t="s">
        <v>103</v>
      </c>
      <c r="AI1" s="17" t="s">
        <v>104</v>
      </c>
      <c r="AJ1" s="17" t="s">
        <v>105</v>
      </c>
      <c r="AK1" s="17" t="s">
        <v>106</v>
      </c>
    </row>
    <row r="2" spans="1:37" ht="16.5" customHeight="1" x14ac:dyDescent="0.3">
      <c r="A2" s="18" t="s">
        <v>1809</v>
      </c>
      <c r="B2" s="18" t="s">
        <v>107</v>
      </c>
      <c r="C2" s="19" t="s">
        <v>108</v>
      </c>
      <c r="D2" s="18" t="s">
        <v>1810</v>
      </c>
      <c r="E2" s="19" t="s">
        <v>109</v>
      </c>
      <c r="F2" s="18" t="s">
        <v>110</v>
      </c>
      <c r="G2" s="18" t="s">
        <v>111</v>
      </c>
      <c r="H2" s="19" t="s">
        <v>112</v>
      </c>
      <c r="I2" s="18" t="s">
        <v>113</v>
      </c>
      <c r="J2" s="19" t="s">
        <v>114</v>
      </c>
      <c r="K2" s="19" t="s">
        <v>115</v>
      </c>
      <c r="L2" s="18" t="s">
        <v>116</v>
      </c>
      <c r="M2" s="18" t="s">
        <v>117</v>
      </c>
      <c r="N2" s="18" t="s">
        <v>118</v>
      </c>
      <c r="O2" s="20">
        <v>119000</v>
      </c>
      <c r="P2" s="20">
        <v>82110</v>
      </c>
      <c r="Q2" s="20">
        <v>1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31</v>
      </c>
      <c r="X2" s="20">
        <v>0</v>
      </c>
      <c r="Y2" s="20">
        <v>10000</v>
      </c>
      <c r="Z2" s="20">
        <v>0</v>
      </c>
      <c r="AA2" s="20">
        <v>0</v>
      </c>
      <c r="AB2" s="20">
        <v>0</v>
      </c>
      <c r="AC2" s="20">
        <v>119000</v>
      </c>
      <c r="AD2" s="20">
        <v>82110</v>
      </c>
      <c r="AE2" s="20">
        <v>0</v>
      </c>
      <c r="AF2" s="20">
        <v>10000</v>
      </c>
      <c r="AG2" s="20">
        <v>109000</v>
      </c>
      <c r="AH2" s="20">
        <v>82110</v>
      </c>
      <c r="AI2" s="20">
        <v>24445</v>
      </c>
      <c r="AJ2" s="20">
        <v>2445</v>
      </c>
      <c r="AK2" s="20">
        <v>26890</v>
      </c>
    </row>
    <row r="3" spans="1:37" ht="16.5" customHeight="1" x14ac:dyDescent="0.3">
      <c r="A3" s="18" t="s">
        <v>1811</v>
      </c>
      <c r="B3" s="18" t="s">
        <v>107</v>
      </c>
      <c r="C3" s="19" t="s">
        <v>108</v>
      </c>
      <c r="D3" s="18" t="s">
        <v>1812</v>
      </c>
      <c r="E3" s="19" t="s">
        <v>119</v>
      </c>
      <c r="F3" s="18" t="s">
        <v>110</v>
      </c>
      <c r="G3" s="18" t="s">
        <v>111</v>
      </c>
      <c r="H3" s="19" t="s">
        <v>112</v>
      </c>
      <c r="I3" s="18" t="s">
        <v>113</v>
      </c>
      <c r="J3" s="19" t="s">
        <v>114</v>
      </c>
      <c r="K3" s="19" t="s">
        <v>115</v>
      </c>
      <c r="L3" s="18" t="s">
        <v>116</v>
      </c>
      <c r="M3" s="18" t="s">
        <v>117</v>
      </c>
      <c r="N3" s="18" t="s">
        <v>118</v>
      </c>
      <c r="O3" s="20">
        <v>119000</v>
      </c>
      <c r="P3" s="20">
        <v>82110</v>
      </c>
      <c r="Q3" s="20">
        <v>1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31</v>
      </c>
      <c r="X3" s="20">
        <v>0</v>
      </c>
      <c r="Y3" s="20">
        <v>15000</v>
      </c>
      <c r="Z3" s="20">
        <v>0</v>
      </c>
      <c r="AA3" s="20">
        <v>0</v>
      </c>
      <c r="AB3" s="20">
        <v>5200</v>
      </c>
      <c r="AC3" s="20">
        <v>119000</v>
      </c>
      <c r="AD3" s="20">
        <v>82110</v>
      </c>
      <c r="AE3" s="20">
        <v>0</v>
      </c>
      <c r="AF3" s="20">
        <v>20200</v>
      </c>
      <c r="AG3" s="20">
        <v>98800</v>
      </c>
      <c r="AH3" s="20">
        <v>82110</v>
      </c>
      <c r="AI3" s="20">
        <v>15173</v>
      </c>
      <c r="AJ3" s="20">
        <v>1517</v>
      </c>
      <c r="AK3" s="20">
        <v>16690</v>
      </c>
    </row>
    <row r="4" spans="1:37" ht="16.5" customHeight="1" x14ac:dyDescent="0.3">
      <c r="A4" s="18" t="s">
        <v>1813</v>
      </c>
      <c r="B4" s="18" t="s">
        <v>107</v>
      </c>
      <c r="C4" s="19" t="s">
        <v>108</v>
      </c>
      <c r="D4" s="18" t="s">
        <v>1814</v>
      </c>
      <c r="E4" s="19" t="s">
        <v>120</v>
      </c>
      <c r="F4" s="18" t="s">
        <v>110</v>
      </c>
      <c r="G4" s="18" t="s">
        <v>111</v>
      </c>
      <c r="H4" s="19" t="s">
        <v>112</v>
      </c>
      <c r="I4" s="18" t="s">
        <v>113</v>
      </c>
      <c r="J4" s="19" t="s">
        <v>114</v>
      </c>
      <c r="K4" s="19" t="s">
        <v>115</v>
      </c>
      <c r="L4" s="18" t="s">
        <v>116</v>
      </c>
      <c r="M4" s="18" t="s">
        <v>117</v>
      </c>
      <c r="N4" s="18" t="s">
        <v>121</v>
      </c>
      <c r="O4" s="20">
        <v>119000</v>
      </c>
      <c r="P4" s="20">
        <v>82110</v>
      </c>
      <c r="Q4" s="20">
        <v>-1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31</v>
      </c>
      <c r="X4" s="20">
        <v>0</v>
      </c>
      <c r="Y4" s="20">
        <v>0</v>
      </c>
      <c r="Z4" s="20">
        <v>0</v>
      </c>
      <c r="AA4" s="20">
        <v>0</v>
      </c>
      <c r="AB4" s="20">
        <v>-5950</v>
      </c>
      <c r="AC4" s="20">
        <v>-119000</v>
      </c>
      <c r="AD4" s="20">
        <v>-82110</v>
      </c>
      <c r="AE4" s="20">
        <v>0</v>
      </c>
      <c r="AF4" s="20">
        <v>-5950</v>
      </c>
      <c r="AG4" s="20">
        <v>-113050</v>
      </c>
      <c r="AH4" s="20">
        <v>-82110</v>
      </c>
      <c r="AI4" s="20">
        <v>-28127</v>
      </c>
      <c r="AJ4" s="20">
        <v>-2813</v>
      </c>
      <c r="AK4" s="20">
        <v>-30940</v>
      </c>
    </row>
    <row r="5" spans="1:37" ht="16.5" customHeight="1" x14ac:dyDescent="0.3">
      <c r="A5" s="18" t="s">
        <v>1815</v>
      </c>
      <c r="B5" s="18" t="s">
        <v>107</v>
      </c>
      <c r="C5" s="19" t="s">
        <v>108</v>
      </c>
      <c r="D5" s="18" t="s">
        <v>1814</v>
      </c>
      <c r="E5" s="19" t="s">
        <v>120</v>
      </c>
      <c r="F5" s="18" t="s">
        <v>110</v>
      </c>
      <c r="G5" s="18" t="s">
        <v>111</v>
      </c>
      <c r="H5" s="19" t="s">
        <v>112</v>
      </c>
      <c r="I5" s="18" t="s">
        <v>113</v>
      </c>
      <c r="J5" s="19" t="s">
        <v>114</v>
      </c>
      <c r="K5" s="19" t="s">
        <v>115</v>
      </c>
      <c r="L5" s="18" t="s">
        <v>116</v>
      </c>
      <c r="M5" s="18" t="s">
        <v>117</v>
      </c>
      <c r="N5" s="18" t="s">
        <v>118</v>
      </c>
      <c r="O5" s="20">
        <v>119000</v>
      </c>
      <c r="P5" s="20">
        <v>82110</v>
      </c>
      <c r="Q5" s="20">
        <v>1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31</v>
      </c>
      <c r="X5" s="20">
        <v>0</v>
      </c>
      <c r="Y5" s="20">
        <v>0</v>
      </c>
      <c r="Z5" s="20">
        <v>0</v>
      </c>
      <c r="AA5" s="20">
        <v>0</v>
      </c>
      <c r="AB5" s="20">
        <v>5950</v>
      </c>
      <c r="AC5" s="20">
        <v>119000</v>
      </c>
      <c r="AD5" s="20">
        <v>82110</v>
      </c>
      <c r="AE5" s="20">
        <v>0</v>
      </c>
      <c r="AF5" s="20">
        <v>5950</v>
      </c>
      <c r="AG5" s="20">
        <v>113050</v>
      </c>
      <c r="AH5" s="20">
        <v>82110</v>
      </c>
      <c r="AI5" s="20">
        <v>28127</v>
      </c>
      <c r="AJ5" s="20">
        <v>2813</v>
      </c>
      <c r="AK5" s="20">
        <v>30940</v>
      </c>
    </row>
    <row r="6" spans="1:37" ht="16.5" customHeight="1" x14ac:dyDescent="0.3">
      <c r="A6" s="18" t="s">
        <v>1816</v>
      </c>
      <c r="B6" s="18" t="s">
        <v>107</v>
      </c>
      <c r="C6" s="19" t="s">
        <v>108</v>
      </c>
      <c r="D6" s="18" t="s">
        <v>1817</v>
      </c>
      <c r="E6" s="19" t="s">
        <v>1818</v>
      </c>
      <c r="F6" s="18" t="s">
        <v>122</v>
      </c>
      <c r="G6" s="18" t="s">
        <v>111</v>
      </c>
      <c r="H6" s="19" t="s">
        <v>112</v>
      </c>
      <c r="I6" s="18" t="s">
        <v>113</v>
      </c>
      <c r="J6" s="19" t="s">
        <v>114</v>
      </c>
      <c r="K6" s="19" t="s">
        <v>123</v>
      </c>
      <c r="L6" s="18" t="s">
        <v>116</v>
      </c>
      <c r="M6" s="18" t="s">
        <v>117</v>
      </c>
      <c r="N6" s="18" t="s">
        <v>118</v>
      </c>
      <c r="O6" s="20">
        <v>119000</v>
      </c>
      <c r="P6" s="20">
        <v>82110</v>
      </c>
      <c r="Q6" s="20">
        <v>1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31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119000</v>
      </c>
      <c r="AD6" s="20">
        <v>82110</v>
      </c>
      <c r="AE6" s="20">
        <v>0</v>
      </c>
      <c r="AF6" s="20">
        <v>0</v>
      </c>
      <c r="AG6" s="20">
        <v>119000</v>
      </c>
      <c r="AH6" s="20">
        <v>82110</v>
      </c>
      <c r="AI6" s="20">
        <v>33536</v>
      </c>
      <c r="AJ6" s="20">
        <v>3354</v>
      </c>
      <c r="AK6" s="20">
        <v>36890</v>
      </c>
    </row>
    <row r="7" spans="1:37" ht="16.5" customHeight="1" x14ac:dyDescent="0.3">
      <c r="A7" s="18" t="s">
        <v>124</v>
      </c>
      <c r="B7" s="18" t="s">
        <v>107</v>
      </c>
      <c r="C7" s="19" t="s">
        <v>108</v>
      </c>
      <c r="D7" s="18" t="s">
        <v>125</v>
      </c>
      <c r="E7" s="19" t="s">
        <v>126</v>
      </c>
      <c r="F7" s="18" t="s">
        <v>122</v>
      </c>
      <c r="G7" s="18" t="s">
        <v>111</v>
      </c>
      <c r="H7" s="19" t="s">
        <v>112</v>
      </c>
      <c r="I7" s="18" t="s">
        <v>113</v>
      </c>
      <c r="J7" s="19" t="s">
        <v>114</v>
      </c>
      <c r="K7" s="19" t="s">
        <v>123</v>
      </c>
      <c r="L7" s="18" t="s">
        <v>116</v>
      </c>
      <c r="M7" s="18" t="s">
        <v>117</v>
      </c>
      <c r="N7" s="18" t="s">
        <v>118</v>
      </c>
      <c r="O7" s="20">
        <v>119000</v>
      </c>
      <c r="P7" s="20">
        <v>82110</v>
      </c>
      <c r="Q7" s="20">
        <v>1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31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119000</v>
      </c>
      <c r="AD7" s="20">
        <v>82110</v>
      </c>
      <c r="AE7" s="20">
        <v>0</v>
      </c>
      <c r="AF7" s="20">
        <v>0</v>
      </c>
      <c r="AG7" s="20">
        <v>119000</v>
      </c>
      <c r="AH7" s="20">
        <v>82110</v>
      </c>
      <c r="AI7" s="20">
        <v>33536</v>
      </c>
      <c r="AJ7" s="20">
        <v>3354</v>
      </c>
      <c r="AK7" s="20">
        <v>36890</v>
      </c>
    </row>
    <row r="8" spans="1:37" ht="16.5" customHeight="1" x14ac:dyDescent="0.3">
      <c r="A8" s="18" t="s">
        <v>127</v>
      </c>
      <c r="B8" s="18" t="s">
        <v>107</v>
      </c>
      <c r="C8" s="19" t="s">
        <v>108</v>
      </c>
      <c r="D8" s="18" t="s">
        <v>128</v>
      </c>
      <c r="E8" s="19" t="s">
        <v>129</v>
      </c>
      <c r="F8" s="18" t="s">
        <v>122</v>
      </c>
      <c r="G8" s="18" t="s">
        <v>111</v>
      </c>
      <c r="H8" s="19" t="s">
        <v>112</v>
      </c>
      <c r="I8" s="18" t="s">
        <v>113</v>
      </c>
      <c r="J8" s="19" t="s">
        <v>114</v>
      </c>
      <c r="K8" s="19" t="s">
        <v>115</v>
      </c>
      <c r="L8" s="18" t="s">
        <v>116</v>
      </c>
      <c r="M8" s="18" t="s">
        <v>117</v>
      </c>
      <c r="N8" s="18" t="s">
        <v>118</v>
      </c>
      <c r="O8" s="20">
        <v>119000</v>
      </c>
      <c r="P8" s="20">
        <v>82110</v>
      </c>
      <c r="Q8" s="20">
        <v>1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31</v>
      </c>
      <c r="X8" s="20">
        <v>17850</v>
      </c>
      <c r="Y8" s="20">
        <v>0</v>
      </c>
      <c r="Z8" s="20">
        <v>0</v>
      </c>
      <c r="AA8" s="20">
        <v>0</v>
      </c>
      <c r="AB8" s="20">
        <v>0</v>
      </c>
      <c r="AC8" s="20">
        <v>119000</v>
      </c>
      <c r="AD8" s="20">
        <v>82110</v>
      </c>
      <c r="AE8" s="20">
        <v>0</v>
      </c>
      <c r="AF8" s="20">
        <v>17850</v>
      </c>
      <c r="AG8" s="20">
        <v>101150</v>
      </c>
      <c r="AH8" s="20">
        <v>82110</v>
      </c>
      <c r="AI8" s="20">
        <v>17309</v>
      </c>
      <c r="AJ8" s="20">
        <v>1731</v>
      </c>
      <c r="AK8" s="20">
        <v>19040</v>
      </c>
    </row>
    <row r="9" spans="1:37" ht="16.5" customHeight="1" x14ac:dyDescent="0.3">
      <c r="A9" s="18" t="s">
        <v>130</v>
      </c>
      <c r="B9" s="18" t="s">
        <v>107</v>
      </c>
      <c r="C9" s="19" t="s">
        <v>108</v>
      </c>
      <c r="D9" s="18" t="s">
        <v>1140</v>
      </c>
      <c r="E9" s="19" t="s">
        <v>1141</v>
      </c>
      <c r="F9" s="18" t="s">
        <v>110</v>
      </c>
      <c r="G9" s="18" t="s">
        <v>111</v>
      </c>
      <c r="H9" s="19" t="s">
        <v>112</v>
      </c>
      <c r="I9" s="18" t="s">
        <v>113</v>
      </c>
      <c r="J9" s="19" t="s">
        <v>114</v>
      </c>
      <c r="K9" s="19" t="s">
        <v>115</v>
      </c>
      <c r="L9" s="18" t="s">
        <v>116</v>
      </c>
      <c r="M9" s="18" t="s">
        <v>133</v>
      </c>
      <c r="N9" s="18" t="s">
        <v>118</v>
      </c>
      <c r="O9" s="20">
        <v>119000</v>
      </c>
      <c r="P9" s="20">
        <v>82110</v>
      </c>
      <c r="Q9" s="20">
        <v>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31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238000</v>
      </c>
      <c r="AD9" s="20">
        <v>164220</v>
      </c>
      <c r="AE9" s="20">
        <v>0</v>
      </c>
      <c r="AF9" s="20">
        <v>0</v>
      </c>
      <c r="AG9" s="20">
        <v>238000</v>
      </c>
      <c r="AH9" s="20">
        <v>164220</v>
      </c>
      <c r="AI9" s="20">
        <v>67073</v>
      </c>
      <c r="AJ9" s="20">
        <v>6707</v>
      </c>
      <c r="AK9" s="20">
        <v>73780</v>
      </c>
    </row>
    <row r="10" spans="1:37" ht="16.5" customHeight="1" x14ac:dyDescent="0.3">
      <c r="A10" s="18" t="s">
        <v>134</v>
      </c>
      <c r="B10" s="18" t="s">
        <v>107</v>
      </c>
      <c r="C10" s="19" t="s">
        <v>108</v>
      </c>
      <c r="D10" s="18" t="s">
        <v>1143</v>
      </c>
      <c r="E10" s="19" t="s">
        <v>567</v>
      </c>
      <c r="F10" s="18" t="s">
        <v>110</v>
      </c>
      <c r="G10" s="18" t="s">
        <v>111</v>
      </c>
      <c r="H10" s="19" t="s">
        <v>112</v>
      </c>
      <c r="I10" s="18" t="s">
        <v>113</v>
      </c>
      <c r="J10" s="19" t="s">
        <v>114</v>
      </c>
      <c r="K10" s="19" t="s">
        <v>115</v>
      </c>
      <c r="L10" s="18" t="s">
        <v>116</v>
      </c>
      <c r="M10" s="18" t="s">
        <v>133</v>
      </c>
      <c r="N10" s="18" t="s">
        <v>118</v>
      </c>
      <c r="O10" s="20">
        <v>119000</v>
      </c>
      <c r="P10" s="20">
        <v>82110</v>
      </c>
      <c r="Q10" s="20">
        <v>1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31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119000</v>
      </c>
      <c r="AD10" s="20">
        <v>82110</v>
      </c>
      <c r="AE10" s="20">
        <v>0</v>
      </c>
      <c r="AF10" s="20">
        <v>0</v>
      </c>
      <c r="AG10" s="20">
        <v>119000</v>
      </c>
      <c r="AH10" s="20">
        <v>82110</v>
      </c>
      <c r="AI10" s="20">
        <v>33536</v>
      </c>
      <c r="AJ10" s="20">
        <v>3354</v>
      </c>
      <c r="AK10" s="20">
        <v>36890</v>
      </c>
    </row>
    <row r="11" spans="1:37" ht="16.5" customHeight="1" x14ac:dyDescent="0.3">
      <c r="A11" s="18" t="s">
        <v>137</v>
      </c>
      <c r="B11" s="18" t="s">
        <v>107</v>
      </c>
      <c r="C11" s="19" t="s">
        <v>108</v>
      </c>
      <c r="D11" s="18" t="s">
        <v>1006</v>
      </c>
      <c r="E11" s="19" t="s">
        <v>1007</v>
      </c>
      <c r="F11" s="18" t="s">
        <v>110</v>
      </c>
      <c r="G11" s="18" t="s">
        <v>111</v>
      </c>
      <c r="H11" s="19" t="s">
        <v>112</v>
      </c>
      <c r="I11" s="18" t="s">
        <v>113</v>
      </c>
      <c r="J11" s="19" t="s">
        <v>114</v>
      </c>
      <c r="K11" s="19" t="s">
        <v>115</v>
      </c>
      <c r="L11" s="18" t="s">
        <v>116</v>
      </c>
      <c r="M11" s="18" t="s">
        <v>133</v>
      </c>
      <c r="N11" s="18" t="s">
        <v>118</v>
      </c>
      <c r="O11" s="20">
        <v>119000</v>
      </c>
      <c r="P11" s="20">
        <v>82110</v>
      </c>
      <c r="Q11" s="20">
        <v>1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31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119000</v>
      </c>
      <c r="AD11" s="20">
        <v>82110</v>
      </c>
      <c r="AE11" s="20">
        <v>0</v>
      </c>
      <c r="AF11" s="20">
        <v>0</v>
      </c>
      <c r="AG11" s="20">
        <v>119000</v>
      </c>
      <c r="AH11" s="20">
        <v>82110</v>
      </c>
      <c r="AI11" s="20">
        <v>33536</v>
      </c>
      <c r="AJ11" s="20">
        <v>3354</v>
      </c>
      <c r="AK11" s="20">
        <v>36890</v>
      </c>
    </row>
    <row r="12" spans="1:37" ht="16.5" customHeight="1" x14ac:dyDescent="0.3">
      <c r="A12" s="18" t="s">
        <v>140</v>
      </c>
      <c r="B12" s="18" t="s">
        <v>107</v>
      </c>
      <c r="C12" s="19" t="s">
        <v>108</v>
      </c>
      <c r="D12" s="18" t="s">
        <v>1148</v>
      </c>
      <c r="E12" s="19" t="s">
        <v>1149</v>
      </c>
      <c r="F12" s="18" t="s">
        <v>110</v>
      </c>
      <c r="G12" s="18" t="s">
        <v>111</v>
      </c>
      <c r="H12" s="19" t="s">
        <v>112</v>
      </c>
      <c r="I12" s="18" t="s">
        <v>113</v>
      </c>
      <c r="J12" s="19" t="s">
        <v>114</v>
      </c>
      <c r="K12" s="19" t="s">
        <v>115</v>
      </c>
      <c r="L12" s="18" t="s">
        <v>116</v>
      </c>
      <c r="M12" s="18" t="s">
        <v>133</v>
      </c>
      <c r="N12" s="18" t="s">
        <v>118</v>
      </c>
      <c r="O12" s="20">
        <v>119000</v>
      </c>
      <c r="P12" s="20">
        <v>82110</v>
      </c>
      <c r="Q12" s="20">
        <v>1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31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119000</v>
      </c>
      <c r="AD12" s="20">
        <v>82110</v>
      </c>
      <c r="AE12" s="20">
        <v>0</v>
      </c>
      <c r="AF12" s="20">
        <v>0</v>
      </c>
      <c r="AG12" s="20">
        <v>119000</v>
      </c>
      <c r="AH12" s="20">
        <v>82110</v>
      </c>
      <c r="AI12" s="20">
        <v>33536</v>
      </c>
      <c r="AJ12" s="20">
        <v>3354</v>
      </c>
      <c r="AK12" s="20">
        <v>36890</v>
      </c>
    </row>
    <row r="13" spans="1:37" ht="16.5" customHeight="1" x14ac:dyDescent="0.3">
      <c r="A13" s="18" t="s">
        <v>143</v>
      </c>
      <c r="B13" s="18" t="s">
        <v>107</v>
      </c>
      <c r="C13" s="19" t="s">
        <v>108</v>
      </c>
      <c r="D13" s="18" t="s">
        <v>1009</v>
      </c>
      <c r="E13" s="19" t="s">
        <v>139</v>
      </c>
      <c r="F13" s="18" t="s">
        <v>110</v>
      </c>
      <c r="G13" s="18" t="s">
        <v>111</v>
      </c>
      <c r="H13" s="19" t="s">
        <v>112</v>
      </c>
      <c r="I13" s="18" t="s">
        <v>113</v>
      </c>
      <c r="J13" s="19" t="s">
        <v>114</v>
      </c>
      <c r="K13" s="19" t="s">
        <v>115</v>
      </c>
      <c r="L13" s="18" t="s">
        <v>116</v>
      </c>
      <c r="M13" s="18" t="s">
        <v>133</v>
      </c>
      <c r="N13" s="18" t="s">
        <v>118</v>
      </c>
      <c r="O13" s="20">
        <v>119000</v>
      </c>
      <c r="P13" s="20">
        <v>82110</v>
      </c>
      <c r="Q13" s="20">
        <v>1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31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119000</v>
      </c>
      <c r="AD13" s="20">
        <v>82110</v>
      </c>
      <c r="AE13" s="20">
        <v>0</v>
      </c>
      <c r="AF13" s="20">
        <v>0</v>
      </c>
      <c r="AG13" s="20">
        <v>119000</v>
      </c>
      <c r="AH13" s="20">
        <v>82110</v>
      </c>
      <c r="AI13" s="20">
        <v>33536</v>
      </c>
      <c r="AJ13" s="20">
        <v>3354</v>
      </c>
      <c r="AK13" s="20">
        <v>36890</v>
      </c>
    </row>
    <row r="14" spans="1:37" ht="16.5" customHeight="1" x14ac:dyDescent="0.3">
      <c r="A14" s="18" t="s">
        <v>145</v>
      </c>
      <c r="B14" s="18" t="s">
        <v>107</v>
      </c>
      <c r="C14" s="19" t="s">
        <v>108</v>
      </c>
      <c r="D14" s="18" t="s">
        <v>1151</v>
      </c>
      <c r="E14" s="19" t="s">
        <v>1152</v>
      </c>
      <c r="F14" s="18" t="s">
        <v>110</v>
      </c>
      <c r="G14" s="18" t="s">
        <v>111</v>
      </c>
      <c r="H14" s="19" t="s">
        <v>112</v>
      </c>
      <c r="I14" s="18" t="s">
        <v>113</v>
      </c>
      <c r="J14" s="19" t="s">
        <v>114</v>
      </c>
      <c r="K14" s="19" t="s">
        <v>115</v>
      </c>
      <c r="L14" s="18" t="s">
        <v>116</v>
      </c>
      <c r="M14" s="18" t="s">
        <v>133</v>
      </c>
      <c r="N14" s="18" t="s">
        <v>118</v>
      </c>
      <c r="O14" s="20">
        <v>119000</v>
      </c>
      <c r="P14" s="20">
        <v>82110</v>
      </c>
      <c r="Q14" s="20">
        <v>1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31</v>
      </c>
      <c r="X14" s="20">
        <v>0</v>
      </c>
      <c r="Y14" s="20">
        <v>0</v>
      </c>
      <c r="Z14" s="20">
        <v>0</v>
      </c>
      <c r="AA14" s="20">
        <v>0</v>
      </c>
      <c r="AB14" s="20">
        <v>5950</v>
      </c>
      <c r="AC14" s="20">
        <v>119000</v>
      </c>
      <c r="AD14" s="20">
        <v>82110</v>
      </c>
      <c r="AE14" s="20">
        <v>0</v>
      </c>
      <c r="AF14" s="20">
        <v>5950</v>
      </c>
      <c r="AG14" s="20">
        <v>113050</v>
      </c>
      <c r="AH14" s="20">
        <v>82110</v>
      </c>
      <c r="AI14" s="20">
        <v>28127</v>
      </c>
      <c r="AJ14" s="20">
        <v>2813</v>
      </c>
      <c r="AK14" s="20">
        <v>30940</v>
      </c>
    </row>
    <row r="15" spans="1:37" ht="16.5" customHeight="1" x14ac:dyDescent="0.3">
      <c r="A15" s="18" t="s">
        <v>148</v>
      </c>
      <c r="B15" s="18" t="s">
        <v>107</v>
      </c>
      <c r="C15" s="19" t="s">
        <v>108</v>
      </c>
      <c r="D15" s="18" t="s">
        <v>1014</v>
      </c>
      <c r="E15" s="19" t="s">
        <v>1015</v>
      </c>
      <c r="F15" s="18" t="s">
        <v>110</v>
      </c>
      <c r="G15" s="18" t="s">
        <v>111</v>
      </c>
      <c r="H15" s="19" t="s">
        <v>112</v>
      </c>
      <c r="I15" s="18" t="s">
        <v>113</v>
      </c>
      <c r="J15" s="19" t="s">
        <v>114</v>
      </c>
      <c r="K15" s="19" t="s">
        <v>115</v>
      </c>
      <c r="L15" s="18" t="s">
        <v>116</v>
      </c>
      <c r="M15" s="18" t="s">
        <v>133</v>
      </c>
      <c r="N15" s="18" t="s">
        <v>118</v>
      </c>
      <c r="O15" s="20">
        <v>119000</v>
      </c>
      <c r="P15" s="20">
        <v>82110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31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119000</v>
      </c>
      <c r="AD15" s="20">
        <v>82110</v>
      </c>
      <c r="AE15" s="20">
        <v>0</v>
      </c>
      <c r="AF15" s="20">
        <v>0</v>
      </c>
      <c r="AG15" s="20">
        <v>119000</v>
      </c>
      <c r="AH15" s="20">
        <v>82110</v>
      </c>
      <c r="AI15" s="20">
        <v>33536</v>
      </c>
      <c r="AJ15" s="20">
        <v>3354</v>
      </c>
      <c r="AK15" s="20">
        <v>36890</v>
      </c>
    </row>
    <row r="16" spans="1:37" ht="16.5" customHeight="1" x14ac:dyDescent="0.3">
      <c r="A16" s="18" t="s">
        <v>152</v>
      </c>
      <c r="B16" s="18" t="s">
        <v>107</v>
      </c>
      <c r="C16" s="19" t="s">
        <v>108</v>
      </c>
      <c r="D16" s="18" t="s">
        <v>1154</v>
      </c>
      <c r="E16" s="19" t="s">
        <v>1155</v>
      </c>
      <c r="F16" s="18" t="s">
        <v>110</v>
      </c>
      <c r="G16" s="18" t="s">
        <v>111</v>
      </c>
      <c r="H16" s="19" t="s">
        <v>112</v>
      </c>
      <c r="I16" s="18" t="s">
        <v>113</v>
      </c>
      <c r="J16" s="19" t="s">
        <v>114</v>
      </c>
      <c r="K16" s="19" t="s">
        <v>115</v>
      </c>
      <c r="L16" s="18" t="s">
        <v>116</v>
      </c>
      <c r="M16" s="18" t="s">
        <v>133</v>
      </c>
      <c r="N16" s="18" t="s">
        <v>118</v>
      </c>
      <c r="O16" s="20">
        <v>119000</v>
      </c>
      <c r="P16" s="20">
        <v>82110</v>
      </c>
      <c r="Q16" s="20">
        <v>1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31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119000</v>
      </c>
      <c r="AD16" s="20">
        <v>82110</v>
      </c>
      <c r="AE16" s="20">
        <v>0</v>
      </c>
      <c r="AF16" s="20">
        <v>0</v>
      </c>
      <c r="AG16" s="20">
        <v>119000</v>
      </c>
      <c r="AH16" s="20">
        <v>82110</v>
      </c>
      <c r="AI16" s="20">
        <v>33536</v>
      </c>
      <c r="AJ16" s="20">
        <v>3354</v>
      </c>
      <c r="AK16" s="20">
        <v>36890</v>
      </c>
    </row>
    <row r="17" spans="1:37" ht="16.5" customHeight="1" x14ac:dyDescent="0.3">
      <c r="A17" s="18" t="s">
        <v>155</v>
      </c>
      <c r="B17" s="18" t="s">
        <v>107</v>
      </c>
      <c r="C17" s="19" t="s">
        <v>108</v>
      </c>
      <c r="D17" s="18" t="s">
        <v>1157</v>
      </c>
      <c r="E17" s="19" t="s">
        <v>184</v>
      </c>
      <c r="F17" s="18" t="s">
        <v>110</v>
      </c>
      <c r="G17" s="18" t="s">
        <v>111</v>
      </c>
      <c r="H17" s="19" t="s">
        <v>112</v>
      </c>
      <c r="I17" s="18" t="s">
        <v>113</v>
      </c>
      <c r="J17" s="19" t="s">
        <v>114</v>
      </c>
      <c r="K17" s="19" t="s">
        <v>115</v>
      </c>
      <c r="L17" s="18" t="s">
        <v>116</v>
      </c>
      <c r="M17" s="18" t="s">
        <v>133</v>
      </c>
      <c r="N17" s="18" t="s">
        <v>118</v>
      </c>
      <c r="O17" s="20">
        <v>119000</v>
      </c>
      <c r="P17" s="20">
        <v>82110</v>
      </c>
      <c r="Q17" s="20">
        <v>1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31</v>
      </c>
      <c r="X17" s="20">
        <v>0</v>
      </c>
      <c r="Y17" s="20">
        <v>0</v>
      </c>
      <c r="Z17" s="20">
        <v>0</v>
      </c>
      <c r="AA17" s="20">
        <v>0</v>
      </c>
      <c r="AB17" s="20">
        <v>5950</v>
      </c>
      <c r="AC17" s="20">
        <v>119000</v>
      </c>
      <c r="AD17" s="20">
        <v>82110</v>
      </c>
      <c r="AE17" s="20">
        <v>0</v>
      </c>
      <c r="AF17" s="20">
        <v>5950</v>
      </c>
      <c r="AG17" s="20">
        <v>113050</v>
      </c>
      <c r="AH17" s="20">
        <v>82110</v>
      </c>
      <c r="AI17" s="20">
        <v>28127</v>
      </c>
      <c r="AJ17" s="20">
        <v>2813</v>
      </c>
      <c r="AK17" s="20">
        <v>30940</v>
      </c>
    </row>
    <row r="18" spans="1:37" ht="16.5" customHeight="1" x14ac:dyDescent="0.3">
      <c r="A18" s="18" t="s">
        <v>158</v>
      </c>
      <c r="B18" s="18" t="s">
        <v>107</v>
      </c>
      <c r="C18" s="19" t="s">
        <v>108</v>
      </c>
      <c r="D18" s="18" t="s">
        <v>1159</v>
      </c>
      <c r="E18" s="19" t="s">
        <v>1160</v>
      </c>
      <c r="F18" s="18" t="s">
        <v>110</v>
      </c>
      <c r="G18" s="18" t="s">
        <v>111</v>
      </c>
      <c r="H18" s="19" t="s">
        <v>112</v>
      </c>
      <c r="I18" s="18" t="s">
        <v>113</v>
      </c>
      <c r="J18" s="19" t="s">
        <v>114</v>
      </c>
      <c r="K18" s="19" t="s">
        <v>115</v>
      </c>
      <c r="L18" s="18" t="s">
        <v>116</v>
      </c>
      <c r="M18" s="18" t="s">
        <v>133</v>
      </c>
      <c r="N18" s="18" t="s">
        <v>118</v>
      </c>
      <c r="O18" s="20">
        <v>119000</v>
      </c>
      <c r="P18" s="20">
        <v>82110</v>
      </c>
      <c r="Q18" s="20">
        <v>1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31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119000</v>
      </c>
      <c r="AD18" s="20">
        <v>82110</v>
      </c>
      <c r="AE18" s="20">
        <v>0</v>
      </c>
      <c r="AF18" s="20">
        <v>0</v>
      </c>
      <c r="AG18" s="20">
        <v>119000</v>
      </c>
      <c r="AH18" s="20">
        <v>82110</v>
      </c>
      <c r="AI18" s="20">
        <v>33536</v>
      </c>
      <c r="AJ18" s="20">
        <v>3354</v>
      </c>
      <c r="AK18" s="20">
        <v>36890</v>
      </c>
    </row>
    <row r="19" spans="1:37" ht="16.5" customHeight="1" x14ac:dyDescent="0.3">
      <c r="A19" s="18" t="s">
        <v>161</v>
      </c>
      <c r="B19" s="18" t="s">
        <v>107</v>
      </c>
      <c r="C19" s="19" t="s">
        <v>108</v>
      </c>
      <c r="D19" s="18" t="s">
        <v>1181</v>
      </c>
      <c r="E19" s="19" t="s">
        <v>154</v>
      </c>
      <c r="F19" s="18" t="s">
        <v>110</v>
      </c>
      <c r="G19" s="18" t="s">
        <v>111</v>
      </c>
      <c r="H19" s="19" t="s">
        <v>112</v>
      </c>
      <c r="I19" s="18" t="s">
        <v>113</v>
      </c>
      <c r="J19" s="19" t="s">
        <v>114</v>
      </c>
      <c r="K19" s="19" t="s">
        <v>115</v>
      </c>
      <c r="L19" s="18" t="s">
        <v>116</v>
      </c>
      <c r="M19" s="18" t="s">
        <v>133</v>
      </c>
      <c r="N19" s="18" t="s">
        <v>118</v>
      </c>
      <c r="O19" s="20">
        <v>119000</v>
      </c>
      <c r="P19" s="20">
        <v>82110</v>
      </c>
      <c r="Q19" s="20">
        <v>1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31</v>
      </c>
      <c r="X19" s="20">
        <v>0</v>
      </c>
      <c r="Y19" s="20">
        <v>5000</v>
      </c>
      <c r="Z19" s="20">
        <v>0</v>
      </c>
      <c r="AA19" s="20">
        <v>0</v>
      </c>
      <c r="AB19" s="20">
        <v>0</v>
      </c>
      <c r="AC19" s="20">
        <v>119000</v>
      </c>
      <c r="AD19" s="20">
        <v>82110</v>
      </c>
      <c r="AE19" s="20">
        <v>0</v>
      </c>
      <c r="AF19" s="20">
        <v>5000</v>
      </c>
      <c r="AG19" s="20">
        <v>114000</v>
      </c>
      <c r="AH19" s="20">
        <v>82110</v>
      </c>
      <c r="AI19" s="20">
        <v>28991</v>
      </c>
      <c r="AJ19" s="20">
        <v>2899</v>
      </c>
      <c r="AK19" s="20">
        <v>31890</v>
      </c>
    </row>
    <row r="20" spans="1:37" ht="16.5" customHeight="1" x14ac:dyDescent="0.3">
      <c r="A20" s="18" t="s">
        <v>164</v>
      </c>
      <c r="B20" s="18" t="s">
        <v>107</v>
      </c>
      <c r="C20" s="19" t="s">
        <v>108</v>
      </c>
      <c r="D20" s="18" t="s">
        <v>1186</v>
      </c>
      <c r="E20" s="19" t="s">
        <v>1187</v>
      </c>
      <c r="F20" s="18" t="s">
        <v>110</v>
      </c>
      <c r="G20" s="18" t="s">
        <v>111</v>
      </c>
      <c r="H20" s="19" t="s">
        <v>112</v>
      </c>
      <c r="I20" s="18" t="s">
        <v>113</v>
      </c>
      <c r="J20" s="19" t="s">
        <v>114</v>
      </c>
      <c r="K20" s="19" t="s">
        <v>115</v>
      </c>
      <c r="L20" s="18" t="s">
        <v>116</v>
      </c>
      <c r="M20" s="18" t="s">
        <v>133</v>
      </c>
      <c r="N20" s="18" t="s">
        <v>118</v>
      </c>
      <c r="O20" s="20">
        <v>119000</v>
      </c>
      <c r="P20" s="20">
        <v>82110</v>
      </c>
      <c r="Q20" s="20">
        <v>1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31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119000</v>
      </c>
      <c r="AD20" s="20">
        <v>82110</v>
      </c>
      <c r="AE20" s="20">
        <v>0</v>
      </c>
      <c r="AF20" s="20">
        <v>0</v>
      </c>
      <c r="AG20" s="20">
        <v>119000</v>
      </c>
      <c r="AH20" s="20">
        <v>82110</v>
      </c>
      <c r="AI20" s="20">
        <v>33536</v>
      </c>
      <c r="AJ20" s="20">
        <v>3354</v>
      </c>
      <c r="AK20" s="20">
        <v>36890</v>
      </c>
    </row>
    <row r="21" spans="1:37" ht="16.5" customHeight="1" x14ac:dyDescent="0.3">
      <c r="A21" s="18" t="s">
        <v>167</v>
      </c>
      <c r="B21" s="18" t="s">
        <v>107</v>
      </c>
      <c r="C21" s="19" t="s">
        <v>108</v>
      </c>
      <c r="D21" s="18" t="s">
        <v>1189</v>
      </c>
      <c r="E21" s="19" t="s">
        <v>1190</v>
      </c>
      <c r="F21" s="18" t="s">
        <v>110</v>
      </c>
      <c r="G21" s="18" t="s">
        <v>111</v>
      </c>
      <c r="H21" s="19" t="s">
        <v>112</v>
      </c>
      <c r="I21" s="18" t="s">
        <v>113</v>
      </c>
      <c r="J21" s="19" t="s">
        <v>114</v>
      </c>
      <c r="K21" s="19" t="s">
        <v>115</v>
      </c>
      <c r="L21" s="18" t="s">
        <v>116</v>
      </c>
      <c r="M21" s="18" t="s">
        <v>133</v>
      </c>
      <c r="N21" s="18" t="s">
        <v>118</v>
      </c>
      <c r="O21" s="20">
        <v>119000</v>
      </c>
      <c r="P21" s="20">
        <v>82110</v>
      </c>
      <c r="Q21" s="20">
        <v>1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31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119000</v>
      </c>
      <c r="AD21" s="20">
        <v>82110</v>
      </c>
      <c r="AE21" s="20">
        <v>0</v>
      </c>
      <c r="AF21" s="20">
        <v>0</v>
      </c>
      <c r="AG21" s="20">
        <v>119000</v>
      </c>
      <c r="AH21" s="20">
        <v>82110</v>
      </c>
      <c r="AI21" s="20">
        <v>33536</v>
      </c>
      <c r="AJ21" s="20">
        <v>3354</v>
      </c>
      <c r="AK21" s="20">
        <v>36890</v>
      </c>
    </row>
    <row r="22" spans="1:37" ht="16.5" customHeight="1" x14ac:dyDescent="0.3">
      <c r="A22" s="18" t="s">
        <v>170</v>
      </c>
      <c r="B22" s="18" t="s">
        <v>107</v>
      </c>
      <c r="C22" s="19" t="s">
        <v>108</v>
      </c>
      <c r="D22" s="18" t="s">
        <v>1195</v>
      </c>
      <c r="E22" s="19" t="s">
        <v>1196</v>
      </c>
      <c r="F22" s="18" t="s">
        <v>110</v>
      </c>
      <c r="G22" s="18" t="s">
        <v>111</v>
      </c>
      <c r="H22" s="19" t="s">
        <v>112</v>
      </c>
      <c r="I22" s="18" t="s">
        <v>113</v>
      </c>
      <c r="J22" s="19" t="s">
        <v>114</v>
      </c>
      <c r="K22" s="19" t="s">
        <v>115</v>
      </c>
      <c r="L22" s="18" t="s">
        <v>116</v>
      </c>
      <c r="M22" s="18" t="s">
        <v>133</v>
      </c>
      <c r="N22" s="18" t="s">
        <v>118</v>
      </c>
      <c r="O22" s="20">
        <v>119000</v>
      </c>
      <c r="P22" s="20">
        <v>82110</v>
      </c>
      <c r="Q22" s="20">
        <v>1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31</v>
      </c>
      <c r="X22" s="20">
        <v>13090</v>
      </c>
      <c r="Y22" s="20">
        <v>0</v>
      </c>
      <c r="Z22" s="20">
        <v>0</v>
      </c>
      <c r="AA22" s="20">
        <v>0</v>
      </c>
      <c r="AB22" s="20">
        <v>0</v>
      </c>
      <c r="AC22" s="20">
        <v>119000</v>
      </c>
      <c r="AD22" s="20">
        <v>82110</v>
      </c>
      <c r="AE22" s="20">
        <v>0</v>
      </c>
      <c r="AF22" s="20">
        <v>13090</v>
      </c>
      <c r="AG22" s="20">
        <v>105910</v>
      </c>
      <c r="AH22" s="20">
        <v>82110</v>
      </c>
      <c r="AI22" s="20">
        <v>21636</v>
      </c>
      <c r="AJ22" s="20">
        <v>2164</v>
      </c>
      <c r="AK22" s="20">
        <v>23800</v>
      </c>
    </row>
    <row r="23" spans="1:37" ht="16.5" customHeight="1" x14ac:dyDescent="0.3">
      <c r="A23" s="18" t="s">
        <v>173</v>
      </c>
      <c r="B23" s="18" t="s">
        <v>107</v>
      </c>
      <c r="C23" s="19" t="s">
        <v>108</v>
      </c>
      <c r="D23" s="18" t="s">
        <v>1198</v>
      </c>
      <c r="E23" s="19" t="s">
        <v>184</v>
      </c>
      <c r="F23" s="18" t="s">
        <v>110</v>
      </c>
      <c r="G23" s="18" t="s">
        <v>111</v>
      </c>
      <c r="H23" s="19" t="s">
        <v>112</v>
      </c>
      <c r="I23" s="18" t="s">
        <v>113</v>
      </c>
      <c r="J23" s="19" t="s">
        <v>114</v>
      </c>
      <c r="K23" s="19" t="s">
        <v>151</v>
      </c>
      <c r="L23" s="18" t="s">
        <v>116</v>
      </c>
      <c r="M23" s="18" t="s">
        <v>133</v>
      </c>
      <c r="N23" s="18" t="s">
        <v>118</v>
      </c>
      <c r="O23" s="20">
        <v>119000</v>
      </c>
      <c r="P23" s="20">
        <v>82110</v>
      </c>
      <c r="Q23" s="20">
        <v>1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31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119000</v>
      </c>
      <c r="AD23" s="20">
        <v>82110</v>
      </c>
      <c r="AE23" s="20">
        <v>0</v>
      </c>
      <c r="AF23" s="20">
        <v>0</v>
      </c>
      <c r="AG23" s="20">
        <v>119000</v>
      </c>
      <c r="AH23" s="20">
        <v>82110</v>
      </c>
      <c r="AI23" s="20">
        <v>33536</v>
      </c>
      <c r="AJ23" s="20">
        <v>3354</v>
      </c>
      <c r="AK23" s="20">
        <v>36890</v>
      </c>
    </row>
    <row r="24" spans="1:37" ht="16.5" customHeight="1" x14ac:dyDescent="0.3">
      <c r="A24" s="18" t="s">
        <v>176</v>
      </c>
      <c r="B24" s="18" t="s">
        <v>107</v>
      </c>
      <c r="C24" s="19" t="s">
        <v>108</v>
      </c>
      <c r="D24" s="18" t="s">
        <v>1200</v>
      </c>
      <c r="E24" s="19" t="s">
        <v>1201</v>
      </c>
      <c r="F24" s="18" t="s">
        <v>110</v>
      </c>
      <c r="G24" s="18" t="s">
        <v>111</v>
      </c>
      <c r="H24" s="19" t="s">
        <v>112</v>
      </c>
      <c r="I24" s="18" t="s">
        <v>113</v>
      </c>
      <c r="J24" s="19" t="s">
        <v>114</v>
      </c>
      <c r="K24" s="19" t="s">
        <v>115</v>
      </c>
      <c r="L24" s="18" t="s">
        <v>116</v>
      </c>
      <c r="M24" s="18" t="s">
        <v>133</v>
      </c>
      <c r="N24" s="18" t="s">
        <v>118</v>
      </c>
      <c r="O24" s="20">
        <v>119000</v>
      </c>
      <c r="P24" s="20">
        <v>82110</v>
      </c>
      <c r="Q24" s="20">
        <v>1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31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119000</v>
      </c>
      <c r="AD24" s="20">
        <v>82110</v>
      </c>
      <c r="AE24" s="20">
        <v>0</v>
      </c>
      <c r="AF24" s="20">
        <v>0</v>
      </c>
      <c r="AG24" s="20">
        <v>119000</v>
      </c>
      <c r="AH24" s="20">
        <v>82110</v>
      </c>
      <c r="AI24" s="20">
        <v>33536</v>
      </c>
      <c r="AJ24" s="20">
        <v>3354</v>
      </c>
      <c r="AK24" s="20">
        <v>36890</v>
      </c>
    </row>
    <row r="25" spans="1:37" ht="16.5" customHeight="1" x14ac:dyDescent="0.3">
      <c r="A25" s="18" t="s">
        <v>179</v>
      </c>
      <c r="B25" s="18" t="s">
        <v>107</v>
      </c>
      <c r="C25" s="19" t="s">
        <v>108</v>
      </c>
      <c r="D25" s="18" t="s">
        <v>1203</v>
      </c>
      <c r="E25" s="19" t="s">
        <v>1204</v>
      </c>
      <c r="F25" s="18" t="s">
        <v>110</v>
      </c>
      <c r="G25" s="18" t="s">
        <v>111</v>
      </c>
      <c r="H25" s="19" t="s">
        <v>112</v>
      </c>
      <c r="I25" s="18" t="s">
        <v>113</v>
      </c>
      <c r="J25" s="19" t="s">
        <v>114</v>
      </c>
      <c r="K25" s="19" t="s">
        <v>115</v>
      </c>
      <c r="L25" s="18" t="s">
        <v>116</v>
      </c>
      <c r="M25" s="18" t="s">
        <v>133</v>
      </c>
      <c r="N25" s="18" t="s">
        <v>118</v>
      </c>
      <c r="O25" s="20">
        <v>119000</v>
      </c>
      <c r="P25" s="20">
        <v>82110</v>
      </c>
      <c r="Q25" s="20">
        <v>1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31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119000</v>
      </c>
      <c r="AD25" s="20">
        <v>82110</v>
      </c>
      <c r="AE25" s="20">
        <v>0</v>
      </c>
      <c r="AF25" s="20">
        <v>0</v>
      </c>
      <c r="AG25" s="20">
        <v>119000</v>
      </c>
      <c r="AH25" s="20">
        <v>82110</v>
      </c>
      <c r="AI25" s="20">
        <v>33536</v>
      </c>
      <c r="AJ25" s="20">
        <v>3354</v>
      </c>
      <c r="AK25" s="20">
        <v>36890</v>
      </c>
    </row>
    <row r="26" spans="1:37" ht="16.5" customHeight="1" x14ac:dyDescent="0.3">
      <c r="A26" s="18" t="s">
        <v>182</v>
      </c>
      <c r="B26" s="18" t="s">
        <v>107</v>
      </c>
      <c r="C26" s="19" t="s">
        <v>108</v>
      </c>
      <c r="D26" s="18" t="s">
        <v>1206</v>
      </c>
      <c r="E26" s="19" t="s">
        <v>1207</v>
      </c>
      <c r="F26" s="18" t="s">
        <v>110</v>
      </c>
      <c r="G26" s="18" t="s">
        <v>111</v>
      </c>
      <c r="H26" s="19" t="s">
        <v>112</v>
      </c>
      <c r="I26" s="18" t="s">
        <v>113</v>
      </c>
      <c r="J26" s="19" t="s">
        <v>114</v>
      </c>
      <c r="K26" s="19" t="s">
        <v>115</v>
      </c>
      <c r="L26" s="18" t="s">
        <v>116</v>
      </c>
      <c r="M26" s="18" t="s">
        <v>133</v>
      </c>
      <c r="N26" s="18" t="s">
        <v>118</v>
      </c>
      <c r="O26" s="20">
        <v>119000</v>
      </c>
      <c r="P26" s="20">
        <v>82110</v>
      </c>
      <c r="Q26" s="20">
        <v>1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31</v>
      </c>
      <c r="X26" s="20">
        <v>13090</v>
      </c>
      <c r="Y26" s="20">
        <v>0</v>
      </c>
      <c r="Z26" s="20">
        <v>0</v>
      </c>
      <c r="AA26" s="20">
        <v>0</v>
      </c>
      <c r="AB26" s="20">
        <v>0</v>
      </c>
      <c r="AC26" s="20">
        <v>119000</v>
      </c>
      <c r="AD26" s="20">
        <v>82110</v>
      </c>
      <c r="AE26" s="20">
        <v>0</v>
      </c>
      <c r="AF26" s="20">
        <v>13090</v>
      </c>
      <c r="AG26" s="20">
        <v>105910</v>
      </c>
      <c r="AH26" s="20">
        <v>82110</v>
      </c>
      <c r="AI26" s="20">
        <v>21636</v>
      </c>
      <c r="AJ26" s="20">
        <v>2164</v>
      </c>
      <c r="AK26" s="20">
        <v>23800</v>
      </c>
    </row>
    <row r="27" spans="1:37" ht="16.5" customHeight="1" x14ac:dyDescent="0.3">
      <c r="A27" s="18" t="s">
        <v>185</v>
      </c>
      <c r="B27" s="18" t="s">
        <v>107</v>
      </c>
      <c r="C27" s="19" t="s">
        <v>108</v>
      </c>
      <c r="D27" s="18" t="s">
        <v>1209</v>
      </c>
      <c r="E27" s="19" t="s">
        <v>1210</v>
      </c>
      <c r="F27" s="18" t="s">
        <v>110</v>
      </c>
      <c r="G27" s="18" t="s">
        <v>111</v>
      </c>
      <c r="H27" s="19" t="s">
        <v>112</v>
      </c>
      <c r="I27" s="18" t="s">
        <v>113</v>
      </c>
      <c r="J27" s="19" t="s">
        <v>114</v>
      </c>
      <c r="K27" s="19" t="s">
        <v>115</v>
      </c>
      <c r="L27" s="18" t="s">
        <v>116</v>
      </c>
      <c r="M27" s="18" t="s">
        <v>133</v>
      </c>
      <c r="N27" s="18" t="s">
        <v>118</v>
      </c>
      <c r="O27" s="20">
        <v>119000</v>
      </c>
      <c r="P27" s="20">
        <v>82110</v>
      </c>
      <c r="Q27" s="20">
        <v>1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31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119000</v>
      </c>
      <c r="AD27" s="20">
        <v>82110</v>
      </c>
      <c r="AE27" s="20">
        <v>0</v>
      </c>
      <c r="AF27" s="20">
        <v>0</v>
      </c>
      <c r="AG27" s="20">
        <v>119000</v>
      </c>
      <c r="AH27" s="20">
        <v>82110</v>
      </c>
      <c r="AI27" s="20">
        <v>33536</v>
      </c>
      <c r="AJ27" s="20">
        <v>3354</v>
      </c>
      <c r="AK27" s="20">
        <v>36890</v>
      </c>
    </row>
    <row r="28" spans="1:37" ht="16.5" customHeight="1" x14ac:dyDescent="0.3">
      <c r="A28" s="18" t="s">
        <v>188</v>
      </c>
      <c r="B28" s="18" t="s">
        <v>107</v>
      </c>
      <c r="C28" s="19" t="s">
        <v>108</v>
      </c>
      <c r="D28" s="18" t="s">
        <v>1212</v>
      </c>
      <c r="E28" s="19" t="s">
        <v>1213</v>
      </c>
      <c r="F28" s="18" t="s">
        <v>110</v>
      </c>
      <c r="G28" s="18" t="s">
        <v>111</v>
      </c>
      <c r="H28" s="19" t="s">
        <v>112</v>
      </c>
      <c r="I28" s="18" t="s">
        <v>113</v>
      </c>
      <c r="J28" s="19" t="s">
        <v>114</v>
      </c>
      <c r="K28" s="19" t="s">
        <v>115</v>
      </c>
      <c r="L28" s="18" t="s">
        <v>116</v>
      </c>
      <c r="M28" s="18" t="s">
        <v>133</v>
      </c>
      <c r="N28" s="18" t="s">
        <v>118</v>
      </c>
      <c r="O28" s="20">
        <v>119000</v>
      </c>
      <c r="P28" s="20">
        <v>82110</v>
      </c>
      <c r="Q28" s="20">
        <v>1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31</v>
      </c>
      <c r="X28" s="20">
        <v>22610</v>
      </c>
      <c r="Y28" s="20">
        <v>0</v>
      </c>
      <c r="Z28" s="20">
        <v>0</v>
      </c>
      <c r="AA28" s="20">
        <v>0</v>
      </c>
      <c r="AB28" s="20">
        <v>0</v>
      </c>
      <c r="AC28" s="20">
        <v>119000</v>
      </c>
      <c r="AD28" s="20">
        <v>82110</v>
      </c>
      <c r="AE28" s="20">
        <v>0</v>
      </c>
      <c r="AF28" s="20">
        <v>22610</v>
      </c>
      <c r="AG28" s="20">
        <v>96390</v>
      </c>
      <c r="AH28" s="20">
        <v>82110</v>
      </c>
      <c r="AI28" s="20">
        <v>12982</v>
      </c>
      <c r="AJ28" s="20">
        <v>1298</v>
      </c>
      <c r="AK28" s="20">
        <v>14280</v>
      </c>
    </row>
    <row r="29" spans="1:37" ht="16.5" customHeight="1" x14ac:dyDescent="0.3">
      <c r="A29" s="18" t="s">
        <v>191</v>
      </c>
      <c r="B29" s="18" t="s">
        <v>107</v>
      </c>
      <c r="C29" s="19" t="s">
        <v>108</v>
      </c>
      <c r="D29" s="18" t="s">
        <v>1217</v>
      </c>
      <c r="E29" s="19" t="s">
        <v>1218</v>
      </c>
      <c r="F29" s="18" t="s">
        <v>110</v>
      </c>
      <c r="G29" s="18" t="s">
        <v>111</v>
      </c>
      <c r="H29" s="19" t="s">
        <v>112</v>
      </c>
      <c r="I29" s="18" t="s">
        <v>113</v>
      </c>
      <c r="J29" s="19" t="s">
        <v>114</v>
      </c>
      <c r="K29" s="19" t="s">
        <v>115</v>
      </c>
      <c r="L29" s="18" t="s">
        <v>116</v>
      </c>
      <c r="M29" s="18" t="s">
        <v>133</v>
      </c>
      <c r="N29" s="18" t="s">
        <v>118</v>
      </c>
      <c r="O29" s="20">
        <v>119000</v>
      </c>
      <c r="P29" s="20">
        <v>82110</v>
      </c>
      <c r="Q29" s="20">
        <v>1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31</v>
      </c>
      <c r="X29" s="20">
        <v>0</v>
      </c>
      <c r="Y29" s="20">
        <v>10000</v>
      </c>
      <c r="Z29" s="20">
        <v>0</v>
      </c>
      <c r="AA29" s="20">
        <v>0</v>
      </c>
      <c r="AB29" s="20">
        <v>0</v>
      </c>
      <c r="AC29" s="20">
        <v>119000</v>
      </c>
      <c r="AD29" s="20">
        <v>82110</v>
      </c>
      <c r="AE29" s="20">
        <v>0</v>
      </c>
      <c r="AF29" s="20">
        <v>10000</v>
      </c>
      <c r="AG29" s="20">
        <v>109000</v>
      </c>
      <c r="AH29" s="20">
        <v>82110</v>
      </c>
      <c r="AI29" s="20">
        <v>24445</v>
      </c>
      <c r="AJ29" s="20">
        <v>2445</v>
      </c>
      <c r="AK29" s="20">
        <v>26890</v>
      </c>
    </row>
    <row r="30" spans="1:37" ht="16.5" customHeight="1" x14ac:dyDescent="0.3">
      <c r="A30" s="18" t="s">
        <v>194</v>
      </c>
      <c r="B30" s="18" t="s">
        <v>107</v>
      </c>
      <c r="C30" s="19" t="s">
        <v>108</v>
      </c>
      <c r="D30" s="18" t="s">
        <v>1165</v>
      </c>
      <c r="E30" s="19" t="s">
        <v>417</v>
      </c>
      <c r="F30" s="18" t="s">
        <v>110</v>
      </c>
      <c r="G30" s="18" t="s">
        <v>111</v>
      </c>
      <c r="H30" s="19" t="s">
        <v>112</v>
      </c>
      <c r="I30" s="18" t="s">
        <v>113</v>
      </c>
      <c r="J30" s="19" t="s">
        <v>114</v>
      </c>
      <c r="K30" s="19" t="s">
        <v>115</v>
      </c>
      <c r="L30" s="18" t="s">
        <v>116</v>
      </c>
      <c r="M30" s="18" t="s">
        <v>133</v>
      </c>
      <c r="N30" s="18" t="s">
        <v>118</v>
      </c>
      <c r="O30" s="20">
        <v>119000</v>
      </c>
      <c r="P30" s="20">
        <v>82110</v>
      </c>
      <c r="Q30" s="20">
        <v>1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31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119000</v>
      </c>
      <c r="AD30" s="20">
        <v>82110</v>
      </c>
      <c r="AE30" s="20">
        <v>0</v>
      </c>
      <c r="AF30" s="20">
        <v>0</v>
      </c>
      <c r="AG30" s="20">
        <v>119000</v>
      </c>
      <c r="AH30" s="20">
        <v>82110</v>
      </c>
      <c r="AI30" s="20">
        <v>33536</v>
      </c>
      <c r="AJ30" s="20">
        <v>3354</v>
      </c>
      <c r="AK30" s="20">
        <v>36890</v>
      </c>
    </row>
    <row r="31" spans="1:37" ht="16.5" customHeight="1" x14ac:dyDescent="0.3">
      <c r="A31" s="18" t="s">
        <v>197</v>
      </c>
      <c r="B31" s="18" t="s">
        <v>107</v>
      </c>
      <c r="C31" s="19" t="s">
        <v>108</v>
      </c>
      <c r="D31" s="18" t="s">
        <v>1167</v>
      </c>
      <c r="E31" s="19" t="s">
        <v>357</v>
      </c>
      <c r="F31" s="18" t="s">
        <v>110</v>
      </c>
      <c r="G31" s="18" t="s">
        <v>111</v>
      </c>
      <c r="H31" s="19" t="s">
        <v>112</v>
      </c>
      <c r="I31" s="18" t="s">
        <v>113</v>
      </c>
      <c r="J31" s="19" t="s">
        <v>114</v>
      </c>
      <c r="K31" s="19" t="s">
        <v>115</v>
      </c>
      <c r="L31" s="18" t="s">
        <v>116</v>
      </c>
      <c r="M31" s="18" t="s">
        <v>133</v>
      </c>
      <c r="N31" s="18" t="s">
        <v>118</v>
      </c>
      <c r="O31" s="20">
        <v>119000</v>
      </c>
      <c r="P31" s="20">
        <v>82110</v>
      </c>
      <c r="Q31" s="20">
        <v>1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31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119000</v>
      </c>
      <c r="AD31" s="20">
        <v>82110</v>
      </c>
      <c r="AE31" s="20">
        <v>0</v>
      </c>
      <c r="AF31" s="20">
        <v>0</v>
      </c>
      <c r="AG31" s="20">
        <v>119000</v>
      </c>
      <c r="AH31" s="20">
        <v>82110</v>
      </c>
      <c r="AI31" s="20">
        <v>33536</v>
      </c>
      <c r="AJ31" s="20">
        <v>3354</v>
      </c>
      <c r="AK31" s="20">
        <v>36890</v>
      </c>
    </row>
    <row r="32" spans="1:37" ht="16.5" customHeight="1" x14ac:dyDescent="0.3">
      <c r="A32" s="18" t="s">
        <v>200</v>
      </c>
      <c r="B32" s="18" t="s">
        <v>107</v>
      </c>
      <c r="C32" s="19" t="s">
        <v>108</v>
      </c>
      <c r="D32" s="18" t="s">
        <v>1233</v>
      </c>
      <c r="E32" s="19" t="s">
        <v>1234</v>
      </c>
      <c r="F32" s="18" t="s">
        <v>110</v>
      </c>
      <c r="G32" s="18" t="s">
        <v>111</v>
      </c>
      <c r="H32" s="19" t="s">
        <v>112</v>
      </c>
      <c r="I32" s="18" t="s">
        <v>113</v>
      </c>
      <c r="J32" s="19" t="s">
        <v>114</v>
      </c>
      <c r="K32" s="19" t="s">
        <v>115</v>
      </c>
      <c r="L32" s="18" t="s">
        <v>116</v>
      </c>
      <c r="M32" s="18" t="s">
        <v>133</v>
      </c>
      <c r="N32" s="18" t="s">
        <v>118</v>
      </c>
      <c r="O32" s="20">
        <v>119000</v>
      </c>
      <c r="P32" s="20">
        <v>82110</v>
      </c>
      <c r="Q32" s="20">
        <v>1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31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119000</v>
      </c>
      <c r="AD32" s="20">
        <v>82110</v>
      </c>
      <c r="AE32" s="20">
        <v>0</v>
      </c>
      <c r="AF32" s="20">
        <v>0</v>
      </c>
      <c r="AG32" s="20">
        <v>119000</v>
      </c>
      <c r="AH32" s="20">
        <v>82110</v>
      </c>
      <c r="AI32" s="20">
        <v>33536</v>
      </c>
      <c r="AJ32" s="20">
        <v>3354</v>
      </c>
      <c r="AK32" s="20">
        <v>36890</v>
      </c>
    </row>
    <row r="33" spans="1:37" ht="16.5" customHeight="1" x14ac:dyDescent="0.3">
      <c r="A33" s="18" t="s">
        <v>203</v>
      </c>
      <c r="B33" s="18" t="s">
        <v>107</v>
      </c>
      <c r="C33" s="19" t="s">
        <v>108</v>
      </c>
      <c r="D33" s="18" t="s">
        <v>1169</v>
      </c>
      <c r="E33" s="19" t="s">
        <v>1170</v>
      </c>
      <c r="F33" s="18" t="s">
        <v>110</v>
      </c>
      <c r="G33" s="18" t="s">
        <v>111</v>
      </c>
      <c r="H33" s="19" t="s">
        <v>112</v>
      </c>
      <c r="I33" s="18" t="s">
        <v>113</v>
      </c>
      <c r="J33" s="19" t="s">
        <v>114</v>
      </c>
      <c r="K33" s="19" t="s">
        <v>115</v>
      </c>
      <c r="L33" s="18" t="s">
        <v>116</v>
      </c>
      <c r="M33" s="18" t="s">
        <v>133</v>
      </c>
      <c r="N33" s="18" t="s">
        <v>118</v>
      </c>
      <c r="O33" s="20">
        <v>119000</v>
      </c>
      <c r="P33" s="20">
        <v>82110</v>
      </c>
      <c r="Q33" s="20">
        <v>1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31</v>
      </c>
      <c r="X33" s="20">
        <v>0</v>
      </c>
      <c r="Y33" s="20">
        <v>0</v>
      </c>
      <c r="Z33" s="20">
        <v>0</v>
      </c>
      <c r="AA33" s="20">
        <v>0</v>
      </c>
      <c r="AB33" s="20">
        <v>5950</v>
      </c>
      <c r="AC33" s="20">
        <v>119000</v>
      </c>
      <c r="AD33" s="20">
        <v>82110</v>
      </c>
      <c r="AE33" s="20">
        <v>0</v>
      </c>
      <c r="AF33" s="20">
        <v>5950</v>
      </c>
      <c r="AG33" s="20">
        <v>113050</v>
      </c>
      <c r="AH33" s="20">
        <v>82110</v>
      </c>
      <c r="AI33" s="20">
        <v>28127</v>
      </c>
      <c r="AJ33" s="20">
        <v>2813</v>
      </c>
      <c r="AK33" s="20">
        <v>30940</v>
      </c>
    </row>
    <row r="34" spans="1:37" ht="16.5" customHeight="1" x14ac:dyDescent="0.3">
      <c r="A34" s="18" t="s">
        <v>206</v>
      </c>
      <c r="B34" s="18" t="s">
        <v>107</v>
      </c>
      <c r="C34" s="19" t="s">
        <v>108</v>
      </c>
      <c r="D34" s="18" t="s">
        <v>1172</v>
      </c>
      <c r="E34" s="19" t="s">
        <v>119</v>
      </c>
      <c r="F34" s="18" t="s">
        <v>110</v>
      </c>
      <c r="G34" s="18" t="s">
        <v>111</v>
      </c>
      <c r="H34" s="19" t="s">
        <v>112</v>
      </c>
      <c r="I34" s="18" t="s">
        <v>113</v>
      </c>
      <c r="J34" s="19" t="s">
        <v>114</v>
      </c>
      <c r="K34" s="19" t="s">
        <v>115</v>
      </c>
      <c r="L34" s="18" t="s">
        <v>116</v>
      </c>
      <c r="M34" s="18" t="s">
        <v>133</v>
      </c>
      <c r="N34" s="18" t="s">
        <v>118</v>
      </c>
      <c r="O34" s="20">
        <v>119000</v>
      </c>
      <c r="P34" s="20">
        <v>82110</v>
      </c>
      <c r="Q34" s="20">
        <v>1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31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119000</v>
      </c>
      <c r="AD34" s="20">
        <v>82110</v>
      </c>
      <c r="AE34" s="20">
        <v>0</v>
      </c>
      <c r="AF34" s="20">
        <v>0</v>
      </c>
      <c r="AG34" s="20">
        <v>119000</v>
      </c>
      <c r="AH34" s="20">
        <v>82110</v>
      </c>
      <c r="AI34" s="20">
        <v>33536</v>
      </c>
      <c r="AJ34" s="20">
        <v>3354</v>
      </c>
      <c r="AK34" s="20">
        <v>36890</v>
      </c>
    </row>
    <row r="35" spans="1:37" ht="16.5" customHeight="1" x14ac:dyDescent="0.3">
      <c r="A35" s="18" t="s">
        <v>209</v>
      </c>
      <c r="B35" s="18" t="s">
        <v>107</v>
      </c>
      <c r="C35" s="19" t="s">
        <v>108</v>
      </c>
      <c r="D35" s="18" t="s">
        <v>1174</v>
      </c>
      <c r="E35" s="19" t="s">
        <v>169</v>
      </c>
      <c r="F35" s="18" t="s">
        <v>110</v>
      </c>
      <c r="G35" s="18" t="s">
        <v>111</v>
      </c>
      <c r="H35" s="19" t="s">
        <v>112</v>
      </c>
      <c r="I35" s="18" t="s">
        <v>113</v>
      </c>
      <c r="J35" s="19" t="s">
        <v>114</v>
      </c>
      <c r="K35" s="19" t="s">
        <v>115</v>
      </c>
      <c r="L35" s="18" t="s">
        <v>116</v>
      </c>
      <c r="M35" s="18" t="s">
        <v>133</v>
      </c>
      <c r="N35" s="18" t="s">
        <v>118</v>
      </c>
      <c r="O35" s="20">
        <v>119000</v>
      </c>
      <c r="P35" s="20">
        <v>82110</v>
      </c>
      <c r="Q35" s="20">
        <v>1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31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119000</v>
      </c>
      <c r="AD35" s="20">
        <v>82110</v>
      </c>
      <c r="AE35" s="20">
        <v>0</v>
      </c>
      <c r="AF35" s="20">
        <v>0</v>
      </c>
      <c r="AG35" s="20">
        <v>119000</v>
      </c>
      <c r="AH35" s="20">
        <v>82110</v>
      </c>
      <c r="AI35" s="20">
        <v>33536</v>
      </c>
      <c r="AJ35" s="20">
        <v>3354</v>
      </c>
      <c r="AK35" s="20">
        <v>36890</v>
      </c>
    </row>
    <row r="36" spans="1:37" ht="16.5" customHeight="1" x14ac:dyDescent="0.3">
      <c r="A36" s="18" t="s">
        <v>212</v>
      </c>
      <c r="B36" s="18" t="s">
        <v>107</v>
      </c>
      <c r="C36" s="19" t="s">
        <v>108</v>
      </c>
      <c r="D36" s="18" t="s">
        <v>1258</v>
      </c>
      <c r="E36" s="19" t="s">
        <v>357</v>
      </c>
      <c r="F36" s="18" t="s">
        <v>110</v>
      </c>
      <c r="G36" s="18" t="s">
        <v>111</v>
      </c>
      <c r="H36" s="19" t="s">
        <v>112</v>
      </c>
      <c r="I36" s="18" t="s">
        <v>113</v>
      </c>
      <c r="J36" s="19" t="s">
        <v>114</v>
      </c>
      <c r="K36" s="19" t="s">
        <v>115</v>
      </c>
      <c r="L36" s="18" t="s">
        <v>116</v>
      </c>
      <c r="M36" s="18" t="s">
        <v>133</v>
      </c>
      <c r="N36" s="18" t="s">
        <v>118</v>
      </c>
      <c r="O36" s="20">
        <v>119000</v>
      </c>
      <c r="P36" s="20">
        <v>82110</v>
      </c>
      <c r="Q36" s="20">
        <v>1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31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119000</v>
      </c>
      <c r="AD36" s="20">
        <v>82110</v>
      </c>
      <c r="AE36" s="20">
        <v>0</v>
      </c>
      <c r="AF36" s="20">
        <v>0</v>
      </c>
      <c r="AG36" s="20">
        <v>119000</v>
      </c>
      <c r="AH36" s="20">
        <v>82110</v>
      </c>
      <c r="AI36" s="20">
        <v>33536</v>
      </c>
      <c r="AJ36" s="20">
        <v>3354</v>
      </c>
      <c r="AK36" s="20">
        <v>36890</v>
      </c>
    </row>
    <row r="37" spans="1:37" ht="16.5" customHeight="1" x14ac:dyDescent="0.3">
      <c r="A37" s="18" t="s">
        <v>215</v>
      </c>
      <c r="B37" s="18" t="s">
        <v>107</v>
      </c>
      <c r="C37" s="19" t="s">
        <v>108</v>
      </c>
      <c r="D37" s="18" t="s">
        <v>1260</v>
      </c>
      <c r="E37" s="19" t="s">
        <v>1261</v>
      </c>
      <c r="F37" s="18" t="s">
        <v>110</v>
      </c>
      <c r="G37" s="18" t="s">
        <v>111</v>
      </c>
      <c r="H37" s="19" t="s">
        <v>112</v>
      </c>
      <c r="I37" s="18" t="s">
        <v>113</v>
      </c>
      <c r="J37" s="19" t="s">
        <v>114</v>
      </c>
      <c r="K37" s="19" t="s">
        <v>115</v>
      </c>
      <c r="L37" s="18" t="s">
        <v>116</v>
      </c>
      <c r="M37" s="18" t="s">
        <v>133</v>
      </c>
      <c r="N37" s="18" t="s">
        <v>118</v>
      </c>
      <c r="O37" s="20">
        <v>119000</v>
      </c>
      <c r="P37" s="20">
        <v>82110</v>
      </c>
      <c r="Q37" s="20">
        <v>1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31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119000</v>
      </c>
      <c r="AD37" s="20">
        <v>82110</v>
      </c>
      <c r="AE37" s="20">
        <v>0</v>
      </c>
      <c r="AF37" s="20">
        <v>0</v>
      </c>
      <c r="AG37" s="20">
        <v>119000</v>
      </c>
      <c r="AH37" s="20">
        <v>82110</v>
      </c>
      <c r="AI37" s="20">
        <v>33536</v>
      </c>
      <c r="AJ37" s="20">
        <v>3354</v>
      </c>
      <c r="AK37" s="20">
        <v>36890</v>
      </c>
    </row>
    <row r="38" spans="1:37" ht="16.5" customHeight="1" x14ac:dyDescent="0.3">
      <c r="A38" s="18" t="s">
        <v>218</v>
      </c>
      <c r="B38" s="18" t="s">
        <v>107</v>
      </c>
      <c r="C38" s="19" t="s">
        <v>108</v>
      </c>
      <c r="D38" s="18" t="s">
        <v>1179</v>
      </c>
      <c r="E38" s="19" t="s">
        <v>390</v>
      </c>
      <c r="F38" s="18" t="s">
        <v>110</v>
      </c>
      <c r="G38" s="18" t="s">
        <v>111</v>
      </c>
      <c r="H38" s="19" t="s">
        <v>112</v>
      </c>
      <c r="I38" s="18" t="s">
        <v>113</v>
      </c>
      <c r="J38" s="19" t="s">
        <v>114</v>
      </c>
      <c r="K38" s="19" t="s">
        <v>115</v>
      </c>
      <c r="L38" s="18" t="s">
        <v>116</v>
      </c>
      <c r="M38" s="18" t="s">
        <v>133</v>
      </c>
      <c r="N38" s="18" t="s">
        <v>118</v>
      </c>
      <c r="O38" s="20">
        <v>119000</v>
      </c>
      <c r="P38" s="20">
        <v>82110</v>
      </c>
      <c r="Q38" s="20">
        <v>1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31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119000</v>
      </c>
      <c r="AD38" s="20">
        <v>82110</v>
      </c>
      <c r="AE38" s="20">
        <v>0</v>
      </c>
      <c r="AF38" s="20">
        <v>0</v>
      </c>
      <c r="AG38" s="20">
        <v>119000</v>
      </c>
      <c r="AH38" s="20">
        <v>82110</v>
      </c>
      <c r="AI38" s="20">
        <v>33536</v>
      </c>
      <c r="AJ38" s="20">
        <v>3354</v>
      </c>
      <c r="AK38" s="20">
        <v>36890</v>
      </c>
    </row>
    <row r="39" spans="1:37" ht="16.5" customHeight="1" x14ac:dyDescent="0.3">
      <c r="A39" s="18" t="s">
        <v>221</v>
      </c>
      <c r="B39" s="18" t="s">
        <v>107</v>
      </c>
      <c r="C39" s="19" t="s">
        <v>108</v>
      </c>
      <c r="D39" s="18" t="s">
        <v>1222</v>
      </c>
      <c r="E39" s="19" t="s">
        <v>417</v>
      </c>
      <c r="F39" s="18" t="s">
        <v>110</v>
      </c>
      <c r="G39" s="18" t="s">
        <v>111</v>
      </c>
      <c r="H39" s="19" t="s">
        <v>112</v>
      </c>
      <c r="I39" s="18" t="s">
        <v>113</v>
      </c>
      <c r="J39" s="19" t="s">
        <v>114</v>
      </c>
      <c r="K39" s="19" t="s">
        <v>115</v>
      </c>
      <c r="L39" s="18" t="s">
        <v>116</v>
      </c>
      <c r="M39" s="18" t="s">
        <v>133</v>
      </c>
      <c r="N39" s="18" t="s">
        <v>118</v>
      </c>
      <c r="O39" s="20">
        <v>119000</v>
      </c>
      <c r="P39" s="20">
        <v>82110</v>
      </c>
      <c r="Q39" s="20">
        <v>1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31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119000</v>
      </c>
      <c r="AD39" s="20">
        <v>82110</v>
      </c>
      <c r="AE39" s="20">
        <v>0</v>
      </c>
      <c r="AF39" s="20">
        <v>0</v>
      </c>
      <c r="AG39" s="20">
        <v>119000</v>
      </c>
      <c r="AH39" s="20">
        <v>82110</v>
      </c>
      <c r="AI39" s="20">
        <v>33536</v>
      </c>
      <c r="AJ39" s="20">
        <v>3354</v>
      </c>
      <c r="AK39" s="20">
        <v>36890</v>
      </c>
    </row>
    <row r="40" spans="1:37" ht="16.5" customHeight="1" x14ac:dyDescent="0.3">
      <c r="A40" s="18" t="s">
        <v>224</v>
      </c>
      <c r="B40" s="18" t="s">
        <v>107</v>
      </c>
      <c r="C40" s="19" t="s">
        <v>108</v>
      </c>
      <c r="D40" s="18" t="s">
        <v>1224</v>
      </c>
      <c r="E40" s="19" t="s">
        <v>1225</v>
      </c>
      <c r="F40" s="18" t="s">
        <v>110</v>
      </c>
      <c r="G40" s="18" t="s">
        <v>111</v>
      </c>
      <c r="H40" s="19" t="s">
        <v>112</v>
      </c>
      <c r="I40" s="18" t="s">
        <v>113</v>
      </c>
      <c r="J40" s="19" t="s">
        <v>114</v>
      </c>
      <c r="K40" s="19" t="s">
        <v>115</v>
      </c>
      <c r="L40" s="18" t="s">
        <v>116</v>
      </c>
      <c r="M40" s="18" t="s">
        <v>133</v>
      </c>
      <c r="N40" s="18" t="s">
        <v>118</v>
      </c>
      <c r="O40" s="20">
        <v>119000</v>
      </c>
      <c r="P40" s="20">
        <v>82110</v>
      </c>
      <c r="Q40" s="20">
        <v>1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31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119000</v>
      </c>
      <c r="AD40" s="20">
        <v>82110</v>
      </c>
      <c r="AE40" s="20">
        <v>0</v>
      </c>
      <c r="AF40" s="20">
        <v>0</v>
      </c>
      <c r="AG40" s="20">
        <v>119000</v>
      </c>
      <c r="AH40" s="20">
        <v>82110</v>
      </c>
      <c r="AI40" s="20">
        <v>33536</v>
      </c>
      <c r="AJ40" s="20">
        <v>3354</v>
      </c>
      <c r="AK40" s="20">
        <v>36890</v>
      </c>
    </row>
    <row r="41" spans="1:37" ht="16.5" customHeight="1" x14ac:dyDescent="0.3">
      <c r="A41" s="18" t="s">
        <v>226</v>
      </c>
      <c r="B41" s="18" t="s">
        <v>107</v>
      </c>
      <c r="C41" s="19" t="s">
        <v>108</v>
      </c>
      <c r="D41" s="18" t="s">
        <v>1227</v>
      </c>
      <c r="E41" s="19" t="s">
        <v>1228</v>
      </c>
      <c r="F41" s="18" t="s">
        <v>110</v>
      </c>
      <c r="G41" s="18" t="s">
        <v>111</v>
      </c>
      <c r="H41" s="19" t="s">
        <v>112</v>
      </c>
      <c r="I41" s="18" t="s">
        <v>113</v>
      </c>
      <c r="J41" s="19" t="s">
        <v>114</v>
      </c>
      <c r="K41" s="19" t="s">
        <v>115</v>
      </c>
      <c r="L41" s="18" t="s">
        <v>116</v>
      </c>
      <c r="M41" s="18" t="s">
        <v>133</v>
      </c>
      <c r="N41" s="18" t="s">
        <v>118</v>
      </c>
      <c r="O41" s="20">
        <v>119000</v>
      </c>
      <c r="P41" s="20">
        <v>82110</v>
      </c>
      <c r="Q41" s="20">
        <v>1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31</v>
      </c>
      <c r="X41" s="20">
        <v>0</v>
      </c>
      <c r="Y41" s="20">
        <v>0</v>
      </c>
      <c r="Z41" s="20">
        <v>0</v>
      </c>
      <c r="AA41" s="20">
        <v>0</v>
      </c>
      <c r="AB41" s="20">
        <v>5950</v>
      </c>
      <c r="AC41" s="20">
        <v>119000</v>
      </c>
      <c r="AD41" s="20">
        <v>82110</v>
      </c>
      <c r="AE41" s="20">
        <v>0</v>
      </c>
      <c r="AF41" s="20">
        <v>5950</v>
      </c>
      <c r="AG41" s="20">
        <v>113050</v>
      </c>
      <c r="AH41" s="20">
        <v>82110</v>
      </c>
      <c r="AI41" s="20">
        <v>28127</v>
      </c>
      <c r="AJ41" s="20">
        <v>2813</v>
      </c>
      <c r="AK41" s="20">
        <v>30940</v>
      </c>
    </row>
    <row r="42" spans="1:37" ht="16.5" customHeight="1" x14ac:dyDescent="0.3">
      <c r="A42" s="18" t="s">
        <v>227</v>
      </c>
      <c r="B42" s="18" t="s">
        <v>107</v>
      </c>
      <c r="C42" s="19" t="s">
        <v>108</v>
      </c>
      <c r="D42" s="18" t="s">
        <v>1230</v>
      </c>
      <c r="E42" s="19" t="s">
        <v>1231</v>
      </c>
      <c r="F42" s="18" t="s">
        <v>110</v>
      </c>
      <c r="G42" s="18" t="s">
        <v>111</v>
      </c>
      <c r="H42" s="19" t="s">
        <v>112</v>
      </c>
      <c r="I42" s="18" t="s">
        <v>113</v>
      </c>
      <c r="J42" s="19" t="s">
        <v>114</v>
      </c>
      <c r="K42" s="19" t="s">
        <v>115</v>
      </c>
      <c r="L42" s="18" t="s">
        <v>116</v>
      </c>
      <c r="M42" s="18" t="s">
        <v>133</v>
      </c>
      <c r="N42" s="18" t="s">
        <v>118</v>
      </c>
      <c r="O42" s="20">
        <v>119000</v>
      </c>
      <c r="P42" s="20">
        <v>82110</v>
      </c>
      <c r="Q42" s="20">
        <v>1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31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119000</v>
      </c>
      <c r="AD42" s="20">
        <v>82110</v>
      </c>
      <c r="AE42" s="20">
        <v>0</v>
      </c>
      <c r="AF42" s="20">
        <v>0</v>
      </c>
      <c r="AG42" s="20">
        <v>119000</v>
      </c>
      <c r="AH42" s="20">
        <v>82110</v>
      </c>
      <c r="AI42" s="20">
        <v>33536</v>
      </c>
      <c r="AJ42" s="20">
        <v>3354</v>
      </c>
      <c r="AK42" s="20">
        <v>36890</v>
      </c>
    </row>
    <row r="43" spans="1:37" ht="16.5" customHeight="1" x14ac:dyDescent="0.3">
      <c r="A43" s="18" t="s">
        <v>230</v>
      </c>
      <c r="B43" s="18" t="s">
        <v>107</v>
      </c>
      <c r="C43" s="19" t="s">
        <v>108</v>
      </c>
      <c r="D43" s="18" t="s">
        <v>1236</v>
      </c>
      <c r="E43" s="19" t="s">
        <v>1237</v>
      </c>
      <c r="F43" s="18" t="s">
        <v>110</v>
      </c>
      <c r="G43" s="18" t="s">
        <v>111</v>
      </c>
      <c r="H43" s="19" t="s">
        <v>112</v>
      </c>
      <c r="I43" s="18" t="s">
        <v>113</v>
      </c>
      <c r="J43" s="19" t="s">
        <v>114</v>
      </c>
      <c r="K43" s="19" t="s">
        <v>115</v>
      </c>
      <c r="L43" s="18" t="s">
        <v>116</v>
      </c>
      <c r="M43" s="18" t="s">
        <v>133</v>
      </c>
      <c r="N43" s="18" t="s">
        <v>118</v>
      </c>
      <c r="O43" s="20">
        <v>119000</v>
      </c>
      <c r="P43" s="20">
        <v>82110</v>
      </c>
      <c r="Q43" s="20">
        <v>1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31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119000</v>
      </c>
      <c r="AD43" s="20">
        <v>82110</v>
      </c>
      <c r="AE43" s="20">
        <v>0</v>
      </c>
      <c r="AF43" s="20">
        <v>0</v>
      </c>
      <c r="AG43" s="20">
        <v>119000</v>
      </c>
      <c r="AH43" s="20">
        <v>82110</v>
      </c>
      <c r="AI43" s="20">
        <v>33536</v>
      </c>
      <c r="AJ43" s="20">
        <v>3354</v>
      </c>
      <c r="AK43" s="20">
        <v>36890</v>
      </c>
    </row>
    <row r="44" spans="1:37" ht="16.5" customHeight="1" x14ac:dyDescent="0.3">
      <c r="A44" s="18" t="s">
        <v>233</v>
      </c>
      <c r="B44" s="18" t="s">
        <v>107</v>
      </c>
      <c r="C44" s="19" t="s">
        <v>108</v>
      </c>
      <c r="D44" s="18" t="s">
        <v>1239</v>
      </c>
      <c r="E44" s="19" t="s">
        <v>378</v>
      </c>
      <c r="F44" s="18" t="s">
        <v>110</v>
      </c>
      <c r="G44" s="18" t="s">
        <v>111</v>
      </c>
      <c r="H44" s="19" t="s">
        <v>112</v>
      </c>
      <c r="I44" s="18" t="s">
        <v>113</v>
      </c>
      <c r="J44" s="19" t="s">
        <v>114</v>
      </c>
      <c r="K44" s="19" t="s">
        <v>115</v>
      </c>
      <c r="L44" s="18" t="s">
        <v>116</v>
      </c>
      <c r="M44" s="18" t="s">
        <v>133</v>
      </c>
      <c r="N44" s="18" t="s">
        <v>118</v>
      </c>
      <c r="O44" s="20">
        <v>119000</v>
      </c>
      <c r="P44" s="20">
        <v>82110</v>
      </c>
      <c r="Q44" s="20">
        <v>1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31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119000</v>
      </c>
      <c r="AD44" s="20">
        <v>82110</v>
      </c>
      <c r="AE44" s="20">
        <v>0</v>
      </c>
      <c r="AF44" s="20">
        <v>0</v>
      </c>
      <c r="AG44" s="20">
        <v>119000</v>
      </c>
      <c r="AH44" s="20">
        <v>82110</v>
      </c>
      <c r="AI44" s="20">
        <v>33536</v>
      </c>
      <c r="AJ44" s="20">
        <v>3354</v>
      </c>
      <c r="AK44" s="20">
        <v>36890</v>
      </c>
    </row>
    <row r="45" spans="1:37" ht="16.5" customHeight="1" x14ac:dyDescent="0.3">
      <c r="A45" s="18" t="s">
        <v>236</v>
      </c>
      <c r="B45" s="18" t="s">
        <v>107</v>
      </c>
      <c r="C45" s="19" t="s">
        <v>108</v>
      </c>
      <c r="D45" s="18" t="s">
        <v>1241</v>
      </c>
      <c r="E45" s="19" t="s">
        <v>1242</v>
      </c>
      <c r="F45" s="18" t="s">
        <v>110</v>
      </c>
      <c r="G45" s="18" t="s">
        <v>111</v>
      </c>
      <c r="H45" s="19" t="s">
        <v>112</v>
      </c>
      <c r="I45" s="18" t="s">
        <v>113</v>
      </c>
      <c r="J45" s="19" t="s">
        <v>114</v>
      </c>
      <c r="K45" s="19" t="s">
        <v>115</v>
      </c>
      <c r="L45" s="18" t="s">
        <v>116</v>
      </c>
      <c r="M45" s="18" t="s">
        <v>133</v>
      </c>
      <c r="N45" s="18" t="s">
        <v>118</v>
      </c>
      <c r="O45" s="20">
        <v>119000</v>
      </c>
      <c r="P45" s="20">
        <v>82110</v>
      </c>
      <c r="Q45" s="20">
        <v>1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31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119000</v>
      </c>
      <c r="AD45" s="20">
        <v>82110</v>
      </c>
      <c r="AE45" s="20">
        <v>0</v>
      </c>
      <c r="AF45" s="20">
        <v>0</v>
      </c>
      <c r="AG45" s="20">
        <v>119000</v>
      </c>
      <c r="AH45" s="20">
        <v>82110</v>
      </c>
      <c r="AI45" s="20">
        <v>33536</v>
      </c>
      <c r="AJ45" s="20">
        <v>3354</v>
      </c>
      <c r="AK45" s="20">
        <v>36890</v>
      </c>
    </row>
    <row r="46" spans="1:37" ht="16.5" customHeight="1" x14ac:dyDescent="0.3">
      <c r="A46" s="18" t="s">
        <v>238</v>
      </c>
      <c r="B46" s="18" t="s">
        <v>107</v>
      </c>
      <c r="C46" s="19" t="s">
        <v>108</v>
      </c>
      <c r="D46" s="18" t="s">
        <v>1244</v>
      </c>
      <c r="E46" s="19" t="s">
        <v>1245</v>
      </c>
      <c r="F46" s="18" t="s">
        <v>110</v>
      </c>
      <c r="G46" s="18" t="s">
        <v>111</v>
      </c>
      <c r="H46" s="19" t="s">
        <v>112</v>
      </c>
      <c r="I46" s="18" t="s">
        <v>113</v>
      </c>
      <c r="J46" s="19" t="s">
        <v>114</v>
      </c>
      <c r="K46" s="19" t="s">
        <v>115</v>
      </c>
      <c r="L46" s="18" t="s">
        <v>116</v>
      </c>
      <c r="M46" s="18" t="s">
        <v>133</v>
      </c>
      <c r="N46" s="18" t="s">
        <v>118</v>
      </c>
      <c r="O46" s="20">
        <v>119000</v>
      </c>
      <c r="P46" s="20">
        <v>82110</v>
      </c>
      <c r="Q46" s="20">
        <v>1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31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119000</v>
      </c>
      <c r="AD46" s="20">
        <v>82110</v>
      </c>
      <c r="AE46" s="20">
        <v>0</v>
      </c>
      <c r="AF46" s="20">
        <v>0</v>
      </c>
      <c r="AG46" s="20">
        <v>119000</v>
      </c>
      <c r="AH46" s="20">
        <v>82110</v>
      </c>
      <c r="AI46" s="20">
        <v>33536</v>
      </c>
      <c r="AJ46" s="20">
        <v>3354</v>
      </c>
      <c r="AK46" s="20">
        <v>36890</v>
      </c>
    </row>
    <row r="47" spans="1:37" ht="16.5" customHeight="1" x14ac:dyDescent="0.3">
      <c r="A47" s="18" t="s">
        <v>241</v>
      </c>
      <c r="B47" s="18" t="s">
        <v>107</v>
      </c>
      <c r="C47" s="19" t="s">
        <v>108</v>
      </c>
      <c r="D47" s="18" t="s">
        <v>1247</v>
      </c>
      <c r="E47" s="19" t="s">
        <v>211</v>
      </c>
      <c r="F47" s="18" t="s">
        <v>110</v>
      </c>
      <c r="G47" s="18" t="s">
        <v>111</v>
      </c>
      <c r="H47" s="19" t="s">
        <v>112</v>
      </c>
      <c r="I47" s="18" t="s">
        <v>113</v>
      </c>
      <c r="J47" s="19" t="s">
        <v>114</v>
      </c>
      <c r="K47" s="19" t="s">
        <v>115</v>
      </c>
      <c r="L47" s="18" t="s">
        <v>116</v>
      </c>
      <c r="M47" s="18" t="s">
        <v>133</v>
      </c>
      <c r="N47" s="18" t="s">
        <v>118</v>
      </c>
      <c r="O47" s="20">
        <v>119000</v>
      </c>
      <c r="P47" s="20">
        <v>82110</v>
      </c>
      <c r="Q47" s="20">
        <v>1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31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119000</v>
      </c>
      <c r="AD47" s="20">
        <v>82110</v>
      </c>
      <c r="AE47" s="20">
        <v>0</v>
      </c>
      <c r="AF47" s="20">
        <v>0</v>
      </c>
      <c r="AG47" s="20">
        <v>119000</v>
      </c>
      <c r="AH47" s="20">
        <v>82110</v>
      </c>
      <c r="AI47" s="20">
        <v>33536</v>
      </c>
      <c r="AJ47" s="20">
        <v>3354</v>
      </c>
      <c r="AK47" s="20">
        <v>36890</v>
      </c>
    </row>
    <row r="48" spans="1:37" ht="16.5" customHeight="1" x14ac:dyDescent="0.3">
      <c r="A48" s="18" t="s">
        <v>244</v>
      </c>
      <c r="B48" s="18" t="s">
        <v>107</v>
      </c>
      <c r="C48" s="19" t="s">
        <v>108</v>
      </c>
      <c r="D48" s="18" t="s">
        <v>1249</v>
      </c>
      <c r="E48" s="19" t="s">
        <v>1250</v>
      </c>
      <c r="F48" s="18" t="s">
        <v>110</v>
      </c>
      <c r="G48" s="18" t="s">
        <v>111</v>
      </c>
      <c r="H48" s="19" t="s">
        <v>112</v>
      </c>
      <c r="I48" s="18" t="s">
        <v>113</v>
      </c>
      <c r="J48" s="19" t="s">
        <v>114</v>
      </c>
      <c r="K48" s="19" t="s">
        <v>115</v>
      </c>
      <c r="L48" s="18" t="s">
        <v>116</v>
      </c>
      <c r="M48" s="18" t="s">
        <v>133</v>
      </c>
      <c r="N48" s="18" t="s">
        <v>118</v>
      </c>
      <c r="O48" s="20">
        <v>119000</v>
      </c>
      <c r="P48" s="20">
        <v>82110</v>
      </c>
      <c r="Q48" s="20">
        <v>1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31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119000</v>
      </c>
      <c r="AD48" s="20">
        <v>82110</v>
      </c>
      <c r="AE48" s="20">
        <v>0</v>
      </c>
      <c r="AF48" s="20">
        <v>0</v>
      </c>
      <c r="AG48" s="20">
        <v>119000</v>
      </c>
      <c r="AH48" s="20">
        <v>82110</v>
      </c>
      <c r="AI48" s="20">
        <v>33536</v>
      </c>
      <c r="AJ48" s="20">
        <v>3354</v>
      </c>
      <c r="AK48" s="20">
        <v>36890</v>
      </c>
    </row>
    <row r="49" spans="1:37" ht="16.5" customHeight="1" x14ac:dyDescent="0.3">
      <c r="A49" s="18" t="s">
        <v>247</v>
      </c>
      <c r="B49" s="18" t="s">
        <v>107</v>
      </c>
      <c r="C49" s="19" t="s">
        <v>108</v>
      </c>
      <c r="D49" s="18" t="s">
        <v>1252</v>
      </c>
      <c r="E49" s="19" t="s">
        <v>1253</v>
      </c>
      <c r="F49" s="18" t="s">
        <v>110</v>
      </c>
      <c r="G49" s="18" t="s">
        <v>111</v>
      </c>
      <c r="H49" s="19" t="s">
        <v>112</v>
      </c>
      <c r="I49" s="18" t="s">
        <v>113</v>
      </c>
      <c r="J49" s="19" t="s">
        <v>114</v>
      </c>
      <c r="K49" s="19" t="s">
        <v>115</v>
      </c>
      <c r="L49" s="18" t="s">
        <v>116</v>
      </c>
      <c r="M49" s="18" t="s">
        <v>133</v>
      </c>
      <c r="N49" s="18" t="s">
        <v>118</v>
      </c>
      <c r="O49" s="20">
        <v>119000</v>
      </c>
      <c r="P49" s="20">
        <v>82110</v>
      </c>
      <c r="Q49" s="20">
        <v>1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31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119000</v>
      </c>
      <c r="AD49" s="20">
        <v>82110</v>
      </c>
      <c r="AE49" s="20">
        <v>0</v>
      </c>
      <c r="AF49" s="20">
        <v>0</v>
      </c>
      <c r="AG49" s="20">
        <v>119000</v>
      </c>
      <c r="AH49" s="20">
        <v>82110</v>
      </c>
      <c r="AI49" s="20">
        <v>33536</v>
      </c>
      <c r="AJ49" s="20">
        <v>3354</v>
      </c>
      <c r="AK49" s="20">
        <v>36890</v>
      </c>
    </row>
    <row r="50" spans="1:37" ht="16.5" customHeight="1" x14ac:dyDescent="0.3">
      <c r="A50" s="18" t="s">
        <v>250</v>
      </c>
      <c r="B50" s="18" t="s">
        <v>107</v>
      </c>
      <c r="C50" s="19" t="s">
        <v>108</v>
      </c>
      <c r="D50" s="18" t="s">
        <v>1255</v>
      </c>
      <c r="E50" s="19" t="s">
        <v>1256</v>
      </c>
      <c r="F50" s="18" t="s">
        <v>110</v>
      </c>
      <c r="G50" s="18" t="s">
        <v>111</v>
      </c>
      <c r="H50" s="19" t="s">
        <v>112</v>
      </c>
      <c r="I50" s="18" t="s">
        <v>113</v>
      </c>
      <c r="J50" s="19" t="s">
        <v>114</v>
      </c>
      <c r="K50" s="19" t="s">
        <v>115</v>
      </c>
      <c r="L50" s="18" t="s">
        <v>116</v>
      </c>
      <c r="M50" s="18" t="s">
        <v>133</v>
      </c>
      <c r="N50" s="18" t="s">
        <v>118</v>
      </c>
      <c r="O50" s="20">
        <v>119000</v>
      </c>
      <c r="P50" s="20">
        <v>82110</v>
      </c>
      <c r="Q50" s="20">
        <v>1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31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119000</v>
      </c>
      <c r="AD50" s="20">
        <v>82110</v>
      </c>
      <c r="AE50" s="20">
        <v>0</v>
      </c>
      <c r="AF50" s="20">
        <v>0</v>
      </c>
      <c r="AG50" s="20">
        <v>119000</v>
      </c>
      <c r="AH50" s="20">
        <v>82110</v>
      </c>
      <c r="AI50" s="20">
        <v>33536</v>
      </c>
      <c r="AJ50" s="20">
        <v>3354</v>
      </c>
      <c r="AK50" s="20">
        <v>36890</v>
      </c>
    </row>
    <row r="51" spans="1:37" ht="16.5" customHeight="1" x14ac:dyDescent="0.3">
      <c r="A51" s="18" t="s">
        <v>253</v>
      </c>
      <c r="B51" s="18" t="s">
        <v>107</v>
      </c>
      <c r="C51" s="19" t="s">
        <v>108</v>
      </c>
      <c r="D51" s="18" t="s">
        <v>1263</v>
      </c>
      <c r="E51" s="19" t="s">
        <v>934</v>
      </c>
      <c r="F51" s="18" t="s">
        <v>110</v>
      </c>
      <c r="G51" s="18" t="s">
        <v>111</v>
      </c>
      <c r="H51" s="19" t="s">
        <v>112</v>
      </c>
      <c r="I51" s="18" t="s">
        <v>113</v>
      </c>
      <c r="J51" s="19" t="s">
        <v>114</v>
      </c>
      <c r="K51" s="19" t="s">
        <v>115</v>
      </c>
      <c r="L51" s="18" t="s">
        <v>116</v>
      </c>
      <c r="M51" s="18" t="s">
        <v>133</v>
      </c>
      <c r="N51" s="18" t="s">
        <v>118</v>
      </c>
      <c r="O51" s="20">
        <v>119000</v>
      </c>
      <c r="P51" s="20">
        <v>82110</v>
      </c>
      <c r="Q51" s="20">
        <v>1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31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119000</v>
      </c>
      <c r="AD51" s="20">
        <v>82110</v>
      </c>
      <c r="AE51" s="20">
        <v>0</v>
      </c>
      <c r="AF51" s="20">
        <v>0</v>
      </c>
      <c r="AG51" s="20">
        <v>119000</v>
      </c>
      <c r="AH51" s="20">
        <v>82110</v>
      </c>
      <c r="AI51" s="20">
        <v>33536</v>
      </c>
      <c r="AJ51" s="20">
        <v>3354</v>
      </c>
      <c r="AK51" s="20">
        <v>36890</v>
      </c>
    </row>
    <row r="52" spans="1:37" ht="16.5" customHeight="1" x14ac:dyDescent="0.3">
      <c r="A52" s="18" t="s">
        <v>255</v>
      </c>
      <c r="B52" s="18" t="s">
        <v>107</v>
      </c>
      <c r="C52" s="19" t="s">
        <v>108</v>
      </c>
      <c r="D52" s="18" t="s">
        <v>1265</v>
      </c>
      <c r="E52" s="19" t="s">
        <v>303</v>
      </c>
      <c r="F52" s="18" t="s">
        <v>110</v>
      </c>
      <c r="G52" s="18" t="s">
        <v>111</v>
      </c>
      <c r="H52" s="19" t="s">
        <v>112</v>
      </c>
      <c r="I52" s="18" t="s">
        <v>113</v>
      </c>
      <c r="J52" s="19" t="s">
        <v>114</v>
      </c>
      <c r="K52" s="19" t="s">
        <v>115</v>
      </c>
      <c r="L52" s="18" t="s">
        <v>116</v>
      </c>
      <c r="M52" s="18" t="s">
        <v>133</v>
      </c>
      <c r="N52" s="18" t="s">
        <v>118</v>
      </c>
      <c r="O52" s="20">
        <v>119000</v>
      </c>
      <c r="P52" s="20">
        <v>82110</v>
      </c>
      <c r="Q52" s="20">
        <v>1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31</v>
      </c>
      <c r="X52" s="20">
        <v>0</v>
      </c>
      <c r="Y52" s="20">
        <v>0</v>
      </c>
      <c r="Z52" s="20">
        <v>0</v>
      </c>
      <c r="AA52" s="20">
        <v>0</v>
      </c>
      <c r="AB52" s="20">
        <v>5950</v>
      </c>
      <c r="AC52" s="20">
        <v>119000</v>
      </c>
      <c r="AD52" s="20">
        <v>82110</v>
      </c>
      <c r="AE52" s="20">
        <v>0</v>
      </c>
      <c r="AF52" s="20">
        <v>5950</v>
      </c>
      <c r="AG52" s="20">
        <v>113050</v>
      </c>
      <c r="AH52" s="20">
        <v>82110</v>
      </c>
      <c r="AI52" s="20">
        <v>28127</v>
      </c>
      <c r="AJ52" s="20">
        <v>2813</v>
      </c>
      <c r="AK52" s="20">
        <v>30940</v>
      </c>
    </row>
    <row r="53" spans="1:37" ht="16.5" customHeight="1" x14ac:dyDescent="0.3">
      <c r="A53" s="18" t="s">
        <v>257</v>
      </c>
      <c r="B53" s="18" t="s">
        <v>107</v>
      </c>
      <c r="C53" s="19" t="s">
        <v>108</v>
      </c>
      <c r="D53" s="18" t="s">
        <v>775</v>
      </c>
      <c r="E53" s="19" t="s">
        <v>303</v>
      </c>
      <c r="F53" s="18" t="s">
        <v>110</v>
      </c>
      <c r="G53" s="18" t="s">
        <v>111</v>
      </c>
      <c r="H53" s="19" t="s">
        <v>112</v>
      </c>
      <c r="I53" s="18" t="s">
        <v>113</v>
      </c>
      <c r="J53" s="19" t="s">
        <v>114</v>
      </c>
      <c r="K53" s="19" t="s">
        <v>115</v>
      </c>
      <c r="L53" s="18" t="s">
        <v>116</v>
      </c>
      <c r="M53" s="18" t="s">
        <v>133</v>
      </c>
      <c r="N53" s="18" t="s">
        <v>118</v>
      </c>
      <c r="O53" s="20">
        <v>119000</v>
      </c>
      <c r="P53" s="20">
        <v>82110</v>
      </c>
      <c r="Q53" s="20">
        <v>1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31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119000</v>
      </c>
      <c r="AD53" s="20">
        <v>82110</v>
      </c>
      <c r="AE53" s="20">
        <v>0</v>
      </c>
      <c r="AF53" s="20">
        <v>0</v>
      </c>
      <c r="AG53" s="20">
        <v>119000</v>
      </c>
      <c r="AH53" s="20">
        <v>82110</v>
      </c>
      <c r="AI53" s="20">
        <v>33536</v>
      </c>
      <c r="AJ53" s="20">
        <v>3354</v>
      </c>
      <c r="AK53" s="20">
        <v>36890</v>
      </c>
    </row>
    <row r="54" spans="1:37" ht="16.5" customHeight="1" x14ac:dyDescent="0.3">
      <c r="A54" s="18" t="s">
        <v>260</v>
      </c>
      <c r="B54" s="18" t="s">
        <v>107</v>
      </c>
      <c r="C54" s="19" t="s">
        <v>108</v>
      </c>
      <c r="D54" s="18" t="s">
        <v>945</v>
      </c>
      <c r="E54" s="19" t="s">
        <v>946</v>
      </c>
      <c r="F54" s="18" t="s">
        <v>110</v>
      </c>
      <c r="G54" s="18" t="s">
        <v>111</v>
      </c>
      <c r="H54" s="19" t="s">
        <v>112</v>
      </c>
      <c r="I54" s="18" t="s">
        <v>113</v>
      </c>
      <c r="J54" s="19" t="s">
        <v>114</v>
      </c>
      <c r="K54" s="19" t="s">
        <v>115</v>
      </c>
      <c r="L54" s="18" t="s">
        <v>116</v>
      </c>
      <c r="M54" s="18" t="s">
        <v>133</v>
      </c>
      <c r="N54" s="18" t="s">
        <v>118</v>
      </c>
      <c r="O54" s="20">
        <v>119000</v>
      </c>
      <c r="P54" s="20">
        <v>82110</v>
      </c>
      <c r="Q54" s="20">
        <v>1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31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119000</v>
      </c>
      <c r="AD54" s="20">
        <v>82110</v>
      </c>
      <c r="AE54" s="20">
        <v>0</v>
      </c>
      <c r="AF54" s="20">
        <v>0</v>
      </c>
      <c r="AG54" s="20">
        <v>119000</v>
      </c>
      <c r="AH54" s="20">
        <v>82110</v>
      </c>
      <c r="AI54" s="20">
        <v>33536</v>
      </c>
      <c r="AJ54" s="20">
        <v>3354</v>
      </c>
      <c r="AK54" s="20">
        <v>36890</v>
      </c>
    </row>
    <row r="55" spans="1:37" ht="16.5" customHeight="1" x14ac:dyDescent="0.3">
      <c r="A55" s="18" t="s">
        <v>263</v>
      </c>
      <c r="B55" s="18" t="s">
        <v>107</v>
      </c>
      <c r="C55" s="19" t="s">
        <v>108</v>
      </c>
      <c r="D55" s="18" t="s">
        <v>948</v>
      </c>
      <c r="E55" s="19" t="s">
        <v>949</v>
      </c>
      <c r="F55" s="18" t="s">
        <v>110</v>
      </c>
      <c r="G55" s="18" t="s">
        <v>111</v>
      </c>
      <c r="H55" s="19" t="s">
        <v>112</v>
      </c>
      <c r="I55" s="18" t="s">
        <v>113</v>
      </c>
      <c r="J55" s="19" t="s">
        <v>114</v>
      </c>
      <c r="K55" s="19" t="s">
        <v>115</v>
      </c>
      <c r="L55" s="18" t="s">
        <v>116</v>
      </c>
      <c r="M55" s="18" t="s">
        <v>133</v>
      </c>
      <c r="N55" s="18" t="s">
        <v>118</v>
      </c>
      <c r="O55" s="20">
        <v>119000</v>
      </c>
      <c r="P55" s="20">
        <v>82110</v>
      </c>
      <c r="Q55" s="20">
        <v>1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31</v>
      </c>
      <c r="X55" s="20">
        <v>19040</v>
      </c>
      <c r="Y55" s="20">
        <v>0</v>
      </c>
      <c r="Z55" s="20">
        <v>0</v>
      </c>
      <c r="AA55" s="20">
        <v>0</v>
      </c>
      <c r="AB55" s="20">
        <v>0</v>
      </c>
      <c r="AC55" s="20">
        <v>119000</v>
      </c>
      <c r="AD55" s="20">
        <v>82110</v>
      </c>
      <c r="AE55" s="20">
        <v>0</v>
      </c>
      <c r="AF55" s="20">
        <v>19040</v>
      </c>
      <c r="AG55" s="20">
        <v>99960</v>
      </c>
      <c r="AH55" s="20">
        <v>82110</v>
      </c>
      <c r="AI55" s="20">
        <v>16227</v>
      </c>
      <c r="AJ55" s="20">
        <v>1623</v>
      </c>
      <c r="AK55" s="20">
        <v>17850</v>
      </c>
    </row>
    <row r="56" spans="1:37" ht="16.5" customHeight="1" x14ac:dyDescent="0.3">
      <c r="A56" s="18" t="s">
        <v>266</v>
      </c>
      <c r="B56" s="18" t="s">
        <v>107</v>
      </c>
      <c r="C56" s="19" t="s">
        <v>108</v>
      </c>
      <c r="D56" s="18" t="s">
        <v>951</v>
      </c>
      <c r="E56" s="19" t="s">
        <v>952</v>
      </c>
      <c r="F56" s="18" t="s">
        <v>110</v>
      </c>
      <c r="G56" s="18" t="s">
        <v>111</v>
      </c>
      <c r="H56" s="19" t="s">
        <v>112</v>
      </c>
      <c r="I56" s="18" t="s">
        <v>113</v>
      </c>
      <c r="J56" s="19" t="s">
        <v>114</v>
      </c>
      <c r="K56" s="19" t="s">
        <v>115</v>
      </c>
      <c r="L56" s="18" t="s">
        <v>116</v>
      </c>
      <c r="M56" s="18" t="s">
        <v>133</v>
      </c>
      <c r="N56" s="18" t="s">
        <v>118</v>
      </c>
      <c r="O56" s="20">
        <v>119000</v>
      </c>
      <c r="P56" s="20">
        <v>82110</v>
      </c>
      <c r="Q56" s="20">
        <v>1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31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119000</v>
      </c>
      <c r="AD56" s="20">
        <v>82110</v>
      </c>
      <c r="AE56" s="20">
        <v>0</v>
      </c>
      <c r="AF56" s="20">
        <v>0</v>
      </c>
      <c r="AG56" s="20">
        <v>119000</v>
      </c>
      <c r="AH56" s="20">
        <v>82110</v>
      </c>
      <c r="AI56" s="20">
        <v>33536</v>
      </c>
      <c r="AJ56" s="20">
        <v>3354</v>
      </c>
      <c r="AK56" s="20">
        <v>36890</v>
      </c>
    </row>
    <row r="57" spans="1:37" ht="16.5" customHeight="1" x14ac:dyDescent="0.3">
      <c r="A57" s="18" t="s">
        <v>269</v>
      </c>
      <c r="B57" s="18" t="s">
        <v>107</v>
      </c>
      <c r="C57" s="19" t="s">
        <v>108</v>
      </c>
      <c r="D57" s="18" t="s">
        <v>954</v>
      </c>
      <c r="E57" s="19" t="s">
        <v>955</v>
      </c>
      <c r="F57" s="18" t="s">
        <v>110</v>
      </c>
      <c r="G57" s="18" t="s">
        <v>111</v>
      </c>
      <c r="H57" s="19" t="s">
        <v>112</v>
      </c>
      <c r="I57" s="18" t="s">
        <v>113</v>
      </c>
      <c r="J57" s="19" t="s">
        <v>114</v>
      </c>
      <c r="K57" s="19" t="s">
        <v>151</v>
      </c>
      <c r="L57" s="18" t="s">
        <v>116</v>
      </c>
      <c r="M57" s="18" t="s">
        <v>133</v>
      </c>
      <c r="N57" s="18" t="s">
        <v>118</v>
      </c>
      <c r="O57" s="20">
        <v>119000</v>
      </c>
      <c r="P57" s="20">
        <v>82110</v>
      </c>
      <c r="Q57" s="20">
        <v>1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31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119000</v>
      </c>
      <c r="AD57" s="20">
        <v>82110</v>
      </c>
      <c r="AE57" s="20">
        <v>0</v>
      </c>
      <c r="AF57" s="20">
        <v>0</v>
      </c>
      <c r="AG57" s="20">
        <v>119000</v>
      </c>
      <c r="AH57" s="20">
        <v>82110</v>
      </c>
      <c r="AI57" s="20">
        <v>33536</v>
      </c>
      <c r="AJ57" s="20">
        <v>3354</v>
      </c>
      <c r="AK57" s="20">
        <v>36890</v>
      </c>
    </row>
    <row r="58" spans="1:37" ht="16.5" customHeight="1" x14ac:dyDescent="0.3">
      <c r="A58" s="18" t="s">
        <v>272</v>
      </c>
      <c r="B58" s="18" t="s">
        <v>107</v>
      </c>
      <c r="C58" s="19" t="s">
        <v>108</v>
      </c>
      <c r="D58" s="18" t="s">
        <v>957</v>
      </c>
      <c r="E58" s="19" t="s">
        <v>958</v>
      </c>
      <c r="F58" s="18" t="s">
        <v>110</v>
      </c>
      <c r="G58" s="18" t="s">
        <v>111</v>
      </c>
      <c r="H58" s="19" t="s">
        <v>112</v>
      </c>
      <c r="I58" s="18" t="s">
        <v>113</v>
      </c>
      <c r="J58" s="19" t="s">
        <v>114</v>
      </c>
      <c r="K58" s="19" t="s">
        <v>115</v>
      </c>
      <c r="L58" s="18" t="s">
        <v>116</v>
      </c>
      <c r="M58" s="18" t="s">
        <v>133</v>
      </c>
      <c r="N58" s="18" t="s">
        <v>118</v>
      </c>
      <c r="O58" s="20">
        <v>119000</v>
      </c>
      <c r="P58" s="20">
        <v>82110</v>
      </c>
      <c r="Q58" s="20">
        <v>1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31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119000</v>
      </c>
      <c r="AD58" s="20">
        <v>82110</v>
      </c>
      <c r="AE58" s="20">
        <v>0</v>
      </c>
      <c r="AF58" s="20">
        <v>0</v>
      </c>
      <c r="AG58" s="20">
        <v>119000</v>
      </c>
      <c r="AH58" s="20">
        <v>82110</v>
      </c>
      <c r="AI58" s="20">
        <v>33536</v>
      </c>
      <c r="AJ58" s="20">
        <v>3354</v>
      </c>
      <c r="AK58" s="20">
        <v>36890</v>
      </c>
    </row>
    <row r="59" spans="1:37" ht="16.5" customHeight="1" x14ac:dyDescent="0.3">
      <c r="A59" s="18" t="s">
        <v>275</v>
      </c>
      <c r="B59" s="18" t="s">
        <v>107</v>
      </c>
      <c r="C59" s="19" t="s">
        <v>108</v>
      </c>
      <c r="D59" s="18" t="s">
        <v>960</v>
      </c>
      <c r="E59" s="19" t="s">
        <v>961</v>
      </c>
      <c r="F59" s="18" t="s">
        <v>110</v>
      </c>
      <c r="G59" s="18" t="s">
        <v>111</v>
      </c>
      <c r="H59" s="19" t="s">
        <v>112</v>
      </c>
      <c r="I59" s="18" t="s">
        <v>113</v>
      </c>
      <c r="J59" s="19" t="s">
        <v>114</v>
      </c>
      <c r="K59" s="19" t="s">
        <v>115</v>
      </c>
      <c r="L59" s="18" t="s">
        <v>116</v>
      </c>
      <c r="M59" s="18" t="s">
        <v>133</v>
      </c>
      <c r="N59" s="18" t="s">
        <v>118</v>
      </c>
      <c r="O59" s="20">
        <v>119000</v>
      </c>
      <c r="P59" s="20">
        <v>82110</v>
      </c>
      <c r="Q59" s="20">
        <v>1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31</v>
      </c>
      <c r="X59" s="20">
        <v>0</v>
      </c>
      <c r="Y59" s="20">
        <v>10000</v>
      </c>
      <c r="Z59" s="20">
        <v>0</v>
      </c>
      <c r="AA59" s="20">
        <v>0</v>
      </c>
      <c r="AB59" s="20">
        <v>0</v>
      </c>
      <c r="AC59" s="20">
        <v>119000</v>
      </c>
      <c r="AD59" s="20">
        <v>82110</v>
      </c>
      <c r="AE59" s="20">
        <v>0</v>
      </c>
      <c r="AF59" s="20">
        <v>10000</v>
      </c>
      <c r="AG59" s="20">
        <v>109000</v>
      </c>
      <c r="AH59" s="20">
        <v>82110</v>
      </c>
      <c r="AI59" s="20">
        <v>24445</v>
      </c>
      <c r="AJ59" s="20">
        <v>2445</v>
      </c>
      <c r="AK59" s="20">
        <v>26890</v>
      </c>
    </row>
    <row r="60" spans="1:37" ht="16.5" customHeight="1" x14ac:dyDescent="0.3">
      <c r="A60" s="18" t="s">
        <v>278</v>
      </c>
      <c r="B60" s="18" t="s">
        <v>107</v>
      </c>
      <c r="C60" s="19" t="s">
        <v>108</v>
      </c>
      <c r="D60" s="18" t="s">
        <v>966</v>
      </c>
      <c r="E60" s="19" t="s">
        <v>967</v>
      </c>
      <c r="F60" s="18" t="s">
        <v>110</v>
      </c>
      <c r="G60" s="18" t="s">
        <v>111</v>
      </c>
      <c r="H60" s="19" t="s">
        <v>112</v>
      </c>
      <c r="I60" s="18" t="s">
        <v>113</v>
      </c>
      <c r="J60" s="19" t="s">
        <v>114</v>
      </c>
      <c r="K60" s="19" t="s">
        <v>115</v>
      </c>
      <c r="L60" s="18" t="s">
        <v>116</v>
      </c>
      <c r="M60" s="18" t="s">
        <v>133</v>
      </c>
      <c r="N60" s="18" t="s">
        <v>118</v>
      </c>
      <c r="O60" s="20">
        <v>119000</v>
      </c>
      <c r="P60" s="20">
        <v>82110</v>
      </c>
      <c r="Q60" s="20">
        <v>1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31</v>
      </c>
      <c r="X60" s="20">
        <v>19040</v>
      </c>
      <c r="Y60" s="20">
        <v>0</v>
      </c>
      <c r="Z60" s="20">
        <v>0</v>
      </c>
      <c r="AA60" s="20">
        <v>0</v>
      </c>
      <c r="AB60" s="20">
        <v>0</v>
      </c>
      <c r="AC60" s="20">
        <v>119000</v>
      </c>
      <c r="AD60" s="20">
        <v>82110</v>
      </c>
      <c r="AE60" s="20">
        <v>0</v>
      </c>
      <c r="AF60" s="20">
        <v>19040</v>
      </c>
      <c r="AG60" s="20">
        <v>99960</v>
      </c>
      <c r="AH60" s="20">
        <v>82110</v>
      </c>
      <c r="AI60" s="20">
        <v>16227</v>
      </c>
      <c r="AJ60" s="20">
        <v>1623</v>
      </c>
      <c r="AK60" s="20">
        <v>17850</v>
      </c>
    </row>
    <row r="61" spans="1:37" ht="16.5" customHeight="1" x14ac:dyDescent="0.3">
      <c r="A61" s="18" t="s">
        <v>281</v>
      </c>
      <c r="B61" s="18" t="s">
        <v>107</v>
      </c>
      <c r="C61" s="19" t="s">
        <v>108</v>
      </c>
      <c r="D61" s="18" t="s">
        <v>969</v>
      </c>
      <c r="E61" s="19" t="s">
        <v>970</v>
      </c>
      <c r="F61" s="18" t="s">
        <v>110</v>
      </c>
      <c r="G61" s="18" t="s">
        <v>111</v>
      </c>
      <c r="H61" s="19" t="s">
        <v>112</v>
      </c>
      <c r="I61" s="18" t="s">
        <v>113</v>
      </c>
      <c r="J61" s="19" t="s">
        <v>114</v>
      </c>
      <c r="K61" s="19" t="s">
        <v>115</v>
      </c>
      <c r="L61" s="18" t="s">
        <v>116</v>
      </c>
      <c r="M61" s="18" t="s">
        <v>133</v>
      </c>
      <c r="N61" s="18" t="s">
        <v>118</v>
      </c>
      <c r="O61" s="20">
        <v>119000</v>
      </c>
      <c r="P61" s="20">
        <v>82110</v>
      </c>
      <c r="Q61" s="20">
        <v>1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31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119000</v>
      </c>
      <c r="AD61" s="20">
        <v>82110</v>
      </c>
      <c r="AE61" s="20">
        <v>0</v>
      </c>
      <c r="AF61" s="20">
        <v>0</v>
      </c>
      <c r="AG61" s="20">
        <v>119000</v>
      </c>
      <c r="AH61" s="20">
        <v>82110</v>
      </c>
      <c r="AI61" s="20">
        <v>33536</v>
      </c>
      <c r="AJ61" s="20">
        <v>3354</v>
      </c>
      <c r="AK61" s="20">
        <v>36890</v>
      </c>
    </row>
    <row r="62" spans="1:37" ht="16.5" customHeight="1" x14ac:dyDescent="0.3">
      <c r="A62" s="18" t="s">
        <v>284</v>
      </c>
      <c r="B62" s="18" t="s">
        <v>107</v>
      </c>
      <c r="C62" s="19" t="s">
        <v>108</v>
      </c>
      <c r="D62" s="18" t="s">
        <v>972</v>
      </c>
      <c r="E62" s="19" t="s">
        <v>973</v>
      </c>
      <c r="F62" s="18" t="s">
        <v>110</v>
      </c>
      <c r="G62" s="18" t="s">
        <v>111</v>
      </c>
      <c r="H62" s="19" t="s">
        <v>112</v>
      </c>
      <c r="I62" s="18" t="s">
        <v>113</v>
      </c>
      <c r="J62" s="19" t="s">
        <v>114</v>
      </c>
      <c r="K62" s="19" t="s">
        <v>115</v>
      </c>
      <c r="L62" s="18" t="s">
        <v>116</v>
      </c>
      <c r="M62" s="18" t="s">
        <v>133</v>
      </c>
      <c r="N62" s="18" t="s">
        <v>118</v>
      </c>
      <c r="O62" s="20">
        <v>119000</v>
      </c>
      <c r="P62" s="20">
        <v>82110</v>
      </c>
      <c r="Q62" s="20">
        <v>1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31</v>
      </c>
      <c r="X62" s="20">
        <v>0</v>
      </c>
      <c r="Y62" s="20">
        <v>0</v>
      </c>
      <c r="Z62" s="20">
        <v>0</v>
      </c>
      <c r="AA62" s="20">
        <v>0</v>
      </c>
      <c r="AB62" s="20">
        <v>5950</v>
      </c>
      <c r="AC62" s="20">
        <v>119000</v>
      </c>
      <c r="AD62" s="20">
        <v>82110</v>
      </c>
      <c r="AE62" s="20">
        <v>0</v>
      </c>
      <c r="AF62" s="20">
        <v>5950</v>
      </c>
      <c r="AG62" s="20">
        <v>113050</v>
      </c>
      <c r="AH62" s="20">
        <v>82110</v>
      </c>
      <c r="AI62" s="20">
        <v>28127</v>
      </c>
      <c r="AJ62" s="20">
        <v>2813</v>
      </c>
      <c r="AK62" s="20">
        <v>30940</v>
      </c>
    </row>
    <row r="63" spans="1:37" ht="16.5" customHeight="1" x14ac:dyDescent="0.3">
      <c r="A63" s="18" t="s">
        <v>287</v>
      </c>
      <c r="B63" s="18" t="s">
        <v>107</v>
      </c>
      <c r="C63" s="19" t="s">
        <v>108</v>
      </c>
      <c r="D63" s="18" t="s">
        <v>975</v>
      </c>
      <c r="E63" s="19" t="s">
        <v>973</v>
      </c>
      <c r="F63" s="18" t="s">
        <v>110</v>
      </c>
      <c r="G63" s="18" t="s">
        <v>111</v>
      </c>
      <c r="H63" s="19" t="s">
        <v>112</v>
      </c>
      <c r="I63" s="18" t="s">
        <v>113</v>
      </c>
      <c r="J63" s="19" t="s">
        <v>114</v>
      </c>
      <c r="K63" s="19" t="s">
        <v>115</v>
      </c>
      <c r="L63" s="18" t="s">
        <v>116</v>
      </c>
      <c r="M63" s="18" t="s">
        <v>133</v>
      </c>
      <c r="N63" s="18" t="s">
        <v>118</v>
      </c>
      <c r="O63" s="20">
        <v>119000</v>
      </c>
      <c r="P63" s="20">
        <v>82110</v>
      </c>
      <c r="Q63" s="20">
        <v>1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31</v>
      </c>
      <c r="X63" s="20">
        <v>0</v>
      </c>
      <c r="Y63" s="20">
        <v>0</v>
      </c>
      <c r="Z63" s="20">
        <v>0</v>
      </c>
      <c r="AA63" s="20">
        <v>0</v>
      </c>
      <c r="AB63" s="20">
        <v>5950</v>
      </c>
      <c r="AC63" s="20">
        <v>119000</v>
      </c>
      <c r="AD63" s="20">
        <v>82110</v>
      </c>
      <c r="AE63" s="20">
        <v>0</v>
      </c>
      <c r="AF63" s="20">
        <v>5950</v>
      </c>
      <c r="AG63" s="20">
        <v>113050</v>
      </c>
      <c r="AH63" s="20">
        <v>82110</v>
      </c>
      <c r="AI63" s="20">
        <v>28127</v>
      </c>
      <c r="AJ63" s="20">
        <v>2813</v>
      </c>
      <c r="AK63" s="20">
        <v>30940</v>
      </c>
    </row>
    <row r="64" spans="1:37" ht="16.5" customHeight="1" x14ac:dyDescent="0.3">
      <c r="A64" s="18" t="s">
        <v>290</v>
      </c>
      <c r="B64" s="18" t="s">
        <v>107</v>
      </c>
      <c r="C64" s="19" t="s">
        <v>108</v>
      </c>
      <c r="D64" s="18" t="s">
        <v>977</v>
      </c>
      <c r="E64" s="19" t="s">
        <v>217</v>
      </c>
      <c r="F64" s="18" t="s">
        <v>110</v>
      </c>
      <c r="G64" s="18" t="s">
        <v>111</v>
      </c>
      <c r="H64" s="19" t="s">
        <v>112</v>
      </c>
      <c r="I64" s="18" t="s">
        <v>113</v>
      </c>
      <c r="J64" s="19" t="s">
        <v>114</v>
      </c>
      <c r="K64" s="19" t="s">
        <v>115</v>
      </c>
      <c r="L64" s="18" t="s">
        <v>116</v>
      </c>
      <c r="M64" s="18" t="s">
        <v>133</v>
      </c>
      <c r="N64" s="18" t="s">
        <v>118</v>
      </c>
      <c r="O64" s="20">
        <v>119000</v>
      </c>
      <c r="P64" s="20">
        <v>82110</v>
      </c>
      <c r="Q64" s="20">
        <v>1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31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119000</v>
      </c>
      <c r="AD64" s="20">
        <v>82110</v>
      </c>
      <c r="AE64" s="20">
        <v>0</v>
      </c>
      <c r="AF64" s="20">
        <v>0</v>
      </c>
      <c r="AG64" s="20">
        <v>119000</v>
      </c>
      <c r="AH64" s="20">
        <v>82110</v>
      </c>
      <c r="AI64" s="20">
        <v>33536</v>
      </c>
      <c r="AJ64" s="20">
        <v>3354</v>
      </c>
      <c r="AK64" s="20">
        <v>36890</v>
      </c>
    </row>
    <row r="65" spans="1:37" ht="16.5" customHeight="1" x14ac:dyDescent="0.3">
      <c r="A65" s="18" t="s">
        <v>293</v>
      </c>
      <c r="B65" s="18" t="s">
        <v>107</v>
      </c>
      <c r="C65" s="19" t="s">
        <v>108</v>
      </c>
      <c r="D65" s="18" t="s">
        <v>979</v>
      </c>
      <c r="E65" s="19" t="s">
        <v>964</v>
      </c>
      <c r="F65" s="18" t="s">
        <v>110</v>
      </c>
      <c r="G65" s="18" t="s">
        <v>111</v>
      </c>
      <c r="H65" s="19" t="s">
        <v>112</v>
      </c>
      <c r="I65" s="18" t="s">
        <v>113</v>
      </c>
      <c r="J65" s="19" t="s">
        <v>114</v>
      </c>
      <c r="K65" s="19" t="s">
        <v>115</v>
      </c>
      <c r="L65" s="18" t="s">
        <v>116</v>
      </c>
      <c r="M65" s="18" t="s">
        <v>133</v>
      </c>
      <c r="N65" s="18" t="s">
        <v>118</v>
      </c>
      <c r="O65" s="20">
        <v>119000</v>
      </c>
      <c r="P65" s="20">
        <v>82110</v>
      </c>
      <c r="Q65" s="20">
        <v>1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31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119000</v>
      </c>
      <c r="AD65" s="20">
        <v>82110</v>
      </c>
      <c r="AE65" s="20">
        <v>0</v>
      </c>
      <c r="AF65" s="20">
        <v>0</v>
      </c>
      <c r="AG65" s="20">
        <v>119000</v>
      </c>
      <c r="AH65" s="20">
        <v>82110</v>
      </c>
      <c r="AI65" s="20">
        <v>33536</v>
      </c>
      <c r="AJ65" s="20">
        <v>3354</v>
      </c>
      <c r="AK65" s="20">
        <v>36890</v>
      </c>
    </row>
    <row r="66" spans="1:37" ht="16.5" customHeight="1" x14ac:dyDescent="0.3">
      <c r="A66" s="18" t="s">
        <v>295</v>
      </c>
      <c r="B66" s="18" t="s">
        <v>107</v>
      </c>
      <c r="C66" s="19" t="s">
        <v>108</v>
      </c>
      <c r="D66" s="18" t="s">
        <v>981</v>
      </c>
      <c r="E66" s="19" t="s">
        <v>982</v>
      </c>
      <c r="F66" s="18" t="s">
        <v>110</v>
      </c>
      <c r="G66" s="18" t="s">
        <v>111</v>
      </c>
      <c r="H66" s="19" t="s">
        <v>112</v>
      </c>
      <c r="I66" s="18" t="s">
        <v>113</v>
      </c>
      <c r="J66" s="19" t="s">
        <v>114</v>
      </c>
      <c r="K66" s="19" t="s">
        <v>115</v>
      </c>
      <c r="L66" s="18" t="s">
        <v>116</v>
      </c>
      <c r="M66" s="18" t="s">
        <v>133</v>
      </c>
      <c r="N66" s="18" t="s">
        <v>118</v>
      </c>
      <c r="O66" s="20">
        <v>119000</v>
      </c>
      <c r="P66" s="20">
        <v>82110</v>
      </c>
      <c r="Q66" s="20">
        <v>1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31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119000</v>
      </c>
      <c r="AD66" s="20">
        <v>82110</v>
      </c>
      <c r="AE66" s="20">
        <v>0</v>
      </c>
      <c r="AF66" s="20">
        <v>0</v>
      </c>
      <c r="AG66" s="20">
        <v>119000</v>
      </c>
      <c r="AH66" s="20">
        <v>82110</v>
      </c>
      <c r="AI66" s="20">
        <v>33536</v>
      </c>
      <c r="AJ66" s="20">
        <v>3354</v>
      </c>
      <c r="AK66" s="20">
        <v>36890</v>
      </c>
    </row>
    <row r="67" spans="1:37" ht="16.5" customHeight="1" x14ac:dyDescent="0.3">
      <c r="A67" s="18" t="s">
        <v>298</v>
      </c>
      <c r="B67" s="18" t="s">
        <v>107</v>
      </c>
      <c r="C67" s="19" t="s">
        <v>108</v>
      </c>
      <c r="D67" s="18" t="s">
        <v>799</v>
      </c>
      <c r="E67" s="19" t="s">
        <v>800</v>
      </c>
      <c r="F67" s="18" t="s">
        <v>110</v>
      </c>
      <c r="G67" s="18" t="s">
        <v>111</v>
      </c>
      <c r="H67" s="19" t="s">
        <v>112</v>
      </c>
      <c r="I67" s="18" t="s">
        <v>113</v>
      </c>
      <c r="J67" s="19" t="s">
        <v>114</v>
      </c>
      <c r="K67" s="19" t="s">
        <v>115</v>
      </c>
      <c r="L67" s="18" t="s">
        <v>116</v>
      </c>
      <c r="M67" s="18" t="s">
        <v>133</v>
      </c>
      <c r="N67" s="18" t="s">
        <v>118</v>
      </c>
      <c r="O67" s="20">
        <v>119000</v>
      </c>
      <c r="P67" s="20">
        <v>82110</v>
      </c>
      <c r="Q67" s="20">
        <v>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31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119000</v>
      </c>
      <c r="AD67" s="20">
        <v>82110</v>
      </c>
      <c r="AE67" s="20">
        <v>0</v>
      </c>
      <c r="AF67" s="20">
        <v>0</v>
      </c>
      <c r="AG67" s="20">
        <v>119000</v>
      </c>
      <c r="AH67" s="20">
        <v>82110</v>
      </c>
      <c r="AI67" s="20">
        <v>33536</v>
      </c>
      <c r="AJ67" s="20">
        <v>3354</v>
      </c>
      <c r="AK67" s="20">
        <v>36890</v>
      </c>
    </row>
    <row r="68" spans="1:37" ht="16.5" customHeight="1" x14ac:dyDescent="0.3">
      <c r="A68" s="18" t="s">
        <v>301</v>
      </c>
      <c r="B68" s="18" t="s">
        <v>107</v>
      </c>
      <c r="C68" s="19" t="s">
        <v>108</v>
      </c>
      <c r="D68" s="18" t="s">
        <v>1046</v>
      </c>
      <c r="E68" s="19" t="s">
        <v>1047</v>
      </c>
      <c r="F68" s="18" t="s">
        <v>110</v>
      </c>
      <c r="G68" s="18" t="s">
        <v>111</v>
      </c>
      <c r="H68" s="19" t="s">
        <v>112</v>
      </c>
      <c r="I68" s="18" t="s">
        <v>113</v>
      </c>
      <c r="J68" s="19" t="s">
        <v>114</v>
      </c>
      <c r="K68" s="19" t="s">
        <v>115</v>
      </c>
      <c r="L68" s="18" t="s">
        <v>116</v>
      </c>
      <c r="M68" s="18" t="s">
        <v>133</v>
      </c>
      <c r="N68" s="18" t="s">
        <v>118</v>
      </c>
      <c r="O68" s="20">
        <v>119000</v>
      </c>
      <c r="P68" s="20">
        <v>82110</v>
      </c>
      <c r="Q68" s="20">
        <v>1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31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119000</v>
      </c>
      <c r="AD68" s="20">
        <v>82110</v>
      </c>
      <c r="AE68" s="20">
        <v>0</v>
      </c>
      <c r="AF68" s="20">
        <v>0</v>
      </c>
      <c r="AG68" s="20">
        <v>119000</v>
      </c>
      <c r="AH68" s="20">
        <v>82110</v>
      </c>
      <c r="AI68" s="20">
        <v>33536</v>
      </c>
      <c r="AJ68" s="20">
        <v>3354</v>
      </c>
      <c r="AK68" s="20">
        <v>36890</v>
      </c>
    </row>
    <row r="69" spans="1:37" ht="16.5" customHeight="1" x14ac:dyDescent="0.3">
      <c r="A69" s="18" t="s">
        <v>304</v>
      </c>
      <c r="B69" s="18" t="s">
        <v>107</v>
      </c>
      <c r="C69" s="19" t="s">
        <v>108</v>
      </c>
      <c r="D69" s="18" t="s">
        <v>1049</v>
      </c>
      <c r="E69" s="19" t="s">
        <v>1050</v>
      </c>
      <c r="F69" s="18" t="s">
        <v>110</v>
      </c>
      <c r="G69" s="18" t="s">
        <v>111</v>
      </c>
      <c r="H69" s="19" t="s">
        <v>112</v>
      </c>
      <c r="I69" s="18" t="s">
        <v>113</v>
      </c>
      <c r="J69" s="19" t="s">
        <v>114</v>
      </c>
      <c r="K69" s="19" t="s">
        <v>115</v>
      </c>
      <c r="L69" s="18" t="s">
        <v>116</v>
      </c>
      <c r="M69" s="18" t="s">
        <v>133</v>
      </c>
      <c r="N69" s="18" t="s">
        <v>118</v>
      </c>
      <c r="O69" s="20">
        <v>119000</v>
      </c>
      <c r="P69" s="20">
        <v>82110</v>
      </c>
      <c r="Q69" s="20">
        <v>1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31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119000</v>
      </c>
      <c r="AD69" s="20">
        <v>82110</v>
      </c>
      <c r="AE69" s="20">
        <v>0</v>
      </c>
      <c r="AF69" s="20">
        <v>0</v>
      </c>
      <c r="AG69" s="20">
        <v>119000</v>
      </c>
      <c r="AH69" s="20">
        <v>82110</v>
      </c>
      <c r="AI69" s="20">
        <v>33536</v>
      </c>
      <c r="AJ69" s="20">
        <v>3354</v>
      </c>
      <c r="AK69" s="20">
        <v>36890</v>
      </c>
    </row>
    <row r="70" spans="1:37" ht="16.5" customHeight="1" x14ac:dyDescent="0.3">
      <c r="A70" s="18" t="s">
        <v>306</v>
      </c>
      <c r="B70" s="18" t="s">
        <v>107</v>
      </c>
      <c r="C70" s="19" t="s">
        <v>108</v>
      </c>
      <c r="D70" s="18" t="s">
        <v>1054</v>
      </c>
      <c r="E70" s="19" t="s">
        <v>1055</v>
      </c>
      <c r="F70" s="18" t="s">
        <v>110</v>
      </c>
      <c r="G70" s="18" t="s">
        <v>111</v>
      </c>
      <c r="H70" s="19" t="s">
        <v>112</v>
      </c>
      <c r="I70" s="18" t="s">
        <v>113</v>
      </c>
      <c r="J70" s="19" t="s">
        <v>114</v>
      </c>
      <c r="K70" s="19" t="s">
        <v>115</v>
      </c>
      <c r="L70" s="18" t="s">
        <v>116</v>
      </c>
      <c r="M70" s="18" t="s">
        <v>133</v>
      </c>
      <c r="N70" s="18" t="s">
        <v>118</v>
      </c>
      <c r="O70" s="20">
        <v>119000</v>
      </c>
      <c r="P70" s="20">
        <v>82110</v>
      </c>
      <c r="Q70" s="20">
        <v>1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31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119000</v>
      </c>
      <c r="AD70" s="20">
        <v>82110</v>
      </c>
      <c r="AE70" s="20">
        <v>0</v>
      </c>
      <c r="AF70" s="20">
        <v>0</v>
      </c>
      <c r="AG70" s="20">
        <v>119000</v>
      </c>
      <c r="AH70" s="20">
        <v>82110</v>
      </c>
      <c r="AI70" s="20">
        <v>33536</v>
      </c>
      <c r="AJ70" s="20">
        <v>3354</v>
      </c>
      <c r="AK70" s="20">
        <v>36890</v>
      </c>
    </row>
    <row r="71" spans="1:37" ht="16.5" customHeight="1" x14ac:dyDescent="0.3">
      <c r="A71" s="18" t="s">
        <v>309</v>
      </c>
      <c r="B71" s="18" t="s">
        <v>107</v>
      </c>
      <c r="C71" s="19" t="s">
        <v>108</v>
      </c>
      <c r="D71" s="18" t="s">
        <v>1057</v>
      </c>
      <c r="E71" s="19" t="s">
        <v>1058</v>
      </c>
      <c r="F71" s="18" t="s">
        <v>110</v>
      </c>
      <c r="G71" s="18" t="s">
        <v>111</v>
      </c>
      <c r="H71" s="19" t="s">
        <v>112</v>
      </c>
      <c r="I71" s="18" t="s">
        <v>113</v>
      </c>
      <c r="J71" s="19" t="s">
        <v>114</v>
      </c>
      <c r="K71" s="19" t="s">
        <v>151</v>
      </c>
      <c r="L71" s="18" t="s">
        <v>116</v>
      </c>
      <c r="M71" s="18" t="s">
        <v>133</v>
      </c>
      <c r="N71" s="18" t="s">
        <v>118</v>
      </c>
      <c r="O71" s="20">
        <v>119000</v>
      </c>
      <c r="P71" s="20">
        <v>82110</v>
      </c>
      <c r="Q71" s="20">
        <v>1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31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119000</v>
      </c>
      <c r="AD71" s="20">
        <v>82110</v>
      </c>
      <c r="AE71" s="20">
        <v>0</v>
      </c>
      <c r="AF71" s="20">
        <v>0</v>
      </c>
      <c r="AG71" s="20">
        <v>119000</v>
      </c>
      <c r="AH71" s="20">
        <v>82110</v>
      </c>
      <c r="AI71" s="20">
        <v>33536</v>
      </c>
      <c r="AJ71" s="20">
        <v>3354</v>
      </c>
      <c r="AK71" s="20">
        <v>36890</v>
      </c>
    </row>
    <row r="72" spans="1:37" ht="16.5" customHeight="1" x14ac:dyDescent="0.3">
      <c r="A72" s="18" t="s">
        <v>312</v>
      </c>
      <c r="B72" s="18" t="s">
        <v>107</v>
      </c>
      <c r="C72" s="19" t="s">
        <v>108</v>
      </c>
      <c r="D72" s="18" t="s">
        <v>1060</v>
      </c>
      <c r="E72" s="19" t="s">
        <v>357</v>
      </c>
      <c r="F72" s="18" t="s">
        <v>110</v>
      </c>
      <c r="G72" s="18" t="s">
        <v>111</v>
      </c>
      <c r="H72" s="19" t="s">
        <v>112</v>
      </c>
      <c r="I72" s="18" t="s">
        <v>113</v>
      </c>
      <c r="J72" s="19" t="s">
        <v>114</v>
      </c>
      <c r="K72" s="19" t="s">
        <v>115</v>
      </c>
      <c r="L72" s="18" t="s">
        <v>116</v>
      </c>
      <c r="M72" s="18" t="s">
        <v>133</v>
      </c>
      <c r="N72" s="18" t="s">
        <v>118</v>
      </c>
      <c r="O72" s="20">
        <v>119000</v>
      </c>
      <c r="P72" s="20">
        <v>82110</v>
      </c>
      <c r="Q72" s="20">
        <v>1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31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119000</v>
      </c>
      <c r="AD72" s="20">
        <v>82110</v>
      </c>
      <c r="AE72" s="20">
        <v>0</v>
      </c>
      <c r="AF72" s="20">
        <v>0</v>
      </c>
      <c r="AG72" s="20">
        <v>119000</v>
      </c>
      <c r="AH72" s="20">
        <v>82110</v>
      </c>
      <c r="AI72" s="20">
        <v>33536</v>
      </c>
      <c r="AJ72" s="20">
        <v>3354</v>
      </c>
      <c r="AK72" s="20">
        <v>36890</v>
      </c>
    </row>
    <row r="73" spans="1:37" ht="16.5" customHeight="1" x14ac:dyDescent="0.3">
      <c r="A73" s="18" t="s">
        <v>313</v>
      </c>
      <c r="B73" s="18" t="s">
        <v>107</v>
      </c>
      <c r="C73" s="19" t="s">
        <v>108</v>
      </c>
      <c r="D73" s="18" t="s">
        <v>1065</v>
      </c>
      <c r="E73" s="19" t="s">
        <v>1066</v>
      </c>
      <c r="F73" s="18" t="s">
        <v>110</v>
      </c>
      <c r="G73" s="18" t="s">
        <v>111</v>
      </c>
      <c r="H73" s="19" t="s">
        <v>112</v>
      </c>
      <c r="I73" s="18" t="s">
        <v>113</v>
      </c>
      <c r="J73" s="19" t="s">
        <v>114</v>
      </c>
      <c r="K73" s="19" t="s">
        <v>115</v>
      </c>
      <c r="L73" s="18" t="s">
        <v>116</v>
      </c>
      <c r="M73" s="18" t="s">
        <v>133</v>
      </c>
      <c r="N73" s="18" t="s">
        <v>118</v>
      </c>
      <c r="O73" s="20">
        <v>119000</v>
      </c>
      <c r="P73" s="20">
        <v>82110</v>
      </c>
      <c r="Q73" s="20">
        <v>1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31</v>
      </c>
      <c r="X73" s="20">
        <v>19040</v>
      </c>
      <c r="Y73" s="20">
        <v>0</v>
      </c>
      <c r="Z73" s="20">
        <v>0</v>
      </c>
      <c r="AA73" s="20">
        <v>0</v>
      </c>
      <c r="AB73" s="20">
        <v>0</v>
      </c>
      <c r="AC73" s="20">
        <v>119000</v>
      </c>
      <c r="AD73" s="20">
        <v>82110</v>
      </c>
      <c r="AE73" s="20">
        <v>0</v>
      </c>
      <c r="AF73" s="20">
        <v>19040</v>
      </c>
      <c r="AG73" s="20">
        <v>99960</v>
      </c>
      <c r="AH73" s="20">
        <v>82110</v>
      </c>
      <c r="AI73" s="20">
        <v>16227</v>
      </c>
      <c r="AJ73" s="20">
        <v>1623</v>
      </c>
      <c r="AK73" s="20">
        <v>17850</v>
      </c>
    </row>
    <row r="74" spans="1:37" ht="16.5" customHeight="1" x14ac:dyDescent="0.3">
      <c r="A74" s="18" t="s">
        <v>316</v>
      </c>
      <c r="B74" s="18" t="s">
        <v>107</v>
      </c>
      <c r="C74" s="19" t="s">
        <v>108</v>
      </c>
      <c r="D74" s="18" t="s">
        <v>1068</v>
      </c>
      <c r="E74" s="19" t="s">
        <v>1069</v>
      </c>
      <c r="F74" s="18" t="s">
        <v>110</v>
      </c>
      <c r="G74" s="18" t="s">
        <v>111</v>
      </c>
      <c r="H74" s="19" t="s">
        <v>112</v>
      </c>
      <c r="I74" s="18" t="s">
        <v>113</v>
      </c>
      <c r="J74" s="19" t="s">
        <v>114</v>
      </c>
      <c r="K74" s="19" t="s">
        <v>115</v>
      </c>
      <c r="L74" s="18" t="s">
        <v>116</v>
      </c>
      <c r="M74" s="18" t="s">
        <v>133</v>
      </c>
      <c r="N74" s="18" t="s">
        <v>118</v>
      </c>
      <c r="O74" s="20">
        <v>119000</v>
      </c>
      <c r="P74" s="20">
        <v>82110</v>
      </c>
      <c r="Q74" s="20">
        <v>1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31</v>
      </c>
      <c r="X74" s="20">
        <v>0</v>
      </c>
      <c r="Y74" s="20">
        <v>5000</v>
      </c>
      <c r="Z74" s="20">
        <v>0</v>
      </c>
      <c r="AA74" s="20">
        <v>0</v>
      </c>
      <c r="AB74" s="20">
        <v>5700</v>
      </c>
      <c r="AC74" s="20">
        <v>119000</v>
      </c>
      <c r="AD74" s="20">
        <v>82110</v>
      </c>
      <c r="AE74" s="20">
        <v>0</v>
      </c>
      <c r="AF74" s="20">
        <v>10700</v>
      </c>
      <c r="AG74" s="20">
        <v>108300</v>
      </c>
      <c r="AH74" s="20">
        <v>82110</v>
      </c>
      <c r="AI74" s="20">
        <v>23809</v>
      </c>
      <c r="AJ74" s="20">
        <v>2381</v>
      </c>
      <c r="AK74" s="20">
        <v>26190</v>
      </c>
    </row>
    <row r="75" spans="1:37" ht="16.5" customHeight="1" x14ac:dyDescent="0.3">
      <c r="A75" s="18" t="s">
        <v>318</v>
      </c>
      <c r="B75" s="18" t="s">
        <v>107</v>
      </c>
      <c r="C75" s="19" t="s">
        <v>108</v>
      </c>
      <c r="D75" s="18" t="s">
        <v>1071</v>
      </c>
      <c r="E75" s="19" t="s">
        <v>320</v>
      </c>
      <c r="F75" s="18" t="s">
        <v>110</v>
      </c>
      <c r="G75" s="18" t="s">
        <v>111</v>
      </c>
      <c r="H75" s="19" t="s">
        <v>112</v>
      </c>
      <c r="I75" s="18" t="s">
        <v>113</v>
      </c>
      <c r="J75" s="19" t="s">
        <v>114</v>
      </c>
      <c r="K75" s="19" t="s">
        <v>115</v>
      </c>
      <c r="L75" s="18" t="s">
        <v>116</v>
      </c>
      <c r="M75" s="18" t="s">
        <v>133</v>
      </c>
      <c r="N75" s="18" t="s">
        <v>118</v>
      </c>
      <c r="O75" s="20">
        <v>119000</v>
      </c>
      <c r="P75" s="20">
        <v>82110</v>
      </c>
      <c r="Q75" s="20">
        <v>1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31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119000</v>
      </c>
      <c r="AD75" s="20">
        <v>82110</v>
      </c>
      <c r="AE75" s="20">
        <v>0</v>
      </c>
      <c r="AF75" s="20">
        <v>0</v>
      </c>
      <c r="AG75" s="20">
        <v>119000</v>
      </c>
      <c r="AH75" s="20">
        <v>82110</v>
      </c>
      <c r="AI75" s="20">
        <v>33536</v>
      </c>
      <c r="AJ75" s="20">
        <v>3354</v>
      </c>
      <c r="AK75" s="20">
        <v>36890</v>
      </c>
    </row>
    <row r="76" spans="1:37" ht="16.5" customHeight="1" x14ac:dyDescent="0.3">
      <c r="A76" s="18" t="s">
        <v>321</v>
      </c>
      <c r="B76" s="18" t="s">
        <v>107</v>
      </c>
      <c r="C76" s="19" t="s">
        <v>108</v>
      </c>
      <c r="D76" s="18" t="s">
        <v>1073</v>
      </c>
      <c r="E76" s="19" t="s">
        <v>1074</v>
      </c>
      <c r="F76" s="18" t="s">
        <v>110</v>
      </c>
      <c r="G76" s="18" t="s">
        <v>111</v>
      </c>
      <c r="H76" s="19" t="s">
        <v>112</v>
      </c>
      <c r="I76" s="18" t="s">
        <v>113</v>
      </c>
      <c r="J76" s="19" t="s">
        <v>114</v>
      </c>
      <c r="K76" s="19" t="s">
        <v>115</v>
      </c>
      <c r="L76" s="18" t="s">
        <v>116</v>
      </c>
      <c r="M76" s="18" t="s">
        <v>133</v>
      </c>
      <c r="N76" s="18" t="s">
        <v>118</v>
      </c>
      <c r="O76" s="20">
        <v>119000</v>
      </c>
      <c r="P76" s="20">
        <v>82110</v>
      </c>
      <c r="Q76" s="20">
        <v>1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31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119000</v>
      </c>
      <c r="AD76" s="20">
        <v>82110</v>
      </c>
      <c r="AE76" s="20">
        <v>0</v>
      </c>
      <c r="AF76" s="20">
        <v>0</v>
      </c>
      <c r="AG76" s="20">
        <v>119000</v>
      </c>
      <c r="AH76" s="20">
        <v>82110</v>
      </c>
      <c r="AI76" s="20">
        <v>33536</v>
      </c>
      <c r="AJ76" s="20">
        <v>3354</v>
      </c>
      <c r="AK76" s="20">
        <v>36890</v>
      </c>
    </row>
    <row r="77" spans="1:37" ht="16.5" customHeight="1" x14ac:dyDescent="0.3">
      <c r="A77" s="18" t="s">
        <v>323</v>
      </c>
      <c r="B77" s="18" t="s">
        <v>107</v>
      </c>
      <c r="C77" s="19" t="s">
        <v>108</v>
      </c>
      <c r="D77" s="18" t="s">
        <v>1076</v>
      </c>
      <c r="E77" s="19" t="s">
        <v>664</v>
      </c>
      <c r="F77" s="18" t="s">
        <v>110</v>
      </c>
      <c r="G77" s="18" t="s">
        <v>111</v>
      </c>
      <c r="H77" s="19" t="s">
        <v>112</v>
      </c>
      <c r="I77" s="18" t="s">
        <v>113</v>
      </c>
      <c r="J77" s="19" t="s">
        <v>114</v>
      </c>
      <c r="K77" s="19" t="s">
        <v>115</v>
      </c>
      <c r="L77" s="18" t="s">
        <v>116</v>
      </c>
      <c r="M77" s="18" t="s">
        <v>133</v>
      </c>
      <c r="N77" s="18" t="s">
        <v>118</v>
      </c>
      <c r="O77" s="20">
        <v>119000</v>
      </c>
      <c r="P77" s="20">
        <v>82110</v>
      </c>
      <c r="Q77" s="20">
        <v>1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31</v>
      </c>
      <c r="X77" s="20">
        <v>0</v>
      </c>
      <c r="Y77" s="20">
        <v>10000</v>
      </c>
      <c r="Z77" s="20">
        <v>0</v>
      </c>
      <c r="AA77" s="20">
        <v>0</v>
      </c>
      <c r="AB77" s="20">
        <v>0</v>
      </c>
      <c r="AC77" s="20">
        <v>119000</v>
      </c>
      <c r="AD77" s="20">
        <v>82110</v>
      </c>
      <c r="AE77" s="20">
        <v>0</v>
      </c>
      <c r="AF77" s="20">
        <v>10000</v>
      </c>
      <c r="AG77" s="20">
        <v>109000</v>
      </c>
      <c r="AH77" s="20">
        <v>82110</v>
      </c>
      <c r="AI77" s="20">
        <v>24445</v>
      </c>
      <c r="AJ77" s="20">
        <v>2445</v>
      </c>
      <c r="AK77" s="20">
        <v>26890</v>
      </c>
    </row>
    <row r="78" spans="1:37" ht="16.5" customHeight="1" x14ac:dyDescent="0.3">
      <c r="A78" s="18" t="s">
        <v>326</v>
      </c>
      <c r="B78" s="18" t="s">
        <v>107</v>
      </c>
      <c r="C78" s="19" t="s">
        <v>108</v>
      </c>
      <c r="D78" s="18" t="s">
        <v>1078</v>
      </c>
      <c r="E78" s="19" t="s">
        <v>401</v>
      </c>
      <c r="F78" s="18" t="s">
        <v>110</v>
      </c>
      <c r="G78" s="18" t="s">
        <v>111</v>
      </c>
      <c r="H78" s="19" t="s">
        <v>112</v>
      </c>
      <c r="I78" s="18" t="s">
        <v>113</v>
      </c>
      <c r="J78" s="19" t="s">
        <v>114</v>
      </c>
      <c r="K78" s="19" t="s">
        <v>115</v>
      </c>
      <c r="L78" s="18" t="s">
        <v>116</v>
      </c>
      <c r="M78" s="18" t="s">
        <v>133</v>
      </c>
      <c r="N78" s="18" t="s">
        <v>118</v>
      </c>
      <c r="O78" s="20">
        <v>119000</v>
      </c>
      <c r="P78" s="20">
        <v>82110</v>
      </c>
      <c r="Q78" s="20">
        <v>1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31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119000</v>
      </c>
      <c r="AD78" s="20">
        <v>82110</v>
      </c>
      <c r="AE78" s="20">
        <v>0</v>
      </c>
      <c r="AF78" s="20">
        <v>0</v>
      </c>
      <c r="AG78" s="20">
        <v>119000</v>
      </c>
      <c r="AH78" s="20">
        <v>82110</v>
      </c>
      <c r="AI78" s="20">
        <v>33536</v>
      </c>
      <c r="AJ78" s="20">
        <v>3354</v>
      </c>
      <c r="AK78" s="20">
        <v>36890</v>
      </c>
    </row>
    <row r="79" spans="1:37" ht="16.5" customHeight="1" x14ac:dyDescent="0.3">
      <c r="A79" s="18" t="s">
        <v>329</v>
      </c>
      <c r="B79" s="18" t="s">
        <v>107</v>
      </c>
      <c r="C79" s="19" t="s">
        <v>108</v>
      </c>
      <c r="D79" s="18" t="s">
        <v>1080</v>
      </c>
      <c r="E79" s="19" t="s">
        <v>1081</v>
      </c>
      <c r="F79" s="18" t="s">
        <v>110</v>
      </c>
      <c r="G79" s="18" t="s">
        <v>111</v>
      </c>
      <c r="H79" s="19" t="s">
        <v>112</v>
      </c>
      <c r="I79" s="18" t="s">
        <v>113</v>
      </c>
      <c r="J79" s="19" t="s">
        <v>114</v>
      </c>
      <c r="K79" s="19" t="s">
        <v>115</v>
      </c>
      <c r="L79" s="18" t="s">
        <v>116</v>
      </c>
      <c r="M79" s="18" t="s">
        <v>133</v>
      </c>
      <c r="N79" s="18" t="s">
        <v>118</v>
      </c>
      <c r="O79" s="20">
        <v>119000</v>
      </c>
      <c r="P79" s="20">
        <v>82110</v>
      </c>
      <c r="Q79" s="20">
        <v>1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31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119000</v>
      </c>
      <c r="AD79" s="20">
        <v>82110</v>
      </c>
      <c r="AE79" s="20">
        <v>0</v>
      </c>
      <c r="AF79" s="20">
        <v>0</v>
      </c>
      <c r="AG79" s="20">
        <v>119000</v>
      </c>
      <c r="AH79" s="20">
        <v>82110</v>
      </c>
      <c r="AI79" s="20">
        <v>33536</v>
      </c>
      <c r="AJ79" s="20">
        <v>3354</v>
      </c>
      <c r="AK79" s="20">
        <v>36890</v>
      </c>
    </row>
    <row r="80" spans="1:37" ht="16.5" customHeight="1" x14ac:dyDescent="0.3">
      <c r="A80" s="18" t="s">
        <v>332</v>
      </c>
      <c r="B80" s="18" t="s">
        <v>107</v>
      </c>
      <c r="C80" s="19" t="s">
        <v>108</v>
      </c>
      <c r="D80" s="18" t="s">
        <v>1087</v>
      </c>
      <c r="E80" s="19" t="s">
        <v>1088</v>
      </c>
      <c r="F80" s="18" t="s">
        <v>110</v>
      </c>
      <c r="G80" s="18" t="s">
        <v>111</v>
      </c>
      <c r="H80" s="19" t="s">
        <v>112</v>
      </c>
      <c r="I80" s="18" t="s">
        <v>113</v>
      </c>
      <c r="J80" s="19" t="s">
        <v>114</v>
      </c>
      <c r="K80" s="19" t="s">
        <v>151</v>
      </c>
      <c r="L80" s="18" t="s">
        <v>116</v>
      </c>
      <c r="M80" s="18" t="s">
        <v>133</v>
      </c>
      <c r="N80" s="18" t="s">
        <v>118</v>
      </c>
      <c r="O80" s="20">
        <v>119000</v>
      </c>
      <c r="P80" s="20">
        <v>82110</v>
      </c>
      <c r="Q80" s="20">
        <v>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31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238000</v>
      </c>
      <c r="AD80" s="20">
        <v>164220</v>
      </c>
      <c r="AE80" s="20">
        <v>0</v>
      </c>
      <c r="AF80" s="20">
        <v>0</v>
      </c>
      <c r="AG80" s="20">
        <v>238000</v>
      </c>
      <c r="AH80" s="20">
        <v>164220</v>
      </c>
      <c r="AI80" s="20">
        <v>67073</v>
      </c>
      <c r="AJ80" s="20">
        <v>6707</v>
      </c>
      <c r="AK80" s="20">
        <v>73780</v>
      </c>
    </row>
    <row r="81" spans="1:37" ht="16.5" customHeight="1" x14ac:dyDescent="0.3">
      <c r="A81" s="18" t="s">
        <v>335</v>
      </c>
      <c r="B81" s="18" t="s">
        <v>107</v>
      </c>
      <c r="C81" s="19" t="s">
        <v>108</v>
      </c>
      <c r="D81" s="18" t="s">
        <v>1101</v>
      </c>
      <c r="E81" s="19" t="s">
        <v>417</v>
      </c>
      <c r="F81" s="18" t="s">
        <v>110</v>
      </c>
      <c r="G81" s="18" t="s">
        <v>111</v>
      </c>
      <c r="H81" s="19" t="s">
        <v>112</v>
      </c>
      <c r="I81" s="18" t="s">
        <v>113</v>
      </c>
      <c r="J81" s="19" t="s">
        <v>114</v>
      </c>
      <c r="K81" s="19" t="s">
        <v>115</v>
      </c>
      <c r="L81" s="18" t="s">
        <v>116</v>
      </c>
      <c r="M81" s="18" t="s">
        <v>133</v>
      </c>
      <c r="N81" s="18" t="s">
        <v>118</v>
      </c>
      <c r="O81" s="20">
        <v>119000</v>
      </c>
      <c r="P81" s="20">
        <v>82110</v>
      </c>
      <c r="Q81" s="20">
        <v>1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31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119000</v>
      </c>
      <c r="AD81" s="20">
        <v>82110</v>
      </c>
      <c r="AE81" s="20">
        <v>0</v>
      </c>
      <c r="AF81" s="20">
        <v>0</v>
      </c>
      <c r="AG81" s="20">
        <v>119000</v>
      </c>
      <c r="AH81" s="20">
        <v>82110</v>
      </c>
      <c r="AI81" s="20">
        <v>33536</v>
      </c>
      <c r="AJ81" s="20">
        <v>3354</v>
      </c>
      <c r="AK81" s="20">
        <v>36890</v>
      </c>
    </row>
    <row r="82" spans="1:37" ht="16.5" customHeight="1" x14ac:dyDescent="0.3">
      <c r="A82" s="18" t="s">
        <v>338</v>
      </c>
      <c r="B82" s="18" t="s">
        <v>107</v>
      </c>
      <c r="C82" s="19" t="s">
        <v>108</v>
      </c>
      <c r="D82" s="18" t="s">
        <v>995</v>
      </c>
      <c r="E82" s="19" t="s">
        <v>139</v>
      </c>
      <c r="F82" s="18" t="s">
        <v>110</v>
      </c>
      <c r="G82" s="18" t="s">
        <v>111</v>
      </c>
      <c r="H82" s="19" t="s">
        <v>112</v>
      </c>
      <c r="I82" s="18" t="s">
        <v>113</v>
      </c>
      <c r="J82" s="19" t="s">
        <v>114</v>
      </c>
      <c r="K82" s="19" t="s">
        <v>115</v>
      </c>
      <c r="L82" s="18" t="s">
        <v>116</v>
      </c>
      <c r="M82" s="18" t="s">
        <v>133</v>
      </c>
      <c r="N82" s="18" t="s">
        <v>118</v>
      </c>
      <c r="O82" s="20">
        <v>119000</v>
      </c>
      <c r="P82" s="20">
        <v>82110</v>
      </c>
      <c r="Q82" s="20">
        <v>1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31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119000</v>
      </c>
      <c r="AD82" s="20">
        <v>82110</v>
      </c>
      <c r="AE82" s="20">
        <v>0</v>
      </c>
      <c r="AF82" s="20">
        <v>0</v>
      </c>
      <c r="AG82" s="20">
        <v>119000</v>
      </c>
      <c r="AH82" s="20">
        <v>82110</v>
      </c>
      <c r="AI82" s="20">
        <v>33536</v>
      </c>
      <c r="AJ82" s="20">
        <v>3354</v>
      </c>
      <c r="AK82" s="20">
        <v>36890</v>
      </c>
    </row>
    <row r="83" spans="1:37" ht="16.5" customHeight="1" x14ac:dyDescent="0.3">
      <c r="A83" s="18" t="s">
        <v>341</v>
      </c>
      <c r="B83" s="18" t="s">
        <v>107</v>
      </c>
      <c r="C83" s="19" t="s">
        <v>108</v>
      </c>
      <c r="D83" s="18" t="s">
        <v>1136</v>
      </c>
      <c r="E83" s="19" t="s">
        <v>297</v>
      </c>
      <c r="F83" s="18" t="s">
        <v>110</v>
      </c>
      <c r="G83" s="18" t="s">
        <v>111</v>
      </c>
      <c r="H83" s="19" t="s">
        <v>112</v>
      </c>
      <c r="I83" s="18" t="s">
        <v>113</v>
      </c>
      <c r="J83" s="19" t="s">
        <v>114</v>
      </c>
      <c r="K83" s="19" t="s">
        <v>115</v>
      </c>
      <c r="L83" s="18" t="s">
        <v>116</v>
      </c>
      <c r="M83" s="18" t="s">
        <v>133</v>
      </c>
      <c r="N83" s="18" t="s">
        <v>118</v>
      </c>
      <c r="O83" s="20">
        <v>119000</v>
      </c>
      <c r="P83" s="20">
        <v>82110</v>
      </c>
      <c r="Q83" s="20">
        <v>1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31</v>
      </c>
      <c r="X83" s="20">
        <v>19040</v>
      </c>
      <c r="Y83" s="20">
        <v>0</v>
      </c>
      <c r="Z83" s="20">
        <v>0</v>
      </c>
      <c r="AA83" s="20">
        <v>0</v>
      </c>
      <c r="AB83" s="20">
        <v>0</v>
      </c>
      <c r="AC83" s="20">
        <v>119000</v>
      </c>
      <c r="AD83" s="20">
        <v>82110</v>
      </c>
      <c r="AE83" s="20">
        <v>0</v>
      </c>
      <c r="AF83" s="20">
        <v>19040</v>
      </c>
      <c r="AG83" s="20">
        <v>99960</v>
      </c>
      <c r="AH83" s="20">
        <v>82110</v>
      </c>
      <c r="AI83" s="20">
        <v>16227</v>
      </c>
      <c r="AJ83" s="20">
        <v>1623</v>
      </c>
      <c r="AK83" s="20">
        <v>17850</v>
      </c>
    </row>
    <row r="84" spans="1:37" ht="16.5" customHeight="1" x14ac:dyDescent="0.3">
      <c r="A84" s="18" t="s">
        <v>344</v>
      </c>
      <c r="B84" s="18" t="s">
        <v>107</v>
      </c>
      <c r="C84" s="19" t="s">
        <v>108</v>
      </c>
      <c r="D84" s="18" t="s">
        <v>1000</v>
      </c>
      <c r="E84" s="19" t="s">
        <v>1001</v>
      </c>
      <c r="F84" s="18" t="s">
        <v>110</v>
      </c>
      <c r="G84" s="18" t="s">
        <v>111</v>
      </c>
      <c r="H84" s="19" t="s">
        <v>112</v>
      </c>
      <c r="I84" s="18" t="s">
        <v>113</v>
      </c>
      <c r="J84" s="19" t="s">
        <v>114</v>
      </c>
      <c r="K84" s="19" t="s">
        <v>151</v>
      </c>
      <c r="L84" s="18" t="s">
        <v>116</v>
      </c>
      <c r="M84" s="18" t="s">
        <v>133</v>
      </c>
      <c r="N84" s="18" t="s">
        <v>118</v>
      </c>
      <c r="O84" s="20">
        <v>119000</v>
      </c>
      <c r="P84" s="20">
        <v>82110</v>
      </c>
      <c r="Q84" s="20">
        <v>1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31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119000</v>
      </c>
      <c r="AD84" s="20">
        <v>82110</v>
      </c>
      <c r="AE84" s="20">
        <v>0</v>
      </c>
      <c r="AF84" s="20">
        <v>0</v>
      </c>
      <c r="AG84" s="20">
        <v>119000</v>
      </c>
      <c r="AH84" s="20">
        <v>82110</v>
      </c>
      <c r="AI84" s="20">
        <v>33536</v>
      </c>
      <c r="AJ84" s="20">
        <v>3354</v>
      </c>
      <c r="AK84" s="20">
        <v>36890</v>
      </c>
    </row>
    <row r="85" spans="1:37" ht="16.5" customHeight="1" x14ac:dyDescent="0.3">
      <c r="A85" s="18" t="s">
        <v>347</v>
      </c>
      <c r="B85" s="18" t="s">
        <v>107</v>
      </c>
      <c r="C85" s="19" t="s">
        <v>108</v>
      </c>
      <c r="D85" s="18" t="s">
        <v>1003</v>
      </c>
      <c r="E85" s="19" t="s">
        <v>1004</v>
      </c>
      <c r="F85" s="18" t="s">
        <v>110</v>
      </c>
      <c r="G85" s="18" t="s">
        <v>111</v>
      </c>
      <c r="H85" s="19" t="s">
        <v>112</v>
      </c>
      <c r="I85" s="18" t="s">
        <v>113</v>
      </c>
      <c r="J85" s="19" t="s">
        <v>114</v>
      </c>
      <c r="K85" s="19" t="s">
        <v>115</v>
      </c>
      <c r="L85" s="18" t="s">
        <v>116</v>
      </c>
      <c r="M85" s="18" t="s">
        <v>133</v>
      </c>
      <c r="N85" s="18" t="s">
        <v>118</v>
      </c>
      <c r="O85" s="20">
        <v>119000</v>
      </c>
      <c r="P85" s="20">
        <v>82110</v>
      </c>
      <c r="Q85" s="20">
        <v>1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31</v>
      </c>
      <c r="X85" s="20">
        <v>0</v>
      </c>
      <c r="Y85" s="20">
        <v>10000</v>
      </c>
      <c r="Z85" s="20">
        <v>0</v>
      </c>
      <c r="AA85" s="20">
        <v>0</v>
      </c>
      <c r="AB85" s="20">
        <v>0</v>
      </c>
      <c r="AC85" s="20">
        <v>119000</v>
      </c>
      <c r="AD85" s="20">
        <v>82110</v>
      </c>
      <c r="AE85" s="20">
        <v>0</v>
      </c>
      <c r="AF85" s="20">
        <v>10000</v>
      </c>
      <c r="AG85" s="20">
        <v>109000</v>
      </c>
      <c r="AH85" s="20">
        <v>82110</v>
      </c>
      <c r="AI85" s="20">
        <v>24445</v>
      </c>
      <c r="AJ85" s="20">
        <v>2445</v>
      </c>
      <c r="AK85" s="20">
        <v>26890</v>
      </c>
    </row>
    <row r="86" spans="1:37" ht="16.5" customHeight="1" x14ac:dyDescent="0.3">
      <c r="A86" s="18" t="s">
        <v>350</v>
      </c>
      <c r="B86" s="18" t="s">
        <v>107</v>
      </c>
      <c r="C86" s="19" t="s">
        <v>108</v>
      </c>
      <c r="D86" s="18" t="s">
        <v>1145</v>
      </c>
      <c r="E86" s="19" t="s">
        <v>1146</v>
      </c>
      <c r="F86" s="18" t="s">
        <v>110</v>
      </c>
      <c r="G86" s="18" t="s">
        <v>111</v>
      </c>
      <c r="H86" s="19" t="s">
        <v>112</v>
      </c>
      <c r="I86" s="18" t="s">
        <v>113</v>
      </c>
      <c r="J86" s="19" t="s">
        <v>114</v>
      </c>
      <c r="K86" s="19" t="s">
        <v>115</v>
      </c>
      <c r="L86" s="18" t="s">
        <v>116</v>
      </c>
      <c r="M86" s="18" t="s">
        <v>133</v>
      </c>
      <c r="N86" s="18" t="s">
        <v>118</v>
      </c>
      <c r="O86" s="20">
        <v>119000</v>
      </c>
      <c r="P86" s="20">
        <v>82110</v>
      </c>
      <c r="Q86" s="20">
        <v>1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31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119000</v>
      </c>
      <c r="AD86" s="20">
        <v>82110</v>
      </c>
      <c r="AE86" s="20">
        <v>0</v>
      </c>
      <c r="AF86" s="20">
        <v>0</v>
      </c>
      <c r="AG86" s="20">
        <v>119000</v>
      </c>
      <c r="AH86" s="20">
        <v>82110</v>
      </c>
      <c r="AI86" s="20">
        <v>33536</v>
      </c>
      <c r="AJ86" s="20">
        <v>3354</v>
      </c>
      <c r="AK86" s="20">
        <v>36890</v>
      </c>
    </row>
    <row r="87" spans="1:37" ht="16.5" customHeight="1" x14ac:dyDescent="0.3">
      <c r="A87" s="18" t="s">
        <v>352</v>
      </c>
      <c r="B87" s="18" t="s">
        <v>107</v>
      </c>
      <c r="C87" s="19" t="s">
        <v>108</v>
      </c>
      <c r="D87" s="18" t="s">
        <v>1011</v>
      </c>
      <c r="E87" s="19" t="s">
        <v>1012</v>
      </c>
      <c r="F87" s="18" t="s">
        <v>110</v>
      </c>
      <c r="G87" s="18" t="s">
        <v>111</v>
      </c>
      <c r="H87" s="19" t="s">
        <v>112</v>
      </c>
      <c r="I87" s="18" t="s">
        <v>113</v>
      </c>
      <c r="J87" s="19" t="s">
        <v>114</v>
      </c>
      <c r="K87" s="19" t="s">
        <v>115</v>
      </c>
      <c r="L87" s="18" t="s">
        <v>116</v>
      </c>
      <c r="M87" s="18" t="s">
        <v>133</v>
      </c>
      <c r="N87" s="18" t="s">
        <v>118</v>
      </c>
      <c r="O87" s="20">
        <v>119000</v>
      </c>
      <c r="P87" s="20">
        <v>82110</v>
      </c>
      <c r="Q87" s="20">
        <v>1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31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119000</v>
      </c>
      <c r="AD87" s="20">
        <v>82110</v>
      </c>
      <c r="AE87" s="20">
        <v>0</v>
      </c>
      <c r="AF87" s="20">
        <v>0</v>
      </c>
      <c r="AG87" s="20">
        <v>119000</v>
      </c>
      <c r="AH87" s="20">
        <v>82110</v>
      </c>
      <c r="AI87" s="20">
        <v>33536</v>
      </c>
      <c r="AJ87" s="20">
        <v>3354</v>
      </c>
      <c r="AK87" s="20">
        <v>36890</v>
      </c>
    </row>
    <row r="88" spans="1:37" ht="16.5" customHeight="1" x14ac:dyDescent="0.3">
      <c r="A88" s="18" t="s">
        <v>355</v>
      </c>
      <c r="B88" s="18" t="s">
        <v>107</v>
      </c>
      <c r="C88" s="19" t="s">
        <v>108</v>
      </c>
      <c r="D88" s="18" t="s">
        <v>1017</v>
      </c>
      <c r="E88" s="19" t="s">
        <v>184</v>
      </c>
      <c r="F88" s="18" t="s">
        <v>110</v>
      </c>
      <c r="G88" s="18" t="s">
        <v>111</v>
      </c>
      <c r="H88" s="19" t="s">
        <v>112</v>
      </c>
      <c r="I88" s="18" t="s">
        <v>113</v>
      </c>
      <c r="J88" s="19" t="s">
        <v>114</v>
      </c>
      <c r="K88" s="19" t="s">
        <v>115</v>
      </c>
      <c r="L88" s="18" t="s">
        <v>116</v>
      </c>
      <c r="M88" s="18" t="s">
        <v>133</v>
      </c>
      <c r="N88" s="18" t="s">
        <v>118</v>
      </c>
      <c r="O88" s="20">
        <v>119000</v>
      </c>
      <c r="P88" s="20">
        <v>82110</v>
      </c>
      <c r="Q88" s="20">
        <v>1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31</v>
      </c>
      <c r="X88" s="20">
        <v>17850</v>
      </c>
      <c r="Y88" s="20">
        <v>0</v>
      </c>
      <c r="Z88" s="20">
        <v>0</v>
      </c>
      <c r="AA88" s="20">
        <v>0</v>
      </c>
      <c r="AB88" s="20">
        <v>0</v>
      </c>
      <c r="AC88" s="20">
        <v>119000</v>
      </c>
      <c r="AD88" s="20">
        <v>82110</v>
      </c>
      <c r="AE88" s="20">
        <v>0</v>
      </c>
      <c r="AF88" s="20">
        <v>17850</v>
      </c>
      <c r="AG88" s="20">
        <v>101150</v>
      </c>
      <c r="AH88" s="20">
        <v>82110</v>
      </c>
      <c r="AI88" s="20">
        <v>17309</v>
      </c>
      <c r="AJ88" s="20">
        <v>1731</v>
      </c>
      <c r="AK88" s="20">
        <v>19040</v>
      </c>
    </row>
    <row r="89" spans="1:37" ht="16.5" customHeight="1" x14ac:dyDescent="0.3">
      <c r="A89" s="18" t="s">
        <v>358</v>
      </c>
      <c r="B89" s="18" t="s">
        <v>107</v>
      </c>
      <c r="C89" s="19" t="s">
        <v>108</v>
      </c>
      <c r="D89" s="18" t="s">
        <v>1019</v>
      </c>
      <c r="E89" s="19" t="s">
        <v>1020</v>
      </c>
      <c r="F89" s="18" t="s">
        <v>110</v>
      </c>
      <c r="G89" s="18" t="s">
        <v>111</v>
      </c>
      <c r="H89" s="19" t="s">
        <v>112</v>
      </c>
      <c r="I89" s="18" t="s">
        <v>113</v>
      </c>
      <c r="J89" s="19" t="s">
        <v>114</v>
      </c>
      <c r="K89" s="19" t="s">
        <v>115</v>
      </c>
      <c r="L89" s="18" t="s">
        <v>116</v>
      </c>
      <c r="M89" s="18" t="s">
        <v>133</v>
      </c>
      <c r="N89" s="18" t="s">
        <v>118</v>
      </c>
      <c r="O89" s="20">
        <v>119000</v>
      </c>
      <c r="P89" s="20">
        <v>82110</v>
      </c>
      <c r="Q89" s="20">
        <v>1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31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119000</v>
      </c>
      <c r="AD89" s="20">
        <v>82110</v>
      </c>
      <c r="AE89" s="20">
        <v>0</v>
      </c>
      <c r="AF89" s="20">
        <v>0</v>
      </c>
      <c r="AG89" s="20">
        <v>119000</v>
      </c>
      <c r="AH89" s="20">
        <v>82110</v>
      </c>
      <c r="AI89" s="20">
        <v>33536</v>
      </c>
      <c r="AJ89" s="20">
        <v>3354</v>
      </c>
      <c r="AK89" s="20">
        <v>36890</v>
      </c>
    </row>
    <row r="90" spans="1:37" ht="16.5" customHeight="1" x14ac:dyDescent="0.3">
      <c r="A90" s="18" t="s">
        <v>361</v>
      </c>
      <c r="B90" s="18" t="s">
        <v>107</v>
      </c>
      <c r="C90" s="19" t="s">
        <v>108</v>
      </c>
      <c r="D90" s="18" t="s">
        <v>1043</v>
      </c>
      <c r="E90" s="19" t="s">
        <v>1044</v>
      </c>
      <c r="F90" s="18" t="s">
        <v>110</v>
      </c>
      <c r="G90" s="18" t="s">
        <v>111</v>
      </c>
      <c r="H90" s="19" t="s">
        <v>112</v>
      </c>
      <c r="I90" s="18" t="s">
        <v>113</v>
      </c>
      <c r="J90" s="19" t="s">
        <v>114</v>
      </c>
      <c r="K90" s="19" t="s">
        <v>115</v>
      </c>
      <c r="L90" s="18" t="s">
        <v>116</v>
      </c>
      <c r="M90" s="18" t="s">
        <v>133</v>
      </c>
      <c r="N90" s="18" t="s">
        <v>118</v>
      </c>
      <c r="O90" s="20">
        <v>119000</v>
      </c>
      <c r="P90" s="20">
        <v>82110</v>
      </c>
      <c r="Q90" s="20">
        <v>1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31</v>
      </c>
      <c r="X90" s="20">
        <v>0</v>
      </c>
      <c r="Y90" s="20">
        <v>0</v>
      </c>
      <c r="Z90" s="20">
        <v>0</v>
      </c>
      <c r="AA90" s="20">
        <v>0</v>
      </c>
      <c r="AB90" s="20">
        <v>5950</v>
      </c>
      <c r="AC90" s="20">
        <v>119000</v>
      </c>
      <c r="AD90" s="20">
        <v>82110</v>
      </c>
      <c r="AE90" s="20">
        <v>0</v>
      </c>
      <c r="AF90" s="20">
        <v>5950</v>
      </c>
      <c r="AG90" s="20">
        <v>113050</v>
      </c>
      <c r="AH90" s="20">
        <v>82110</v>
      </c>
      <c r="AI90" s="20">
        <v>28127</v>
      </c>
      <c r="AJ90" s="20">
        <v>2813</v>
      </c>
      <c r="AK90" s="20">
        <v>30940</v>
      </c>
    </row>
    <row r="91" spans="1:37" ht="16.5" customHeight="1" x14ac:dyDescent="0.3">
      <c r="A91" s="18" t="s">
        <v>364</v>
      </c>
      <c r="B91" s="18" t="s">
        <v>107</v>
      </c>
      <c r="C91" s="19" t="s">
        <v>108</v>
      </c>
      <c r="D91" s="18" t="s">
        <v>1183</v>
      </c>
      <c r="E91" s="19" t="s">
        <v>1184</v>
      </c>
      <c r="F91" s="18" t="s">
        <v>110</v>
      </c>
      <c r="G91" s="18" t="s">
        <v>111</v>
      </c>
      <c r="H91" s="19" t="s">
        <v>112</v>
      </c>
      <c r="I91" s="18" t="s">
        <v>113</v>
      </c>
      <c r="J91" s="19" t="s">
        <v>114</v>
      </c>
      <c r="K91" s="19" t="s">
        <v>115</v>
      </c>
      <c r="L91" s="18" t="s">
        <v>116</v>
      </c>
      <c r="M91" s="18" t="s">
        <v>133</v>
      </c>
      <c r="N91" s="18" t="s">
        <v>118</v>
      </c>
      <c r="O91" s="20">
        <v>119000</v>
      </c>
      <c r="P91" s="20">
        <v>82110</v>
      </c>
      <c r="Q91" s="20">
        <v>1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31</v>
      </c>
      <c r="X91" s="20">
        <v>0</v>
      </c>
      <c r="Y91" s="20">
        <v>10000</v>
      </c>
      <c r="Z91" s="20">
        <v>0</v>
      </c>
      <c r="AA91" s="20">
        <v>0</v>
      </c>
      <c r="AB91" s="20">
        <v>0</v>
      </c>
      <c r="AC91" s="20">
        <v>119000</v>
      </c>
      <c r="AD91" s="20">
        <v>82110</v>
      </c>
      <c r="AE91" s="20">
        <v>0</v>
      </c>
      <c r="AF91" s="20">
        <v>10000</v>
      </c>
      <c r="AG91" s="20">
        <v>109000</v>
      </c>
      <c r="AH91" s="20">
        <v>82110</v>
      </c>
      <c r="AI91" s="20">
        <v>24445</v>
      </c>
      <c r="AJ91" s="20">
        <v>2445</v>
      </c>
      <c r="AK91" s="20">
        <v>26890</v>
      </c>
    </row>
    <row r="92" spans="1:37" ht="16.5" customHeight="1" x14ac:dyDescent="0.3">
      <c r="A92" s="18" t="s">
        <v>367</v>
      </c>
      <c r="B92" s="18" t="s">
        <v>107</v>
      </c>
      <c r="C92" s="19" t="s">
        <v>108</v>
      </c>
      <c r="D92" s="18" t="s">
        <v>1192</v>
      </c>
      <c r="E92" s="19" t="s">
        <v>1193</v>
      </c>
      <c r="F92" s="18" t="s">
        <v>110</v>
      </c>
      <c r="G92" s="18" t="s">
        <v>111</v>
      </c>
      <c r="H92" s="19" t="s">
        <v>112</v>
      </c>
      <c r="I92" s="18" t="s">
        <v>113</v>
      </c>
      <c r="J92" s="19" t="s">
        <v>114</v>
      </c>
      <c r="K92" s="19" t="s">
        <v>115</v>
      </c>
      <c r="L92" s="18" t="s">
        <v>116</v>
      </c>
      <c r="M92" s="18" t="s">
        <v>133</v>
      </c>
      <c r="N92" s="18" t="s">
        <v>118</v>
      </c>
      <c r="O92" s="20">
        <v>119000</v>
      </c>
      <c r="P92" s="20">
        <v>82110</v>
      </c>
      <c r="Q92" s="20">
        <v>1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31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119000</v>
      </c>
      <c r="AD92" s="20">
        <v>82110</v>
      </c>
      <c r="AE92" s="20">
        <v>0</v>
      </c>
      <c r="AF92" s="20">
        <v>0</v>
      </c>
      <c r="AG92" s="20">
        <v>119000</v>
      </c>
      <c r="AH92" s="20">
        <v>82110</v>
      </c>
      <c r="AI92" s="20">
        <v>33536</v>
      </c>
      <c r="AJ92" s="20">
        <v>3354</v>
      </c>
      <c r="AK92" s="20">
        <v>36890</v>
      </c>
    </row>
    <row r="93" spans="1:37" ht="16.5" customHeight="1" x14ac:dyDescent="0.3">
      <c r="A93" s="18" t="s">
        <v>370</v>
      </c>
      <c r="B93" s="18" t="s">
        <v>107</v>
      </c>
      <c r="C93" s="19" t="s">
        <v>108</v>
      </c>
      <c r="D93" s="18" t="s">
        <v>1162</v>
      </c>
      <c r="E93" s="19" t="s">
        <v>1163</v>
      </c>
      <c r="F93" s="18" t="s">
        <v>110</v>
      </c>
      <c r="G93" s="18" t="s">
        <v>111</v>
      </c>
      <c r="H93" s="19" t="s">
        <v>112</v>
      </c>
      <c r="I93" s="18" t="s">
        <v>113</v>
      </c>
      <c r="J93" s="19" t="s">
        <v>114</v>
      </c>
      <c r="K93" s="19" t="s">
        <v>115</v>
      </c>
      <c r="L93" s="18" t="s">
        <v>116</v>
      </c>
      <c r="M93" s="18" t="s">
        <v>133</v>
      </c>
      <c r="N93" s="18" t="s">
        <v>118</v>
      </c>
      <c r="O93" s="20">
        <v>119000</v>
      </c>
      <c r="P93" s="20">
        <v>82110</v>
      </c>
      <c r="Q93" s="20">
        <v>1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31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119000</v>
      </c>
      <c r="AD93" s="20">
        <v>82110</v>
      </c>
      <c r="AE93" s="20">
        <v>0</v>
      </c>
      <c r="AF93" s="20">
        <v>0</v>
      </c>
      <c r="AG93" s="20">
        <v>119000</v>
      </c>
      <c r="AH93" s="20">
        <v>82110</v>
      </c>
      <c r="AI93" s="20">
        <v>33536</v>
      </c>
      <c r="AJ93" s="20">
        <v>3354</v>
      </c>
      <c r="AK93" s="20">
        <v>36890</v>
      </c>
    </row>
    <row r="94" spans="1:37" ht="16.5" customHeight="1" x14ac:dyDescent="0.3">
      <c r="A94" s="18" t="s">
        <v>373</v>
      </c>
      <c r="B94" s="18" t="s">
        <v>107</v>
      </c>
      <c r="C94" s="19" t="s">
        <v>108</v>
      </c>
      <c r="D94" s="18" t="s">
        <v>1114</v>
      </c>
      <c r="E94" s="19" t="s">
        <v>1115</v>
      </c>
      <c r="F94" s="18" t="s">
        <v>110</v>
      </c>
      <c r="G94" s="18" t="s">
        <v>111</v>
      </c>
      <c r="H94" s="19" t="s">
        <v>112</v>
      </c>
      <c r="I94" s="18" t="s">
        <v>113</v>
      </c>
      <c r="J94" s="19" t="s">
        <v>114</v>
      </c>
      <c r="K94" s="19" t="s">
        <v>115</v>
      </c>
      <c r="L94" s="18" t="s">
        <v>116</v>
      </c>
      <c r="M94" s="18" t="s">
        <v>133</v>
      </c>
      <c r="N94" s="18" t="s">
        <v>118</v>
      </c>
      <c r="O94" s="20">
        <v>119000</v>
      </c>
      <c r="P94" s="20">
        <v>82110</v>
      </c>
      <c r="Q94" s="20">
        <v>1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31</v>
      </c>
      <c r="X94" s="20">
        <v>19040</v>
      </c>
      <c r="Y94" s="20">
        <v>0</v>
      </c>
      <c r="Z94" s="20">
        <v>0</v>
      </c>
      <c r="AA94" s="20">
        <v>0</v>
      </c>
      <c r="AB94" s="20">
        <v>0</v>
      </c>
      <c r="AC94" s="20">
        <v>119000</v>
      </c>
      <c r="AD94" s="20">
        <v>82110</v>
      </c>
      <c r="AE94" s="20">
        <v>0</v>
      </c>
      <c r="AF94" s="20">
        <v>19040</v>
      </c>
      <c r="AG94" s="20">
        <v>99960</v>
      </c>
      <c r="AH94" s="20">
        <v>82110</v>
      </c>
      <c r="AI94" s="20">
        <v>16227</v>
      </c>
      <c r="AJ94" s="20">
        <v>1623</v>
      </c>
      <c r="AK94" s="20">
        <v>17850</v>
      </c>
    </row>
    <row r="95" spans="1:37" ht="16.5" customHeight="1" x14ac:dyDescent="0.3">
      <c r="A95" s="18" t="s">
        <v>376</v>
      </c>
      <c r="B95" s="18" t="s">
        <v>107</v>
      </c>
      <c r="C95" s="19" t="s">
        <v>108</v>
      </c>
      <c r="D95" s="18" t="s">
        <v>1035</v>
      </c>
      <c r="E95" s="19" t="s">
        <v>1036</v>
      </c>
      <c r="F95" s="18" t="s">
        <v>110</v>
      </c>
      <c r="G95" s="18" t="s">
        <v>111</v>
      </c>
      <c r="H95" s="19" t="s">
        <v>112</v>
      </c>
      <c r="I95" s="18" t="s">
        <v>113</v>
      </c>
      <c r="J95" s="19" t="s">
        <v>114</v>
      </c>
      <c r="K95" s="19" t="s">
        <v>123</v>
      </c>
      <c r="L95" s="18" t="s">
        <v>116</v>
      </c>
      <c r="M95" s="18" t="s">
        <v>133</v>
      </c>
      <c r="N95" s="18" t="s">
        <v>118</v>
      </c>
      <c r="O95" s="20">
        <v>119000</v>
      </c>
      <c r="P95" s="20">
        <v>82110</v>
      </c>
      <c r="Q95" s="20">
        <v>1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31</v>
      </c>
      <c r="X95" s="20">
        <v>0</v>
      </c>
      <c r="Y95" s="20">
        <v>5950</v>
      </c>
      <c r="Z95" s="20">
        <v>0</v>
      </c>
      <c r="AA95" s="20">
        <v>0</v>
      </c>
      <c r="AB95" s="20">
        <v>0</v>
      </c>
      <c r="AC95" s="20">
        <v>119000</v>
      </c>
      <c r="AD95" s="20">
        <v>82110</v>
      </c>
      <c r="AE95" s="20">
        <v>0</v>
      </c>
      <c r="AF95" s="20">
        <v>5950</v>
      </c>
      <c r="AG95" s="20">
        <v>113050</v>
      </c>
      <c r="AH95" s="20">
        <v>82110</v>
      </c>
      <c r="AI95" s="20">
        <v>28127</v>
      </c>
      <c r="AJ95" s="20">
        <v>2813</v>
      </c>
      <c r="AK95" s="20">
        <v>30940</v>
      </c>
    </row>
    <row r="96" spans="1:37" ht="16.5" customHeight="1" x14ac:dyDescent="0.3">
      <c r="A96" s="18" t="s">
        <v>379</v>
      </c>
      <c r="B96" s="18" t="s">
        <v>107</v>
      </c>
      <c r="C96" s="19" t="s">
        <v>108</v>
      </c>
      <c r="D96" s="18" t="s">
        <v>1038</v>
      </c>
      <c r="E96" s="19" t="s">
        <v>340</v>
      </c>
      <c r="F96" s="18" t="s">
        <v>110</v>
      </c>
      <c r="G96" s="18" t="s">
        <v>111</v>
      </c>
      <c r="H96" s="19" t="s">
        <v>112</v>
      </c>
      <c r="I96" s="18" t="s">
        <v>113</v>
      </c>
      <c r="J96" s="19" t="s">
        <v>114</v>
      </c>
      <c r="K96" s="19" t="s">
        <v>115</v>
      </c>
      <c r="L96" s="18" t="s">
        <v>116</v>
      </c>
      <c r="M96" s="18" t="s">
        <v>133</v>
      </c>
      <c r="N96" s="18" t="s">
        <v>118</v>
      </c>
      <c r="O96" s="20">
        <v>119000</v>
      </c>
      <c r="P96" s="20">
        <v>82110</v>
      </c>
      <c r="Q96" s="20">
        <v>1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31</v>
      </c>
      <c r="X96" s="20">
        <v>0</v>
      </c>
      <c r="Y96" s="20">
        <v>10000</v>
      </c>
      <c r="Z96" s="20">
        <v>0</v>
      </c>
      <c r="AA96" s="20">
        <v>0</v>
      </c>
      <c r="AB96" s="20">
        <v>0</v>
      </c>
      <c r="AC96" s="20">
        <v>119000</v>
      </c>
      <c r="AD96" s="20">
        <v>82110</v>
      </c>
      <c r="AE96" s="20">
        <v>0</v>
      </c>
      <c r="AF96" s="20">
        <v>10000</v>
      </c>
      <c r="AG96" s="20">
        <v>109000</v>
      </c>
      <c r="AH96" s="20">
        <v>82110</v>
      </c>
      <c r="AI96" s="20">
        <v>24445</v>
      </c>
      <c r="AJ96" s="20">
        <v>2445</v>
      </c>
      <c r="AK96" s="20">
        <v>26890</v>
      </c>
    </row>
    <row r="97" spans="1:37" ht="16.5" customHeight="1" x14ac:dyDescent="0.3">
      <c r="A97" s="18" t="s">
        <v>380</v>
      </c>
      <c r="B97" s="18" t="s">
        <v>107</v>
      </c>
      <c r="C97" s="19" t="s">
        <v>108</v>
      </c>
      <c r="D97" s="18" t="s">
        <v>1176</v>
      </c>
      <c r="E97" s="19" t="s">
        <v>1177</v>
      </c>
      <c r="F97" s="18" t="s">
        <v>110</v>
      </c>
      <c r="G97" s="18" t="s">
        <v>111</v>
      </c>
      <c r="H97" s="19" t="s">
        <v>112</v>
      </c>
      <c r="I97" s="18" t="s">
        <v>113</v>
      </c>
      <c r="J97" s="19" t="s">
        <v>114</v>
      </c>
      <c r="K97" s="19" t="s">
        <v>115</v>
      </c>
      <c r="L97" s="18" t="s">
        <v>116</v>
      </c>
      <c r="M97" s="18" t="s">
        <v>133</v>
      </c>
      <c r="N97" s="18" t="s">
        <v>118</v>
      </c>
      <c r="O97" s="20">
        <v>119000</v>
      </c>
      <c r="P97" s="20">
        <v>82110</v>
      </c>
      <c r="Q97" s="20">
        <v>1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31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119000</v>
      </c>
      <c r="AD97" s="20">
        <v>82110</v>
      </c>
      <c r="AE97" s="20">
        <v>0</v>
      </c>
      <c r="AF97" s="20">
        <v>0</v>
      </c>
      <c r="AG97" s="20">
        <v>119000</v>
      </c>
      <c r="AH97" s="20">
        <v>82110</v>
      </c>
      <c r="AI97" s="20">
        <v>33536</v>
      </c>
      <c r="AJ97" s="20">
        <v>3354</v>
      </c>
      <c r="AK97" s="20">
        <v>36890</v>
      </c>
    </row>
    <row r="98" spans="1:37" ht="16.5" customHeight="1" x14ac:dyDescent="0.3">
      <c r="A98" s="18" t="s">
        <v>383</v>
      </c>
      <c r="B98" s="18" t="s">
        <v>107</v>
      </c>
      <c r="C98" s="19" t="s">
        <v>108</v>
      </c>
      <c r="D98" s="18" t="s">
        <v>1040</v>
      </c>
      <c r="E98" s="19" t="s">
        <v>1041</v>
      </c>
      <c r="F98" s="18" t="s">
        <v>110</v>
      </c>
      <c r="G98" s="18" t="s">
        <v>111</v>
      </c>
      <c r="H98" s="19" t="s">
        <v>112</v>
      </c>
      <c r="I98" s="18" t="s">
        <v>113</v>
      </c>
      <c r="J98" s="19" t="s">
        <v>114</v>
      </c>
      <c r="K98" s="19" t="s">
        <v>151</v>
      </c>
      <c r="L98" s="18" t="s">
        <v>116</v>
      </c>
      <c r="M98" s="18" t="s">
        <v>133</v>
      </c>
      <c r="N98" s="18" t="s">
        <v>118</v>
      </c>
      <c r="O98" s="20">
        <v>119000</v>
      </c>
      <c r="P98" s="20">
        <v>82110</v>
      </c>
      <c r="Q98" s="20">
        <v>1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31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119000</v>
      </c>
      <c r="AD98" s="20">
        <v>82110</v>
      </c>
      <c r="AE98" s="20">
        <v>0</v>
      </c>
      <c r="AF98" s="20">
        <v>0</v>
      </c>
      <c r="AG98" s="20">
        <v>119000</v>
      </c>
      <c r="AH98" s="20">
        <v>82110</v>
      </c>
      <c r="AI98" s="20">
        <v>33536</v>
      </c>
      <c r="AJ98" s="20">
        <v>3354</v>
      </c>
      <c r="AK98" s="20">
        <v>36890</v>
      </c>
    </row>
    <row r="99" spans="1:37" ht="16.5" customHeight="1" x14ac:dyDescent="0.3">
      <c r="A99" s="18" t="s">
        <v>386</v>
      </c>
      <c r="B99" s="18" t="s">
        <v>107</v>
      </c>
      <c r="C99" s="19" t="s">
        <v>108</v>
      </c>
      <c r="D99" s="18" t="s">
        <v>1220</v>
      </c>
      <c r="E99" s="19" t="s">
        <v>139</v>
      </c>
      <c r="F99" s="18" t="s">
        <v>110</v>
      </c>
      <c r="G99" s="18" t="s">
        <v>111</v>
      </c>
      <c r="H99" s="19" t="s">
        <v>112</v>
      </c>
      <c r="I99" s="18" t="s">
        <v>113</v>
      </c>
      <c r="J99" s="19" t="s">
        <v>114</v>
      </c>
      <c r="K99" s="19" t="s">
        <v>115</v>
      </c>
      <c r="L99" s="18" t="s">
        <v>116</v>
      </c>
      <c r="M99" s="18" t="s">
        <v>133</v>
      </c>
      <c r="N99" s="18" t="s">
        <v>118</v>
      </c>
      <c r="O99" s="20">
        <v>119000</v>
      </c>
      <c r="P99" s="20">
        <v>82110</v>
      </c>
      <c r="Q99" s="20">
        <v>1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31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119000</v>
      </c>
      <c r="AD99" s="20">
        <v>82110</v>
      </c>
      <c r="AE99" s="20">
        <v>0</v>
      </c>
      <c r="AF99" s="20">
        <v>0</v>
      </c>
      <c r="AG99" s="20">
        <v>119000</v>
      </c>
      <c r="AH99" s="20">
        <v>82110</v>
      </c>
      <c r="AI99" s="20">
        <v>33536</v>
      </c>
      <c r="AJ99" s="20">
        <v>3354</v>
      </c>
      <c r="AK99" s="20">
        <v>36890</v>
      </c>
    </row>
    <row r="100" spans="1:37" ht="16.5" customHeight="1" x14ac:dyDescent="0.3">
      <c r="A100" s="18" t="s">
        <v>388</v>
      </c>
      <c r="B100" s="18" t="s">
        <v>107</v>
      </c>
      <c r="C100" s="19" t="s">
        <v>108</v>
      </c>
      <c r="D100" s="18" t="s">
        <v>1090</v>
      </c>
      <c r="E100" s="19" t="s">
        <v>235</v>
      </c>
      <c r="F100" s="18" t="s">
        <v>110</v>
      </c>
      <c r="G100" s="18" t="s">
        <v>111</v>
      </c>
      <c r="H100" s="19" t="s">
        <v>112</v>
      </c>
      <c r="I100" s="18" t="s">
        <v>113</v>
      </c>
      <c r="J100" s="19" t="s">
        <v>114</v>
      </c>
      <c r="K100" s="19" t="s">
        <v>115</v>
      </c>
      <c r="L100" s="18" t="s">
        <v>116</v>
      </c>
      <c r="M100" s="18" t="s">
        <v>133</v>
      </c>
      <c r="N100" s="18" t="s">
        <v>118</v>
      </c>
      <c r="O100" s="20">
        <v>119000</v>
      </c>
      <c r="P100" s="20">
        <v>82110</v>
      </c>
      <c r="Q100" s="20">
        <v>1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31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119000</v>
      </c>
      <c r="AD100" s="20">
        <v>82110</v>
      </c>
      <c r="AE100" s="20">
        <v>0</v>
      </c>
      <c r="AF100" s="20">
        <v>0</v>
      </c>
      <c r="AG100" s="20">
        <v>119000</v>
      </c>
      <c r="AH100" s="20">
        <v>82110</v>
      </c>
      <c r="AI100" s="20">
        <v>33536</v>
      </c>
      <c r="AJ100" s="20">
        <v>3354</v>
      </c>
      <c r="AK100" s="20">
        <v>36890</v>
      </c>
    </row>
    <row r="101" spans="1:37" ht="16.5" customHeight="1" x14ac:dyDescent="0.3">
      <c r="A101" s="18" t="s">
        <v>391</v>
      </c>
      <c r="B101" s="18" t="s">
        <v>107</v>
      </c>
      <c r="C101" s="19" t="s">
        <v>108</v>
      </c>
      <c r="D101" s="18" t="s">
        <v>1092</v>
      </c>
      <c r="E101" s="19" t="s">
        <v>1093</v>
      </c>
      <c r="F101" s="18" t="s">
        <v>110</v>
      </c>
      <c r="G101" s="18" t="s">
        <v>111</v>
      </c>
      <c r="H101" s="19" t="s">
        <v>112</v>
      </c>
      <c r="I101" s="18" t="s">
        <v>113</v>
      </c>
      <c r="J101" s="19" t="s">
        <v>114</v>
      </c>
      <c r="K101" s="19" t="s">
        <v>115</v>
      </c>
      <c r="L101" s="18" t="s">
        <v>116</v>
      </c>
      <c r="M101" s="18" t="s">
        <v>133</v>
      </c>
      <c r="N101" s="18" t="s">
        <v>118</v>
      </c>
      <c r="O101" s="20">
        <v>119000</v>
      </c>
      <c r="P101" s="20">
        <v>82110</v>
      </c>
      <c r="Q101" s="20">
        <v>1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31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119000</v>
      </c>
      <c r="AD101" s="20">
        <v>82110</v>
      </c>
      <c r="AE101" s="20">
        <v>0</v>
      </c>
      <c r="AF101" s="20">
        <v>0</v>
      </c>
      <c r="AG101" s="20">
        <v>119000</v>
      </c>
      <c r="AH101" s="20">
        <v>82110</v>
      </c>
      <c r="AI101" s="20">
        <v>33536</v>
      </c>
      <c r="AJ101" s="20">
        <v>3354</v>
      </c>
      <c r="AK101" s="20">
        <v>36890</v>
      </c>
    </row>
    <row r="102" spans="1:37" ht="16.5" customHeight="1" x14ac:dyDescent="0.3">
      <c r="A102" s="18" t="s">
        <v>393</v>
      </c>
      <c r="B102" s="18" t="s">
        <v>107</v>
      </c>
      <c r="C102" s="19" t="s">
        <v>108</v>
      </c>
      <c r="D102" s="18" t="s">
        <v>1095</v>
      </c>
      <c r="E102" s="19" t="s">
        <v>1096</v>
      </c>
      <c r="F102" s="18" t="s">
        <v>110</v>
      </c>
      <c r="G102" s="18" t="s">
        <v>111</v>
      </c>
      <c r="H102" s="19" t="s">
        <v>112</v>
      </c>
      <c r="I102" s="18" t="s">
        <v>113</v>
      </c>
      <c r="J102" s="19" t="s">
        <v>114</v>
      </c>
      <c r="K102" s="19" t="s">
        <v>115</v>
      </c>
      <c r="L102" s="18" t="s">
        <v>116</v>
      </c>
      <c r="M102" s="18" t="s">
        <v>133</v>
      </c>
      <c r="N102" s="18" t="s">
        <v>118</v>
      </c>
      <c r="O102" s="20">
        <v>119000</v>
      </c>
      <c r="P102" s="20">
        <v>82110</v>
      </c>
      <c r="Q102" s="20">
        <v>1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31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119000</v>
      </c>
      <c r="AD102" s="20">
        <v>82110</v>
      </c>
      <c r="AE102" s="20">
        <v>0</v>
      </c>
      <c r="AF102" s="20">
        <v>0</v>
      </c>
      <c r="AG102" s="20">
        <v>119000</v>
      </c>
      <c r="AH102" s="20">
        <v>82110</v>
      </c>
      <c r="AI102" s="20">
        <v>33536</v>
      </c>
      <c r="AJ102" s="20">
        <v>3354</v>
      </c>
      <c r="AK102" s="20">
        <v>36890</v>
      </c>
    </row>
    <row r="103" spans="1:37" ht="16.5" customHeight="1" x14ac:dyDescent="0.3">
      <c r="A103" s="18" t="s">
        <v>396</v>
      </c>
      <c r="B103" s="18" t="s">
        <v>107</v>
      </c>
      <c r="C103" s="19" t="s">
        <v>108</v>
      </c>
      <c r="D103" s="18" t="s">
        <v>1098</v>
      </c>
      <c r="E103" s="19" t="s">
        <v>1099</v>
      </c>
      <c r="F103" s="18" t="s">
        <v>110</v>
      </c>
      <c r="G103" s="18" t="s">
        <v>111</v>
      </c>
      <c r="H103" s="19" t="s">
        <v>112</v>
      </c>
      <c r="I103" s="18" t="s">
        <v>113</v>
      </c>
      <c r="J103" s="19" t="s">
        <v>114</v>
      </c>
      <c r="K103" s="19" t="s">
        <v>115</v>
      </c>
      <c r="L103" s="18" t="s">
        <v>116</v>
      </c>
      <c r="M103" s="18" t="s">
        <v>133</v>
      </c>
      <c r="N103" s="18" t="s">
        <v>118</v>
      </c>
      <c r="O103" s="20">
        <v>119000</v>
      </c>
      <c r="P103" s="20">
        <v>82110</v>
      </c>
      <c r="Q103" s="20">
        <v>1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31</v>
      </c>
      <c r="X103" s="20">
        <v>22610</v>
      </c>
      <c r="Y103" s="20">
        <v>0</v>
      </c>
      <c r="Z103" s="20">
        <v>0</v>
      </c>
      <c r="AA103" s="20">
        <v>0</v>
      </c>
      <c r="AB103" s="20">
        <v>0</v>
      </c>
      <c r="AC103" s="20">
        <v>119000</v>
      </c>
      <c r="AD103" s="20">
        <v>82110</v>
      </c>
      <c r="AE103" s="20">
        <v>0</v>
      </c>
      <c r="AF103" s="20">
        <v>22610</v>
      </c>
      <c r="AG103" s="20">
        <v>96390</v>
      </c>
      <c r="AH103" s="20">
        <v>82110</v>
      </c>
      <c r="AI103" s="20">
        <v>12982</v>
      </c>
      <c r="AJ103" s="20">
        <v>1298</v>
      </c>
      <c r="AK103" s="20">
        <v>14280</v>
      </c>
    </row>
    <row r="104" spans="1:37" ht="16.5" customHeight="1" x14ac:dyDescent="0.3">
      <c r="A104" s="18" t="s">
        <v>399</v>
      </c>
      <c r="B104" s="18" t="s">
        <v>107</v>
      </c>
      <c r="C104" s="19" t="s">
        <v>108</v>
      </c>
      <c r="D104" s="18" t="s">
        <v>1103</v>
      </c>
      <c r="E104" s="19" t="s">
        <v>1104</v>
      </c>
      <c r="F104" s="18" t="s">
        <v>110</v>
      </c>
      <c r="G104" s="18" t="s">
        <v>111</v>
      </c>
      <c r="H104" s="19" t="s">
        <v>112</v>
      </c>
      <c r="I104" s="18" t="s">
        <v>113</v>
      </c>
      <c r="J104" s="19" t="s">
        <v>114</v>
      </c>
      <c r="K104" s="19" t="s">
        <v>115</v>
      </c>
      <c r="L104" s="18" t="s">
        <v>116</v>
      </c>
      <c r="M104" s="18" t="s">
        <v>133</v>
      </c>
      <c r="N104" s="18" t="s">
        <v>118</v>
      </c>
      <c r="O104" s="20">
        <v>119000</v>
      </c>
      <c r="P104" s="20">
        <v>82110</v>
      </c>
      <c r="Q104" s="20">
        <v>1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31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119000</v>
      </c>
      <c r="AD104" s="20">
        <v>82110</v>
      </c>
      <c r="AE104" s="20">
        <v>0</v>
      </c>
      <c r="AF104" s="20">
        <v>0</v>
      </c>
      <c r="AG104" s="20">
        <v>119000</v>
      </c>
      <c r="AH104" s="20">
        <v>82110</v>
      </c>
      <c r="AI104" s="20">
        <v>33536</v>
      </c>
      <c r="AJ104" s="20">
        <v>3354</v>
      </c>
      <c r="AK104" s="20">
        <v>36890</v>
      </c>
    </row>
    <row r="105" spans="1:37" ht="16.5" customHeight="1" x14ac:dyDescent="0.3">
      <c r="A105" s="18" t="s">
        <v>402</v>
      </c>
      <c r="B105" s="18" t="s">
        <v>107</v>
      </c>
      <c r="C105" s="19" t="s">
        <v>108</v>
      </c>
      <c r="D105" s="18" t="s">
        <v>1106</v>
      </c>
      <c r="E105" s="19" t="s">
        <v>1107</v>
      </c>
      <c r="F105" s="18" t="s">
        <v>110</v>
      </c>
      <c r="G105" s="18" t="s">
        <v>111</v>
      </c>
      <c r="H105" s="19" t="s">
        <v>112</v>
      </c>
      <c r="I105" s="18" t="s">
        <v>113</v>
      </c>
      <c r="J105" s="19" t="s">
        <v>114</v>
      </c>
      <c r="K105" s="19" t="s">
        <v>115</v>
      </c>
      <c r="L105" s="18" t="s">
        <v>116</v>
      </c>
      <c r="M105" s="18" t="s">
        <v>133</v>
      </c>
      <c r="N105" s="18" t="s">
        <v>118</v>
      </c>
      <c r="O105" s="20">
        <v>119000</v>
      </c>
      <c r="P105" s="20">
        <v>82110</v>
      </c>
      <c r="Q105" s="20">
        <v>1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31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119000</v>
      </c>
      <c r="AD105" s="20">
        <v>82110</v>
      </c>
      <c r="AE105" s="20">
        <v>0</v>
      </c>
      <c r="AF105" s="20">
        <v>0</v>
      </c>
      <c r="AG105" s="20">
        <v>119000</v>
      </c>
      <c r="AH105" s="20">
        <v>82110</v>
      </c>
      <c r="AI105" s="20">
        <v>33536</v>
      </c>
      <c r="AJ105" s="20">
        <v>3354</v>
      </c>
      <c r="AK105" s="20">
        <v>36890</v>
      </c>
    </row>
    <row r="106" spans="1:37" ht="16.5" customHeight="1" x14ac:dyDescent="0.3">
      <c r="A106" s="18" t="s">
        <v>405</v>
      </c>
      <c r="B106" s="18" t="s">
        <v>107</v>
      </c>
      <c r="C106" s="19" t="s">
        <v>108</v>
      </c>
      <c r="D106" s="18" t="s">
        <v>1109</v>
      </c>
      <c r="E106" s="19" t="s">
        <v>511</v>
      </c>
      <c r="F106" s="18" t="s">
        <v>110</v>
      </c>
      <c r="G106" s="18" t="s">
        <v>111</v>
      </c>
      <c r="H106" s="19" t="s">
        <v>112</v>
      </c>
      <c r="I106" s="18" t="s">
        <v>113</v>
      </c>
      <c r="J106" s="19" t="s">
        <v>114</v>
      </c>
      <c r="K106" s="19" t="s">
        <v>115</v>
      </c>
      <c r="L106" s="18" t="s">
        <v>116</v>
      </c>
      <c r="M106" s="18" t="s">
        <v>133</v>
      </c>
      <c r="N106" s="18" t="s">
        <v>118</v>
      </c>
      <c r="O106" s="20">
        <v>119000</v>
      </c>
      <c r="P106" s="20">
        <v>82110</v>
      </c>
      <c r="Q106" s="20">
        <v>1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31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119000</v>
      </c>
      <c r="AD106" s="20">
        <v>82110</v>
      </c>
      <c r="AE106" s="20">
        <v>0</v>
      </c>
      <c r="AF106" s="20">
        <v>0</v>
      </c>
      <c r="AG106" s="20">
        <v>119000</v>
      </c>
      <c r="AH106" s="20">
        <v>82110</v>
      </c>
      <c r="AI106" s="20">
        <v>33536</v>
      </c>
      <c r="AJ106" s="20">
        <v>3354</v>
      </c>
      <c r="AK106" s="20">
        <v>36890</v>
      </c>
    </row>
    <row r="107" spans="1:37" ht="16.5" customHeight="1" x14ac:dyDescent="0.3">
      <c r="A107" s="18" t="s">
        <v>407</v>
      </c>
      <c r="B107" s="18" t="s">
        <v>107</v>
      </c>
      <c r="C107" s="19" t="s">
        <v>108</v>
      </c>
      <c r="D107" s="18" t="s">
        <v>1111</v>
      </c>
      <c r="E107" s="19" t="s">
        <v>1112</v>
      </c>
      <c r="F107" s="18" t="s">
        <v>110</v>
      </c>
      <c r="G107" s="18" t="s">
        <v>111</v>
      </c>
      <c r="H107" s="19" t="s">
        <v>112</v>
      </c>
      <c r="I107" s="18" t="s">
        <v>113</v>
      </c>
      <c r="J107" s="19" t="s">
        <v>114</v>
      </c>
      <c r="K107" s="19" t="s">
        <v>115</v>
      </c>
      <c r="L107" s="18" t="s">
        <v>116</v>
      </c>
      <c r="M107" s="18" t="s">
        <v>133</v>
      </c>
      <c r="N107" s="18" t="s">
        <v>118</v>
      </c>
      <c r="O107" s="20">
        <v>119000</v>
      </c>
      <c r="P107" s="20">
        <v>82110</v>
      </c>
      <c r="Q107" s="20">
        <v>1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31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119000</v>
      </c>
      <c r="AD107" s="20">
        <v>82110</v>
      </c>
      <c r="AE107" s="20">
        <v>0</v>
      </c>
      <c r="AF107" s="20">
        <v>0</v>
      </c>
      <c r="AG107" s="20">
        <v>119000</v>
      </c>
      <c r="AH107" s="20">
        <v>82110</v>
      </c>
      <c r="AI107" s="20">
        <v>33536</v>
      </c>
      <c r="AJ107" s="20">
        <v>3354</v>
      </c>
      <c r="AK107" s="20">
        <v>36890</v>
      </c>
    </row>
    <row r="108" spans="1:37" ht="16.5" customHeight="1" x14ac:dyDescent="0.3">
      <c r="A108" s="18" t="s">
        <v>409</v>
      </c>
      <c r="B108" s="18" t="s">
        <v>107</v>
      </c>
      <c r="C108" s="19" t="s">
        <v>108</v>
      </c>
      <c r="D108" s="18" t="s">
        <v>1117</v>
      </c>
      <c r="E108" s="19" t="s">
        <v>232</v>
      </c>
      <c r="F108" s="18" t="s">
        <v>110</v>
      </c>
      <c r="G108" s="18" t="s">
        <v>111</v>
      </c>
      <c r="H108" s="19" t="s">
        <v>112</v>
      </c>
      <c r="I108" s="18" t="s">
        <v>113</v>
      </c>
      <c r="J108" s="19" t="s">
        <v>114</v>
      </c>
      <c r="K108" s="19" t="s">
        <v>115</v>
      </c>
      <c r="L108" s="18" t="s">
        <v>116</v>
      </c>
      <c r="M108" s="18" t="s">
        <v>133</v>
      </c>
      <c r="N108" s="18" t="s">
        <v>118</v>
      </c>
      <c r="O108" s="20">
        <v>119000</v>
      </c>
      <c r="P108" s="20">
        <v>82110</v>
      </c>
      <c r="Q108" s="20">
        <v>1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31</v>
      </c>
      <c r="X108" s="20">
        <v>17850</v>
      </c>
      <c r="Y108" s="20">
        <v>0</v>
      </c>
      <c r="Z108" s="20">
        <v>0</v>
      </c>
      <c r="AA108" s="20">
        <v>0</v>
      </c>
      <c r="AB108" s="20">
        <v>0</v>
      </c>
      <c r="AC108" s="20">
        <v>119000</v>
      </c>
      <c r="AD108" s="20">
        <v>82110</v>
      </c>
      <c r="AE108" s="20">
        <v>0</v>
      </c>
      <c r="AF108" s="20">
        <v>17850</v>
      </c>
      <c r="AG108" s="20">
        <v>101150</v>
      </c>
      <c r="AH108" s="20">
        <v>82110</v>
      </c>
      <c r="AI108" s="20">
        <v>17309</v>
      </c>
      <c r="AJ108" s="20">
        <v>1731</v>
      </c>
      <c r="AK108" s="20">
        <v>19040</v>
      </c>
    </row>
    <row r="109" spans="1:37" ht="16.5" customHeight="1" x14ac:dyDescent="0.3">
      <c r="A109" s="18" t="s">
        <v>412</v>
      </c>
      <c r="B109" s="18" t="s">
        <v>107</v>
      </c>
      <c r="C109" s="19" t="s">
        <v>108</v>
      </c>
      <c r="D109" s="18" t="s">
        <v>1119</v>
      </c>
      <c r="E109" s="19" t="s">
        <v>1120</v>
      </c>
      <c r="F109" s="18" t="s">
        <v>110</v>
      </c>
      <c r="G109" s="18" t="s">
        <v>111</v>
      </c>
      <c r="H109" s="19" t="s">
        <v>112</v>
      </c>
      <c r="I109" s="18" t="s">
        <v>113</v>
      </c>
      <c r="J109" s="19" t="s">
        <v>114</v>
      </c>
      <c r="K109" s="19" t="s">
        <v>115</v>
      </c>
      <c r="L109" s="18" t="s">
        <v>116</v>
      </c>
      <c r="M109" s="18" t="s">
        <v>133</v>
      </c>
      <c r="N109" s="18" t="s">
        <v>118</v>
      </c>
      <c r="O109" s="20">
        <v>119000</v>
      </c>
      <c r="P109" s="20">
        <v>82110</v>
      </c>
      <c r="Q109" s="20">
        <v>1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31</v>
      </c>
      <c r="X109" s="20">
        <v>0</v>
      </c>
      <c r="Y109" s="20">
        <v>0</v>
      </c>
      <c r="Z109" s="20">
        <v>0</v>
      </c>
      <c r="AA109" s="20">
        <v>0</v>
      </c>
      <c r="AB109" s="20">
        <v>5950</v>
      </c>
      <c r="AC109" s="20">
        <v>119000</v>
      </c>
      <c r="AD109" s="20">
        <v>82110</v>
      </c>
      <c r="AE109" s="20">
        <v>0</v>
      </c>
      <c r="AF109" s="20">
        <v>5950</v>
      </c>
      <c r="AG109" s="20">
        <v>113050</v>
      </c>
      <c r="AH109" s="20">
        <v>82110</v>
      </c>
      <c r="AI109" s="20">
        <v>28127</v>
      </c>
      <c r="AJ109" s="20">
        <v>2813</v>
      </c>
      <c r="AK109" s="20">
        <v>30940</v>
      </c>
    </row>
    <row r="110" spans="1:37" ht="16.5" customHeight="1" x14ac:dyDescent="0.3">
      <c r="A110" s="18" t="s">
        <v>415</v>
      </c>
      <c r="B110" s="18" t="s">
        <v>107</v>
      </c>
      <c r="C110" s="19" t="s">
        <v>108</v>
      </c>
      <c r="D110" s="18" t="s">
        <v>1122</v>
      </c>
      <c r="E110" s="19" t="s">
        <v>1123</v>
      </c>
      <c r="F110" s="18" t="s">
        <v>110</v>
      </c>
      <c r="G110" s="18" t="s">
        <v>111</v>
      </c>
      <c r="H110" s="19" t="s">
        <v>112</v>
      </c>
      <c r="I110" s="18" t="s">
        <v>113</v>
      </c>
      <c r="J110" s="19" t="s">
        <v>114</v>
      </c>
      <c r="K110" s="19" t="s">
        <v>151</v>
      </c>
      <c r="L110" s="18" t="s">
        <v>116</v>
      </c>
      <c r="M110" s="18" t="s">
        <v>133</v>
      </c>
      <c r="N110" s="18" t="s">
        <v>118</v>
      </c>
      <c r="O110" s="20">
        <v>119000</v>
      </c>
      <c r="P110" s="20">
        <v>82110</v>
      </c>
      <c r="Q110" s="20">
        <v>1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31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119000</v>
      </c>
      <c r="AD110" s="20">
        <v>82110</v>
      </c>
      <c r="AE110" s="20">
        <v>0</v>
      </c>
      <c r="AF110" s="20">
        <v>0</v>
      </c>
      <c r="AG110" s="20">
        <v>119000</v>
      </c>
      <c r="AH110" s="20">
        <v>82110</v>
      </c>
      <c r="AI110" s="20">
        <v>33536</v>
      </c>
      <c r="AJ110" s="20">
        <v>3354</v>
      </c>
      <c r="AK110" s="20">
        <v>36890</v>
      </c>
    </row>
    <row r="111" spans="1:37" ht="16.5" customHeight="1" x14ac:dyDescent="0.3">
      <c r="A111" s="18" t="s">
        <v>418</v>
      </c>
      <c r="B111" s="18" t="s">
        <v>107</v>
      </c>
      <c r="C111" s="19" t="s">
        <v>108</v>
      </c>
      <c r="D111" s="18" t="s">
        <v>1125</v>
      </c>
      <c r="E111" s="19" t="s">
        <v>1126</v>
      </c>
      <c r="F111" s="18" t="s">
        <v>110</v>
      </c>
      <c r="G111" s="18" t="s">
        <v>111</v>
      </c>
      <c r="H111" s="19" t="s">
        <v>112</v>
      </c>
      <c r="I111" s="18" t="s">
        <v>113</v>
      </c>
      <c r="J111" s="19" t="s">
        <v>114</v>
      </c>
      <c r="K111" s="19" t="s">
        <v>115</v>
      </c>
      <c r="L111" s="18" t="s">
        <v>116</v>
      </c>
      <c r="M111" s="18" t="s">
        <v>133</v>
      </c>
      <c r="N111" s="18" t="s">
        <v>118</v>
      </c>
      <c r="O111" s="20">
        <v>119000</v>
      </c>
      <c r="P111" s="20">
        <v>82110</v>
      </c>
      <c r="Q111" s="20">
        <v>1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31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119000</v>
      </c>
      <c r="AD111" s="20">
        <v>82110</v>
      </c>
      <c r="AE111" s="20">
        <v>0</v>
      </c>
      <c r="AF111" s="20">
        <v>0</v>
      </c>
      <c r="AG111" s="20">
        <v>119000</v>
      </c>
      <c r="AH111" s="20">
        <v>82110</v>
      </c>
      <c r="AI111" s="20">
        <v>33536</v>
      </c>
      <c r="AJ111" s="20">
        <v>3354</v>
      </c>
      <c r="AK111" s="20">
        <v>36890</v>
      </c>
    </row>
    <row r="112" spans="1:37" ht="16.5" customHeight="1" x14ac:dyDescent="0.3">
      <c r="A112" s="18" t="s">
        <v>421</v>
      </c>
      <c r="B112" s="18" t="s">
        <v>107</v>
      </c>
      <c r="C112" s="19" t="s">
        <v>108</v>
      </c>
      <c r="D112" s="18" t="s">
        <v>1128</v>
      </c>
      <c r="E112" s="19" t="s">
        <v>1129</v>
      </c>
      <c r="F112" s="18" t="s">
        <v>110</v>
      </c>
      <c r="G112" s="18" t="s">
        <v>111</v>
      </c>
      <c r="H112" s="19" t="s">
        <v>112</v>
      </c>
      <c r="I112" s="18" t="s">
        <v>113</v>
      </c>
      <c r="J112" s="19" t="s">
        <v>114</v>
      </c>
      <c r="K112" s="19" t="s">
        <v>115</v>
      </c>
      <c r="L112" s="18" t="s">
        <v>116</v>
      </c>
      <c r="M112" s="18" t="s">
        <v>133</v>
      </c>
      <c r="N112" s="18" t="s">
        <v>118</v>
      </c>
      <c r="O112" s="20">
        <v>119000</v>
      </c>
      <c r="P112" s="20">
        <v>82110</v>
      </c>
      <c r="Q112" s="20">
        <v>1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31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119000</v>
      </c>
      <c r="AD112" s="20">
        <v>82110</v>
      </c>
      <c r="AE112" s="20">
        <v>0</v>
      </c>
      <c r="AF112" s="20">
        <v>0</v>
      </c>
      <c r="AG112" s="20">
        <v>119000</v>
      </c>
      <c r="AH112" s="20">
        <v>82110</v>
      </c>
      <c r="AI112" s="20">
        <v>33536</v>
      </c>
      <c r="AJ112" s="20">
        <v>3354</v>
      </c>
      <c r="AK112" s="20">
        <v>36890</v>
      </c>
    </row>
    <row r="113" spans="1:37" ht="16.5" customHeight="1" x14ac:dyDescent="0.3">
      <c r="A113" s="18" t="s">
        <v>424</v>
      </c>
      <c r="B113" s="18" t="s">
        <v>107</v>
      </c>
      <c r="C113" s="19" t="s">
        <v>108</v>
      </c>
      <c r="D113" s="18" t="s">
        <v>1131</v>
      </c>
      <c r="E113" s="19" t="s">
        <v>1132</v>
      </c>
      <c r="F113" s="18" t="s">
        <v>110</v>
      </c>
      <c r="G113" s="18" t="s">
        <v>111</v>
      </c>
      <c r="H113" s="19" t="s">
        <v>112</v>
      </c>
      <c r="I113" s="18" t="s">
        <v>113</v>
      </c>
      <c r="J113" s="19" t="s">
        <v>114</v>
      </c>
      <c r="K113" s="19" t="s">
        <v>115</v>
      </c>
      <c r="L113" s="18" t="s">
        <v>116</v>
      </c>
      <c r="M113" s="18" t="s">
        <v>133</v>
      </c>
      <c r="N113" s="18" t="s">
        <v>118</v>
      </c>
      <c r="O113" s="20">
        <v>119000</v>
      </c>
      <c r="P113" s="20">
        <v>82110</v>
      </c>
      <c r="Q113" s="20">
        <v>1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31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119000</v>
      </c>
      <c r="AD113" s="20">
        <v>82110</v>
      </c>
      <c r="AE113" s="20">
        <v>0</v>
      </c>
      <c r="AF113" s="20">
        <v>0</v>
      </c>
      <c r="AG113" s="20">
        <v>119000</v>
      </c>
      <c r="AH113" s="20">
        <v>82110</v>
      </c>
      <c r="AI113" s="20">
        <v>33536</v>
      </c>
      <c r="AJ113" s="20">
        <v>3354</v>
      </c>
      <c r="AK113" s="20">
        <v>36890</v>
      </c>
    </row>
    <row r="114" spans="1:37" ht="16.5" customHeight="1" x14ac:dyDescent="0.3">
      <c r="A114" s="18" t="s">
        <v>427</v>
      </c>
      <c r="B114" s="18" t="s">
        <v>107</v>
      </c>
      <c r="C114" s="19" t="s">
        <v>108</v>
      </c>
      <c r="D114" s="18" t="s">
        <v>1134</v>
      </c>
      <c r="E114" s="19" t="s">
        <v>690</v>
      </c>
      <c r="F114" s="18" t="s">
        <v>110</v>
      </c>
      <c r="G114" s="18" t="s">
        <v>111</v>
      </c>
      <c r="H114" s="19" t="s">
        <v>112</v>
      </c>
      <c r="I114" s="18" t="s">
        <v>113</v>
      </c>
      <c r="J114" s="19" t="s">
        <v>114</v>
      </c>
      <c r="K114" s="19" t="s">
        <v>115</v>
      </c>
      <c r="L114" s="18" t="s">
        <v>116</v>
      </c>
      <c r="M114" s="18" t="s">
        <v>133</v>
      </c>
      <c r="N114" s="18" t="s">
        <v>118</v>
      </c>
      <c r="O114" s="20">
        <v>119000</v>
      </c>
      <c r="P114" s="20">
        <v>82110</v>
      </c>
      <c r="Q114" s="20">
        <v>1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31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119000</v>
      </c>
      <c r="AD114" s="20">
        <v>82110</v>
      </c>
      <c r="AE114" s="20">
        <v>0</v>
      </c>
      <c r="AF114" s="20">
        <v>0</v>
      </c>
      <c r="AG114" s="20">
        <v>119000</v>
      </c>
      <c r="AH114" s="20">
        <v>82110</v>
      </c>
      <c r="AI114" s="20">
        <v>33536</v>
      </c>
      <c r="AJ114" s="20">
        <v>3354</v>
      </c>
      <c r="AK114" s="20">
        <v>36890</v>
      </c>
    </row>
    <row r="115" spans="1:37" ht="16.5" customHeight="1" x14ac:dyDescent="0.3">
      <c r="A115" s="18" t="s">
        <v>430</v>
      </c>
      <c r="B115" s="18" t="s">
        <v>107</v>
      </c>
      <c r="C115" s="19" t="s">
        <v>108</v>
      </c>
      <c r="D115" s="18" t="s">
        <v>997</v>
      </c>
      <c r="E115" s="19" t="s">
        <v>998</v>
      </c>
      <c r="F115" s="18" t="s">
        <v>110</v>
      </c>
      <c r="G115" s="18" t="s">
        <v>111</v>
      </c>
      <c r="H115" s="19" t="s">
        <v>112</v>
      </c>
      <c r="I115" s="18" t="s">
        <v>113</v>
      </c>
      <c r="J115" s="19" t="s">
        <v>114</v>
      </c>
      <c r="K115" s="19" t="s">
        <v>115</v>
      </c>
      <c r="L115" s="18" t="s">
        <v>116</v>
      </c>
      <c r="M115" s="18" t="s">
        <v>133</v>
      </c>
      <c r="N115" s="18" t="s">
        <v>118</v>
      </c>
      <c r="O115" s="20">
        <v>119000</v>
      </c>
      <c r="P115" s="20">
        <v>82110</v>
      </c>
      <c r="Q115" s="20">
        <v>1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31</v>
      </c>
      <c r="X115" s="20">
        <v>19040</v>
      </c>
      <c r="Y115" s="20">
        <v>0</v>
      </c>
      <c r="Z115" s="20">
        <v>0</v>
      </c>
      <c r="AA115" s="20">
        <v>0</v>
      </c>
      <c r="AB115" s="20">
        <v>0</v>
      </c>
      <c r="AC115" s="20">
        <v>119000</v>
      </c>
      <c r="AD115" s="20">
        <v>82110</v>
      </c>
      <c r="AE115" s="20">
        <v>0</v>
      </c>
      <c r="AF115" s="20">
        <v>19040</v>
      </c>
      <c r="AG115" s="20">
        <v>99960</v>
      </c>
      <c r="AH115" s="20">
        <v>82110</v>
      </c>
      <c r="AI115" s="20">
        <v>16227</v>
      </c>
      <c r="AJ115" s="20">
        <v>1623</v>
      </c>
      <c r="AK115" s="20">
        <v>17850</v>
      </c>
    </row>
    <row r="116" spans="1:37" ht="16.5" customHeight="1" x14ac:dyDescent="0.3">
      <c r="A116" s="18" t="s">
        <v>432</v>
      </c>
      <c r="B116" s="18" t="s">
        <v>107</v>
      </c>
      <c r="C116" s="19" t="s">
        <v>108</v>
      </c>
      <c r="D116" s="18" t="s">
        <v>1138</v>
      </c>
      <c r="E116" s="19" t="s">
        <v>1007</v>
      </c>
      <c r="F116" s="18" t="s">
        <v>110</v>
      </c>
      <c r="G116" s="18" t="s">
        <v>111</v>
      </c>
      <c r="H116" s="19" t="s">
        <v>112</v>
      </c>
      <c r="I116" s="18" t="s">
        <v>113</v>
      </c>
      <c r="J116" s="19" t="s">
        <v>114</v>
      </c>
      <c r="K116" s="19" t="s">
        <v>115</v>
      </c>
      <c r="L116" s="18" t="s">
        <v>116</v>
      </c>
      <c r="M116" s="18" t="s">
        <v>133</v>
      </c>
      <c r="N116" s="18" t="s">
        <v>118</v>
      </c>
      <c r="O116" s="20">
        <v>119000</v>
      </c>
      <c r="P116" s="20">
        <v>82110</v>
      </c>
      <c r="Q116" s="20">
        <v>1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31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119000</v>
      </c>
      <c r="AD116" s="20">
        <v>82110</v>
      </c>
      <c r="AE116" s="20">
        <v>0</v>
      </c>
      <c r="AF116" s="20">
        <v>0</v>
      </c>
      <c r="AG116" s="20">
        <v>119000</v>
      </c>
      <c r="AH116" s="20">
        <v>82110</v>
      </c>
      <c r="AI116" s="20">
        <v>33536</v>
      </c>
      <c r="AJ116" s="20">
        <v>3354</v>
      </c>
      <c r="AK116" s="20">
        <v>36890</v>
      </c>
    </row>
    <row r="117" spans="1:37" ht="16.5" customHeight="1" x14ac:dyDescent="0.3">
      <c r="A117" s="18" t="s">
        <v>435</v>
      </c>
      <c r="B117" s="18" t="s">
        <v>107</v>
      </c>
      <c r="C117" s="19" t="s">
        <v>108</v>
      </c>
      <c r="D117" s="18" t="s">
        <v>1083</v>
      </c>
      <c r="E117" s="19" t="s">
        <v>289</v>
      </c>
      <c r="F117" s="18" t="s">
        <v>110</v>
      </c>
      <c r="G117" s="18" t="s">
        <v>111</v>
      </c>
      <c r="H117" s="19" t="s">
        <v>112</v>
      </c>
      <c r="I117" s="18" t="s">
        <v>113</v>
      </c>
      <c r="J117" s="19" t="s">
        <v>114</v>
      </c>
      <c r="K117" s="19" t="s">
        <v>151</v>
      </c>
      <c r="L117" s="18" t="s">
        <v>116</v>
      </c>
      <c r="M117" s="18" t="s">
        <v>133</v>
      </c>
      <c r="N117" s="18" t="s">
        <v>118</v>
      </c>
      <c r="O117" s="20">
        <v>119000</v>
      </c>
      <c r="P117" s="20">
        <v>82110</v>
      </c>
      <c r="Q117" s="20">
        <v>1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31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119000</v>
      </c>
      <c r="AD117" s="20">
        <v>82110</v>
      </c>
      <c r="AE117" s="20">
        <v>0</v>
      </c>
      <c r="AF117" s="20">
        <v>0</v>
      </c>
      <c r="AG117" s="20">
        <v>119000</v>
      </c>
      <c r="AH117" s="20">
        <v>82110</v>
      </c>
      <c r="AI117" s="20">
        <v>33536</v>
      </c>
      <c r="AJ117" s="20">
        <v>3354</v>
      </c>
      <c r="AK117" s="20">
        <v>36890</v>
      </c>
    </row>
    <row r="118" spans="1:37" ht="16.5" customHeight="1" x14ac:dyDescent="0.3">
      <c r="A118" s="18" t="s">
        <v>438</v>
      </c>
      <c r="B118" s="18" t="s">
        <v>107</v>
      </c>
      <c r="C118" s="19" t="s">
        <v>108</v>
      </c>
      <c r="D118" s="18" t="s">
        <v>902</v>
      </c>
      <c r="E118" s="19" t="s">
        <v>903</v>
      </c>
      <c r="F118" s="18" t="s">
        <v>110</v>
      </c>
      <c r="G118" s="18" t="s">
        <v>111</v>
      </c>
      <c r="H118" s="19" t="s">
        <v>112</v>
      </c>
      <c r="I118" s="18" t="s">
        <v>113</v>
      </c>
      <c r="J118" s="19" t="s">
        <v>114</v>
      </c>
      <c r="K118" s="19" t="s">
        <v>115</v>
      </c>
      <c r="L118" s="18" t="s">
        <v>116</v>
      </c>
      <c r="M118" s="18" t="s">
        <v>133</v>
      </c>
      <c r="N118" s="18" t="s">
        <v>118</v>
      </c>
      <c r="O118" s="20">
        <v>119000</v>
      </c>
      <c r="P118" s="20">
        <v>82110</v>
      </c>
      <c r="Q118" s="20">
        <v>1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31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119000</v>
      </c>
      <c r="AD118" s="20">
        <v>82110</v>
      </c>
      <c r="AE118" s="20">
        <v>0</v>
      </c>
      <c r="AF118" s="20">
        <v>0</v>
      </c>
      <c r="AG118" s="20">
        <v>119000</v>
      </c>
      <c r="AH118" s="20">
        <v>82110</v>
      </c>
      <c r="AI118" s="20">
        <v>33536</v>
      </c>
      <c r="AJ118" s="20">
        <v>3354</v>
      </c>
      <c r="AK118" s="20">
        <v>36890</v>
      </c>
    </row>
    <row r="119" spans="1:37" ht="16.5" customHeight="1" x14ac:dyDescent="0.3">
      <c r="A119" s="18" t="s">
        <v>441</v>
      </c>
      <c r="B119" s="18" t="s">
        <v>107</v>
      </c>
      <c r="C119" s="19" t="s">
        <v>108</v>
      </c>
      <c r="D119" s="18" t="s">
        <v>785</v>
      </c>
      <c r="E119" s="19" t="s">
        <v>786</v>
      </c>
      <c r="F119" s="18" t="s">
        <v>110</v>
      </c>
      <c r="G119" s="18" t="s">
        <v>111</v>
      </c>
      <c r="H119" s="19" t="s">
        <v>112</v>
      </c>
      <c r="I119" s="18" t="s">
        <v>113</v>
      </c>
      <c r="J119" s="19" t="s">
        <v>114</v>
      </c>
      <c r="K119" s="19" t="s">
        <v>115</v>
      </c>
      <c r="L119" s="18" t="s">
        <v>116</v>
      </c>
      <c r="M119" s="18" t="s">
        <v>133</v>
      </c>
      <c r="N119" s="18" t="s">
        <v>118</v>
      </c>
      <c r="O119" s="20">
        <v>119000</v>
      </c>
      <c r="P119" s="20">
        <v>82110</v>
      </c>
      <c r="Q119" s="20">
        <v>1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31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119000</v>
      </c>
      <c r="AD119" s="20">
        <v>82110</v>
      </c>
      <c r="AE119" s="20">
        <v>0</v>
      </c>
      <c r="AF119" s="20">
        <v>0</v>
      </c>
      <c r="AG119" s="20">
        <v>119000</v>
      </c>
      <c r="AH119" s="20">
        <v>82110</v>
      </c>
      <c r="AI119" s="20">
        <v>33536</v>
      </c>
      <c r="AJ119" s="20">
        <v>3354</v>
      </c>
      <c r="AK119" s="20">
        <v>36890</v>
      </c>
    </row>
    <row r="120" spans="1:37" ht="16.5" customHeight="1" x14ac:dyDescent="0.3">
      <c r="A120" s="18" t="s">
        <v>444</v>
      </c>
      <c r="B120" s="18" t="s">
        <v>107</v>
      </c>
      <c r="C120" s="19" t="s">
        <v>108</v>
      </c>
      <c r="D120" s="18" t="s">
        <v>791</v>
      </c>
      <c r="E120" s="19" t="s">
        <v>340</v>
      </c>
      <c r="F120" s="18" t="s">
        <v>110</v>
      </c>
      <c r="G120" s="18" t="s">
        <v>111</v>
      </c>
      <c r="H120" s="19" t="s">
        <v>112</v>
      </c>
      <c r="I120" s="18" t="s">
        <v>113</v>
      </c>
      <c r="J120" s="19" t="s">
        <v>114</v>
      </c>
      <c r="K120" s="19" t="s">
        <v>115</v>
      </c>
      <c r="L120" s="18" t="s">
        <v>116</v>
      </c>
      <c r="M120" s="18" t="s">
        <v>133</v>
      </c>
      <c r="N120" s="18" t="s">
        <v>118</v>
      </c>
      <c r="O120" s="20">
        <v>119000</v>
      </c>
      <c r="P120" s="20">
        <v>82110</v>
      </c>
      <c r="Q120" s="20">
        <v>1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31</v>
      </c>
      <c r="X120" s="20">
        <v>0</v>
      </c>
      <c r="Y120" s="20">
        <v>10000</v>
      </c>
      <c r="Z120" s="20">
        <v>0</v>
      </c>
      <c r="AA120" s="20">
        <v>0</v>
      </c>
      <c r="AB120" s="20">
        <v>0</v>
      </c>
      <c r="AC120" s="20">
        <v>119000</v>
      </c>
      <c r="AD120" s="20">
        <v>82110</v>
      </c>
      <c r="AE120" s="20">
        <v>0</v>
      </c>
      <c r="AF120" s="20">
        <v>10000</v>
      </c>
      <c r="AG120" s="20">
        <v>109000</v>
      </c>
      <c r="AH120" s="20">
        <v>82110</v>
      </c>
      <c r="AI120" s="20">
        <v>24445</v>
      </c>
      <c r="AJ120" s="20">
        <v>2445</v>
      </c>
      <c r="AK120" s="20">
        <v>26890</v>
      </c>
    </row>
    <row r="121" spans="1:37" ht="16.5" customHeight="1" x14ac:dyDescent="0.3">
      <c r="A121" s="18" t="s">
        <v>447</v>
      </c>
      <c r="B121" s="18" t="s">
        <v>107</v>
      </c>
      <c r="C121" s="19" t="s">
        <v>108</v>
      </c>
      <c r="D121" s="18" t="s">
        <v>660</v>
      </c>
      <c r="E121" s="19" t="s">
        <v>520</v>
      </c>
      <c r="F121" s="18" t="s">
        <v>110</v>
      </c>
      <c r="G121" s="18" t="s">
        <v>111</v>
      </c>
      <c r="H121" s="19" t="s">
        <v>112</v>
      </c>
      <c r="I121" s="18" t="s">
        <v>113</v>
      </c>
      <c r="J121" s="19" t="s">
        <v>114</v>
      </c>
      <c r="K121" s="19" t="s">
        <v>115</v>
      </c>
      <c r="L121" s="18" t="s">
        <v>116</v>
      </c>
      <c r="M121" s="18" t="s">
        <v>133</v>
      </c>
      <c r="N121" s="18" t="s">
        <v>118</v>
      </c>
      <c r="O121" s="20">
        <v>119000</v>
      </c>
      <c r="P121" s="20">
        <v>82110</v>
      </c>
      <c r="Q121" s="20">
        <v>1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31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119000</v>
      </c>
      <c r="AD121" s="20">
        <v>82110</v>
      </c>
      <c r="AE121" s="20">
        <v>0</v>
      </c>
      <c r="AF121" s="20">
        <v>0</v>
      </c>
      <c r="AG121" s="20">
        <v>119000</v>
      </c>
      <c r="AH121" s="20">
        <v>82110</v>
      </c>
      <c r="AI121" s="20">
        <v>33536</v>
      </c>
      <c r="AJ121" s="20">
        <v>3354</v>
      </c>
      <c r="AK121" s="20">
        <v>36890</v>
      </c>
    </row>
    <row r="122" spans="1:37" ht="16.5" customHeight="1" x14ac:dyDescent="0.3">
      <c r="A122" s="18" t="s">
        <v>450</v>
      </c>
      <c r="B122" s="18" t="s">
        <v>107</v>
      </c>
      <c r="C122" s="19" t="s">
        <v>108</v>
      </c>
      <c r="D122" s="18" t="s">
        <v>794</v>
      </c>
      <c r="E122" s="19" t="s">
        <v>420</v>
      </c>
      <c r="F122" s="18" t="s">
        <v>110</v>
      </c>
      <c r="G122" s="18" t="s">
        <v>111</v>
      </c>
      <c r="H122" s="19" t="s">
        <v>112</v>
      </c>
      <c r="I122" s="18" t="s">
        <v>113</v>
      </c>
      <c r="J122" s="19" t="s">
        <v>114</v>
      </c>
      <c r="K122" s="19" t="s">
        <v>115</v>
      </c>
      <c r="L122" s="18" t="s">
        <v>116</v>
      </c>
      <c r="M122" s="18" t="s">
        <v>133</v>
      </c>
      <c r="N122" s="18" t="s">
        <v>118</v>
      </c>
      <c r="O122" s="20">
        <v>119000</v>
      </c>
      <c r="P122" s="20">
        <v>82110</v>
      </c>
      <c r="Q122" s="20">
        <v>1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31</v>
      </c>
      <c r="X122" s="20">
        <v>0</v>
      </c>
      <c r="Y122" s="20">
        <v>0</v>
      </c>
      <c r="Z122" s="20">
        <v>0</v>
      </c>
      <c r="AA122" s="20">
        <v>0</v>
      </c>
      <c r="AB122" s="20">
        <v>5950</v>
      </c>
      <c r="AC122" s="20">
        <v>119000</v>
      </c>
      <c r="AD122" s="20">
        <v>82110</v>
      </c>
      <c r="AE122" s="20">
        <v>0</v>
      </c>
      <c r="AF122" s="20">
        <v>5950</v>
      </c>
      <c r="AG122" s="20">
        <v>113050</v>
      </c>
      <c r="AH122" s="20">
        <v>82110</v>
      </c>
      <c r="AI122" s="20">
        <v>28127</v>
      </c>
      <c r="AJ122" s="20">
        <v>2813</v>
      </c>
      <c r="AK122" s="20">
        <v>30940</v>
      </c>
    </row>
    <row r="123" spans="1:37" ht="16.5" customHeight="1" x14ac:dyDescent="0.3">
      <c r="A123" s="18" t="s">
        <v>453</v>
      </c>
      <c r="B123" s="18" t="s">
        <v>107</v>
      </c>
      <c r="C123" s="19" t="s">
        <v>108</v>
      </c>
      <c r="D123" s="18" t="s">
        <v>222</v>
      </c>
      <c r="E123" s="19" t="s">
        <v>223</v>
      </c>
      <c r="F123" s="18" t="s">
        <v>110</v>
      </c>
      <c r="G123" s="18" t="s">
        <v>111</v>
      </c>
      <c r="H123" s="19" t="s">
        <v>112</v>
      </c>
      <c r="I123" s="18" t="s">
        <v>113</v>
      </c>
      <c r="J123" s="19" t="s">
        <v>114</v>
      </c>
      <c r="K123" s="19" t="s">
        <v>115</v>
      </c>
      <c r="L123" s="18" t="s">
        <v>116</v>
      </c>
      <c r="M123" s="18" t="s">
        <v>133</v>
      </c>
      <c r="N123" s="18" t="s">
        <v>118</v>
      </c>
      <c r="O123" s="20">
        <v>119000</v>
      </c>
      <c r="P123" s="20">
        <v>82110</v>
      </c>
      <c r="Q123" s="20">
        <v>1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31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119000</v>
      </c>
      <c r="AD123" s="20">
        <v>82110</v>
      </c>
      <c r="AE123" s="20">
        <v>0</v>
      </c>
      <c r="AF123" s="20">
        <v>0</v>
      </c>
      <c r="AG123" s="20">
        <v>119000</v>
      </c>
      <c r="AH123" s="20">
        <v>82110</v>
      </c>
      <c r="AI123" s="20">
        <v>33536</v>
      </c>
      <c r="AJ123" s="20">
        <v>3354</v>
      </c>
      <c r="AK123" s="20">
        <v>36890</v>
      </c>
    </row>
    <row r="124" spans="1:37" ht="16.5" customHeight="1" x14ac:dyDescent="0.3">
      <c r="A124" s="18" t="s">
        <v>456</v>
      </c>
      <c r="B124" s="18" t="s">
        <v>107</v>
      </c>
      <c r="C124" s="19" t="s">
        <v>108</v>
      </c>
      <c r="D124" s="18" t="s">
        <v>797</v>
      </c>
      <c r="E124" s="19" t="s">
        <v>136</v>
      </c>
      <c r="F124" s="18" t="s">
        <v>110</v>
      </c>
      <c r="G124" s="18" t="s">
        <v>111</v>
      </c>
      <c r="H124" s="19" t="s">
        <v>112</v>
      </c>
      <c r="I124" s="18" t="s">
        <v>113</v>
      </c>
      <c r="J124" s="19" t="s">
        <v>114</v>
      </c>
      <c r="K124" s="19" t="s">
        <v>123</v>
      </c>
      <c r="L124" s="18" t="s">
        <v>116</v>
      </c>
      <c r="M124" s="18" t="s">
        <v>133</v>
      </c>
      <c r="N124" s="18" t="s">
        <v>118</v>
      </c>
      <c r="O124" s="20">
        <v>119000</v>
      </c>
      <c r="P124" s="20">
        <v>82110</v>
      </c>
      <c r="Q124" s="20">
        <v>1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31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119000</v>
      </c>
      <c r="AD124" s="20">
        <v>82110</v>
      </c>
      <c r="AE124" s="20">
        <v>0</v>
      </c>
      <c r="AF124" s="20">
        <v>0</v>
      </c>
      <c r="AG124" s="20">
        <v>119000</v>
      </c>
      <c r="AH124" s="20">
        <v>82110</v>
      </c>
      <c r="AI124" s="20">
        <v>33536</v>
      </c>
      <c r="AJ124" s="20">
        <v>3354</v>
      </c>
      <c r="AK124" s="20">
        <v>36890</v>
      </c>
    </row>
    <row r="125" spans="1:37" ht="16.5" customHeight="1" x14ac:dyDescent="0.3">
      <c r="A125" s="18" t="s">
        <v>459</v>
      </c>
      <c r="B125" s="18" t="s">
        <v>107</v>
      </c>
      <c r="C125" s="19" t="s">
        <v>108</v>
      </c>
      <c r="D125" s="18" t="s">
        <v>1022</v>
      </c>
      <c r="E125" s="19" t="s">
        <v>1023</v>
      </c>
      <c r="F125" s="18" t="s">
        <v>110</v>
      </c>
      <c r="G125" s="18" t="s">
        <v>111</v>
      </c>
      <c r="H125" s="19" t="s">
        <v>112</v>
      </c>
      <c r="I125" s="18" t="s">
        <v>113</v>
      </c>
      <c r="J125" s="19" t="s">
        <v>114</v>
      </c>
      <c r="K125" s="19" t="s">
        <v>115</v>
      </c>
      <c r="L125" s="18" t="s">
        <v>116</v>
      </c>
      <c r="M125" s="18" t="s">
        <v>133</v>
      </c>
      <c r="N125" s="18" t="s">
        <v>118</v>
      </c>
      <c r="O125" s="20">
        <v>119000</v>
      </c>
      <c r="P125" s="20">
        <v>82110</v>
      </c>
      <c r="Q125" s="20">
        <v>1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31</v>
      </c>
      <c r="X125" s="20">
        <v>0</v>
      </c>
      <c r="Y125" s="20">
        <v>10000</v>
      </c>
      <c r="Z125" s="20">
        <v>0</v>
      </c>
      <c r="AA125" s="20">
        <v>0</v>
      </c>
      <c r="AB125" s="20">
        <v>0</v>
      </c>
      <c r="AC125" s="20">
        <v>119000</v>
      </c>
      <c r="AD125" s="20">
        <v>82110</v>
      </c>
      <c r="AE125" s="20">
        <v>0</v>
      </c>
      <c r="AF125" s="20">
        <v>10000</v>
      </c>
      <c r="AG125" s="20">
        <v>109000</v>
      </c>
      <c r="AH125" s="20">
        <v>82110</v>
      </c>
      <c r="AI125" s="20">
        <v>24445</v>
      </c>
      <c r="AJ125" s="20">
        <v>2445</v>
      </c>
      <c r="AK125" s="20">
        <v>26890</v>
      </c>
    </row>
    <row r="126" spans="1:37" ht="16.5" customHeight="1" x14ac:dyDescent="0.3">
      <c r="A126" s="18" t="s">
        <v>461</v>
      </c>
      <c r="B126" s="18" t="s">
        <v>107</v>
      </c>
      <c r="C126" s="19" t="s">
        <v>108</v>
      </c>
      <c r="D126" s="18" t="s">
        <v>1025</v>
      </c>
      <c r="E126" s="19" t="s">
        <v>1007</v>
      </c>
      <c r="F126" s="18" t="s">
        <v>110</v>
      </c>
      <c r="G126" s="18" t="s">
        <v>111</v>
      </c>
      <c r="H126" s="19" t="s">
        <v>112</v>
      </c>
      <c r="I126" s="18" t="s">
        <v>113</v>
      </c>
      <c r="J126" s="19" t="s">
        <v>114</v>
      </c>
      <c r="K126" s="19" t="s">
        <v>115</v>
      </c>
      <c r="L126" s="18" t="s">
        <v>116</v>
      </c>
      <c r="M126" s="18" t="s">
        <v>133</v>
      </c>
      <c r="N126" s="18" t="s">
        <v>118</v>
      </c>
      <c r="O126" s="20">
        <v>119000</v>
      </c>
      <c r="P126" s="20">
        <v>82110</v>
      </c>
      <c r="Q126" s="20">
        <v>1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31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119000</v>
      </c>
      <c r="AD126" s="20">
        <v>82110</v>
      </c>
      <c r="AE126" s="20">
        <v>0</v>
      </c>
      <c r="AF126" s="20">
        <v>0</v>
      </c>
      <c r="AG126" s="20">
        <v>119000</v>
      </c>
      <c r="AH126" s="20">
        <v>82110</v>
      </c>
      <c r="AI126" s="20">
        <v>33536</v>
      </c>
      <c r="AJ126" s="20">
        <v>3354</v>
      </c>
      <c r="AK126" s="20">
        <v>36890</v>
      </c>
    </row>
    <row r="127" spans="1:37" ht="16.5" customHeight="1" x14ac:dyDescent="0.3">
      <c r="A127" s="18" t="s">
        <v>464</v>
      </c>
      <c r="B127" s="18" t="s">
        <v>107</v>
      </c>
      <c r="C127" s="19" t="s">
        <v>108</v>
      </c>
      <c r="D127" s="18" t="s">
        <v>1027</v>
      </c>
      <c r="E127" s="19" t="s">
        <v>120</v>
      </c>
      <c r="F127" s="18" t="s">
        <v>110</v>
      </c>
      <c r="G127" s="18" t="s">
        <v>111</v>
      </c>
      <c r="H127" s="19" t="s">
        <v>112</v>
      </c>
      <c r="I127" s="18" t="s">
        <v>113</v>
      </c>
      <c r="J127" s="19" t="s">
        <v>114</v>
      </c>
      <c r="K127" s="19" t="s">
        <v>115</v>
      </c>
      <c r="L127" s="18" t="s">
        <v>116</v>
      </c>
      <c r="M127" s="18" t="s">
        <v>133</v>
      </c>
      <c r="N127" s="18" t="s">
        <v>118</v>
      </c>
      <c r="O127" s="20">
        <v>119000</v>
      </c>
      <c r="P127" s="20">
        <v>82110</v>
      </c>
      <c r="Q127" s="20">
        <v>1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31</v>
      </c>
      <c r="X127" s="20">
        <v>0</v>
      </c>
      <c r="Y127" s="20">
        <v>0</v>
      </c>
      <c r="Z127" s="20">
        <v>0</v>
      </c>
      <c r="AA127" s="20">
        <v>0</v>
      </c>
      <c r="AB127" s="20">
        <v>5950</v>
      </c>
      <c r="AC127" s="20">
        <v>119000</v>
      </c>
      <c r="AD127" s="20">
        <v>82110</v>
      </c>
      <c r="AE127" s="20">
        <v>0</v>
      </c>
      <c r="AF127" s="20">
        <v>5950</v>
      </c>
      <c r="AG127" s="20">
        <v>113050</v>
      </c>
      <c r="AH127" s="20">
        <v>82110</v>
      </c>
      <c r="AI127" s="20">
        <v>28127</v>
      </c>
      <c r="AJ127" s="20">
        <v>2813</v>
      </c>
      <c r="AK127" s="20">
        <v>30940</v>
      </c>
    </row>
    <row r="128" spans="1:37" ht="16.5" customHeight="1" x14ac:dyDescent="0.3">
      <c r="A128" s="18" t="s">
        <v>466</v>
      </c>
      <c r="B128" s="18" t="s">
        <v>107</v>
      </c>
      <c r="C128" s="19" t="s">
        <v>108</v>
      </c>
      <c r="D128" s="18" t="s">
        <v>1029</v>
      </c>
      <c r="E128" s="19" t="s">
        <v>644</v>
      </c>
      <c r="F128" s="18" t="s">
        <v>110</v>
      </c>
      <c r="G128" s="18" t="s">
        <v>111</v>
      </c>
      <c r="H128" s="19" t="s">
        <v>112</v>
      </c>
      <c r="I128" s="18" t="s">
        <v>113</v>
      </c>
      <c r="J128" s="19" t="s">
        <v>114</v>
      </c>
      <c r="K128" s="19" t="s">
        <v>115</v>
      </c>
      <c r="L128" s="18" t="s">
        <v>116</v>
      </c>
      <c r="M128" s="18" t="s">
        <v>133</v>
      </c>
      <c r="N128" s="18" t="s">
        <v>118</v>
      </c>
      <c r="O128" s="20">
        <v>119000</v>
      </c>
      <c r="P128" s="20">
        <v>82110</v>
      </c>
      <c r="Q128" s="20">
        <v>1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31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119000</v>
      </c>
      <c r="AD128" s="20">
        <v>82110</v>
      </c>
      <c r="AE128" s="20">
        <v>0</v>
      </c>
      <c r="AF128" s="20">
        <v>0</v>
      </c>
      <c r="AG128" s="20">
        <v>119000</v>
      </c>
      <c r="AH128" s="20">
        <v>82110</v>
      </c>
      <c r="AI128" s="20">
        <v>33536</v>
      </c>
      <c r="AJ128" s="20">
        <v>3354</v>
      </c>
      <c r="AK128" s="20">
        <v>36890</v>
      </c>
    </row>
    <row r="129" spans="1:37" ht="16.5" customHeight="1" x14ac:dyDescent="0.3">
      <c r="A129" s="18" t="s">
        <v>469</v>
      </c>
      <c r="B129" s="18" t="s">
        <v>107</v>
      </c>
      <c r="C129" s="19" t="s">
        <v>108</v>
      </c>
      <c r="D129" s="18" t="s">
        <v>1031</v>
      </c>
      <c r="E129" s="19" t="s">
        <v>1032</v>
      </c>
      <c r="F129" s="18" t="s">
        <v>110</v>
      </c>
      <c r="G129" s="18" t="s">
        <v>111</v>
      </c>
      <c r="H129" s="19" t="s">
        <v>112</v>
      </c>
      <c r="I129" s="18" t="s">
        <v>113</v>
      </c>
      <c r="J129" s="19" t="s">
        <v>114</v>
      </c>
      <c r="K129" s="19" t="s">
        <v>115</v>
      </c>
      <c r="L129" s="18" t="s">
        <v>116</v>
      </c>
      <c r="M129" s="18" t="s">
        <v>133</v>
      </c>
      <c r="N129" s="18" t="s">
        <v>118</v>
      </c>
      <c r="O129" s="20">
        <v>119000</v>
      </c>
      <c r="P129" s="20">
        <v>82110</v>
      </c>
      <c r="Q129" s="20">
        <v>1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31</v>
      </c>
      <c r="X129" s="20">
        <v>19040</v>
      </c>
      <c r="Y129" s="20">
        <v>0</v>
      </c>
      <c r="Z129" s="20">
        <v>0</v>
      </c>
      <c r="AA129" s="20">
        <v>0</v>
      </c>
      <c r="AB129" s="20">
        <v>0</v>
      </c>
      <c r="AC129" s="20">
        <v>119000</v>
      </c>
      <c r="AD129" s="20">
        <v>82110</v>
      </c>
      <c r="AE129" s="20">
        <v>0</v>
      </c>
      <c r="AF129" s="20">
        <v>19040</v>
      </c>
      <c r="AG129" s="20">
        <v>99960</v>
      </c>
      <c r="AH129" s="20">
        <v>82110</v>
      </c>
      <c r="AI129" s="20">
        <v>16227</v>
      </c>
      <c r="AJ129" s="20">
        <v>1623</v>
      </c>
      <c r="AK129" s="20">
        <v>17850</v>
      </c>
    </row>
    <row r="130" spans="1:37" ht="16.5" customHeight="1" x14ac:dyDescent="0.3">
      <c r="A130" s="18" t="s">
        <v>471</v>
      </c>
      <c r="B130" s="18" t="s">
        <v>107</v>
      </c>
      <c r="C130" s="19" t="s">
        <v>108</v>
      </c>
      <c r="D130" s="18" t="s">
        <v>660</v>
      </c>
      <c r="E130" s="19" t="s">
        <v>520</v>
      </c>
      <c r="F130" s="18" t="s">
        <v>110</v>
      </c>
      <c r="G130" s="18" t="s">
        <v>111</v>
      </c>
      <c r="H130" s="19" t="s">
        <v>112</v>
      </c>
      <c r="I130" s="18" t="s">
        <v>113</v>
      </c>
      <c r="J130" s="19" t="s">
        <v>114</v>
      </c>
      <c r="K130" s="19" t="s">
        <v>115</v>
      </c>
      <c r="L130" s="18" t="s">
        <v>116</v>
      </c>
      <c r="M130" s="18" t="s">
        <v>133</v>
      </c>
      <c r="N130" s="18" t="s">
        <v>118</v>
      </c>
      <c r="O130" s="20">
        <v>119000</v>
      </c>
      <c r="P130" s="20">
        <v>82110</v>
      </c>
      <c r="Q130" s="20">
        <v>1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31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119000</v>
      </c>
      <c r="AD130" s="20">
        <v>82110</v>
      </c>
      <c r="AE130" s="20">
        <v>0</v>
      </c>
      <c r="AF130" s="20">
        <v>0</v>
      </c>
      <c r="AG130" s="20">
        <v>119000</v>
      </c>
      <c r="AH130" s="20">
        <v>82110</v>
      </c>
      <c r="AI130" s="20">
        <v>33536</v>
      </c>
      <c r="AJ130" s="20">
        <v>3354</v>
      </c>
      <c r="AK130" s="20">
        <v>36890</v>
      </c>
    </row>
    <row r="131" spans="1:37" ht="16.5" customHeight="1" x14ac:dyDescent="0.3">
      <c r="A131" s="18" t="s">
        <v>474</v>
      </c>
      <c r="B131" s="18" t="s">
        <v>107</v>
      </c>
      <c r="C131" s="19" t="s">
        <v>108</v>
      </c>
      <c r="D131" s="18" t="s">
        <v>1215</v>
      </c>
      <c r="E131" s="19" t="s">
        <v>232</v>
      </c>
      <c r="F131" s="18" t="s">
        <v>110</v>
      </c>
      <c r="G131" s="18" t="s">
        <v>111</v>
      </c>
      <c r="H131" s="19" t="s">
        <v>112</v>
      </c>
      <c r="I131" s="18" t="s">
        <v>113</v>
      </c>
      <c r="J131" s="19" t="s">
        <v>114</v>
      </c>
      <c r="K131" s="19" t="s">
        <v>115</v>
      </c>
      <c r="L131" s="18" t="s">
        <v>116</v>
      </c>
      <c r="M131" s="18" t="s">
        <v>133</v>
      </c>
      <c r="N131" s="18" t="s">
        <v>118</v>
      </c>
      <c r="O131" s="20">
        <v>119000</v>
      </c>
      <c r="P131" s="20">
        <v>82110</v>
      </c>
      <c r="Q131" s="20">
        <v>1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31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119000</v>
      </c>
      <c r="AD131" s="20">
        <v>82110</v>
      </c>
      <c r="AE131" s="20">
        <v>0</v>
      </c>
      <c r="AF131" s="20">
        <v>0</v>
      </c>
      <c r="AG131" s="20">
        <v>119000</v>
      </c>
      <c r="AH131" s="20">
        <v>82110</v>
      </c>
      <c r="AI131" s="20">
        <v>33536</v>
      </c>
      <c r="AJ131" s="20">
        <v>3354</v>
      </c>
      <c r="AK131" s="20">
        <v>36890</v>
      </c>
    </row>
    <row r="132" spans="1:37" ht="16.5" customHeight="1" x14ac:dyDescent="0.3">
      <c r="A132" s="18" t="s">
        <v>477</v>
      </c>
      <c r="B132" s="18" t="s">
        <v>107</v>
      </c>
      <c r="C132" s="19" t="s">
        <v>108</v>
      </c>
      <c r="D132" s="18" t="s">
        <v>1085</v>
      </c>
      <c r="E132" s="19" t="s">
        <v>617</v>
      </c>
      <c r="F132" s="18" t="s">
        <v>110</v>
      </c>
      <c r="G132" s="18" t="s">
        <v>111</v>
      </c>
      <c r="H132" s="19" t="s">
        <v>112</v>
      </c>
      <c r="I132" s="18" t="s">
        <v>113</v>
      </c>
      <c r="J132" s="19" t="s">
        <v>114</v>
      </c>
      <c r="K132" s="19" t="s">
        <v>115</v>
      </c>
      <c r="L132" s="18" t="s">
        <v>116</v>
      </c>
      <c r="M132" s="18" t="s">
        <v>133</v>
      </c>
      <c r="N132" s="18" t="s">
        <v>118</v>
      </c>
      <c r="O132" s="20">
        <v>119000</v>
      </c>
      <c r="P132" s="20">
        <v>82110</v>
      </c>
      <c r="Q132" s="20">
        <v>1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31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119000</v>
      </c>
      <c r="AD132" s="20">
        <v>82110</v>
      </c>
      <c r="AE132" s="20">
        <v>0</v>
      </c>
      <c r="AF132" s="20">
        <v>0</v>
      </c>
      <c r="AG132" s="20">
        <v>119000</v>
      </c>
      <c r="AH132" s="20">
        <v>82110</v>
      </c>
      <c r="AI132" s="20">
        <v>33536</v>
      </c>
      <c r="AJ132" s="20">
        <v>3354</v>
      </c>
      <c r="AK132" s="20">
        <v>36890</v>
      </c>
    </row>
    <row r="133" spans="1:37" ht="16.5" customHeight="1" x14ac:dyDescent="0.3">
      <c r="A133" s="18" t="s">
        <v>480</v>
      </c>
      <c r="B133" s="18" t="s">
        <v>107</v>
      </c>
      <c r="C133" s="19" t="s">
        <v>108</v>
      </c>
      <c r="D133" s="18" t="s">
        <v>815</v>
      </c>
      <c r="E133" s="19" t="s">
        <v>816</v>
      </c>
      <c r="F133" s="18" t="s">
        <v>110</v>
      </c>
      <c r="G133" s="18" t="s">
        <v>111</v>
      </c>
      <c r="H133" s="19" t="s">
        <v>112</v>
      </c>
      <c r="I133" s="18" t="s">
        <v>113</v>
      </c>
      <c r="J133" s="19" t="s">
        <v>114</v>
      </c>
      <c r="K133" s="19" t="s">
        <v>115</v>
      </c>
      <c r="L133" s="18" t="s">
        <v>116</v>
      </c>
      <c r="M133" s="18" t="s">
        <v>133</v>
      </c>
      <c r="N133" s="18" t="s">
        <v>118</v>
      </c>
      <c r="O133" s="20">
        <v>119000</v>
      </c>
      <c r="P133" s="20">
        <v>82110</v>
      </c>
      <c r="Q133" s="20">
        <v>1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31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119000</v>
      </c>
      <c r="AD133" s="20">
        <v>82110</v>
      </c>
      <c r="AE133" s="20">
        <v>0</v>
      </c>
      <c r="AF133" s="20">
        <v>0</v>
      </c>
      <c r="AG133" s="20">
        <v>119000</v>
      </c>
      <c r="AH133" s="20">
        <v>82110</v>
      </c>
      <c r="AI133" s="20">
        <v>33536</v>
      </c>
      <c r="AJ133" s="20">
        <v>3354</v>
      </c>
      <c r="AK133" s="20">
        <v>36890</v>
      </c>
    </row>
    <row r="134" spans="1:37" ht="16.5" customHeight="1" x14ac:dyDescent="0.3">
      <c r="A134" s="18" t="s">
        <v>483</v>
      </c>
      <c r="B134" s="18" t="s">
        <v>107</v>
      </c>
      <c r="C134" s="19" t="s">
        <v>108</v>
      </c>
      <c r="D134" s="18" t="s">
        <v>818</v>
      </c>
      <c r="E134" s="19" t="s">
        <v>378</v>
      </c>
      <c r="F134" s="18" t="s">
        <v>110</v>
      </c>
      <c r="G134" s="18" t="s">
        <v>111</v>
      </c>
      <c r="H134" s="19" t="s">
        <v>112</v>
      </c>
      <c r="I134" s="18" t="s">
        <v>113</v>
      </c>
      <c r="J134" s="19" t="s">
        <v>114</v>
      </c>
      <c r="K134" s="19" t="s">
        <v>115</v>
      </c>
      <c r="L134" s="18" t="s">
        <v>116</v>
      </c>
      <c r="M134" s="18" t="s">
        <v>133</v>
      </c>
      <c r="N134" s="18" t="s">
        <v>118</v>
      </c>
      <c r="O134" s="20">
        <v>119000</v>
      </c>
      <c r="P134" s="20">
        <v>82110</v>
      </c>
      <c r="Q134" s="20">
        <v>1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31</v>
      </c>
      <c r="X134" s="20">
        <v>0</v>
      </c>
      <c r="Y134" s="20">
        <v>10000</v>
      </c>
      <c r="Z134" s="20">
        <v>0</v>
      </c>
      <c r="AA134" s="20">
        <v>0</v>
      </c>
      <c r="AB134" s="20">
        <v>0</v>
      </c>
      <c r="AC134" s="20">
        <v>119000</v>
      </c>
      <c r="AD134" s="20">
        <v>82110</v>
      </c>
      <c r="AE134" s="20">
        <v>0</v>
      </c>
      <c r="AF134" s="20">
        <v>10000</v>
      </c>
      <c r="AG134" s="20">
        <v>109000</v>
      </c>
      <c r="AH134" s="20">
        <v>82110</v>
      </c>
      <c r="AI134" s="20">
        <v>24445</v>
      </c>
      <c r="AJ134" s="20">
        <v>2445</v>
      </c>
      <c r="AK134" s="20">
        <v>26890</v>
      </c>
    </row>
    <row r="135" spans="1:37" ht="16.5" customHeight="1" x14ac:dyDescent="0.3">
      <c r="A135" s="18" t="s">
        <v>486</v>
      </c>
      <c r="B135" s="18" t="s">
        <v>107</v>
      </c>
      <c r="C135" s="19" t="s">
        <v>108</v>
      </c>
      <c r="D135" s="18" t="s">
        <v>820</v>
      </c>
      <c r="E135" s="19" t="s">
        <v>617</v>
      </c>
      <c r="F135" s="18" t="s">
        <v>110</v>
      </c>
      <c r="G135" s="18" t="s">
        <v>111</v>
      </c>
      <c r="H135" s="19" t="s">
        <v>112</v>
      </c>
      <c r="I135" s="18" t="s">
        <v>113</v>
      </c>
      <c r="J135" s="19" t="s">
        <v>114</v>
      </c>
      <c r="K135" s="19" t="s">
        <v>115</v>
      </c>
      <c r="L135" s="18" t="s">
        <v>116</v>
      </c>
      <c r="M135" s="18" t="s">
        <v>133</v>
      </c>
      <c r="N135" s="18" t="s">
        <v>118</v>
      </c>
      <c r="O135" s="20">
        <v>119000</v>
      </c>
      <c r="P135" s="20">
        <v>82110</v>
      </c>
      <c r="Q135" s="20">
        <v>1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31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119000</v>
      </c>
      <c r="AD135" s="20">
        <v>82110</v>
      </c>
      <c r="AE135" s="20">
        <v>0</v>
      </c>
      <c r="AF135" s="20">
        <v>0</v>
      </c>
      <c r="AG135" s="20">
        <v>119000</v>
      </c>
      <c r="AH135" s="20">
        <v>82110</v>
      </c>
      <c r="AI135" s="20">
        <v>33536</v>
      </c>
      <c r="AJ135" s="20">
        <v>3354</v>
      </c>
      <c r="AK135" s="20">
        <v>36890</v>
      </c>
    </row>
    <row r="136" spans="1:37" ht="16.5" customHeight="1" x14ac:dyDescent="0.3">
      <c r="A136" s="18" t="s">
        <v>489</v>
      </c>
      <c r="B136" s="18" t="s">
        <v>107</v>
      </c>
      <c r="C136" s="19" t="s">
        <v>108</v>
      </c>
      <c r="D136" s="18" t="s">
        <v>822</v>
      </c>
      <c r="E136" s="19" t="s">
        <v>823</v>
      </c>
      <c r="F136" s="18" t="s">
        <v>110</v>
      </c>
      <c r="G136" s="18" t="s">
        <v>111</v>
      </c>
      <c r="H136" s="19" t="s">
        <v>112</v>
      </c>
      <c r="I136" s="18" t="s">
        <v>113</v>
      </c>
      <c r="J136" s="19" t="s">
        <v>114</v>
      </c>
      <c r="K136" s="19" t="s">
        <v>115</v>
      </c>
      <c r="L136" s="18" t="s">
        <v>116</v>
      </c>
      <c r="M136" s="18" t="s">
        <v>133</v>
      </c>
      <c r="N136" s="18" t="s">
        <v>118</v>
      </c>
      <c r="O136" s="20">
        <v>119000</v>
      </c>
      <c r="P136" s="20">
        <v>82110</v>
      </c>
      <c r="Q136" s="20">
        <v>2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31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238000</v>
      </c>
      <c r="AD136" s="20">
        <v>164220</v>
      </c>
      <c r="AE136" s="20">
        <v>0</v>
      </c>
      <c r="AF136" s="20">
        <v>0</v>
      </c>
      <c r="AG136" s="20">
        <v>238000</v>
      </c>
      <c r="AH136" s="20">
        <v>164220</v>
      </c>
      <c r="AI136" s="20">
        <v>67073</v>
      </c>
      <c r="AJ136" s="20">
        <v>6707</v>
      </c>
      <c r="AK136" s="20">
        <v>73780</v>
      </c>
    </row>
    <row r="137" spans="1:37" ht="16.5" customHeight="1" x14ac:dyDescent="0.3">
      <c r="A137" s="18" t="s">
        <v>492</v>
      </c>
      <c r="B137" s="18" t="s">
        <v>107</v>
      </c>
      <c r="C137" s="19" t="s">
        <v>108</v>
      </c>
      <c r="D137" s="18" t="s">
        <v>825</v>
      </c>
      <c r="E137" s="19" t="s">
        <v>181</v>
      </c>
      <c r="F137" s="18" t="s">
        <v>110</v>
      </c>
      <c r="G137" s="18" t="s">
        <v>111</v>
      </c>
      <c r="H137" s="19" t="s">
        <v>112</v>
      </c>
      <c r="I137" s="18" t="s">
        <v>113</v>
      </c>
      <c r="J137" s="19" t="s">
        <v>114</v>
      </c>
      <c r="K137" s="19" t="s">
        <v>115</v>
      </c>
      <c r="L137" s="18" t="s">
        <v>116</v>
      </c>
      <c r="M137" s="18" t="s">
        <v>133</v>
      </c>
      <c r="N137" s="18" t="s">
        <v>118</v>
      </c>
      <c r="O137" s="20">
        <v>119000</v>
      </c>
      <c r="P137" s="20">
        <v>82110</v>
      </c>
      <c r="Q137" s="20">
        <v>1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31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119000</v>
      </c>
      <c r="AD137" s="20">
        <v>82110</v>
      </c>
      <c r="AE137" s="20">
        <v>0</v>
      </c>
      <c r="AF137" s="20">
        <v>0</v>
      </c>
      <c r="AG137" s="20">
        <v>119000</v>
      </c>
      <c r="AH137" s="20">
        <v>82110</v>
      </c>
      <c r="AI137" s="20">
        <v>33536</v>
      </c>
      <c r="AJ137" s="20">
        <v>3354</v>
      </c>
      <c r="AK137" s="20">
        <v>36890</v>
      </c>
    </row>
    <row r="138" spans="1:37" ht="16.5" customHeight="1" x14ac:dyDescent="0.3">
      <c r="A138" s="18" t="s">
        <v>494</v>
      </c>
      <c r="B138" s="18" t="s">
        <v>107</v>
      </c>
      <c r="C138" s="19" t="s">
        <v>108</v>
      </c>
      <c r="D138" s="18" t="s">
        <v>827</v>
      </c>
      <c r="E138" s="19" t="s">
        <v>765</v>
      </c>
      <c r="F138" s="18" t="s">
        <v>110</v>
      </c>
      <c r="G138" s="18" t="s">
        <v>111</v>
      </c>
      <c r="H138" s="19" t="s">
        <v>112</v>
      </c>
      <c r="I138" s="18" t="s">
        <v>113</v>
      </c>
      <c r="J138" s="19" t="s">
        <v>114</v>
      </c>
      <c r="K138" s="19" t="s">
        <v>115</v>
      </c>
      <c r="L138" s="18" t="s">
        <v>116</v>
      </c>
      <c r="M138" s="18" t="s">
        <v>133</v>
      </c>
      <c r="N138" s="18" t="s">
        <v>118</v>
      </c>
      <c r="O138" s="20">
        <v>119000</v>
      </c>
      <c r="P138" s="20">
        <v>82110</v>
      </c>
      <c r="Q138" s="20">
        <v>1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31</v>
      </c>
      <c r="X138" s="20">
        <v>19040</v>
      </c>
      <c r="Y138" s="20">
        <v>0</v>
      </c>
      <c r="Z138" s="20">
        <v>0</v>
      </c>
      <c r="AA138" s="20">
        <v>0</v>
      </c>
      <c r="AB138" s="20">
        <v>0</v>
      </c>
      <c r="AC138" s="20">
        <v>119000</v>
      </c>
      <c r="AD138" s="20">
        <v>82110</v>
      </c>
      <c r="AE138" s="20">
        <v>0</v>
      </c>
      <c r="AF138" s="20">
        <v>19040</v>
      </c>
      <c r="AG138" s="20">
        <v>99960</v>
      </c>
      <c r="AH138" s="20">
        <v>82110</v>
      </c>
      <c r="AI138" s="20">
        <v>16227</v>
      </c>
      <c r="AJ138" s="20">
        <v>1623</v>
      </c>
      <c r="AK138" s="20">
        <v>17850</v>
      </c>
    </row>
    <row r="139" spans="1:37" ht="16.5" customHeight="1" x14ac:dyDescent="0.3">
      <c r="A139" s="18" t="s">
        <v>497</v>
      </c>
      <c r="B139" s="18" t="s">
        <v>107</v>
      </c>
      <c r="C139" s="19" t="s">
        <v>108</v>
      </c>
      <c r="D139" s="18" t="s">
        <v>829</v>
      </c>
      <c r="E139" s="19" t="s">
        <v>617</v>
      </c>
      <c r="F139" s="18" t="s">
        <v>110</v>
      </c>
      <c r="G139" s="18" t="s">
        <v>111</v>
      </c>
      <c r="H139" s="19" t="s">
        <v>112</v>
      </c>
      <c r="I139" s="18" t="s">
        <v>113</v>
      </c>
      <c r="J139" s="19" t="s">
        <v>114</v>
      </c>
      <c r="K139" s="19" t="s">
        <v>115</v>
      </c>
      <c r="L139" s="18" t="s">
        <v>116</v>
      </c>
      <c r="M139" s="18" t="s">
        <v>133</v>
      </c>
      <c r="N139" s="18" t="s">
        <v>118</v>
      </c>
      <c r="O139" s="20">
        <v>119000</v>
      </c>
      <c r="P139" s="20">
        <v>82110</v>
      </c>
      <c r="Q139" s="20">
        <v>1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31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119000</v>
      </c>
      <c r="AD139" s="20">
        <v>82110</v>
      </c>
      <c r="AE139" s="20">
        <v>0</v>
      </c>
      <c r="AF139" s="20">
        <v>0</v>
      </c>
      <c r="AG139" s="20">
        <v>119000</v>
      </c>
      <c r="AH139" s="20">
        <v>82110</v>
      </c>
      <c r="AI139" s="20">
        <v>33536</v>
      </c>
      <c r="AJ139" s="20">
        <v>3354</v>
      </c>
      <c r="AK139" s="20">
        <v>36890</v>
      </c>
    </row>
    <row r="140" spans="1:37" ht="16.5" customHeight="1" x14ac:dyDescent="0.3">
      <c r="A140" s="18" t="s">
        <v>500</v>
      </c>
      <c r="B140" s="18" t="s">
        <v>107</v>
      </c>
      <c r="C140" s="19" t="s">
        <v>108</v>
      </c>
      <c r="D140" s="18" t="s">
        <v>831</v>
      </c>
      <c r="E140" s="19" t="s">
        <v>372</v>
      </c>
      <c r="F140" s="18" t="s">
        <v>110</v>
      </c>
      <c r="G140" s="18" t="s">
        <v>111</v>
      </c>
      <c r="H140" s="19" t="s">
        <v>112</v>
      </c>
      <c r="I140" s="18" t="s">
        <v>113</v>
      </c>
      <c r="J140" s="19" t="s">
        <v>114</v>
      </c>
      <c r="K140" s="19" t="s">
        <v>115</v>
      </c>
      <c r="L140" s="18" t="s">
        <v>116</v>
      </c>
      <c r="M140" s="18" t="s">
        <v>133</v>
      </c>
      <c r="N140" s="18" t="s">
        <v>118</v>
      </c>
      <c r="O140" s="20">
        <v>119000</v>
      </c>
      <c r="P140" s="20">
        <v>82110</v>
      </c>
      <c r="Q140" s="20">
        <v>1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31</v>
      </c>
      <c r="X140" s="20">
        <v>0</v>
      </c>
      <c r="Y140" s="20">
        <v>10000</v>
      </c>
      <c r="Z140" s="20">
        <v>0</v>
      </c>
      <c r="AA140" s="20">
        <v>0</v>
      </c>
      <c r="AB140" s="20">
        <v>0</v>
      </c>
      <c r="AC140" s="20">
        <v>119000</v>
      </c>
      <c r="AD140" s="20">
        <v>82110</v>
      </c>
      <c r="AE140" s="20">
        <v>0</v>
      </c>
      <c r="AF140" s="20">
        <v>10000</v>
      </c>
      <c r="AG140" s="20">
        <v>109000</v>
      </c>
      <c r="AH140" s="20">
        <v>82110</v>
      </c>
      <c r="AI140" s="20">
        <v>24445</v>
      </c>
      <c r="AJ140" s="20">
        <v>2445</v>
      </c>
      <c r="AK140" s="20">
        <v>26890</v>
      </c>
    </row>
    <row r="141" spans="1:37" ht="16.5" customHeight="1" x14ac:dyDescent="0.3">
      <c r="A141" s="18" t="s">
        <v>503</v>
      </c>
      <c r="B141" s="18" t="s">
        <v>107</v>
      </c>
      <c r="C141" s="19" t="s">
        <v>108</v>
      </c>
      <c r="D141" s="18" t="s">
        <v>833</v>
      </c>
      <c r="E141" s="19" t="s">
        <v>834</v>
      </c>
      <c r="F141" s="18" t="s">
        <v>110</v>
      </c>
      <c r="G141" s="18" t="s">
        <v>111</v>
      </c>
      <c r="H141" s="19" t="s">
        <v>112</v>
      </c>
      <c r="I141" s="18" t="s">
        <v>113</v>
      </c>
      <c r="J141" s="19" t="s">
        <v>114</v>
      </c>
      <c r="K141" s="19" t="s">
        <v>115</v>
      </c>
      <c r="L141" s="18" t="s">
        <v>116</v>
      </c>
      <c r="M141" s="18" t="s">
        <v>133</v>
      </c>
      <c r="N141" s="18" t="s">
        <v>118</v>
      </c>
      <c r="O141" s="20">
        <v>119000</v>
      </c>
      <c r="P141" s="20">
        <v>82110</v>
      </c>
      <c r="Q141" s="20">
        <v>1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31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119000</v>
      </c>
      <c r="AD141" s="20">
        <v>82110</v>
      </c>
      <c r="AE141" s="20">
        <v>0</v>
      </c>
      <c r="AF141" s="20">
        <v>0</v>
      </c>
      <c r="AG141" s="20">
        <v>119000</v>
      </c>
      <c r="AH141" s="20">
        <v>82110</v>
      </c>
      <c r="AI141" s="20">
        <v>33536</v>
      </c>
      <c r="AJ141" s="20">
        <v>3354</v>
      </c>
      <c r="AK141" s="20">
        <v>36890</v>
      </c>
    </row>
    <row r="142" spans="1:37" ht="16.5" customHeight="1" x14ac:dyDescent="0.3">
      <c r="A142" s="18" t="s">
        <v>506</v>
      </c>
      <c r="B142" s="18" t="s">
        <v>107</v>
      </c>
      <c r="C142" s="19" t="s">
        <v>108</v>
      </c>
      <c r="D142" s="18" t="s">
        <v>836</v>
      </c>
      <c r="E142" s="19" t="s">
        <v>837</v>
      </c>
      <c r="F142" s="18" t="s">
        <v>110</v>
      </c>
      <c r="G142" s="18" t="s">
        <v>111</v>
      </c>
      <c r="H142" s="19" t="s">
        <v>112</v>
      </c>
      <c r="I142" s="18" t="s">
        <v>113</v>
      </c>
      <c r="J142" s="19" t="s">
        <v>114</v>
      </c>
      <c r="K142" s="19" t="s">
        <v>115</v>
      </c>
      <c r="L142" s="18" t="s">
        <v>116</v>
      </c>
      <c r="M142" s="18" t="s">
        <v>133</v>
      </c>
      <c r="N142" s="18" t="s">
        <v>118</v>
      </c>
      <c r="O142" s="20">
        <v>119000</v>
      </c>
      <c r="P142" s="20">
        <v>82110</v>
      </c>
      <c r="Q142" s="20">
        <v>1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31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119000</v>
      </c>
      <c r="AD142" s="20">
        <v>82110</v>
      </c>
      <c r="AE142" s="20">
        <v>0</v>
      </c>
      <c r="AF142" s="20">
        <v>0</v>
      </c>
      <c r="AG142" s="20">
        <v>119000</v>
      </c>
      <c r="AH142" s="20">
        <v>82110</v>
      </c>
      <c r="AI142" s="20">
        <v>33536</v>
      </c>
      <c r="AJ142" s="20">
        <v>3354</v>
      </c>
      <c r="AK142" s="20">
        <v>36890</v>
      </c>
    </row>
    <row r="143" spans="1:37" ht="16.5" customHeight="1" x14ac:dyDescent="0.3">
      <c r="A143" s="18" t="s">
        <v>509</v>
      </c>
      <c r="B143" s="18" t="s">
        <v>107</v>
      </c>
      <c r="C143" s="19" t="s">
        <v>108</v>
      </c>
      <c r="D143" s="18" t="s">
        <v>736</v>
      </c>
      <c r="E143" s="19" t="s">
        <v>737</v>
      </c>
      <c r="F143" s="18" t="s">
        <v>110</v>
      </c>
      <c r="G143" s="18" t="s">
        <v>111</v>
      </c>
      <c r="H143" s="19" t="s">
        <v>112</v>
      </c>
      <c r="I143" s="18" t="s">
        <v>113</v>
      </c>
      <c r="J143" s="19" t="s">
        <v>114</v>
      </c>
      <c r="K143" s="19" t="s">
        <v>115</v>
      </c>
      <c r="L143" s="18" t="s">
        <v>116</v>
      </c>
      <c r="M143" s="18" t="s">
        <v>133</v>
      </c>
      <c r="N143" s="18" t="s">
        <v>118</v>
      </c>
      <c r="O143" s="20">
        <v>119000</v>
      </c>
      <c r="P143" s="20">
        <v>82110</v>
      </c>
      <c r="Q143" s="20">
        <v>1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31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119000</v>
      </c>
      <c r="AD143" s="20">
        <v>82110</v>
      </c>
      <c r="AE143" s="20">
        <v>0</v>
      </c>
      <c r="AF143" s="20">
        <v>0</v>
      </c>
      <c r="AG143" s="20">
        <v>119000</v>
      </c>
      <c r="AH143" s="20">
        <v>82110</v>
      </c>
      <c r="AI143" s="20">
        <v>33536</v>
      </c>
      <c r="AJ143" s="20">
        <v>3354</v>
      </c>
      <c r="AK143" s="20">
        <v>36890</v>
      </c>
    </row>
    <row r="144" spans="1:37" ht="16.5" customHeight="1" x14ac:dyDescent="0.3">
      <c r="A144" s="18" t="s">
        <v>512</v>
      </c>
      <c r="B144" s="18" t="s">
        <v>107</v>
      </c>
      <c r="C144" s="19" t="s">
        <v>108</v>
      </c>
      <c r="D144" s="18" t="s">
        <v>839</v>
      </c>
      <c r="E144" s="19" t="s">
        <v>315</v>
      </c>
      <c r="F144" s="18" t="s">
        <v>110</v>
      </c>
      <c r="G144" s="18" t="s">
        <v>111</v>
      </c>
      <c r="H144" s="19" t="s">
        <v>112</v>
      </c>
      <c r="I144" s="18" t="s">
        <v>113</v>
      </c>
      <c r="J144" s="19" t="s">
        <v>114</v>
      </c>
      <c r="K144" s="19" t="s">
        <v>115</v>
      </c>
      <c r="L144" s="18" t="s">
        <v>116</v>
      </c>
      <c r="M144" s="18" t="s">
        <v>133</v>
      </c>
      <c r="N144" s="18" t="s">
        <v>118</v>
      </c>
      <c r="O144" s="20">
        <v>119000</v>
      </c>
      <c r="P144" s="20">
        <v>82110</v>
      </c>
      <c r="Q144" s="20">
        <v>1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31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119000</v>
      </c>
      <c r="AD144" s="20">
        <v>82110</v>
      </c>
      <c r="AE144" s="20">
        <v>0</v>
      </c>
      <c r="AF144" s="20">
        <v>0</v>
      </c>
      <c r="AG144" s="20">
        <v>119000</v>
      </c>
      <c r="AH144" s="20">
        <v>82110</v>
      </c>
      <c r="AI144" s="20">
        <v>33536</v>
      </c>
      <c r="AJ144" s="20">
        <v>3354</v>
      </c>
      <c r="AK144" s="20">
        <v>36890</v>
      </c>
    </row>
    <row r="145" spans="1:37" ht="16.5" customHeight="1" x14ac:dyDescent="0.3">
      <c r="A145" s="18" t="s">
        <v>515</v>
      </c>
      <c r="B145" s="18" t="s">
        <v>107</v>
      </c>
      <c r="C145" s="19" t="s">
        <v>108</v>
      </c>
      <c r="D145" s="18" t="s">
        <v>841</v>
      </c>
      <c r="E145" s="19" t="s">
        <v>842</v>
      </c>
      <c r="F145" s="18" t="s">
        <v>110</v>
      </c>
      <c r="G145" s="18" t="s">
        <v>111</v>
      </c>
      <c r="H145" s="19" t="s">
        <v>112</v>
      </c>
      <c r="I145" s="18" t="s">
        <v>113</v>
      </c>
      <c r="J145" s="19" t="s">
        <v>114</v>
      </c>
      <c r="K145" s="19" t="s">
        <v>115</v>
      </c>
      <c r="L145" s="18" t="s">
        <v>116</v>
      </c>
      <c r="M145" s="18" t="s">
        <v>133</v>
      </c>
      <c r="N145" s="18" t="s">
        <v>118</v>
      </c>
      <c r="O145" s="20">
        <v>119000</v>
      </c>
      <c r="P145" s="20">
        <v>82110</v>
      </c>
      <c r="Q145" s="20">
        <v>1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31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119000</v>
      </c>
      <c r="AD145" s="20">
        <v>82110</v>
      </c>
      <c r="AE145" s="20">
        <v>0</v>
      </c>
      <c r="AF145" s="20">
        <v>0</v>
      </c>
      <c r="AG145" s="20">
        <v>119000</v>
      </c>
      <c r="AH145" s="20">
        <v>82110</v>
      </c>
      <c r="AI145" s="20">
        <v>33536</v>
      </c>
      <c r="AJ145" s="20">
        <v>3354</v>
      </c>
      <c r="AK145" s="20">
        <v>36890</v>
      </c>
    </row>
    <row r="146" spans="1:37" ht="16.5" customHeight="1" x14ac:dyDescent="0.3">
      <c r="A146" s="18" t="s">
        <v>518</v>
      </c>
      <c r="B146" s="18" t="s">
        <v>107</v>
      </c>
      <c r="C146" s="19" t="s">
        <v>108</v>
      </c>
      <c r="D146" s="18" t="s">
        <v>844</v>
      </c>
      <c r="E146" s="19" t="s">
        <v>845</v>
      </c>
      <c r="F146" s="18" t="s">
        <v>110</v>
      </c>
      <c r="G146" s="18" t="s">
        <v>111</v>
      </c>
      <c r="H146" s="19" t="s">
        <v>112</v>
      </c>
      <c r="I146" s="18" t="s">
        <v>113</v>
      </c>
      <c r="J146" s="19" t="s">
        <v>114</v>
      </c>
      <c r="K146" s="19" t="s">
        <v>115</v>
      </c>
      <c r="L146" s="18" t="s">
        <v>116</v>
      </c>
      <c r="M146" s="18" t="s">
        <v>133</v>
      </c>
      <c r="N146" s="18" t="s">
        <v>118</v>
      </c>
      <c r="O146" s="20">
        <v>119000</v>
      </c>
      <c r="P146" s="20">
        <v>82110</v>
      </c>
      <c r="Q146" s="20">
        <v>1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31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119000</v>
      </c>
      <c r="AD146" s="20">
        <v>82110</v>
      </c>
      <c r="AE146" s="20">
        <v>0</v>
      </c>
      <c r="AF146" s="20">
        <v>0</v>
      </c>
      <c r="AG146" s="20">
        <v>119000</v>
      </c>
      <c r="AH146" s="20">
        <v>82110</v>
      </c>
      <c r="AI146" s="20">
        <v>33536</v>
      </c>
      <c r="AJ146" s="20">
        <v>3354</v>
      </c>
      <c r="AK146" s="20">
        <v>36890</v>
      </c>
    </row>
    <row r="147" spans="1:37" ht="16.5" customHeight="1" x14ac:dyDescent="0.3">
      <c r="A147" s="18" t="s">
        <v>521</v>
      </c>
      <c r="B147" s="18" t="s">
        <v>107</v>
      </c>
      <c r="C147" s="19" t="s">
        <v>108</v>
      </c>
      <c r="D147" s="18" t="s">
        <v>847</v>
      </c>
      <c r="E147" s="19" t="s">
        <v>845</v>
      </c>
      <c r="F147" s="18" t="s">
        <v>110</v>
      </c>
      <c r="G147" s="18" t="s">
        <v>111</v>
      </c>
      <c r="H147" s="19" t="s">
        <v>112</v>
      </c>
      <c r="I147" s="18" t="s">
        <v>113</v>
      </c>
      <c r="J147" s="19" t="s">
        <v>114</v>
      </c>
      <c r="K147" s="19" t="s">
        <v>115</v>
      </c>
      <c r="L147" s="18" t="s">
        <v>116</v>
      </c>
      <c r="M147" s="18" t="s">
        <v>133</v>
      </c>
      <c r="N147" s="18" t="s">
        <v>118</v>
      </c>
      <c r="O147" s="20">
        <v>119000</v>
      </c>
      <c r="P147" s="20">
        <v>82110</v>
      </c>
      <c r="Q147" s="20">
        <v>1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31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119000</v>
      </c>
      <c r="AD147" s="20">
        <v>82110</v>
      </c>
      <c r="AE147" s="20">
        <v>0</v>
      </c>
      <c r="AF147" s="20">
        <v>0</v>
      </c>
      <c r="AG147" s="20">
        <v>119000</v>
      </c>
      <c r="AH147" s="20">
        <v>82110</v>
      </c>
      <c r="AI147" s="20">
        <v>33536</v>
      </c>
      <c r="AJ147" s="20">
        <v>3354</v>
      </c>
      <c r="AK147" s="20">
        <v>36890</v>
      </c>
    </row>
    <row r="148" spans="1:37" ht="16.5" customHeight="1" x14ac:dyDescent="0.3">
      <c r="A148" s="18" t="s">
        <v>523</v>
      </c>
      <c r="B148" s="18" t="s">
        <v>107</v>
      </c>
      <c r="C148" s="19" t="s">
        <v>108</v>
      </c>
      <c r="D148" s="18" t="s">
        <v>849</v>
      </c>
      <c r="E148" s="19" t="s">
        <v>845</v>
      </c>
      <c r="F148" s="18" t="s">
        <v>110</v>
      </c>
      <c r="G148" s="18" t="s">
        <v>111</v>
      </c>
      <c r="H148" s="19" t="s">
        <v>112</v>
      </c>
      <c r="I148" s="18" t="s">
        <v>113</v>
      </c>
      <c r="J148" s="19" t="s">
        <v>114</v>
      </c>
      <c r="K148" s="19" t="s">
        <v>115</v>
      </c>
      <c r="L148" s="18" t="s">
        <v>116</v>
      </c>
      <c r="M148" s="18" t="s">
        <v>133</v>
      </c>
      <c r="N148" s="18" t="s">
        <v>118</v>
      </c>
      <c r="O148" s="20">
        <v>119000</v>
      </c>
      <c r="P148" s="20">
        <v>82110</v>
      </c>
      <c r="Q148" s="20">
        <v>1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31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119000</v>
      </c>
      <c r="AD148" s="20">
        <v>82110</v>
      </c>
      <c r="AE148" s="20">
        <v>0</v>
      </c>
      <c r="AF148" s="20">
        <v>0</v>
      </c>
      <c r="AG148" s="20">
        <v>119000</v>
      </c>
      <c r="AH148" s="20">
        <v>82110</v>
      </c>
      <c r="AI148" s="20">
        <v>33536</v>
      </c>
      <c r="AJ148" s="20">
        <v>3354</v>
      </c>
      <c r="AK148" s="20">
        <v>36890</v>
      </c>
    </row>
    <row r="149" spans="1:37" ht="16.5" customHeight="1" x14ac:dyDescent="0.3">
      <c r="A149" s="18" t="s">
        <v>525</v>
      </c>
      <c r="B149" s="18" t="s">
        <v>107</v>
      </c>
      <c r="C149" s="19" t="s">
        <v>108</v>
      </c>
      <c r="D149" s="18" t="s">
        <v>851</v>
      </c>
      <c r="E149" s="19" t="s">
        <v>852</v>
      </c>
      <c r="F149" s="18" t="s">
        <v>110</v>
      </c>
      <c r="G149" s="18" t="s">
        <v>111</v>
      </c>
      <c r="H149" s="19" t="s">
        <v>112</v>
      </c>
      <c r="I149" s="18" t="s">
        <v>113</v>
      </c>
      <c r="J149" s="19" t="s">
        <v>114</v>
      </c>
      <c r="K149" s="19" t="s">
        <v>151</v>
      </c>
      <c r="L149" s="18" t="s">
        <v>116</v>
      </c>
      <c r="M149" s="18" t="s">
        <v>133</v>
      </c>
      <c r="N149" s="18" t="s">
        <v>118</v>
      </c>
      <c r="O149" s="20">
        <v>119000</v>
      </c>
      <c r="P149" s="20">
        <v>82110</v>
      </c>
      <c r="Q149" s="20">
        <v>1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31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119000</v>
      </c>
      <c r="AD149" s="20">
        <v>82110</v>
      </c>
      <c r="AE149" s="20">
        <v>0</v>
      </c>
      <c r="AF149" s="20">
        <v>0</v>
      </c>
      <c r="AG149" s="20">
        <v>119000</v>
      </c>
      <c r="AH149" s="20">
        <v>82110</v>
      </c>
      <c r="AI149" s="20">
        <v>33536</v>
      </c>
      <c r="AJ149" s="20">
        <v>3354</v>
      </c>
      <c r="AK149" s="20">
        <v>36890</v>
      </c>
    </row>
    <row r="150" spans="1:37" ht="16.5" customHeight="1" x14ac:dyDescent="0.3">
      <c r="A150" s="18" t="s">
        <v>528</v>
      </c>
      <c r="B150" s="18" t="s">
        <v>107</v>
      </c>
      <c r="C150" s="19" t="s">
        <v>108</v>
      </c>
      <c r="D150" s="18" t="s">
        <v>854</v>
      </c>
      <c r="E150" s="19" t="s">
        <v>855</v>
      </c>
      <c r="F150" s="18" t="s">
        <v>110</v>
      </c>
      <c r="G150" s="18" t="s">
        <v>111</v>
      </c>
      <c r="H150" s="19" t="s">
        <v>112</v>
      </c>
      <c r="I150" s="18" t="s">
        <v>113</v>
      </c>
      <c r="J150" s="19" t="s">
        <v>114</v>
      </c>
      <c r="K150" s="19" t="s">
        <v>115</v>
      </c>
      <c r="L150" s="18" t="s">
        <v>116</v>
      </c>
      <c r="M150" s="18" t="s">
        <v>133</v>
      </c>
      <c r="N150" s="18" t="s">
        <v>118</v>
      </c>
      <c r="O150" s="20">
        <v>119000</v>
      </c>
      <c r="P150" s="20">
        <v>82110</v>
      </c>
      <c r="Q150" s="20">
        <v>1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31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119000</v>
      </c>
      <c r="AD150" s="20">
        <v>82110</v>
      </c>
      <c r="AE150" s="20">
        <v>0</v>
      </c>
      <c r="AF150" s="20">
        <v>0</v>
      </c>
      <c r="AG150" s="20">
        <v>119000</v>
      </c>
      <c r="AH150" s="20">
        <v>82110</v>
      </c>
      <c r="AI150" s="20">
        <v>33536</v>
      </c>
      <c r="AJ150" s="20">
        <v>3354</v>
      </c>
      <c r="AK150" s="20">
        <v>36890</v>
      </c>
    </row>
    <row r="151" spans="1:37" ht="16.5" customHeight="1" x14ac:dyDescent="0.3">
      <c r="A151" s="18" t="s">
        <v>530</v>
      </c>
      <c r="B151" s="18" t="s">
        <v>107</v>
      </c>
      <c r="C151" s="19" t="s">
        <v>108</v>
      </c>
      <c r="D151" s="18" t="s">
        <v>859</v>
      </c>
      <c r="E151" s="19" t="s">
        <v>610</v>
      </c>
      <c r="F151" s="18" t="s">
        <v>110</v>
      </c>
      <c r="G151" s="18" t="s">
        <v>111</v>
      </c>
      <c r="H151" s="19" t="s">
        <v>112</v>
      </c>
      <c r="I151" s="18" t="s">
        <v>113</v>
      </c>
      <c r="J151" s="19" t="s">
        <v>114</v>
      </c>
      <c r="K151" s="19" t="s">
        <v>115</v>
      </c>
      <c r="L151" s="18" t="s">
        <v>116</v>
      </c>
      <c r="M151" s="18" t="s">
        <v>133</v>
      </c>
      <c r="N151" s="18" t="s">
        <v>118</v>
      </c>
      <c r="O151" s="20">
        <v>119000</v>
      </c>
      <c r="P151" s="20">
        <v>82110</v>
      </c>
      <c r="Q151" s="20">
        <v>1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31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119000</v>
      </c>
      <c r="AD151" s="20">
        <v>82110</v>
      </c>
      <c r="AE151" s="20">
        <v>0</v>
      </c>
      <c r="AF151" s="20">
        <v>0</v>
      </c>
      <c r="AG151" s="20">
        <v>119000</v>
      </c>
      <c r="AH151" s="20">
        <v>82110</v>
      </c>
      <c r="AI151" s="20">
        <v>33536</v>
      </c>
      <c r="AJ151" s="20">
        <v>3354</v>
      </c>
      <c r="AK151" s="20">
        <v>36890</v>
      </c>
    </row>
    <row r="152" spans="1:37" ht="16.5" customHeight="1" x14ac:dyDescent="0.3">
      <c r="A152" s="18" t="s">
        <v>533</v>
      </c>
      <c r="B152" s="18" t="s">
        <v>107</v>
      </c>
      <c r="C152" s="19" t="s">
        <v>108</v>
      </c>
      <c r="D152" s="18" t="s">
        <v>861</v>
      </c>
      <c r="E152" s="19" t="s">
        <v>417</v>
      </c>
      <c r="F152" s="18" t="s">
        <v>110</v>
      </c>
      <c r="G152" s="18" t="s">
        <v>111</v>
      </c>
      <c r="H152" s="19" t="s">
        <v>112</v>
      </c>
      <c r="I152" s="18" t="s">
        <v>113</v>
      </c>
      <c r="J152" s="19" t="s">
        <v>114</v>
      </c>
      <c r="K152" s="19" t="s">
        <v>115</v>
      </c>
      <c r="L152" s="18" t="s">
        <v>116</v>
      </c>
      <c r="M152" s="18" t="s">
        <v>133</v>
      </c>
      <c r="N152" s="18" t="s">
        <v>118</v>
      </c>
      <c r="O152" s="20">
        <v>119000</v>
      </c>
      <c r="P152" s="20">
        <v>82110</v>
      </c>
      <c r="Q152" s="20">
        <v>1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31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119000</v>
      </c>
      <c r="AD152" s="20">
        <v>82110</v>
      </c>
      <c r="AE152" s="20">
        <v>0</v>
      </c>
      <c r="AF152" s="20">
        <v>0</v>
      </c>
      <c r="AG152" s="20">
        <v>119000</v>
      </c>
      <c r="AH152" s="20">
        <v>82110</v>
      </c>
      <c r="AI152" s="20">
        <v>33536</v>
      </c>
      <c r="AJ152" s="20">
        <v>3354</v>
      </c>
      <c r="AK152" s="20">
        <v>36890</v>
      </c>
    </row>
    <row r="153" spans="1:37" ht="16.5" customHeight="1" x14ac:dyDescent="0.3">
      <c r="A153" s="18" t="s">
        <v>536</v>
      </c>
      <c r="B153" s="18" t="s">
        <v>107</v>
      </c>
      <c r="C153" s="19" t="s">
        <v>108</v>
      </c>
      <c r="D153" s="18" t="s">
        <v>863</v>
      </c>
      <c r="E153" s="19" t="s">
        <v>864</v>
      </c>
      <c r="F153" s="18" t="s">
        <v>110</v>
      </c>
      <c r="G153" s="18" t="s">
        <v>111</v>
      </c>
      <c r="H153" s="19" t="s">
        <v>112</v>
      </c>
      <c r="I153" s="18" t="s">
        <v>113</v>
      </c>
      <c r="J153" s="19" t="s">
        <v>114</v>
      </c>
      <c r="K153" s="19" t="s">
        <v>115</v>
      </c>
      <c r="L153" s="18" t="s">
        <v>116</v>
      </c>
      <c r="M153" s="18" t="s">
        <v>133</v>
      </c>
      <c r="N153" s="18" t="s">
        <v>118</v>
      </c>
      <c r="O153" s="20">
        <v>119000</v>
      </c>
      <c r="P153" s="20">
        <v>82110</v>
      </c>
      <c r="Q153" s="20">
        <v>1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31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119000</v>
      </c>
      <c r="AD153" s="20">
        <v>82110</v>
      </c>
      <c r="AE153" s="20">
        <v>0</v>
      </c>
      <c r="AF153" s="20">
        <v>0</v>
      </c>
      <c r="AG153" s="20">
        <v>119000</v>
      </c>
      <c r="AH153" s="20">
        <v>82110</v>
      </c>
      <c r="AI153" s="20">
        <v>33536</v>
      </c>
      <c r="AJ153" s="20">
        <v>3354</v>
      </c>
      <c r="AK153" s="20">
        <v>36890</v>
      </c>
    </row>
    <row r="154" spans="1:37" ht="16.5" customHeight="1" x14ac:dyDescent="0.3">
      <c r="A154" s="18" t="s">
        <v>539</v>
      </c>
      <c r="B154" s="18" t="s">
        <v>107</v>
      </c>
      <c r="C154" s="19" t="s">
        <v>108</v>
      </c>
      <c r="D154" s="18" t="s">
        <v>866</v>
      </c>
      <c r="E154" s="19" t="s">
        <v>867</v>
      </c>
      <c r="F154" s="18" t="s">
        <v>110</v>
      </c>
      <c r="G154" s="18" t="s">
        <v>111</v>
      </c>
      <c r="H154" s="19" t="s">
        <v>112</v>
      </c>
      <c r="I154" s="18" t="s">
        <v>113</v>
      </c>
      <c r="J154" s="19" t="s">
        <v>114</v>
      </c>
      <c r="K154" s="19" t="s">
        <v>115</v>
      </c>
      <c r="L154" s="18" t="s">
        <v>116</v>
      </c>
      <c r="M154" s="18" t="s">
        <v>133</v>
      </c>
      <c r="N154" s="18" t="s">
        <v>118</v>
      </c>
      <c r="O154" s="20">
        <v>119000</v>
      </c>
      <c r="P154" s="20">
        <v>82110</v>
      </c>
      <c r="Q154" s="20">
        <v>1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31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119000</v>
      </c>
      <c r="AD154" s="20">
        <v>82110</v>
      </c>
      <c r="AE154" s="20">
        <v>0</v>
      </c>
      <c r="AF154" s="20">
        <v>0</v>
      </c>
      <c r="AG154" s="20">
        <v>119000</v>
      </c>
      <c r="AH154" s="20">
        <v>82110</v>
      </c>
      <c r="AI154" s="20">
        <v>33536</v>
      </c>
      <c r="AJ154" s="20">
        <v>3354</v>
      </c>
      <c r="AK154" s="20">
        <v>36890</v>
      </c>
    </row>
    <row r="155" spans="1:37" ht="16.5" customHeight="1" x14ac:dyDescent="0.3">
      <c r="A155" s="18" t="s">
        <v>542</v>
      </c>
      <c r="B155" s="18" t="s">
        <v>107</v>
      </c>
      <c r="C155" s="19" t="s">
        <v>108</v>
      </c>
      <c r="D155" s="18" t="s">
        <v>869</v>
      </c>
      <c r="E155" s="19" t="s">
        <v>870</v>
      </c>
      <c r="F155" s="18" t="s">
        <v>110</v>
      </c>
      <c r="G155" s="18" t="s">
        <v>111</v>
      </c>
      <c r="H155" s="19" t="s">
        <v>112</v>
      </c>
      <c r="I155" s="18" t="s">
        <v>113</v>
      </c>
      <c r="J155" s="19" t="s">
        <v>114</v>
      </c>
      <c r="K155" s="19" t="s">
        <v>115</v>
      </c>
      <c r="L155" s="18" t="s">
        <v>116</v>
      </c>
      <c r="M155" s="18" t="s">
        <v>133</v>
      </c>
      <c r="N155" s="18" t="s">
        <v>118</v>
      </c>
      <c r="O155" s="20">
        <v>119000</v>
      </c>
      <c r="P155" s="20">
        <v>82110</v>
      </c>
      <c r="Q155" s="20">
        <v>1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31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119000</v>
      </c>
      <c r="AD155" s="20">
        <v>82110</v>
      </c>
      <c r="AE155" s="20">
        <v>0</v>
      </c>
      <c r="AF155" s="20">
        <v>0</v>
      </c>
      <c r="AG155" s="20">
        <v>119000</v>
      </c>
      <c r="AH155" s="20">
        <v>82110</v>
      </c>
      <c r="AI155" s="20">
        <v>33536</v>
      </c>
      <c r="AJ155" s="20">
        <v>3354</v>
      </c>
      <c r="AK155" s="20">
        <v>36890</v>
      </c>
    </row>
    <row r="156" spans="1:37" ht="16.5" customHeight="1" x14ac:dyDescent="0.3">
      <c r="A156" s="18" t="s">
        <v>544</v>
      </c>
      <c r="B156" s="18" t="s">
        <v>107</v>
      </c>
      <c r="C156" s="19" t="s">
        <v>108</v>
      </c>
      <c r="D156" s="18" t="s">
        <v>872</v>
      </c>
      <c r="E156" s="19" t="s">
        <v>870</v>
      </c>
      <c r="F156" s="18" t="s">
        <v>110</v>
      </c>
      <c r="G156" s="18" t="s">
        <v>111</v>
      </c>
      <c r="H156" s="19" t="s">
        <v>112</v>
      </c>
      <c r="I156" s="18" t="s">
        <v>113</v>
      </c>
      <c r="J156" s="19" t="s">
        <v>114</v>
      </c>
      <c r="K156" s="19" t="s">
        <v>115</v>
      </c>
      <c r="L156" s="18" t="s">
        <v>116</v>
      </c>
      <c r="M156" s="18" t="s">
        <v>133</v>
      </c>
      <c r="N156" s="18" t="s">
        <v>118</v>
      </c>
      <c r="O156" s="20">
        <v>119000</v>
      </c>
      <c r="P156" s="20">
        <v>82110</v>
      </c>
      <c r="Q156" s="20">
        <v>1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31</v>
      </c>
      <c r="X156" s="20">
        <v>0</v>
      </c>
      <c r="Y156" s="20">
        <v>5000</v>
      </c>
      <c r="Z156" s="20">
        <v>0</v>
      </c>
      <c r="AA156" s="20">
        <v>0</v>
      </c>
      <c r="AB156" s="20">
        <v>0</v>
      </c>
      <c r="AC156" s="20">
        <v>119000</v>
      </c>
      <c r="AD156" s="20">
        <v>82110</v>
      </c>
      <c r="AE156" s="20">
        <v>0</v>
      </c>
      <c r="AF156" s="20">
        <v>5000</v>
      </c>
      <c r="AG156" s="20">
        <v>114000</v>
      </c>
      <c r="AH156" s="20">
        <v>82110</v>
      </c>
      <c r="AI156" s="20">
        <v>28991</v>
      </c>
      <c r="AJ156" s="20">
        <v>2899</v>
      </c>
      <c r="AK156" s="20">
        <v>31890</v>
      </c>
    </row>
    <row r="157" spans="1:37" ht="16.5" customHeight="1" x14ac:dyDescent="0.3">
      <c r="A157" s="18" t="s">
        <v>547</v>
      </c>
      <c r="B157" s="18" t="s">
        <v>107</v>
      </c>
      <c r="C157" s="19" t="s">
        <v>108</v>
      </c>
      <c r="D157" s="18" t="s">
        <v>874</v>
      </c>
      <c r="E157" s="19" t="s">
        <v>842</v>
      </c>
      <c r="F157" s="18" t="s">
        <v>110</v>
      </c>
      <c r="G157" s="18" t="s">
        <v>111</v>
      </c>
      <c r="H157" s="19" t="s">
        <v>112</v>
      </c>
      <c r="I157" s="18" t="s">
        <v>113</v>
      </c>
      <c r="J157" s="19" t="s">
        <v>114</v>
      </c>
      <c r="K157" s="19" t="s">
        <v>115</v>
      </c>
      <c r="L157" s="18" t="s">
        <v>116</v>
      </c>
      <c r="M157" s="18" t="s">
        <v>133</v>
      </c>
      <c r="N157" s="18" t="s">
        <v>118</v>
      </c>
      <c r="O157" s="20">
        <v>119000</v>
      </c>
      <c r="P157" s="20">
        <v>82110</v>
      </c>
      <c r="Q157" s="20">
        <v>1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31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119000</v>
      </c>
      <c r="AD157" s="20">
        <v>82110</v>
      </c>
      <c r="AE157" s="20">
        <v>0</v>
      </c>
      <c r="AF157" s="20">
        <v>0</v>
      </c>
      <c r="AG157" s="20">
        <v>119000</v>
      </c>
      <c r="AH157" s="20">
        <v>82110</v>
      </c>
      <c r="AI157" s="20">
        <v>33536</v>
      </c>
      <c r="AJ157" s="20">
        <v>3354</v>
      </c>
      <c r="AK157" s="20">
        <v>36890</v>
      </c>
    </row>
    <row r="158" spans="1:37" ht="16.5" customHeight="1" x14ac:dyDescent="0.3">
      <c r="A158" s="18" t="s">
        <v>550</v>
      </c>
      <c r="B158" s="18" t="s">
        <v>107</v>
      </c>
      <c r="C158" s="19" t="s">
        <v>108</v>
      </c>
      <c r="D158" s="18" t="s">
        <v>879</v>
      </c>
      <c r="E158" s="19" t="s">
        <v>684</v>
      </c>
      <c r="F158" s="18" t="s">
        <v>110</v>
      </c>
      <c r="G158" s="18" t="s">
        <v>111</v>
      </c>
      <c r="H158" s="19" t="s">
        <v>112</v>
      </c>
      <c r="I158" s="18" t="s">
        <v>113</v>
      </c>
      <c r="J158" s="19" t="s">
        <v>114</v>
      </c>
      <c r="K158" s="19" t="s">
        <v>115</v>
      </c>
      <c r="L158" s="18" t="s">
        <v>116</v>
      </c>
      <c r="M158" s="18" t="s">
        <v>133</v>
      </c>
      <c r="N158" s="18" t="s">
        <v>118</v>
      </c>
      <c r="O158" s="20">
        <v>119000</v>
      </c>
      <c r="P158" s="20">
        <v>82110</v>
      </c>
      <c r="Q158" s="20">
        <v>1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31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119000</v>
      </c>
      <c r="AD158" s="20">
        <v>82110</v>
      </c>
      <c r="AE158" s="20">
        <v>0</v>
      </c>
      <c r="AF158" s="20">
        <v>0</v>
      </c>
      <c r="AG158" s="20">
        <v>119000</v>
      </c>
      <c r="AH158" s="20">
        <v>82110</v>
      </c>
      <c r="AI158" s="20">
        <v>33536</v>
      </c>
      <c r="AJ158" s="20">
        <v>3354</v>
      </c>
      <c r="AK158" s="20">
        <v>36890</v>
      </c>
    </row>
    <row r="159" spans="1:37" ht="16.5" customHeight="1" x14ac:dyDescent="0.3">
      <c r="A159" s="18" t="s">
        <v>553</v>
      </c>
      <c r="B159" s="18" t="s">
        <v>107</v>
      </c>
      <c r="C159" s="19" t="s">
        <v>108</v>
      </c>
      <c r="D159" s="18" t="s">
        <v>881</v>
      </c>
      <c r="E159" s="19" t="s">
        <v>882</v>
      </c>
      <c r="F159" s="18" t="s">
        <v>110</v>
      </c>
      <c r="G159" s="18" t="s">
        <v>111</v>
      </c>
      <c r="H159" s="19" t="s">
        <v>112</v>
      </c>
      <c r="I159" s="18" t="s">
        <v>113</v>
      </c>
      <c r="J159" s="19" t="s">
        <v>114</v>
      </c>
      <c r="K159" s="19" t="s">
        <v>115</v>
      </c>
      <c r="L159" s="18" t="s">
        <v>116</v>
      </c>
      <c r="M159" s="18" t="s">
        <v>133</v>
      </c>
      <c r="N159" s="18" t="s">
        <v>118</v>
      </c>
      <c r="O159" s="20">
        <v>119000</v>
      </c>
      <c r="P159" s="20">
        <v>82110</v>
      </c>
      <c r="Q159" s="20">
        <v>1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31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119000</v>
      </c>
      <c r="AD159" s="20">
        <v>82110</v>
      </c>
      <c r="AE159" s="20">
        <v>0</v>
      </c>
      <c r="AF159" s="20">
        <v>0</v>
      </c>
      <c r="AG159" s="20">
        <v>119000</v>
      </c>
      <c r="AH159" s="20">
        <v>82110</v>
      </c>
      <c r="AI159" s="20">
        <v>33536</v>
      </c>
      <c r="AJ159" s="20">
        <v>3354</v>
      </c>
      <c r="AK159" s="20">
        <v>36890</v>
      </c>
    </row>
    <row r="160" spans="1:37" ht="16.5" customHeight="1" x14ac:dyDescent="0.3">
      <c r="A160" s="18" t="s">
        <v>556</v>
      </c>
      <c r="B160" s="18" t="s">
        <v>107</v>
      </c>
      <c r="C160" s="19" t="s">
        <v>108</v>
      </c>
      <c r="D160" s="18" t="s">
        <v>884</v>
      </c>
      <c r="E160" s="19" t="s">
        <v>885</v>
      </c>
      <c r="F160" s="18" t="s">
        <v>110</v>
      </c>
      <c r="G160" s="18" t="s">
        <v>111</v>
      </c>
      <c r="H160" s="19" t="s">
        <v>112</v>
      </c>
      <c r="I160" s="18" t="s">
        <v>113</v>
      </c>
      <c r="J160" s="19" t="s">
        <v>114</v>
      </c>
      <c r="K160" s="19" t="s">
        <v>115</v>
      </c>
      <c r="L160" s="18" t="s">
        <v>116</v>
      </c>
      <c r="M160" s="18" t="s">
        <v>133</v>
      </c>
      <c r="N160" s="18" t="s">
        <v>118</v>
      </c>
      <c r="O160" s="20">
        <v>119000</v>
      </c>
      <c r="P160" s="20">
        <v>82110</v>
      </c>
      <c r="Q160" s="20">
        <v>1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31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119000</v>
      </c>
      <c r="AD160" s="20">
        <v>82110</v>
      </c>
      <c r="AE160" s="20">
        <v>0</v>
      </c>
      <c r="AF160" s="20">
        <v>0</v>
      </c>
      <c r="AG160" s="20">
        <v>119000</v>
      </c>
      <c r="AH160" s="20">
        <v>82110</v>
      </c>
      <c r="AI160" s="20">
        <v>33536</v>
      </c>
      <c r="AJ160" s="20">
        <v>3354</v>
      </c>
      <c r="AK160" s="20">
        <v>36890</v>
      </c>
    </row>
    <row r="161" spans="1:37" ht="16.5" customHeight="1" x14ac:dyDescent="0.3">
      <c r="A161" s="18" t="s">
        <v>558</v>
      </c>
      <c r="B161" s="18" t="s">
        <v>107</v>
      </c>
      <c r="C161" s="19" t="s">
        <v>108</v>
      </c>
      <c r="D161" s="18" t="s">
        <v>748</v>
      </c>
      <c r="E161" s="19" t="s">
        <v>749</v>
      </c>
      <c r="F161" s="18" t="s">
        <v>110</v>
      </c>
      <c r="G161" s="18" t="s">
        <v>111</v>
      </c>
      <c r="H161" s="19" t="s">
        <v>112</v>
      </c>
      <c r="I161" s="18" t="s">
        <v>113</v>
      </c>
      <c r="J161" s="19" t="s">
        <v>114</v>
      </c>
      <c r="K161" s="19" t="s">
        <v>115</v>
      </c>
      <c r="L161" s="18" t="s">
        <v>116</v>
      </c>
      <c r="M161" s="18" t="s">
        <v>133</v>
      </c>
      <c r="N161" s="18" t="s">
        <v>118</v>
      </c>
      <c r="O161" s="20">
        <v>119000</v>
      </c>
      <c r="P161" s="20">
        <v>82110</v>
      </c>
      <c r="Q161" s="20">
        <v>1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31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119000</v>
      </c>
      <c r="AD161" s="20">
        <v>82110</v>
      </c>
      <c r="AE161" s="20">
        <v>0</v>
      </c>
      <c r="AF161" s="20">
        <v>0</v>
      </c>
      <c r="AG161" s="20">
        <v>119000</v>
      </c>
      <c r="AH161" s="20">
        <v>82110</v>
      </c>
      <c r="AI161" s="20">
        <v>33536</v>
      </c>
      <c r="AJ161" s="20">
        <v>3354</v>
      </c>
      <c r="AK161" s="20">
        <v>36890</v>
      </c>
    </row>
    <row r="162" spans="1:37" ht="16.5" customHeight="1" x14ac:dyDescent="0.3">
      <c r="A162" s="18" t="s">
        <v>560</v>
      </c>
      <c r="B162" s="18" t="s">
        <v>107</v>
      </c>
      <c r="C162" s="19" t="s">
        <v>108</v>
      </c>
      <c r="D162" s="18" t="s">
        <v>887</v>
      </c>
      <c r="E162" s="19" t="s">
        <v>888</v>
      </c>
      <c r="F162" s="18" t="s">
        <v>110</v>
      </c>
      <c r="G162" s="18" t="s">
        <v>111</v>
      </c>
      <c r="H162" s="19" t="s">
        <v>112</v>
      </c>
      <c r="I162" s="18" t="s">
        <v>113</v>
      </c>
      <c r="J162" s="19" t="s">
        <v>114</v>
      </c>
      <c r="K162" s="19" t="s">
        <v>115</v>
      </c>
      <c r="L162" s="18" t="s">
        <v>116</v>
      </c>
      <c r="M162" s="18" t="s">
        <v>133</v>
      </c>
      <c r="N162" s="18" t="s">
        <v>118</v>
      </c>
      <c r="O162" s="20">
        <v>119000</v>
      </c>
      <c r="P162" s="20">
        <v>82110</v>
      </c>
      <c r="Q162" s="20">
        <v>1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31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119000</v>
      </c>
      <c r="AD162" s="20">
        <v>82110</v>
      </c>
      <c r="AE162" s="20">
        <v>0</v>
      </c>
      <c r="AF162" s="20">
        <v>0</v>
      </c>
      <c r="AG162" s="20">
        <v>119000</v>
      </c>
      <c r="AH162" s="20">
        <v>82110</v>
      </c>
      <c r="AI162" s="20">
        <v>33536</v>
      </c>
      <c r="AJ162" s="20">
        <v>3354</v>
      </c>
      <c r="AK162" s="20">
        <v>36890</v>
      </c>
    </row>
    <row r="163" spans="1:37" ht="16.5" customHeight="1" x14ac:dyDescent="0.3">
      <c r="A163" s="18" t="s">
        <v>562</v>
      </c>
      <c r="B163" s="18" t="s">
        <v>107</v>
      </c>
      <c r="C163" s="19" t="s">
        <v>108</v>
      </c>
      <c r="D163" s="18" t="s">
        <v>890</v>
      </c>
      <c r="E163" s="19" t="s">
        <v>891</v>
      </c>
      <c r="F163" s="18" t="s">
        <v>110</v>
      </c>
      <c r="G163" s="18" t="s">
        <v>111</v>
      </c>
      <c r="H163" s="19" t="s">
        <v>112</v>
      </c>
      <c r="I163" s="18" t="s">
        <v>113</v>
      </c>
      <c r="J163" s="19" t="s">
        <v>114</v>
      </c>
      <c r="K163" s="19" t="s">
        <v>115</v>
      </c>
      <c r="L163" s="18" t="s">
        <v>116</v>
      </c>
      <c r="M163" s="18" t="s">
        <v>133</v>
      </c>
      <c r="N163" s="18" t="s">
        <v>118</v>
      </c>
      <c r="O163" s="20">
        <v>119000</v>
      </c>
      <c r="P163" s="20">
        <v>82110</v>
      </c>
      <c r="Q163" s="20">
        <v>1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31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119000</v>
      </c>
      <c r="AD163" s="20">
        <v>82110</v>
      </c>
      <c r="AE163" s="20">
        <v>0</v>
      </c>
      <c r="AF163" s="20">
        <v>0</v>
      </c>
      <c r="AG163" s="20">
        <v>119000</v>
      </c>
      <c r="AH163" s="20">
        <v>82110</v>
      </c>
      <c r="AI163" s="20">
        <v>33536</v>
      </c>
      <c r="AJ163" s="20">
        <v>3354</v>
      </c>
      <c r="AK163" s="20">
        <v>36890</v>
      </c>
    </row>
    <row r="164" spans="1:37" ht="16.5" customHeight="1" x14ac:dyDescent="0.3">
      <c r="A164" s="18" t="s">
        <v>565</v>
      </c>
      <c r="B164" s="18" t="s">
        <v>107</v>
      </c>
      <c r="C164" s="19" t="s">
        <v>108</v>
      </c>
      <c r="D164" s="18" t="s">
        <v>893</v>
      </c>
      <c r="E164" s="19" t="s">
        <v>315</v>
      </c>
      <c r="F164" s="18" t="s">
        <v>110</v>
      </c>
      <c r="G164" s="18" t="s">
        <v>111</v>
      </c>
      <c r="H164" s="19" t="s">
        <v>112</v>
      </c>
      <c r="I164" s="18" t="s">
        <v>113</v>
      </c>
      <c r="J164" s="19" t="s">
        <v>114</v>
      </c>
      <c r="K164" s="19" t="s">
        <v>115</v>
      </c>
      <c r="L164" s="18" t="s">
        <v>116</v>
      </c>
      <c r="M164" s="18" t="s">
        <v>133</v>
      </c>
      <c r="N164" s="18" t="s">
        <v>118</v>
      </c>
      <c r="O164" s="20">
        <v>119000</v>
      </c>
      <c r="P164" s="20">
        <v>82110</v>
      </c>
      <c r="Q164" s="20">
        <v>1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31</v>
      </c>
      <c r="X164" s="20">
        <v>19040</v>
      </c>
      <c r="Y164" s="20">
        <v>0</v>
      </c>
      <c r="Z164" s="20">
        <v>0</v>
      </c>
      <c r="AA164" s="20">
        <v>0</v>
      </c>
      <c r="AB164" s="20">
        <v>0</v>
      </c>
      <c r="AC164" s="20">
        <v>119000</v>
      </c>
      <c r="AD164" s="20">
        <v>82110</v>
      </c>
      <c r="AE164" s="20">
        <v>0</v>
      </c>
      <c r="AF164" s="20">
        <v>19040</v>
      </c>
      <c r="AG164" s="20">
        <v>99960</v>
      </c>
      <c r="AH164" s="20">
        <v>82110</v>
      </c>
      <c r="AI164" s="20">
        <v>16227</v>
      </c>
      <c r="AJ164" s="20">
        <v>1623</v>
      </c>
      <c r="AK164" s="20">
        <v>17850</v>
      </c>
    </row>
    <row r="165" spans="1:37" ht="16.5" customHeight="1" x14ac:dyDescent="0.3">
      <c r="A165" s="18" t="s">
        <v>568</v>
      </c>
      <c r="B165" s="18" t="s">
        <v>107</v>
      </c>
      <c r="C165" s="19" t="s">
        <v>108</v>
      </c>
      <c r="D165" s="18" t="s">
        <v>895</v>
      </c>
      <c r="E165" s="19" t="s">
        <v>169</v>
      </c>
      <c r="F165" s="18" t="s">
        <v>110</v>
      </c>
      <c r="G165" s="18" t="s">
        <v>111</v>
      </c>
      <c r="H165" s="19" t="s">
        <v>112</v>
      </c>
      <c r="I165" s="18" t="s">
        <v>113</v>
      </c>
      <c r="J165" s="19" t="s">
        <v>114</v>
      </c>
      <c r="K165" s="19" t="s">
        <v>115</v>
      </c>
      <c r="L165" s="18" t="s">
        <v>116</v>
      </c>
      <c r="M165" s="18" t="s">
        <v>133</v>
      </c>
      <c r="N165" s="18" t="s">
        <v>118</v>
      </c>
      <c r="O165" s="20">
        <v>119000</v>
      </c>
      <c r="P165" s="20">
        <v>82110</v>
      </c>
      <c r="Q165" s="20">
        <v>1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31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119000</v>
      </c>
      <c r="AD165" s="20">
        <v>82110</v>
      </c>
      <c r="AE165" s="20">
        <v>0</v>
      </c>
      <c r="AF165" s="20">
        <v>0</v>
      </c>
      <c r="AG165" s="20">
        <v>119000</v>
      </c>
      <c r="AH165" s="20">
        <v>82110</v>
      </c>
      <c r="AI165" s="20">
        <v>33536</v>
      </c>
      <c r="AJ165" s="20">
        <v>3354</v>
      </c>
      <c r="AK165" s="20">
        <v>36890</v>
      </c>
    </row>
    <row r="166" spans="1:37" ht="16.5" customHeight="1" x14ac:dyDescent="0.3">
      <c r="A166" s="18" t="s">
        <v>571</v>
      </c>
      <c r="B166" s="18" t="s">
        <v>107</v>
      </c>
      <c r="C166" s="19" t="s">
        <v>108</v>
      </c>
      <c r="D166" s="18" t="s">
        <v>897</v>
      </c>
      <c r="E166" s="19" t="s">
        <v>328</v>
      </c>
      <c r="F166" s="18" t="s">
        <v>110</v>
      </c>
      <c r="G166" s="18" t="s">
        <v>111</v>
      </c>
      <c r="H166" s="19" t="s">
        <v>112</v>
      </c>
      <c r="I166" s="18" t="s">
        <v>113</v>
      </c>
      <c r="J166" s="19" t="s">
        <v>114</v>
      </c>
      <c r="K166" s="19" t="s">
        <v>115</v>
      </c>
      <c r="L166" s="18" t="s">
        <v>116</v>
      </c>
      <c r="M166" s="18" t="s">
        <v>133</v>
      </c>
      <c r="N166" s="18" t="s">
        <v>118</v>
      </c>
      <c r="O166" s="20">
        <v>119000</v>
      </c>
      <c r="P166" s="20">
        <v>82110</v>
      </c>
      <c r="Q166" s="20">
        <v>1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31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119000</v>
      </c>
      <c r="AD166" s="20">
        <v>82110</v>
      </c>
      <c r="AE166" s="20">
        <v>0</v>
      </c>
      <c r="AF166" s="20">
        <v>0</v>
      </c>
      <c r="AG166" s="20">
        <v>119000</v>
      </c>
      <c r="AH166" s="20">
        <v>82110</v>
      </c>
      <c r="AI166" s="20">
        <v>33536</v>
      </c>
      <c r="AJ166" s="20">
        <v>3354</v>
      </c>
      <c r="AK166" s="20">
        <v>36890</v>
      </c>
    </row>
    <row r="167" spans="1:37" ht="16.5" customHeight="1" x14ac:dyDescent="0.3">
      <c r="A167" s="18" t="s">
        <v>573</v>
      </c>
      <c r="B167" s="18" t="s">
        <v>107</v>
      </c>
      <c r="C167" s="19" t="s">
        <v>108</v>
      </c>
      <c r="D167" s="18" t="s">
        <v>905</v>
      </c>
      <c r="E167" s="19" t="s">
        <v>906</v>
      </c>
      <c r="F167" s="18" t="s">
        <v>110</v>
      </c>
      <c r="G167" s="18" t="s">
        <v>111</v>
      </c>
      <c r="H167" s="19" t="s">
        <v>112</v>
      </c>
      <c r="I167" s="18" t="s">
        <v>113</v>
      </c>
      <c r="J167" s="19" t="s">
        <v>114</v>
      </c>
      <c r="K167" s="19" t="s">
        <v>115</v>
      </c>
      <c r="L167" s="18" t="s">
        <v>116</v>
      </c>
      <c r="M167" s="18" t="s">
        <v>133</v>
      </c>
      <c r="N167" s="18" t="s">
        <v>118</v>
      </c>
      <c r="O167" s="20">
        <v>119000</v>
      </c>
      <c r="P167" s="20">
        <v>82110</v>
      </c>
      <c r="Q167" s="20">
        <v>1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31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119000</v>
      </c>
      <c r="AD167" s="20">
        <v>82110</v>
      </c>
      <c r="AE167" s="20">
        <v>0</v>
      </c>
      <c r="AF167" s="20">
        <v>0</v>
      </c>
      <c r="AG167" s="20">
        <v>119000</v>
      </c>
      <c r="AH167" s="20">
        <v>82110</v>
      </c>
      <c r="AI167" s="20">
        <v>33536</v>
      </c>
      <c r="AJ167" s="20">
        <v>3354</v>
      </c>
      <c r="AK167" s="20">
        <v>36890</v>
      </c>
    </row>
    <row r="168" spans="1:37" ht="16.5" customHeight="1" x14ac:dyDescent="0.3">
      <c r="A168" s="18" t="s">
        <v>576</v>
      </c>
      <c r="B168" s="18" t="s">
        <v>107</v>
      </c>
      <c r="C168" s="19" t="s">
        <v>108</v>
      </c>
      <c r="D168" s="18" t="s">
        <v>758</v>
      </c>
      <c r="E168" s="19" t="s">
        <v>759</v>
      </c>
      <c r="F168" s="18" t="s">
        <v>110</v>
      </c>
      <c r="G168" s="18" t="s">
        <v>111</v>
      </c>
      <c r="H168" s="19" t="s">
        <v>112</v>
      </c>
      <c r="I168" s="18" t="s">
        <v>113</v>
      </c>
      <c r="J168" s="19" t="s">
        <v>114</v>
      </c>
      <c r="K168" s="19" t="s">
        <v>115</v>
      </c>
      <c r="L168" s="18" t="s">
        <v>116</v>
      </c>
      <c r="M168" s="18" t="s">
        <v>133</v>
      </c>
      <c r="N168" s="18" t="s">
        <v>118</v>
      </c>
      <c r="O168" s="20">
        <v>119000</v>
      </c>
      <c r="P168" s="20">
        <v>82110</v>
      </c>
      <c r="Q168" s="20">
        <v>1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31</v>
      </c>
      <c r="X168" s="20">
        <v>0</v>
      </c>
      <c r="Y168" s="20">
        <v>10000</v>
      </c>
      <c r="Z168" s="20">
        <v>0</v>
      </c>
      <c r="AA168" s="20">
        <v>0</v>
      </c>
      <c r="AB168" s="20">
        <v>5450</v>
      </c>
      <c r="AC168" s="20">
        <v>119000</v>
      </c>
      <c r="AD168" s="20">
        <v>82110</v>
      </c>
      <c r="AE168" s="20">
        <v>0</v>
      </c>
      <c r="AF168" s="20">
        <v>15450</v>
      </c>
      <c r="AG168" s="20">
        <v>103550</v>
      </c>
      <c r="AH168" s="20">
        <v>82110</v>
      </c>
      <c r="AI168" s="20">
        <v>19491</v>
      </c>
      <c r="AJ168" s="20">
        <v>1949</v>
      </c>
      <c r="AK168" s="20">
        <v>21440</v>
      </c>
    </row>
    <row r="169" spans="1:37" ht="16.5" customHeight="1" x14ac:dyDescent="0.3">
      <c r="A169" s="18" t="s">
        <v>579</v>
      </c>
      <c r="B169" s="18" t="s">
        <v>107</v>
      </c>
      <c r="C169" s="19" t="s">
        <v>108</v>
      </c>
      <c r="D169" s="18" t="s">
        <v>911</v>
      </c>
      <c r="E169" s="19" t="s">
        <v>139</v>
      </c>
      <c r="F169" s="18" t="s">
        <v>110</v>
      </c>
      <c r="G169" s="18" t="s">
        <v>111</v>
      </c>
      <c r="H169" s="19" t="s">
        <v>112</v>
      </c>
      <c r="I169" s="18" t="s">
        <v>113</v>
      </c>
      <c r="J169" s="19" t="s">
        <v>114</v>
      </c>
      <c r="K169" s="19" t="s">
        <v>115</v>
      </c>
      <c r="L169" s="18" t="s">
        <v>116</v>
      </c>
      <c r="M169" s="18" t="s">
        <v>133</v>
      </c>
      <c r="N169" s="18" t="s">
        <v>118</v>
      </c>
      <c r="O169" s="20">
        <v>119000</v>
      </c>
      <c r="P169" s="20">
        <v>82110</v>
      </c>
      <c r="Q169" s="20">
        <v>1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31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119000</v>
      </c>
      <c r="AD169" s="20">
        <v>82110</v>
      </c>
      <c r="AE169" s="20">
        <v>0</v>
      </c>
      <c r="AF169" s="20">
        <v>0</v>
      </c>
      <c r="AG169" s="20">
        <v>119000</v>
      </c>
      <c r="AH169" s="20">
        <v>82110</v>
      </c>
      <c r="AI169" s="20">
        <v>33536</v>
      </c>
      <c r="AJ169" s="20">
        <v>3354</v>
      </c>
      <c r="AK169" s="20">
        <v>36890</v>
      </c>
    </row>
    <row r="170" spans="1:37" ht="16.5" customHeight="1" x14ac:dyDescent="0.3">
      <c r="A170" s="18" t="s">
        <v>582</v>
      </c>
      <c r="B170" s="18" t="s">
        <v>107</v>
      </c>
      <c r="C170" s="19" t="s">
        <v>108</v>
      </c>
      <c r="D170" s="18" t="s">
        <v>913</v>
      </c>
      <c r="E170" s="19" t="s">
        <v>914</v>
      </c>
      <c r="F170" s="18" t="s">
        <v>110</v>
      </c>
      <c r="G170" s="18" t="s">
        <v>111</v>
      </c>
      <c r="H170" s="19" t="s">
        <v>112</v>
      </c>
      <c r="I170" s="18" t="s">
        <v>113</v>
      </c>
      <c r="J170" s="19" t="s">
        <v>114</v>
      </c>
      <c r="K170" s="19" t="s">
        <v>115</v>
      </c>
      <c r="L170" s="18" t="s">
        <v>116</v>
      </c>
      <c r="M170" s="18" t="s">
        <v>133</v>
      </c>
      <c r="N170" s="18" t="s">
        <v>118</v>
      </c>
      <c r="O170" s="20">
        <v>119000</v>
      </c>
      <c r="P170" s="20">
        <v>82110</v>
      </c>
      <c r="Q170" s="20">
        <v>1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31</v>
      </c>
      <c r="X170" s="20">
        <v>22610</v>
      </c>
      <c r="Y170" s="20">
        <v>0</v>
      </c>
      <c r="Z170" s="20">
        <v>0</v>
      </c>
      <c r="AA170" s="20">
        <v>0</v>
      </c>
      <c r="AB170" s="20">
        <v>0</v>
      </c>
      <c r="AC170" s="20">
        <v>119000</v>
      </c>
      <c r="AD170" s="20">
        <v>82110</v>
      </c>
      <c r="AE170" s="20">
        <v>0</v>
      </c>
      <c r="AF170" s="20">
        <v>22610</v>
      </c>
      <c r="AG170" s="20">
        <v>96390</v>
      </c>
      <c r="AH170" s="20">
        <v>82110</v>
      </c>
      <c r="AI170" s="20">
        <v>12982</v>
      </c>
      <c r="AJ170" s="20">
        <v>1298</v>
      </c>
      <c r="AK170" s="20">
        <v>14280</v>
      </c>
    </row>
    <row r="171" spans="1:37" ht="16.5" customHeight="1" x14ac:dyDescent="0.3">
      <c r="A171" s="18" t="s">
        <v>585</v>
      </c>
      <c r="B171" s="18" t="s">
        <v>107</v>
      </c>
      <c r="C171" s="19" t="s">
        <v>108</v>
      </c>
      <c r="D171" s="18" t="s">
        <v>916</v>
      </c>
      <c r="E171" s="19" t="s">
        <v>378</v>
      </c>
      <c r="F171" s="18" t="s">
        <v>110</v>
      </c>
      <c r="G171" s="18" t="s">
        <v>111</v>
      </c>
      <c r="H171" s="19" t="s">
        <v>112</v>
      </c>
      <c r="I171" s="18" t="s">
        <v>113</v>
      </c>
      <c r="J171" s="19" t="s">
        <v>114</v>
      </c>
      <c r="K171" s="19" t="s">
        <v>115</v>
      </c>
      <c r="L171" s="18" t="s">
        <v>116</v>
      </c>
      <c r="M171" s="18" t="s">
        <v>133</v>
      </c>
      <c r="N171" s="18" t="s">
        <v>118</v>
      </c>
      <c r="O171" s="20">
        <v>119000</v>
      </c>
      <c r="P171" s="20">
        <v>82110</v>
      </c>
      <c r="Q171" s="20">
        <v>1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31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119000</v>
      </c>
      <c r="AD171" s="20">
        <v>82110</v>
      </c>
      <c r="AE171" s="20">
        <v>0</v>
      </c>
      <c r="AF171" s="20">
        <v>0</v>
      </c>
      <c r="AG171" s="20">
        <v>119000</v>
      </c>
      <c r="AH171" s="20">
        <v>82110</v>
      </c>
      <c r="AI171" s="20">
        <v>33536</v>
      </c>
      <c r="AJ171" s="20">
        <v>3354</v>
      </c>
      <c r="AK171" s="20">
        <v>36890</v>
      </c>
    </row>
    <row r="172" spans="1:37" ht="16.5" customHeight="1" x14ac:dyDescent="0.3">
      <c r="A172" s="18" t="s">
        <v>586</v>
      </c>
      <c r="B172" s="18" t="s">
        <v>107</v>
      </c>
      <c r="C172" s="19" t="s">
        <v>108</v>
      </c>
      <c r="D172" s="18" t="s">
        <v>918</v>
      </c>
      <c r="E172" s="19" t="s">
        <v>919</v>
      </c>
      <c r="F172" s="18" t="s">
        <v>110</v>
      </c>
      <c r="G172" s="18" t="s">
        <v>111</v>
      </c>
      <c r="H172" s="19" t="s">
        <v>112</v>
      </c>
      <c r="I172" s="18" t="s">
        <v>113</v>
      </c>
      <c r="J172" s="19" t="s">
        <v>114</v>
      </c>
      <c r="K172" s="19" t="s">
        <v>151</v>
      </c>
      <c r="L172" s="18" t="s">
        <v>116</v>
      </c>
      <c r="M172" s="18" t="s">
        <v>133</v>
      </c>
      <c r="N172" s="18" t="s">
        <v>118</v>
      </c>
      <c r="O172" s="20">
        <v>119000</v>
      </c>
      <c r="P172" s="20">
        <v>82110</v>
      </c>
      <c r="Q172" s="20">
        <v>1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31</v>
      </c>
      <c r="X172" s="20">
        <v>13090</v>
      </c>
      <c r="Y172" s="20">
        <v>0</v>
      </c>
      <c r="Z172" s="20">
        <v>0</v>
      </c>
      <c r="AA172" s="20">
        <v>0</v>
      </c>
      <c r="AB172" s="20">
        <v>0</v>
      </c>
      <c r="AC172" s="20">
        <v>119000</v>
      </c>
      <c r="AD172" s="20">
        <v>82110</v>
      </c>
      <c r="AE172" s="20">
        <v>0</v>
      </c>
      <c r="AF172" s="20">
        <v>13090</v>
      </c>
      <c r="AG172" s="20">
        <v>105910</v>
      </c>
      <c r="AH172" s="20">
        <v>82110</v>
      </c>
      <c r="AI172" s="20">
        <v>21636</v>
      </c>
      <c r="AJ172" s="20">
        <v>2164</v>
      </c>
      <c r="AK172" s="20">
        <v>23800</v>
      </c>
    </row>
    <row r="173" spans="1:37" ht="16.5" customHeight="1" x14ac:dyDescent="0.3">
      <c r="A173" s="18" t="s">
        <v>588</v>
      </c>
      <c r="B173" s="18" t="s">
        <v>107</v>
      </c>
      <c r="C173" s="19" t="s">
        <v>108</v>
      </c>
      <c r="D173" s="18" t="s">
        <v>921</v>
      </c>
      <c r="E173" s="19" t="s">
        <v>922</v>
      </c>
      <c r="F173" s="18" t="s">
        <v>110</v>
      </c>
      <c r="G173" s="18" t="s">
        <v>111</v>
      </c>
      <c r="H173" s="19" t="s">
        <v>112</v>
      </c>
      <c r="I173" s="18" t="s">
        <v>113</v>
      </c>
      <c r="J173" s="19" t="s">
        <v>114</v>
      </c>
      <c r="K173" s="19" t="s">
        <v>115</v>
      </c>
      <c r="L173" s="18" t="s">
        <v>116</v>
      </c>
      <c r="M173" s="18" t="s">
        <v>133</v>
      </c>
      <c r="N173" s="18" t="s">
        <v>118</v>
      </c>
      <c r="O173" s="20">
        <v>119000</v>
      </c>
      <c r="P173" s="20">
        <v>82110</v>
      </c>
      <c r="Q173" s="20">
        <v>1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31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119000</v>
      </c>
      <c r="AD173" s="20">
        <v>82110</v>
      </c>
      <c r="AE173" s="20">
        <v>0</v>
      </c>
      <c r="AF173" s="20">
        <v>0</v>
      </c>
      <c r="AG173" s="20">
        <v>119000</v>
      </c>
      <c r="AH173" s="20">
        <v>82110</v>
      </c>
      <c r="AI173" s="20">
        <v>33536</v>
      </c>
      <c r="AJ173" s="20">
        <v>3354</v>
      </c>
      <c r="AK173" s="20">
        <v>36890</v>
      </c>
    </row>
    <row r="174" spans="1:37" ht="16.5" customHeight="1" x14ac:dyDescent="0.3">
      <c r="A174" s="18" t="s">
        <v>591</v>
      </c>
      <c r="B174" s="18" t="s">
        <v>107</v>
      </c>
      <c r="C174" s="19" t="s">
        <v>108</v>
      </c>
      <c r="D174" s="18" t="s">
        <v>924</v>
      </c>
      <c r="E174" s="19" t="s">
        <v>925</v>
      </c>
      <c r="F174" s="18" t="s">
        <v>110</v>
      </c>
      <c r="G174" s="18" t="s">
        <v>111</v>
      </c>
      <c r="H174" s="19" t="s">
        <v>112</v>
      </c>
      <c r="I174" s="18" t="s">
        <v>113</v>
      </c>
      <c r="J174" s="19" t="s">
        <v>114</v>
      </c>
      <c r="K174" s="19" t="s">
        <v>115</v>
      </c>
      <c r="L174" s="18" t="s">
        <v>116</v>
      </c>
      <c r="M174" s="18" t="s">
        <v>133</v>
      </c>
      <c r="N174" s="18" t="s">
        <v>118</v>
      </c>
      <c r="O174" s="20">
        <v>119000</v>
      </c>
      <c r="P174" s="20">
        <v>82110</v>
      </c>
      <c r="Q174" s="20">
        <v>1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31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119000</v>
      </c>
      <c r="AD174" s="20">
        <v>82110</v>
      </c>
      <c r="AE174" s="20">
        <v>0</v>
      </c>
      <c r="AF174" s="20">
        <v>0</v>
      </c>
      <c r="AG174" s="20">
        <v>119000</v>
      </c>
      <c r="AH174" s="20">
        <v>82110</v>
      </c>
      <c r="AI174" s="20">
        <v>33536</v>
      </c>
      <c r="AJ174" s="20">
        <v>3354</v>
      </c>
      <c r="AK174" s="20">
        <v>36890</v>
      </c>
    </row>
    <row r="175" spans="1:37" ht="16.5" customHeight="1" x14ac:dyDescent="0.3">
      <c r="A175" s="18" t="s">
        <v>594</v>
      </c>
      <c r="B175" s="18" t="s">
        <v>107</v>
      </c>
      <c r="C175" s="19" t="s">
        <v>108</v>
      </c>
      <c r="D175" s="18" t="s">
        <v>927</v>
      </c>
      <c r="E175" s="19" t="s">
        <v>928</v>
      </c>
      <c r="F175" s="18" t="s">
        <v>110</v>
      </c>
      <c r="G175" s="18" t="s">
        <v>111</v>
      </c>
      <c r="H175" s="19" t="s">
        <v>112</v>
      </c>
      <c r="I175" s="18" t="s">
        <v>113</v>
      </c>
      <c r="J175" s="19" t="s">
        <v>114</v>
      </c>
      <c r="K175" s="19" t="s">
        <v>115</v>
      </c>
      <c r="L175" s="18" t="s">
        <v>116</v>
      </c>
      <c r="M175" s="18" t="s">
        <v>133</v>
      </c>
      <c r="N175" s="18" t="s">
        <v>118</v>
      </c>
      <c r="O175" s="20">
        <v>119000</v>
      </c>
      <c r="P175" s="20">
        <v>82110</v>
      </c>
      <c r="Q175" s="20">
        <v>1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31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119000</v>
      </c>
      <c r="AD175" s="20">
        <v>82110</v>
      </c>
      <c r="AE175" s="20">
        <v>0</v>
      </c>
      <c r="AF175" s="20">
        <v>0</v>
      </c>
      <c r="AG175" s="20">
        <v>119000</v>
      </c>
      <c r="AH175" s="20">
        <v>82110</v>
      </c>
      <c r="AI175" s="20">
        <v>33536</v>
      </c>
      <c r="AJ175" s="20">
        <v>3354</v>
      </c>
      <c r="AK175" s="20">
        <v>36890</v>
      </c>
    </row>
    <row r="176" spans="1:37" ht="16.5" customHeight="1" x14ac:dyDescent="0.3">
      <c r="A176" s="18" t="s">
        <v>597</v>
      </c>
      <c r="B176" s="18" t="s">
        <v>107</v>
      </c>
      <c r="C176" s="19" t="s">
        <v>108</v>
      </c>
      <c r="D176" s="18" t="s">
        <v>933</v>
      </c>
      <c r="E176" s="19" t="s">
        <v>934</v>
      </c>
      <c r="F176" s="18" t="s">
        <v>110</v>
      </c>
      <c r="G176" s="18" t="s">
        <v>111</v>
      </c>
      <c r="H176" s="19" t="s">
        <v>112</v>
      </c>
      <c r="I176" s="18" t="s">
        <v>113</v>
      </c>
      <c r="J176" s="19" t="s">
        <v>114</v>
      </c>
      <c r="K176" s="19" t="s">
        <v>115</v>
      </c>
      <c r="L176" s="18" t="s">
        <v>116</v>
      </c>
      <c r="M176" s="18" t="s">
        <v>133</v>
      </c>
      <c r="N176" s="18" t="s">
        <v>118</v>
      </c>
      <c r="O176" s="20">
        <v>119000</v>
      </c>
      <c r="P176" s="20">
        <v>82110</v>
      </c>
      <c r="Q176" s="20">
        <v>1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31</v>
      </c>
      <c r="X176" s="20">
        <v>0</v>
      </c>
      <c r="Y176" s="20">
        <v>0</v>
      </c>
      <c r="Z176" s="20">
        <v>0</v>
      </c>
      <c r="AA176" s="20">
        <v>0</v>
      </c>
      <c r="AB176" s="20">
        <v>5950</v>
      </c>
      <c r="AC176" s="20">
        <v>119000</v>
      </c>
      <c r="AD176" s="20">
        <v>82110</v>
      </c>
      <c r="AE176" s="20">
        <v>0</v>
      </c>
      <c r="AF176" s="20">
        <v>5950</v>
      </c>
      <c r="AG176" s="20">
        <v>113050</v>
      </c>
      <c r="AH176" s="20">
        <v>82110</v>
      </c>
      <c r="AI176" s="20">
        <v>28127</v>
      </c>
      <c r="AJ176" s="20">
        <v>2813</v>
      </c>
      <c r="AK176" s="20">
        <v>30940</v>
      </c>
    </row>
    <row r="177" spans="1:37" ht="16.5" customHeight="1" x14ac:dyDescent="0.3">
      <c r="A177" s="18" t="s">
        <v>600</v>
      </c>
      <c r="B177" s="18" t="s">
        <v>107</v>
      </c>
      <c r="C177" s="19" t="s">
        <v>108</v>
      </c>
      <c r="D177" s="18" t="s">
        <v>936</v>
      </c>
      <c r="E177" s="19" t="s">
        <v>378</v>
      </c>
      <c r="F177" s="18" t="s">
        <v>110</v>
      </c>
      <c r="G177" s="18" t="s">
        <v>111</v>
      </c>
      <c r="H177" s="19" t="s">
        <v>112</v>
      </c>
      <c r="I177" s="18" t="s">
        <v>113</v>
      </c>
      <c r="J177" s="19" t="s">
        <v>114</v>
      </c>
      <c r="K177" s="19" t="s">
        <v>115</v>
      </c>
      <c r="L177" s="18" t="s">
        <v>116</v>
      </c>
      <c r="M177" s="18" t="s">
        <v>133</v>
      </c>
      <c r="N177" s="18" t="s">
        <v>118</v>
      </c>
      <c r="O177" s="20">
        <v>119000</v>
      </c>
      <c r="P177" s="20">
        <v>82110</v>
      </c>
      <c r="Q177" s="20">
        <v>1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31</v>
      </c>
      <c r="X177" s="20">
        <v>0</v>
      </c>
      <c r="Y177" s="20">
        <v>0</v>
      </c>
      <c r="Z177" s="20">
        <v>0</v>
      </c>
      <c r="AA177" s="20">
        <v>0</v>
      </c>
      <c r="AB177" s="20">
        <v>5950</v>
      </c>
      <c r="AC177" s="20">
        <v>119000</v>
      </c>
      <c r="AD177" s="20">
        <v>82110</v>
      </c>
      <c r="AE177" s="20">
        <v>0</v>
      </c>
      <c r="AF177" s="20">
        <v>5950</v>
      </c>
      <c r="AG177" s="20">
        <v>113050</v>
      </c>
      <c r="AH177" s="20">
        <v>82110</v>
      </c>
      <c r="AI177" s="20">
        <v>28127</v>
      </c>
      <c r="AJ177" s="20">
        <v>2813</v>
      </c>
      <c r="AK177" s="20">
        <v>30940</v>
      </c>
    </row>
    <row r="178" spans="1:37" ht="16.5" customHeight="1" x14ac:dyDescent="0.3">
      <c r="A178" s="18" t="s">
        <v>602</v>
      </c>
      <c r="B178" s="18" t="s">
        <v>107</v>
      </c>
      <c r="C178" s="19" t="s">
        <v>108</v>
      </c>
      <c r="D178" s="18" t="s">
        <v>938</v>
      </c>
      <c r="E178" s="19" t="s">
        <v>939</v>
      </c>
      <c r="F178" s="18" t="s">
        <v>110</v>
      </c>
      <c r="G178" s="18" t="s">
        <v>111</v>
      </c>
      <c r="H178" s="19" t="s">
        <v>112</v>
      </c>
      <c r="I178" s="18" t="s">
        <v>113</v>
      </c>
      <c r="J178" s="19" t="s">
        <v>114</v>
      </c>
      <c r="K178" s="19" t="s">
        <v>115</v>
      </c>
      <c r="L178" s="18" t="s">
        <v>116</v>
      </c>
      <c r="M178" s="18" t="s">
        <v>133</v>
      </c>
      <c r="N178" s="18" t="s">
        <v>118</v>
      </c>
      <c r="O178" s="20">
        <v>119000</v>
      </c>
      <c r="P178" s="20">
        <v>82110</v>
      </c>
      <c r="Q178" s="20">
        <v>1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31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119000</v>
      </c>
      <c r="AD178" s="20">
        <v>82110</v>
      </c>
      <c r="AE178" s="20">
        <v>0</v>
      </c>
      <c r="AF178" s="20">
        <v>0</v>
      </c>
      <c r="AG178" s="20">
        <v>119000</v>
      </c>
      <c r="AH178" s="20">
        <v>82110</v>
      </c>
      <c r="AI178" s="20">
        <v>33536</v>
      </c>
      <c r="AJ178" s="20">
        <v>3354</v>
      </c>
      <c r="AK178" s="20">
        <v>36890</v>
      </c>
    </row>
    <row r="179" spans="1:37" ht="16.5" customHeight="1" x14ac:dyDescent="0.3">
      <c r="A179" s="18" t="s">
        <v>605</v>
      </c>
      <c r="B179" s="18" t="s">
        <v>107</v>
      </c>
      <c r="C179" s="19" t="s">
        <v>108</v>
      </c>
      <c r="D179" s="18" t="s">
        <v>941</v>
      </c>
      <c r="E179" s="19" t="s">
        <v>119</v>
      </c>
      <c r="F179" s="18" t="s">
        <v>110</v>
      </c>
      <c r="G179" s="18" t="s">
        <v>111</v>
      </c>
      <c r="H179" s="19" t="s">
        <v>112</v>
      </c>
      <c r="I179" s="18" t="s">
        <v>113</v>
      </c>
      <c r="J179" s="19" t="s">
        <v>114</v>
      </c>
      <c r="K179" s="19" t="s">
        <v>115</v>
      </c>
      <c r="L179" s="18" t="s">
        <v>116</v>
      </c>
      <c r="M179" s="18" t="s">
        <v>133</v>
      </c>
      <c r="N179" s="18" t="s">
        <v>118</v>
      </c>
      <c r="O179" s="20">
        <v>119000</v>
      </c>
      <c r="P179" s="20">
        <v>82110</v>
      </c>
      <c r="Q179" s="20">
        <v>1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31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119000</v>
      </c>
      <c r="AD179" s="20">
        <v>82110</v>
      </c>
      <c r="AE179" s="20">
        <v>0</v>
      </c>
      <c r="AF179" s="20">
        <v>0</v>
      </c>
      <c r="AG179" s="20">
        <v>119000</v>
      </c>
      <c r="AH179" s="20">
        <v>82110</v>
      </c>
      <c r="AI179" s="20">
        <v>33536</v>
      </c>
      <c r="AJ179" s="20">
        <v>3354</v>
      </c>
      <c r="AK179" s="20">
        <v>36890</v>
      </c>
    </row>
    <row r="180" spans="1:37" ht="16.5" customHeight="1" x14ac:dyDescent="0.3">
      <c r="A180" s="18" t="s">
        <v>608</v>
      </c>
      <c r="B180" s="18" t="s">
        <v>107</v>
      </c>
      <c r="C180" s="19" t="s">
        <v>108</v>
      </c>
      <c r="D180" s="18" t="s">
        <v>943</v>
      </c>
      <c r="E180" s="19" t="s">
        <v>169</v>
      </c>
      <c r="F180" s="18" t="s">
        <v>110</v>
      </c>
      <c r="G180" s="18" t="s">
        <v>111</v>
      </c>
      <c r="H180" s="19" t="s">
        <v>112</v>
      </c>
      <c r="I180" s="18" t="s">
        <v>113</v>
      </c>
      <c r="J180" s="19" t="s">
        <v>114</v>
      </c>
      <c r="K180" s="19" t="s">
        <v>115</v>
      </c>
      <c r="L180" s="18" t="s">
        <v>116</v>
      </c>
      <c r="M180" s="18" t="s">
        <v>133</v>
      </c>
      <c r="N180" s="18" t="s">
        <v>118</v>
      </c>
      <c r="O180" s="20">
        <v>119000</v>
      </c>
      <c r="P180" s="20">
        <v>82110</v>
      </c>
      <c r="Q180" s="20">
        <v>1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31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119000</v>
      </c>
      <c r="AD180" s="20">
        <v>82110</v>
      </c>
      <c r="AE180" s="20">
        <v>0</v>
      </c>
      <c r="AF180" s="20">
        <v>0</v>
      </c>
      <c r="AG180" s="20">
        <v>119000</v>
      </c>
      <c r="AH180" s="20">
        <v>82110</v>
      </c>
      <c r="AI180" s="20">
        <v>33536</v>
      </c>
      <c r="AJ180" s="20">
        <v>3354</v>
      </c>
      <c r="AK180" s="20">
        <v>36890</v>
      </c>
    </row>
    <row r="181" spans="1:37" ht="16.5" customHeight="1" x14ac:dyDescent="0.3">
      <c r="A181" s="18" t="s">
        <v>611</v>
      </c>
      <c r="B181" s="18" t="s">
        <v>107</v>
      </c>
      <c r="C181" s="19" t="s">
        <v>108</v>
      </c>
      <c r="D181" s="18" t="s">
        <v>705</v>
      </c>
      <c r="E181" s="19" t="s">
        <v>703</v>
      </c>
      <c r="F181" s="18" t="s">
        <v>110</v>
      </c>
      <c r="G181" s="18" t="s">
        <v>111</v>
      </c>
      <c r="H181" s="19" t="s">
        <v>112</v>
      </c>
      <c r="I181" s="18" t="s">
        <v>113</v>
      </c>
      <c r="J181" s="19" t="s">
        <v>114</v>
      </c>
      <c r="K181" s="19" t="s">
        <v>115</v>
      </c>
      <c r="L181" s="18" t="s">
        <v>116</v>
      </c>
      <c r="M181" s="18" t="s">
        <v>133</v>
      </c>
      <c r="N181" s="18" t="s">
        <v>118</v>
      </c>
      <c r="O181" s="20">
        <v>119000</v>
      </c>
      <c r="P181" s="20">
        <v>82110</v>
      </c>
      <c r="Q181" s="20">
        <v>2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31</v>
      </c>
      <c r="X181" s="20">
        <v>45220</v>
      </c>
      <c r="Y181" s="20">
        <v>0</v>
      </c>
      <c r="Z181" s="20">
        <v>0</v>
      </c>
      <c r="AA181" s="20">
        <v>0</v>
      </c>
      <c r="AB181" s="20">
        <v>0</v>
      </c>
      <c r="AC181" s="20">
        <v>238000</v>
      </c>
      <c r="AD181" s="20">
        <v>164220</v>
      </c>
      <c r="AE181" s="20">
        <v>0</v>
      </c>
      <c r="AF181" s="20">
        <v>45220</v>
      </c>
      <c r="AG181" s="20">
        <v>192780</v>
      </c>
      <c r="AH181" s="20">
        <v>164220</v>
      </c>
      <c r="AI181" s="20">
        <v>25964</v>
      </c>
      <c r="AJ181" s="20">
        <v>2596</v>
      </c>
      <c r="AK181" s="20">
        <v>28560</v>
      </c>
    </row>
    <row r="182" spans="1:37" ht="16.5" customHeight="1" x14ac:dyDescent="0.3">
      <c r="A182" s="18" t="s">
        <v>612</v>
      </c>
      <c r="B182" s="18" t="s">
        <v>107</v>
      </c>
      <c r="C182" s="19" t="s">
        <v>108</v>
      </c>
      <c r="D182" s="18" t="s">
        <v>609</v>
      </c>
      <c r="E182" s="19" t="s">
        <v>610</v>
      </c>
      <c r="F182" s="18" t="s">
        <v>110</v>
      </c>
      <c r="G182" s="18" t="s">
        <v>111</v>
      </c>
      <c r="H182" s="19" t="s">
        <v>112</v>
      </c>
      <c r="I182" s="18" t="s">
        <v>113</v>
      </c>
      <c r="J182" s="19" t="s">
        <v>114</v>
      </c>
      <c r="K182" s="19" t="s">
        <v>115</v>
      </c>
      <c r="L182" s="18" t="s">
        <v>116</v>
      </c>
      <c r="M182" s="18" t="s">
        <v>133</v>
      </c>
      <c r="N182" s="18" t="s">
        <v>118</v>
      </c>
      <c r="O182" s="20">
        <v>119000</v>
      </c>
      <c r="P182" s="20">
        <v>82110</v>
      </c>
      <c r="Q182" s="20">
        <v>1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31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119000</v>
      </c>
      <c r="AD182" s="20">
        <v>82110</v>
      </c>
      <c r="AE182" s="20">
        <v>0</v>
      </c>
      <c r="AF182" s="20">
        <v>0</v>
      </c>
      <c r="AG182" s="20">
        <v>119000</v>
      </c>
      <c r="AH182" s="20">
        <v>82110</v>
      </c>
      <c r="AI182" s="20">
        <v>33536</v>
      </c>
      <c r="AJ182" s="20">
        <v>3354</v>
      </c>
      <c r="AK182" s="20">
        <v>36890</v>
      </c>
    </row>
    <row r="183" spans="1:37" ht="16.5" customHeight="1" x14ac:dyDescent="0.3">
      <c r="A183" s="18" t="s">
        <v>615</v>
      </c>
      <c r="B183" s="18" t="s">
        <v>107</v>
      </c>
      <c r="C183" s="19" t="s">
        <v>108</v>
      </c>
      <c r="D183" s="18" t="s">
        <v>529</v>
      </c>
      <c r="E183" s="19" t="s">
        <v>289</v>
      </c>
      <c r="F183" s="18" t="s">
        <v>110</v>
      </c>
      <c r="G183" s="18" t="s">
        <v>111</v>
      </c>
      <c r="H183" s="19" t="s">
        <v>112</v>
      </c>
      <c r="I183" s="18" t="s">
        <v>113</v>
      </c>
      <c r="J183" s="19" t="s">
        <v>114</v>
      </c>
      <c r="K183" s="19" t="s">
        <v>115</v>
      </c>
      <c r="L183" s="18" t="s">
        <v>116</v>
      </c>
      <c r="M183" s="18" t="s">
        <v>133</v>
      </c>
      <c r="N183" s="18" t="s">
        <v>118</v>
      </c>
      <c r="O183" s="20">
        <v>119000</v>
      </c>
      <c r="P183" s="20">
        <v>82110</v>
      </c>
      <c r="Q183" s="20">
        <v>1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31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119000</v>
      </c>
      <c r="AD183" s="20">
        <v>82110</v>
      </c>
      <c r="AE183" s="20">
        <v>0</v>
      </c>
      <c r="AF183" s="20">
        <v>0</v>
      </c>
      <c r="AG183" s="20">
        <v>119000</v>
      </c>
      <c r="AH183" s="20">
        <v>82110</v>
      </c>
      <c r="AI183" s="20">
        <v>33536</v>
      </c>
      <c r="AJ183" s="20">
        <v>3354</v>
      </c>
      <c r="AK183" s="20">
        <v>36890</v>
      </c>
    </row>
    <row r="184" spans="1:37" ht="16.5" customHeight="1" x14ac:dyDescent="0.3">
      <c r="A184" s="18" t="s">
        <v>618</v>
      </c>
      <c r="B184" s="18" t="s">
        <v>107</v>
      </c>
      <c r="C184" s="19" t="s">
        <v>108</v>
      </c>
      <c r="D184" s="18" t="s">
        <v>613</v>
      </c>
      <c r="E184" s="19" t="s">
        <v>614</v>
      </c>
      <c r="F184" s="18" t="s">
        <v>110</v>
      </c>
      <c r="G184" s="18" t="s">
        <v>111</v>
      </c>
      <c r="H184" s="19" t="s">
        <v>112</v>
      </c>
      <c r="I184" s="18" t="s">
        <v>113</v>
      </c>
      <c r="J184" s="19" t="s">
        <v>114</v>
      </c>
      <c r="K184" s="19" t="s">
        <v>115</v>
      </c>
      <c r="L184" s="18" t="s">
        <v>116</v>
      </c>
      <c r="M184" s="18" t="s">
        <v>133</v>
      </c>
      <c r="N184" s="18" t="s">
        <v>118</v>
      </c>
      <c r="O184" s="20">
        <v>119000</v>
      </c>
      <c r="P184" s="20">
        <v>82110</v>
      </c>
      <c r="Q184" s="20">
        <v>1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31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119000</v>
      </c>
      <c r="AD184" s="20">
        <v>82110</v>
      </c>
      <c r="AE184" s="20">
        <v>0</v>
      </c>
      <c r="AF184" s="20">
        <v>0</v>
      </c>
      <c r="AG184" s="20">
        <v>119000</v>
      </c>
      <c r="AH184" s="20">
        <v>82110</v>
      </c>
      <c r="AI184" s="20">
        <v>33536</v>
      </c>
      <c r="AJ184" s="20">
        <v>3354</v>
      </c>
      <c r="AK184" s="20">
        <v>36890</v>
      </c>
    </row>
    <row r="185" spans="1:37" ht="16.5" customHeight="1" x14ac:dyDescent="0.3">
      <c r="A185" s="18" t="s">
        <v>621</v>
      </c>
      <c r="B185" s="18" t="s">
        <v>107</v>
      </c>
      <c r="C185" s="19" t="s">
        <v>108</v>
      </c>
      <c r="D185" s="18" t="s">
        <v>616</v>
      </c>
      <c r="E185" s="19" t="s">
        <v>617</v>
      </c>
      <c r="F185" s="18" t="s">
        <v>110</v>
      </c>
      <c r="G185" s="18" t="s">
        <v>111</v>
      </c>
      <c r="H185" s="19" t="s">
        <v>112</v>
      </c>
      <c r="I185" s="18" t="s">
        <v>113</v>
      </c>
      <c r="J185" s="19" t="s">
        <v>114</v>
      </c>
      <c r="K185" s="19" t="s">
        <v>123</v>
      </c>
      <c r="L185" s="18" t="s">
        <v>116</v>
      </c>
      <c r="M185" s="18" t="s">
        <v>133</v>
      </c>
      <c r="N185" s="18" t="s">
        <v>118</v>
      </c>
      <c r="O185" s="20">
        <v>119000</v>
      </c>
      <c r="P185" s="20">
        <v>82110</v>
      </c>
      <c r="Q185" s="20">
        <v>1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31</v>
      </c>
      <c r="X185" s="20">
        <v>0</v>
      </c>
      <c r="Y185" s="20">
        <v>5950</v>
      </c>
      <c r="Z185" s="20">
        <v>0</v>
      </c>
      <c r="AA185" s="20">
        <v>0</v>
      </c>
      <c r="AB185" s="20">
        <v>0</v>
      </c>
      <c r="AC185" s="20">
        <v>119000</v>
      </c>
      <c r="AD185" s="20">
        <v>82110</v>
      </c>
      <c r="AE185" s="20">
        <v>0</v>
      </c>
      <c r="AF185" s="20">
        <v>5950</v>
      </c>
      <c r="AG185" s="20">
        <v>113050</v>
      </c>
      <c r="AH185" s="20">
        <v>82110</v>
      </c>
      <c r="AI185" s="20">
        <v>28127</v>
      </c>
      <c r="AJ185" s="20">
        <v>2813</v>
      </c>
      <c r="AK185" s="20">
        <v>30940</v>
      </c>
    </row>
    <row r="186" spans="1:37" ht="16.5" customHeight="1" x14ac:dyDescent="0.3">
      <c r="A186" s="18" t="s">
        <v>624</v>
      </c>
      <c r="B186" s="18" t="s">
        <v>107</v>
      </c>
      <c r="C186" s="19" t="s">
        <v>108</v>
      </c>
      <c r="D186" s="18" t="s">
        <v>619</v>
      </c>
      <c r="E186" s="19" t="s">
        <v>620</v>
      </c>
      <c r="F186" s="18" t="s">
        <v>110</v>
      </c>
      <c r="G186" s="18" t="s">
        <v>111</v>
      </c>
      <c r="H186" s="19" t="s">
        <v>112</v>
      </c>
      <c r="I186" s="18" t="s">
        <v>113</v>
      </c>
      <c r="J186" s="19" t="s">
        <v>114</v>
      </c>
      <c r="K186" s="19" t="s">
        <v>115</v>
      </c>
      <c r="L186" s="18" t="s">
        <v>116</v>
      </c>
      <c r="M186" s="18" t="s">
        <v>133</v>
      </c>
      <c r="N186" s="18" t="s">
        <v>118</v>
      </c>
      <c r="O186" s="20">
        <v>119000</v>
      </c>
      <c r="P186" s="20">
        <v>82110</v>
      </c>
      <c r="Q186" s="20">
        <v>1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31</v>
      </c>
      <c r="X186" s="20">
        <v>0</v>
      </c>
      <c r="Y186" s="20">
        <v>10000</v>
      </c>
      <c r="Z186" s="20">
        <v>0</v>
      </c>
      <c r="AA186" s="20">
        <v>0</v>
      </c>
      <c r="AB186" s="20">
        <v>0</v>
      </c>
      <c r="AC186" s="20">
        <v>119000</v>
      </c>
      <c r="AD186" s="20">
        <v>82110</v>
      </c>
      <c r="AE186" s="20">
        <v>0</v>
      </c>
      <c r="AF186" s="20">
        <v>10000</v>
      </c>
      <c r="AG186" s="20">
        <v>109000</v>
      </c>
      <c r="AH186" s="20">
        <v>82110</v>
      </c>
      <c r="AI186" s="20">
        <v>24445</v>
      </c>
      <c r="AJ186" s="20">
        <v>2445</v>
      </c>
      <c r="AK186" s="20">
        <v>26890</v>
      </c>
    </row>
    <row r="187" spans="1:37" ht="16.5" customHeight="1" x14ac:dyDescent="0.3">
      <c r="A187" s="18" t="s">
        <v>626</v>
      </c>
      <c r="B187" s="18" t="s">
        <v>107</v>
      </c>
      <c r="C187" s="19" t="s">
        <v>108</v>
      </c>
      <c r="D187" s="18" t="s">
        <v>622</v>
      </c>
      <c r="E187" s="19" t="s">
        <v>623</v>
      </c>
      <c r="F187" s="18" t="s">
        <v>110</v>
      </c>
      <c r="G187" s="18" t="s">
        <v>111</v>
      </c>
      <c r="H187" s="19" t="s">
        <v>112</v>
      </c>
      <c r="I187" s="18" t="s">
        <v>113</v>
      </c>
      <c r="J187" s="19" t="s">
        <v>114</v>
      </c>
      <c r="K187" s="19" t="s">
        <v>115</v>
      </c>
      <c r="L187" s="18" t="s">
        <v>116</v>
      </c>
      <c r="M187" s="18" t="s">
        <v>133</v>
      </c>
      <c r="N187" s="18" t="s">
        <v>118</v>
      </c>
      <c r="O187" s="20">
        <v>119000</v>
      </c>
      <c r="P187" s="20">
        <v>82110</v>
      </c>
      <c r="Q187" s="20">
        <v>1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31</v>
      </c>
      <c r="X187" s="20">
        <v>13090</v>
      </c>
      <c r="Y187" s="20">
        <v>0</v>
      </c>
      <c r="Z187" s="20">
        <v>0</v>
      </c>
      <c r="AA187" s="20">
        <v>0</v>
      </c>
      <c r="AB187" s="20">
        <v>0</v>
      </c>
      <c r="AC187" s="20">
        <v>119000</v>
      </c>
      <c r="AD187" s="20">
        <v>82110</v>
      </c>
      <c r="AE187" s="20">
        <v>0</v>
      </c>
      <c r="AF187" s="20">
        <v>13090</v>
      </c>
      <c r="AG187" s="20">
        <v>105910</v>
      </c>
      <c r="AH187" s="20">
        <v>82110</v>
      </c>
      <c r="AI187" s="20">
        <v>21636</v>
      </c>
      <c r="AJ187" s="20">
        <v>2164</v>
      </c>
      <c r="AK187" s="20">
        <v>23800</v>
      </c>
    </row>
    <row r="188" spans="1:37" ht="16.5" customHeight="1" x14ac:dyDescent="0.3">
      <c r="A188" s="18" t="s">
        <v>628</v>
      </c>
      <c r="B188" s="18" t="s">
        <v>107</v>
      </c>
      <c r="C188" s="19" t="s">
        <v>108</v>
      </c>
      <c r="D188" s="18" t="s">
        <v>788</v>
      </c>
      <c r="E188" s="19" t="s">
        <v>328</v>
      </c>
      <c r="F188" s="18" t="s">
        <v>110</v>
      </c>
      <c r="G188" s="18" t="s">
        <v>111</v>
      </c>
      <c r="H188" s="19" t="s">
        <v>112</v>
      </c>
      <c r="I188" s="18" t="s">
        <v>113</v>
      </c>
      <c r="J188" s="19" t="s">
        <v>114</v>
      </c>
      <c r="K188" s="19" t="s">
        <v>115</v>
      </c>
      <c r="L188" s="18" t="s">
        <v>116</v>
      </c>
      <c r="M188" s="18" t="s">
        <v>133</v>
      </c>
      <c r="N188" s="18" t="s">
        <v>118</v>
      </c>
      <c r="O188" s="20">
        <v>119000</v>
      </c>
      <c r="P188" s="20">
        <v>82110</v>
      </c>
      <c r="Q188" s="20">
        <v>1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31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119000</v>
      </c>
      <c r="AD188" s="20">
        <v>82110</v>
      </c>
      <c r="AE188" s="20">
        <v>0</v>
      </c>
      <c r="AF188" s="20">
        <v>0</v>
      </c>
      <c r="AG188" s="20">
        <v>119000</v>
      </c>
      <c r="AH188" s="20">
        <v>82110</v>
      </c>
      <c r="AI188" s="20">
        <v>33536</v>
      </c>
      <c r="AJ188" s="20">
        <v>3354</v>
      </c>
      <c r="AK188" s="20">
        <v>36890</v>
      </c>
    </row>
    <row r="189" spans="1:37" ht="16.5" customHeight="1" x14ac:dyDescent="0.3">
      <c r="A189" s="18" t="s">
        <v>631</v>
      </c>
      <c r="B189" s="18" t="s">
        <v>107</v>
      </c>
      <c r="C189" s="19" t="s">
        <v>108</v>
      </c>
      <c r="D189" s="18" t="s">
        <v>696</v>
      </c>
      <c r="E189" s="19" t="s">
        <v>357</v>
      </c>
      <c r="F189" s="18" t="s">
        <v>110</v>
      </c>
      <c r="G189" s="18" t="s">
        <v>111</v>
      </c>
      <c r="H189" s="19" t="s">
        <v>112</v>
      </c>
      <c r="I189" s="18" t="s">
        <v>113</v>
      </c>
      <c r="J189" s="19" t="s">
        <v>114</v>
      </c>
      <c r="K189" s="19" t="s">
        <v>115</v>
      </c>
      <c r="L189" s="18" t="s">
        <v>116</v>
      </c>
      <c r="M189" s="18" t="s">
        <v>133</v>
      </c>
      <c r="N189" s="18" t="s">
        <v>118</v>
      </c>
      <c r="O189" s="20">
        <v>119000</v>
      </c>
      <c r="P189" s="20">
        <v>82110</v>
      </c>
      <c r="Q189" s="20">
        <v>1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31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119000</v>
      </c>
      <c r="AD189" s="20">
        <v>82110</v>
      </c>
      <c r="AE189" s="20">
        <v>0</v>
      </c>
      <c r="AF189" s="20">
        <v>0</v>
      </c>
      <c r="AG189" s="20">
        <v>119000</v>
      </c>
      <c r="AH189" s="20">
        <v>82110</v>
      </c>
      <c r="AI189" s="20">
        <v>33536</v>
      </c>
      <c r="AJ189" s="20">
        <v>3354</v>
      </c>
      <c r="AK189" s="20">
        <v>36890</v>
      </c>
    </row>
    <row r="190" spans="1:37" ht="16.5" customHeight="1" x14ac:dyDescent="0.3">
      <c r="A190" s="18" t="s">
        <v>634</v>
      </c>
      <c r="B190" s="18" t="s">
        <v>107</v>
      </c>
      <c r="C190" s="19" t="s">
        <v>108</v>
      </c>
      <c r="D190" s="18" t="s">
        <v>992</v>
      </c>
      <c r="E190" s="19" t="s">
        <v>993</v>
      </c>
      <c r="F190" s="18" t="s">
        <v>110</v>
      </c>
      <c r="G190" s="18" t="s">
        <v>111</v>
      </c>
      <c r="H190" s="19" t="s">
        <v>112</v>
      </c>
      <c r="I190" s="18" t="s">
        <v>113</v>
      </c>
      <c r="J190" s="19" t="s">
        <v>114</v>
      </c>
      <c r="K190" s="19" t="s">
        <v>115</v>
      </c>
      <c r="L190" s="18" t="s">
        <v>116</v>
      </c>
      <c r="M190" s="18" t="s">
        <v>133</v>
      </c>
      <c r="N190" s="18" t="s">
        <v>118</v>
      </c>
      <c r="O190" s="20">
        <v>119000</v>
      </c>
      <c r="P190" s="20">
        <v>82110</v>
      </c>
      <c r="Q190" s="20">
        <v>1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31</v>
      </c>
      <c r="X190" s="20">
        <v>13090</v>
      </c>
      <c r="Y190" s="20">
        <v>0</v>
      </c>
      <c r="Z190" s="20">
        <v>0</v>
      </c>
      <c r="AA190" s="20">
        <v>0</v>
      </c>
      <c r="AB190" s="20">
        <v>0</v>
      </c>
      <c r="AC190" s="20">
        <v>119000</v>
      </c>
      <c r="AD190" s="20">
        <v>82110</v>
      </c>
      <c r="AE190" s="20">
        <v>0</v>
      </c>
      <c r="AF190" s="20">
        <v>13090</v>
      </c>
      <c r="AG190" s="20">
        <v>105910</v>
      </c>
      <c r="AH190" s="20">
        <v>82110</v>
      </c>
      <c r="AI190" s="20">
        <v>21636</v>
      </c>
      <c r="AJ190" s="20">
        <v>2164</v>
      </c>
      <c r="AK190" s="20">
        <v>23800</v>
      </c>
    </row>
    <row r="191" spans="1:37" ht="16.5" customHeight="1" x14ac:dyDescent="0.3">
      <c r="A191" s="18" t="s">
        <v>637</v>
      </c>
      <c r="B191" s="18" t="s">
        <v>107</v>
      </c>
      <c r="C191" s="19" t="s">
        <v>108</v>
      </c>
      <c r="D191" s="18" t="s">
        <v>810</v>
      </c>
      <c r="E191" s="19" t="s">
        <v>811</v>
      </c>
      <c r="F191" s="18" t="s">
        <v>110</v>
      </c>
      <c r="G191" s="18" t="s">
        <v>111</v>
      </c>
      <c r="H191" s="19" t="s">
        <v>112</v>
      </c>
      <c r="I191" s="18" t="s">
        <v>113</v>
      </c>
      <c r="J191" s="19" t="s">
        <v>114</v>
      </c>
      <c r="K191" s="19" t="s">
        <v>115</v>
      </c>
      <c r="L191" s="18" t="s">
        <v>116</v>
      </c>
      <c r="M191" s="18" t="s">
        <v>133</v>
      </c>
      <c r="N191" s="18" t="s">
        <v>118</v>
      </c>
      <c r="O191" s="20">
        <v>119000</v>
      </c>
      <c r="P191" s="20">
        <v>82110</v>
      </c>
      <c r="Q191" s="20">
        <v>1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31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119000</v>
      </c>
      <c r="AD191" s="20">
        <v>82110</v>
      </c>
      <c r="AE191" s="20">
        <v>0</v>
      </c>
      <c r="AF191" s="20">
        <v>0</v>
      </c>
      <c r="AG191" s="20">
        <v>119000</v>
      </c>
      <c r="AH191" s="20">
        <v>82110</v>
      </c>
      <c r="AI191" s="20">
        <v>33536</v>
      </c>
      <c r="AJ191" s="20">
        <v>3354</v>
      </c>
      <c r="AK191" s="20">
        <v>36890</v>
      </c>
    </row>
    <row r="192" spans="1:37" ht="16.5" customHeight="1" x14ac:dyDescent="0.3">
      <c r="A192" s="18" t="s">
        <v>639</v>
      </c>
      <c r="B192" s="18" t="s">
        <v>107</v>
      </c>
      <c r="C192" s="19" t="s">
        <v>108</v>
      </c>
      <c r="D192" s="18" t="s">
        <v>653</v>
      </c>
      <c r="E192" s="19" t="s">
        <v>315</v>
      </c>
      <c r="F192" s="18" t="s">
        <v>110</v>
      </c>
      <c r="G192" s="18" t="s">
        <v>111</v>
      </c>
      <c r="H192" s="19" t="s">
        <v>112</v>
      </c>
      <c r="I192" s="18" t="s">
        <v>113</v>
      </c>
      <c r="J192" s="19" t="s">
        <v>114</v>
      </c>
      <c r="K192" s="19" t="s">
        <v>115</v>
      </c>
      <c r="L192" s="18" t="s">
        <v>116</v>
      </c>
      <c r="M192" s="18" t="s">
        <v>133</v>
      </c>
      <c r="N192" s="18" t="s">
        <v>118</v>
      </c>
      <c r="O192" s="20">
        <v>119000</v>
      </c>
      <c r="P192" s="20">
        <v>82110</v>
      </c>
      <c r="Q192" s="20">
        <v>1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31</v>
      </c>
      <c r="X192" s="20">
        <v>0</v>
      </c>
      <c r="Y192" s="20">
        <v>10000</v>
      </c>
      <c r="Z192" s="20">
        <v>0</v>
      </c>
      <c r="AA192" s="20">
        <v>0</v>
      </c>
      <c r="AB192" s="20">
        <v>0</v>
      </c>
      <c r="AC192" s="20">
        <v>119000</v>
      </c>
      <c r="AD192" s="20">
        <v>82110</v>
      </c>
      <c r="AE192" s="20">
        <v>0</v>
      </c>
      <c r="AF192" s="20">
        <v>10000</v>
      </c>
      <c r="AG192" s="20">
        <v>109000</v>
      </c>
      <c r="AH192" s="20">
        <v>82110</v>
      </c>
      <c r="AI192" s="20">
        <v>24445</v>
      </c>
      <c r="AJ192" s="20">
        <v>2445</v>
      </c>
      <c r="AK192" s="20">
        <v>26890</v>
      </c>
    </row>
    <row r="193" spans="1:37" ht="16.5" customHeight="1" x14ac:dyDescent="0.3">
      <c r="A193" s="18" t="s">
        <v>642</v>
      </c>
      <c r="B193" s="18" t="s">
        <v>107</v>
      </c>
      <c r="C193" s="19" t="s">
        <v>108</v>
      </c>
      <c r="D193" s="18" t="s">
        <v>655</v>
      </c>
      <c r="E193" s="19" t="s">
        <v>656</v>
      </c>
      <c r="F193" s="18" t="s">
        <v>110</v>
      </c>
      <c r="G193" s="18" t="s">
        <v>111</v>
      </c>
      <c r="H193" s="19" t="s">
        <v>112</v>
      </c>
      <c r="I193" s="18" t="s">
        <v>113</v>
      </c>
      <c r="J193" s="19" t="s">
        <v>114</v>
      </c>
      <c r="K193" s="19" t="s">
        <v>115</v>
      </c>
      <c r="L193" s="18" t="s">
        <v>116</v>
      </c>
      <c r="M193" s="18" t="s">
        <v>133</v>
      </c>
      <c r="N193" s="18" t="s">
        <v>118</v>
      </c>
      <c r="O193" s="20">
        <v>119000</v>
      </c>
      <c r="P193" s="20">
        <v>82110</v>
      </c>
      <c r="Q193" s="20">
        <v>1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31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119000</v>
      </c>
      <c r="AD193" s="20">
        <v>82110</v>
      </c>
      <c r="AE193" s="20">
        <v>0</v>
      </c>
      <c r="AF193" s="20">
        <v>0</v>
      </c>
      <c r="AG193" s="20">
        <v>119000</v>
      </c>
      <c r="AH193" s="20">
        <v>82110</v>
      </c>
      <c r="AI193" s="20">
        <v>33536</v>
      </c>
      <c r="AJ193" s="20">
        <v>3354</v>
      </c>
      <c r="AK193" s="20">
        <v>36890</v>
      </c>
    </row>
    <row r="194" spans="1:37" ht="16.5" customHeight="1" x14ac:dyDescent="0.3">
      <c r="A194" s="18" t="s">
        <v>645</v>
      </c>
      <c r="B194" s="18" t="s">
        <v>107</v>
      </c>
      <c r="C194" s="19" t="s">
        <v>108</v>
      </c>
      <c r="D194" s="18" t="s">
        <v>660</v>
      </c>
      <c r="E194" s="19" t="s">
        <v>520</v>
      </c>
      <c r="F194" s="18" t="s">
        <v>110</v>
      </c>
      <c r="G194" s="18" t="s">
        <v>111</v>
      </c>
      <c r="H194" s="19" t="s">
        <v>112</v>
      </c>
      <c r="I194" s="18" t="s">
        <v>113</v>
      </c>
      <c r="J194" s="19" t="s">
        <v>114</v>
      </c>
      <c r="K194" s="19" t="s">
        <v>115</v>
      </c>
      <c r="L194" s="18" t="s">
        <v>116</v>
      </c>
      <c r="M194" s="18" t="s">
        <v>133</v>
      </c>
      <c r="N194" s="18" t="s">
        <v>118</v>
      </c>
      <c r="O194" s="20">
        <v>119000</v>
      </c>
      <c r="P194" s="20">
        <v>82110</v>
      </c>
      <c r="Q194" s="20">
        <v>1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31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119000</v>
      </c>
      <c r="AD194" s="20">
        <v>82110</v>
      </c>
      <c r="AE194" s="20">
        <v>0</v>
      </c>
      <c r="AF194" s="20">
        <v>0</v>
      </c>
      <c r="AG194" s="20">
        <v>119000</v>
      </c>
      <c r="AH194" s="20">
        <v>82110</v>
      </c>
      <c r="AI194" s="20">
        <v>33536</v>
      </c>
      <c r="AJ194" s="20">
        <v>3354</v>
      </c>
      <c r="AK194" s="20">
        <v>36890</v>
      </c>
    </row>
    <row r="195" spans="1:37" ht="16.5" customHeight="1" x14ac:dyDescent="0.3">
      <c r="A195" s="18" t="s">
        <v>647</v>
      </c>
      <c r="B195" s="18" t="s">
        <v>107</v>
      </c>
      <c r="C195" s="19" t="s">
        <v>108</v>
      </c>
      <c r="D195" s="18" t="s">
        <v>660</v>
      </c>
      <c r="E195" s="19" t="s">
        <v>520</v>
      </c>
      <c r="F195" s="18" t="s">
        <v>110</v>
      </c>
      <c r="G195" s="18" t="s">
        <v>111</v>
      </c>
      <c r="H195" s="19" t="s">
        <v>112</v>
      </c>
      <c r="I195" s="18" t="s">
        <v>113</v>
      </c>
      <c r="J195" s="19" t="s">
        <v>114</v>
      </c>
      <c r="K195" s="19" t="s">
        <v>115</v>
      </c>
      <c r="L195" s="18" t="s">
        <v>116</v>
      </c>
      <c r="M195" s="18" t="s">
        <v>133</v>
      </c>
      <c r="N195" s="18" t="s">
        <v>118</v>
      </c>
      <c r="O195" s="20">
        <v>119000</v>
      </c>
      <c r="P195" s="20">
        <v>82110</v>
      </c>
      <c r="Q195" s="20">
        <v>1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31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119000</v>
      </c>
      <c r="AD195" s="20">
        <v>82110</v>
      </c>
      <c r="AE195" s="20">
        <v>0</v>
      </c>
      <c r="AF195" s="20">
        <v>0</v>
      </c>
      <c r="AG195" s="20">
        <v>119000</v>
      </c>
      <c r="AH195" s="20">
        <v>82110</v>
      </c>
      <c r="AI195" s="20">
        <v>33536</v>
      </c>
      <c r="AJ195" s="20">
        <v>3354</v>
      </c>
      <c r="AK195" s="20">
        <v>36890</v>
      </c>
    </row>
    <row r="196" spans="1:37" ht="16.5" customHeight="1" x14ac:dyDescent="0.3">
      <c r="A196" s="18" t="s">
        <v>650</v>
      </c>
      <c r="B196" s="18" t="s">
        <v>107</v>
      </c>
      <c r="C196" s="19" t="s">
        <v>108</v>
      </c>
      <c r="D196" s="18" t="s">
        <v>310</v>
      </c>
      <c r="E196" s="19" t="s">
        <v>311</v>
      </c>
      <c r="F196" s="18" t="s">
        <v>110</v>
      </c>
      <c r="G196" s="18" t="s">
        <v>111</v>
      </c>
      <c r="H196" s="19" t="s">
        <v>112</v>
      </c>
      <c r="I196" s="18" t="s">
        <v>113</v>
      </c>
      <c r="J196" s="19" t="s">
        <v>114</v>
      </c>
      <c r="K196" s="19" t="s">
        <v>115</v>
      </c>
      <c r="L196" s="18" t="s">
        <v>116</v>
      </c>
      <c r="M196" s="18" t="s">
        <v>133</v>
      </c>
      <c r="N196" s="18" t="s">
        <v>118</v>
      </c>
      <c r="O196" s="20">
        <v>119000</v>
      </c>
      <c r="P196" s="20">
        <v>82110</v>
      </c>
      <c r="Q196" s="20">
        <v>1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31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119000</v>
      </c>
      <c r="AD196" s="20">
        <v>82110</v>
      </c>
      <c r="AE196" s="20">
        <v>0</v>
      </c>
      <c r="AF196" s="20">
        <v>0</v>
      </c>
      <c r="AG196" s="20">
        <v>119000</v>
      </c>
      <c r="AH196" s="20">
        <v>82110</v>
      </c>
      <c r="AI196" s="20">
        <v>33536</v>
      </c>
      <c r="AJ196" s="20">
        <v>3354</v>
      </c>
      <c r="AK196" s="20">
        <v>36890</v>
      </c>
    </row>
    <row r="197" spans="1:37" ht="16.5" customHeight="1" x14ac:dyDescent="0.3">
      <c r="A197" s="18" t="s">
        <v>652</v>
      </c>
      <c r="B197" s="18" t="s">
        <v>107</v>
      </c>
      <c r="C197" s="19" t="s">
        <v>108</v>
      </c>
      <c r="D197" s="18" t="s">
        <v>663</v>
      </c>
      <c r="E197" s="19" t="s">
        <v>664</v>
      </c>
      <c r="F197" s="18" t="s">
        <v>110</v>
      </c>
      <c r="G197" s="18" t="s">
        <v>111</v>
      </c>
      <c r="H197" s="19" t="s">
        <v>112</v>
      </c>
      <c r="I197" s="18" t="s">
        <v>113</v>
      </c>
      <c r="J197" s="19" t="s">
        <v>114</v>
      </c>
      <c r="K197" s="19" t="s">
        <v>115</v>
      </c>
      <c r="L197" s="18" t="s">
        <v>116</v>
      </c>
      <c r="M197" s="18" t="s">
        <v>133</v>
      </c>
      <c r="N197" s="18" t="s">
        <v>118</v>
      </c>
      <c r="O197" s="20">
        <v>119000</v>
      </c>
      <c r="P197" s="20">
        <v>82110</v>
      </c>
      <c r="Q197" s="20">
        <v>1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31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119000</v>
      </c>
      <c r="AD197" s="20">
        <v>82110</v>
      </c>
      <c r="AE197" s="20">
        <v>0</v>
      </c>
      <c r="AF197" s="20">
        <v>0</v>
      </c>
      <c r="AG197" s="20">
        <v>119000</v>
      </c>
      <c r="AH197" s="20">
        <v>82110</v>
      </c>
      <c r="AI197" s="20">
        <v>33536</v>
      </c>
      <c r="AJ197" s="20">
        <v>3354</v>
      </c>
      <c r="AK197" s="20">
        <v>36890</v>
      </c>
    </row>
    <row r="198" spans="1:37" ht="16.5" customHeight="1" x14ac:dyDescent="0.3">
      <c r="A198" s="18" t="s">
        <v>654</v>
      </c>
      <c r="B198" s="18" t="s">
        <v>107</v>
      </c>
      <c r="C198" s="19" t="s">
        <v>108</v>
      </c>
      <c r="D198" s="18" t="s">
        <v>563</v>
      </c>
      <c r="E198" s="19" t="s">
        <v>564</v>
      </c>
      <c r="F198" s="18" t="s">
        <v>110</v>
      </c>
      <c r="G198" s="18" t="s">
        <v>111</v>
      </c>
      <c r="H198" s="19" t="s">
        <v>112</v>
      </c>
      <c r="I198" s="18" t="s">
        <v>113</v>
      </c>
      <c r="J198" s="19" t="s">
        <v>114</v>
      </c>
      <c r="K198" s="19" t="s">
        <v>115</v>
      </c>
      <c r="L198" s="18" t="s">
        <v>116</v>
      </c>
      <c r="M198" s="18" t="s">
        <v>133</v>
      </c>
      <c r="N198" s="18" t="s">
        <v>118</v>
      </c>
      <c r="O198" s="20">
        <v>119000</v>
      </c>
      <c r="P198" s="20">
        <v>82110</v>
      </c>
      <c r="Q198" s="20">
        <v>1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31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119000</v>
      </c>
      <c r="AD198" s="20">
        <v>82110</v>
      </c>
      <c r="AE198" s="20">
        <v>0</v>
      </c>
      <c r="AF198" s="20">
        <v>0</v>
      </c>
      <c r="AG198" s="20">
        <v>119000</v>
      </c>
      <c r="AH198" s="20">
        <v>82110</v>
      </c>
      <c r="AI198" s="20">
        <v>33536</v>
      </c>
      <c r="AJ198" s="20">
        <v>3354</v>
      </c>
      <c r="AK198" s="20">
        <v>36890</v>
      </c>
    </row>
    <row r="199" spans="1:37" ht="16.5" customHeight="1" x14ac:dyDescent="0.3">
      <c r="A199" s="18" t="s">
        <v>657</v>
      </c>
      <c r="B199" s="18" t="s">
        <v>107</v>
      </c>
      <c r="C199" s="19" t="s">
        <v>108</v>
      </c>
      <c r="D199" s="18" t="s">
        <v>566</v>
      </c>
      <c r="E199" s="19" t="s">
        <v>567</v>
      </c>
      <c r="F199" s="18" t="s">
        <v>110</v>
      </c>
      <c r="G199" s="18" t="s">
        <v>111</v>
      </c>
      <c r="H199" s="19" t="s">
        <v>112</v>
      </c>
      <c r="I199" s="18" t="s">
        <v>113</v>
      </c>
      <c r="J199" s="19" t="s">
        <v>114</v>
      </c>
      <c r="K199" s="19" t="s">
        <v>115</v>
      </c>
      <c r="L199" s="18" t="s">
        <v>116</v>
      </c>
      <c r="M199" s="18" t="s">
        <v>133</v>
      </c>
      <c r="N199" s="18" t="s">
        <v>118</v>
      </c>
      <c r="O199" s="20">
        <v>119000</v>
      </c>
      <c r="P199" s="20">
        <v>82110</v>
      </c>
      <c r="Q199" s="20">
        <v>1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31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119000</v>
      </c>
      <c r="AD199" s="20">
        <v>82110</v>
      </c>
      <c r="AE199" s="20">
        <v>0</v>
      </c>
      <c r="AF199" s="20">
        <v>0</v>
      </c>
      <c r="AG199" s="20">
        <v>119000</v>
      </c>
      <c r="AH199" s="20">
        <v>82110</v>
      </c>
      <c r="AI199" s="20">
        <v>33536</v>
      </c>
      <c r="AJ199" s="20">
        <v>3354</v>
      </c>
      <c r="AK199" s="20">
        <v>36890</v>
      </c>
    </row>
    <row r="200" spans="1:37" ht="16.5" customHeight="1" x14ac:dyDescent="0.3">
      <c r="A200" s="18" t="s">
        <v>659</v>
      </c>
      <c r="B200" s="18" t="s">
        <v>107</v>
      </c>
      <c r="C200" s="19" t="s">
        <v>108</v>
      </c>
      <c r="D200" s="18" t="s">
        <v>569</v>
      </c>
      <c r="E200" s="19" t="s">
        <v>570</v>
      </c>
      <c r="F200" s="18" t="s">
        <v>110</v>
      </c>
      <c r="G200" s="18" t="s">
        <v>111</v>
      </c>
      <c r="H200" s="19" t="s">
        <v>112</v>
      </c>
      <c r="I200" s="18" t="s">
        <v>113</v>
      </c>
      <c r="J200" s="19" t="s">
        <v>114</v>
      </c>
      <c r="K200" s="19" t="s">
        <v>115</v>
      </c>
      <c r="L200" s="18" t="s">
        <v>116</v>
      </c>
      <c r="M200" s="18" t="s">
        <v>133</v>
      </c>
      <c r="N200" s="18" t="s">
        <v>118</v>
      </c>
      <c r="O200" s="20">
        <v>119000</v>
      </c>
      <c r="P200" s="20">
        <v>82110</v>
      </c>
      <c r="Q200" s="20">
        <v>1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31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119000</v>
      </c>
      <c r="AD200" s="20">
        <v>82110</v>
      </c>
      <c r="AE200" s="20">
        <v>0</v>
      </c>
      <c r="AF200" s="20">
        <v>0</v>
      </c>
      <c r="AG200" s="20">
        <v>119000</v>
      </c>
      <c r="AH200" s="20">
        <v>82110</v>
      </c>
      <c r="AI200" s="20">
        <v>33536</v>
      </c>
      <c r="AJ200" s="20">
        <v>3354</v>
      </c>
      <c r="AK200" s="20">
        <v>36890</v>
      </c>
    </row>
    <row r="201" spans="1:37" ht="16.5" customHeight="1" x14ac:dyDescent="0.3">
      <c r="A201" s="18" t="s">
        <v>661</v>
      </c>
      <c r="B201" s="18" t="s">
        <v>107</v>
      </c>
      <c r="C201" s="19" t="s">
        <v>108</v>
      </c>
      <c r="D201" s="18" t="s">
        <v>666</v>
      </c>
      <c r="E201" s="19" t="s">
        <v>667</v>
      </c>
      <c r="F201" s="18" t="s">
        <v>110</v>
      </c>
      <c r="G201" s="18" t="s">
        <v>111</v>
      </c>
      <c r="H201" s="19" t="s">
        <v>112</v>
      </c>
      <c r="I201" s="18" t="s">
        <v>113</v>
      </c>
      <c r="J201" s="19" t="s">
        <v>114</v>
      </c>
      <c r="K201" s="19" t="s">
        <v>115</v>
      </c>
      <c r="L201" s="18" t="s">
        <v>116</v>
      </c>
      <c r="M201" s="18" t="s">
        <v>133</v>
      </c>
      <c r="N201" s="18" t="s">
        <v>118</v>
      </c>
      <c r="O201" s="20">
        <v>119000</v>
      </c>
      <c r="P201" s="20">
        <v>82110</v>
      </c>
      <c r="Q201" s="20">
        <v>1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31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119000</v>
      </c>
      <c r="AD201" s="20">
        <v>82110</v>
      </c>
      <c r="AE201" s="20">
        <v>0</v>
      </c>
      <c r="AF201" s="20">
        <v>0</v>
      </c>
      <c r="AG201" s="20">
        <v>119000</v>
      </c>
      <c r="AH201" s="20">
        <v>82110</v>
      </c>
      <c r="AI201" s="20">
        <v>33536</v>
      </c>
      <c r="AJ201" s="20">
        <v>3354</v>
      </c>
      <c r="AK201" s="20">
        <v>36890</v>
      </c>
    </row>
    <row r="202" spans="1:37" ht="16.5" customHeight="1" x14ac:dyDescent="0.3">
      <c r="A202" s="18" t="s">
        <v>662</v>
      </c>
      <c r="B202" s="18" t="s">
        <v>107</v>
      </c>
      <c r="C202" s="19" t="s">
        <v>108</v>
      </c>
      <c r="D202" s="18" t="s">
        <v>669</v>
      </c>
      <c r="E202" s="19" t="s">
        <v>670</v>
      </c>
      <c r="F202" s="18" t="s">
        <v>110</v>
      </c>
      <c r="G202" s="18" t="s">
        <v>111</v>
      </c>
      <c r="H202" s="19" t="s">
        <v>112</v>
      </c>
      <c r="I202" s="18" t="s">
        <v>113</v>
      </c>
      <c r="J202" s="19" t="s">
        <v>114</v>
      </c>
      <c r="K202" s="19" t="s">
        <v>115</v>
      </c>
      <c r="L202" s="18" t="s">
        <v>116</v>
      </c>
      <c r="M202" s="18" t="s">
        <v>133</v>
      </c>
      <c r="N202" s="18" t="s">
        <v>118</v>
      </c>
      <c r="O202" s="20">
        <v>119000</v>
      </c>
      <c r="P202" s="20">
        <v>82110</v>
      </c>
      <c r="Q202" s="20">
        <v>1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31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119000</v>
      </c>
      <c r="AD202" s="20">
        <v>82110</v>
      </c>
      <c r="AE202" s="20">
        <v>0</v>
      </c>
      <c r="AF202" s="20">
        <v>0</v>
      </c>
      <c r="AG202" s="20">
        <v>119000</v>
      </c>
      <c r="AH202" s="20">
        <v>82110</v>
      </c>
      <c r="AI202" s="20">
        <v>33536</v>
      </c>
      <c r="AJ202" s="20">
        <v>3354</v>
      </c>
      <c r="AK202" s="20">
        <v>36890</v>
      </c>
    </row>
    <row r="203" spans="1:37" ht="16.5" customHeight="1" x14ac:dyDescent="0.3">
      <c r="A203" s="18" t="s">
        <v>665</v>
      </c>
      <c r="B203" s="18" t="s">
        <v>107</v>
      </c>
      <c r="C203" s="19" t="s">
        <v>108</v>
      </c>
      <c r="D203" s="18" t="s">
        <v>672</v>
      </c>
      <c r="E203" s="19" t="s">
        <v>673</v>
      </c>
      <c r="F203" s="18" t="s">
        <v>110</v>
      </c>
      <c r="G203" s="18" t="s">
        <v>111</v>
      </c>
      <c r="H203" s="19" t="s">
        <v>112</v>
      </c>
      <c r="I203" s="18" t="s">
        <v>113</v>
      </c>
      <c r="J203" s="19" t="s">
        <v>114</v>
      </c>
      <c r="K203" s="19" t="s">
        <v>115</v>
      </c>
      <c r="L203" s="18" t="s">
        <v>116</v>
      </c>
      <c r="M203" s="18" t="s">
        <v>133</v>
      </c>
      <c r="N203" s="18" t="s">
        <v>118</v>
      </c>
      <c r="O203" s="20">
        <v>119000</v>
      </c>
      <c r="P203" s="20">
        <v>82110</v>
      </c>
      <c r="Q203" s="20">
        <v>1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31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119000</v>
      </c>
      <c r="AD203" s="20">
        <v>82110</v>
      </c>
      <c r="AE203" s="20">
        <v>0</v>
      </c>
      <c r="AF203" s="20">
        <v>0</v>
      </c>
      <c r="AG203" s="20">
        <v>119000</v>
      </c>
      <c r="AH203" s="20">
        <v>82110</v>
      </c>
      <c r="AI203" s="20">
        <v>33536</v>
      </c>
      <c r="AJ203" s="20">
        <v>3354</v>
      </c>
      <c r="AK203" s="20">
        <v>36890</v>
      </c>
    </row>
    <row r="204" spans="1:37" ht="16.5" customHeight="1" x14ac:dyDescent="0.3">
      <c r="A204" s="18" t="s">
        <v>668</v>
      </c>
      <c r="B204" s="18" t="s">
        <v>107</v>
      </c>
      <c r="C204" s="19" t="s">
        <v>108</v>
      </c>
      <c r="D204" s="18" t="s">
        <v>675</v>
      </c>
      <c r="E204" s="19" t="s">
        <v>676</v>
      </c>
      <c r="F204" s="18" t="s">
        <v>110</v>
      </c>
      <c r="G204" s="18" t="s">
        <v>111</v>
      </c>
      <c r="H204" s="19" t="s">
        <v>112</v>
      </c>
      <c r="I204" s="18" t="s">
        <v>113</v>
      </c>
      <c r="J204" s="19" t="s">
        <v>114</v>
      </c>
      <c r="K204" s="19" t="s">
        <v>115</v>
      </c>
      <c r="L204" s="18" t="s">
        <v>116</v>
      </c>
      <c r="M204" s="18" t="s">
        <v>133</v>
      </c>
      <c r="N204" s="18" t="s">
        <v>118</v>
      </c>
      <c r="O204" s="20">
        <v>119000</v>
      </c>
      <c r="P204" s="20">
        <v>82110</v>
      </c>
      <c r="Q204" s="20">
        <v>1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31</v>
      </c>
      <c r="X204" s="20">
        <v>0</v>
      </c>
      <c r="Y204" s="20">
        <v>0</v>
      </c>
      <c r="Z204" s="20">
        <v>0</v>
      </c>
      <c r="AA204" s="20">
        <v>0</v>
      </c>
      <c r="AB204" s="20">
        <v>5950</v>
      </c>
      <c r="AC204" s="20">
        <v>119000</v>
      </c>
      <c r="AD204" s="20">
        <v>82110</v>
      </c>
      <c r="AE204" s="20">
        <v>0</v>
      </c>
      <c r="AF204" s="20">
        <v>5950</v>
      </c>
      <c r="AG204" s="20">
        <v>113050</v>
      </c>
      <c r="AH204" s="20">
        <v>82110</v>
      </c>
      <c r="AI204" s="20">
        <v>28127</v>
      </c>
      <c r="AJ204" s="20">
        <v>2813</v>
      </c>
      <c r="AK204" s="20">
        <v>30940</v>
      </c>
    </row>
    <row r="205" spans="1:37" ht="16.5" customHeight="1" x14ac:dyDescent="0.3">
      <c r="A205" s="18" t="s">
        <v>671</v>
      </c>
      <c r="B205" s="18" t="s">
        <v>107</v>
      </c>
      <c r="C205" s="19" t="s">
        <v>108</v>
      </c>
      <c r="D205" s="18" t="s">
        <v>678</v>
      </c>
      <c r="E205" s="19" t="s">
        <v>679</v>
      </c>
      <c r="F205" s="18" t="s">
        <v>110</v>
      </c>
      <c r="G205" s="18" t="s">
        <v>111</v>
      </c>
      <c r="H205" s="19" t="s">
        <v>112</v>
      </c>
      <c r="I205" s="18" t="s">
        <v>113</v>
      </c>
      <c r="J205" s="19" t="s">
        <v>114</v>
      </c>
      <c r="K205" s="19" t="s">
        <v>115</v>
      </c>
      <c r="L205" s="18" t="s">
        <v>116</v>
      </c>
      <c r="M205" s="18" t="s">
        <v>133</v>
      </c>
      <c r="N205" s="18" t="s">
        <v>118</v>
      </c>
      <c r="O205" s="20">
        <v>119000</v>
      </c>
      <c r="P205" s="20">
        <v>82110</v>
      </c>
      <c r="Q205" s="20">
        <v>1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31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119000</v>
      </c>
      <c r="AD205" s="20">
        <v>82110</v>
      </c>
      <c r="AE205" s="20">
        <v>0</v>
      </c>
      <c r="AF205" s="20">
        <v>0</v>
      </c>
      <c r="AG205" s="20">
        <v>119000</v>
      </c>
      <c r="AH205" s="20">
        <v>82110</v>
      </c>
      <c r="AI205" s="20">
        <v>33536</v>
      </c>
      <c r="AJ205" s="20">
        <v>3354</v>
      </c>
      <c r="AK205" s="20">
        <v>36890</v>
      </c>
    </row>
    <row r="206" spans="1:37" ht="16.5" customHeight="1" x14ac:dyDescent="0.3">
      <c r="A206" s="18" t="s">
        <v>674</v>
      </c>
      <c r="B206" s="18" t="s">
        <v>107</v>
      </c>
      <c r="C206" s="19" t="s">
        <v>108</v>
      </c>
      <c r="D206" s="18" t="s">
        <v>683</v>
      </c>
      <c r="E206" s="19" t="s">
        <v>684</v>
      </c>
      <c r="F206" s="18" t="s">
        <v>110</v>
      </c>
      <c r="G206" s="18" t="s">
        <v>111</v>
      </c>
      <c r="H206" s="19" t="s">
        <v>112</v>
      </c>
      <c r="I206" s="18" t="s">
        <v>113</v>
      </c>
      <c r="J206" s="19" t="s">
        <v>114</v>
      </c>
      <c r="K206" s="19" t="s">
        <v>115</v>
      </c>
      <c r="L206" s="18" t="s">
        <v>116</v>
      </c>
      <c r="M206" s="18" t="s">
        <v>133</v>
      </c>
      <c r="N206" s="18" t="s">
        <v>118</v>
      </c>
      <c r="O206" s="20">
        <v>119000</v>
      </c>
      <c r="P206" s="20">
        <v>82110</v>
      </c>
      <c r="Q206" s="20">
        <v>1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31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20">
        <v>119000</v>
      </c>
      <c r="AD206" s="20">
        <v>82110</v>
      </c>
      <c r="AE206" s="20">
        <v>0</v>
      </c>
      <c r="AF206" s="20">
        <v>0</v>
      </c>
      <c r="AG206" s="20">
        <v>119000</v>
      </c>
      <c r="AH206" s="20">
        <v>82110</v>
      </c>
      <c r="AI206" s="20">
        <v>33536</v>
      </c>
      <c r="AJ206" s="20">
        <v>3354</v>
      </c>
      <c r="AK206" s="20">
        <v>36890</v>
      </c>
    </row>
    <row r="207" spans="1:37" ht="16.5" customHeight="1" x14ac:dyDescent="0.3">
      <c r="A207" s="18" t="s">
        <v>677</v>
      </c>
      <c r="B207" s="18" t="s">
        <v>107</v>
      </c>
      <c r="C207" s="19" t="s">
        <v>108</v>
      </c>
      <c r="D207" s="18" t="s">
        <v>689</v>
      </c>
      <c r="E207" s="19" t="s">
        <v>690</v>
      </c>
      <c r="F207" s="18" t="s">
        <v>110</v>
      </c>
      <c r="G207" s="18" t="s">
        <v>111</v>
      </c>
      <c r="H207" s="19" t="s">
        <v>112</v>
      </c>
      <c r="I207" s="18" t="s">
        <v>113</v>
      </c>
      <c r="J207" s="19" t="s">
        <v>114</v>
      </c>
      <c r="K207" s="19" t="s">
        <v>115</v>
      </c>
      <c r="L207" s="18" t="s">
        <v>116</v>
      </c>
      <c r="M207" s="18" t="s">
        <v>133</v>
      </c>
      <c r="N207" s="18" t="s">
        <v>118</v>
      </c>
      <c r="O207" s="20">
        <v>119000</v>
      </c>
      <c r="P207" s="20">
        <v>82110</v>
      </c>
      <c r="Q207" s="20">
        <v>1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31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20">
        <v>119000</v>
      </c>
      <c r="AD207" s="20">
        <v>82110</v>
      </c>
      <c r="AE207" s="20">
        <v>0</v>
      </c>
      <c r="AF207" s="20">
        <v>0</v>
      </c>
      <c r="AG207" s="20">
        <v>119000</v>
      </c>
      <c r="AH207" s="20">
        <v>82110</v>
      </c>
      <c r="AI207" s="20">
        <v>33536</v>
      </c>
      <c r="AJ207" s="20">
        <v>3354</v>
      </c>
      <c r="AK207" s="20">
        <v>36890</v>
      </c>
    </row>
    <row r="208" spans="1:37" ht="16.5" customHeight="1" x14ac:dyDescent="0.3">
      <c r="A208" s="18" t="s">
        <v>680</v>
      </c>
      <c r="B208" s="18" t="s">
        <v>107</v>
      </c>
      <c r="C208" s="19" t="s">
        <v>108</v>
      </c>
      <c r="D208" s="18" t="s">
        <v>689</v>
      </c>
      <c r="E208" s="19" t="s">
        <v>690</v>
      </c>
      <c r="F208" s="18" t="s">
        <v>110</v>
      </c>
      <c r="G208" s="18" t="s">
        <v>111</v>
      </c>
      <c r="H208" s="19" t="s">
        <v>112</v>
      </c>
      <c r="I208" s="18" t="s">
        <v>113</v>
      </c>
      <c r="J208" s="19" t="s">
        <v>114</v>
      </c>
      <c r="K208" s="19" t="s">
        <v>115</v>
      </c>
      <c r="L208" s="18" t="s">
        <v>116</v>
      </c>
      <c r="M208" s="18" t="s">
        <v>133</v>
      </c>
      <c r="N208" s="18" t="s">
        <v>118</v>
      </c>
      <c r="O208" s="20">
        <v>119000</v>
      </c>
      <c r="P208" s="20">
        <v>82110</v>
      </c>
      <c r="Q208" s="20">
        <v>1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31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119000</v>
      </c>
      <c r="AD208" s="20">
        <v>82110</v>
      </c>
      <c r="AE208" s="20">
        <v>0</v>
      </c>
      <c r="AF208" s="20">
        <v>0</v>
      </c>
      <c r="AG208" s="20">
        <v>119000</v>
      </c>
      <c r="AH208" s="20">
        <v>82110</v>
      </c>
      <c r="AI208" s="20">
        <v>33536</v>
      </c>
      <c r="AJ208" s="20">
        <v>3354</v>
      </c>
      <c r="AK208" s="20">
        <v>36890</v>
      </c>
    </row>
    <row r="209" spans="1:37" ht="16.5" customHeight="1" x14ac:dyDescent="0.3">
      <c r="A209" s="18" t="s">
        <v>682</v>
      </c>
      <c r="B209" s="18" t="s">
        <v>107</v>
      </c>
      <c r="C209" s="19" t="s">
        <v>108</v>
      </c>
      <c r="D209" s="18" t="s">
        <v>693</v>
      </c>
      <c r="E209" s="19" t="s">
        <v>694</v>
      </c>
      <c r="F209" s="18" t="s">
        <v>110</v>
      </c>
      <c r="G209" s="18" t="s">
        <v>111</v>
      </c>
      <c r="H209" s="19" t="s">
        <v>112</v>
      </c>
      <c r="I209" s="18" t="s">
        <v>113</v>
      </c>
      <c r="J209" s="19" t="s">
        <v>114</v>
      </c>
      <c r="K209" s="19" t="s">
        <v>115</v>
      </c>
      <c r="L209" s="18" t="s">
        <v>116</v>
      </c>
      <c r="M209" s="18" t="s">
        <v>133</v>
      </c>
      <c r="N209" s="18" t="s">
        <v>118</v>
      </c>
      <c r="O209" s="20">
        <v>119000</v>
      </c>
      <c r="P209" s="20">
        <v>82110</v>
      </c>
      <c r="Q209" s="20">
        <v>1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31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119000</v>
      </c>
      <c r="AD209" s="20">
        <v>82110</v>
      </c>
      <c r="AE209" s="20">
        <v>0</v>
      </c>
      <c r="AF209" s="20">
        <v>0</v>
      </c>
      <c r="AG209" s="20">
        <v>119000</v>
      </c>
      <c r="AH209" s="20">
        <v>82110</v>
      </c>
      <c r="AI209" s="20">
        <v>33536</v>
      </c>
      <c r="AJ209" s="20">
        <v>3354</v>
      </c>
      <c r="AK209" s="20">
        <v>36890</v>
      </c>
    </row>
    <row r="210" spans="1:37" ht="16.5" customHeight="1" x14ac:dyDescent="0.3">
      <c r="A210" s="18" t="s">
        <v>685</v>
      </c>
      <c r="B210" s="18" t="s">
        <v>107</v>
      </c>
      <c r="C210" s="19" t="s">
        <v>108</v>
      </c>
      <c r="D210" s="18" t="s">
        <v>700</v>
      </c>
      <c r="E210" s="19" t="s">
        <v>420</v>
      </c>
      <c r="F210" s="18" t="s">
        <v>110</v>
      </c>
      <c r="G210" s="18" t="s">
        <v>111</v>
      </c>
      <c r="H210" s="19" t="s">
        <v>112</v>
      </c>
      <c r="I210" s="18" t="s">
        <v>113</v>
      </c>
      <c r="J210" s="19" t="s">
        <v>114</v>
      </c>
      <c r="K210" s="19" t="s">
        <v>115</v>
      </c>
      <c r="L210" s="18" t="s">
        <v>116</v>
      </c>
      <c r="M210" s="18" t="s">
        <v>133</v>
      </c>
      <c r="N210" s="18" t="s">
        <v>118</v>
      </c>
      <c r="O210" s="20">
        <v>119000</v>
      </c>
      <c r="P210" s="20">
        <v>82110</v>
      </c>
      <c r="Q210" s="20">
        <v>1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31</v>
      </c>
      <c r="X210" s="20">
        <v>0</v>
      </c>
      <c r="Y210" s="20">
        <v>0</v>
      </c>
      <c r="Z210" s="20">
        <v>0</v>
      </c>
      <c r="AA210" s="20">
        <v>0</v>
      </c>
      <c r="AB210" s="20">
        <v>5950</v>
      </c>
      <c r="AC210" s="20">
        <v>119000</v>
      </c>
      <c r="AD210" s="20">
        <v>82110</v>
      </c>
      <c r="AE210" s="20">
        <v>0</v>
      </c>
      <c r="AF210" s="20">
        <v>5950</v>
      </c>
      <c r="AG210" s="20">
        <v>113050</v>
      </c>
      <c r="AH210" s="20">
        <v>82110</v>
      </c>
      <c r="AI210" s="20">
        <v>28127</v>
      </c>
      <c r="AJ210" s="20">
        <v>2813</v>
      </c>
      <c r="AK210" s="20">
        <v>30940</v>
      </c>
    </row>
    <row r="211" spans="1:37" ht="16.5" customHeight="1" x14ac:dyDescent="0.3">
      <c r="A211" s="18" t="s">
        <v>688</v>
      </c>
      <c r="B211" s="18" t="s">
        <v>107</v>
      </c>
      <c r="C211" s="19" t="s">
        <v>108</v>
      </c>
      <c r="D211" s="18" t="s">
        <v>710</v>
      </c>
      <c r="E211" s="19" t="s">
        <v>139</v>
      </c>
      <c r="F211" s="18" t="s">
        <v>110</v>
      </c>
      <c r="G211" s="18" t="s">
        <v>111</v>
      </c>
      <c r="H211" s="19" t="s">
        <v>112</v>
      </c>
      <c r="I211" s="18" t="s">
        <v>113</v>
      </c>
      <c r="J211" s="19" t="s">
        <v>114</v>
      </c>
      <c r="K211" s="19" t="s">
        <v>115</v>
      </c>
      <c r="L211" s="18" t="s">
        <v>116</v>
      </c>
      <c r="M211" s="18" t="s">
        <v>133</v>
      </c>
      <c r="N211" s="18" t="s">
        <v>118</v>
      </c>
      <c r="O211" s="20">
        <v>119000</v>
      </c>
      <c r="P211" s="20">
        <v>82110</v>
      </c>
      <c r="Q211" s="20">
        <v>1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31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119000</v>
      </c>
      <c r="AD211" s="20">
        <v>82110</v>
      </c>
      <c r="AE211" s="20">
        <v>0</v>
      </c>
      <c r="AF211" s="20">
        <v>0</v>
      </c>
      <c r="AG211" s="20">
        <v>119000</v>
      </c>
      <c r="AH211" s="20">
        <v>82110</v>
      </c>
      <c r="AI211" s="20">
        <v>33536</v>
      </c>
      <c r="AJ211" s="20">
        <v>3354</v>
      </c>
      <c r="AK211" s="20">
        <v>36890</v>
      </c>
    </row>
    <row r="212" spans="1:37" ht="16.5" customHeight="1" x14ac:dyDescent="0.3">
      <c r="A212" s="18" t="s">
        <v>691</v>
      </c>
      <c r="B212" s="18" t="s">
        <v>107</v>
      </c>
      <c r="C212" s="19" t="s">
        <v>108</v>
      </c>
      <c r="D212" s="18" t="s">
        <v>712</v>
      </c>
      <c r="E212" s="19" t="s">
        <v>713</v>
      </c>
      <c r="F212" s="18" t="s">
        <v>110</v>
      </c>
      <c r="G212" s="18" t="s">
        <v>111</v>
      </c>
      <c r="H212" s="19" t="s">
        <v>112</v>
      </c>
      <c r="I212" s="18" t="s">
        <v>113</v>
      </c>
      <c r="J212" s="19" t="s">
        <v>114</v>
      </c>
      <c r="K212" s="19" t="s">
        <v>115</v>
      </c>
      <c r="L212" s="18" t="s">
        <v>116</v>
      </c>
      <c r="M212" s="18" t="s">
        <v>133</v>
      </c>
      <c r="N212" s="18" t="s">
        <v>118</v>
      </c>
      <c r="O212" s="20">
        <v>119000</v>
      </c>
      <c r="P212" s="20">
        <v>82110</v>
      </c>
      <c r="Q212" s="20">
        <v>1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31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119000</v>
      </c>
      <c r="AD212" s="20">
        <v>82110</v>
      </c>
      <c r="AE212" s="20">
        <v>0</v>
      </c>
      <c r="AF212" s="20">
        <v>0</v>
      </c>
      <c r="AG212" s="20">
        <v>119000</v>
      </c>
      <c r="AH212" s="20">
        <v>82110</v>
      </c>
      <c r="AI212" s="20">
        <v>33536</v>
      </c>
      <c r="AJ212" s="20">
        <v>3354</v>
      </c>
      <c r="AK212" s="20">
        <v>36890</v>
      </c>
    </row>
    <row r="213" spans="1:37" ht="16.5" customHeight="1" x14ac:dyDescent="0.3">
      <c r="A213" s="18" t="s">
        <v>692</v>
      </c>
      <c r="B213" s="18" t="s">
        <v>107</v>
      </c>
      <c r="C213" s="19" t="s">
        <v>108</v>
      </c>
      <c r="D213" s="18" t="s">
        <v>715</v>
      </c>
      <c r="E213" s="19" t="s">
        <v>716</v>
      </c>
      <c r="F213" s="18" t="s">
        <v>110</v>
      </c>
      <c r="G213" s="18" t="s">
        <v>111</v>
      </c>
      <c r="H213" s="19" t="s">
        <v>112</v>
      </c>
      <c r="I213" s="18" t="s">
        <v>113</v>
      </c>
      <c r="J213" s="19" t="s">
        <v>114</v>
      </c>
      <c r="K213" s="19" t="s">
        <v>115</v>
      </c>
      <c r="L213" s="18" t="s">
        <v>116</v>
      </c>
      <c r="M213" s="18" t="s">
        <v>133</v>
      </c>
      <c r="N213" s="18" t="s">
        <v>118</v>
      </c>
      <c r="O213" s="20">
        <v>119000</v>
      </c>
      <c r="P213" s="20">
        <v>82110</v>
      </c>
      <c r="Q213" s="20">
        <v>1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31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119000</v>
      </c>
      <c r="AD213" s="20">
        <v>82110</v>
      </c>
      <c r="AE213" s="20">
        <v>0</v>
      </c>
      <c r="AF213" s="20">
        <v>0</v>
      </c>
      <c r="AG213" s="20">
        <v>119000</v>
      </c>
      <c r="AH213" s="20">
        <v>82110</v>
      </c>
      <c r="AI213" s="20">
        <v>33536</v>
      </c>
      <c r="AJ213" s="20">
        <v>3354</v>
      </c>
      <c r="AK213" s="20">
        <v>36890</v>
      </c>
    </row>
    <row r="214" spans="1:37" ht="16.5" customHeight="1" x14ac:dyDescent="0.3">
      <c r="A214" s="18" t="s">
        <v>695</v>
      </c>
      <c r="B214" s="18" t="s">
        <v>107</v>
      </c>
      <c r="C214" s="19" t="s">
        <v>108</v>
      </c>
      <c r="D214" s="18" t="s">
        <v>718</v>
      </c>
      <c r="E214" s="19" t="s">
        <v>508</v>
      </c>
      <c r="F214" s="18" t="s">
        <v>110</v>
      </c>
      <c r="G214" s="18" t="s">
        <v>111</v>
      </c>
      <c r="H214" s="19" t="s">
        <v>112</v>
      </c>
      <c r="I214" s="18" t="s">
        <v>113</v>
      </c>
      <c r="J214" s="19" t="s">
        <v>114</v>
      </c>
      <c r="K214" s="19" t="s">
        <v>115</v>
      </c>
      <c r="L214" s="18" t="s">
        <v>116</v>
      </c>
      <c r="M214" s="18" t="s">
        <v>133</v>
      </c>
      <c r="N214" s="18" t="s">
        <v>118</v>
      </c>
      <c r="O214" s="20">
        <v>119000</v>
      </c>
      <c r="P214" s="20">
        <v>82110</v>
      </c>
      <c r="Q214" s="20">
        <v>1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31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119000</v>
      </c>
      <c r="AD214" s="20">
        <v>82110</v>
      </c>
      <c r="AE214" s="20">
        <v>0</v>
      </c>
      <c r="AF214" s="20">
        <v>0</v>
      </c>
      <c r="AG214" s="20">
        <v>119000</v>
      </c>
      <c r="AH214" s="20">
        <v>82110</v>
      </c>
      <c r="AI214" s="20">
        <v>33536</v>
      </c>
      <c r="AJ214" s="20">
        <v>3354</v>
      </c>
      <c r="AK214" s="20">
        <v>36890</v>
      </c>
    </row>
    <row r="215" spans="1:37" ht="16.5" customHeight="1" x14ac:dyDescent="0.3">
      <c r="A215" s="18" t="s">
        <v>697</v>
      </c>
      <c r="B215" s="18" t="s">
        <v>107</v>
      </c>
      <c r="C215" s="19" t="s">
        <v>108</v>
      </c>
      <c r="D215" s="18" t="s">
        <v>625</v>
      </c>
      <c r="E215" s="19" t="s">
        <v>417</v>
      </c>
      <c r="F215" s="18" t="s">
        <v>110</v>
      </c>
      <c r="G215" s="18" t="s">
        <v>111</v>
      </c>
      <c r="H215" s="19" t="s">
        <v>112</v>
      </c>
      <c r="I215" s="18" t="s">
        <v>113</v>
      </c>
      <c r="J215" s="19" t="s">
        <v>114</v>
      </c>
      <c r="K215" s="19" t="s">
        <v>151</v>
      </c>
      <c r="L215" s="18" t="s">
        <v>116</v>
      </c>
      <c r="M215" s="18" t="s">
        <v>133</v>
      </c>
      <c r="N215" s="18" t="s">
        <v>118</v>
      </c>
      <c r="O215" s="20">
        <v>119000</v>
      </c>
      <c r="P215" s="20">
        <v>82110</v>
      </c>
      <c r="Q215" s="20">
        <v>1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31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119000</v>
      </c>
      <c r="AD215" s="20">
        <v>82110</v>
      </c>
      <c r="AE215" s="20">
        <v>0</v>
      </c>
      <c r="AF215" s="20">
        <v>0</v>
      </c>
      <c r="AG215" s="20">
        <v>119000</v>
      </c>
      <c r="AH215" s="20">
        <v>82110</v>
      </c>
      <c r="AI215" s="20">
        <v>33536</v>
      </c>
      <c r="AJ215" s="20">
        <v>3354</v>
      </c>
      <c r="AK215" s="20">
        <v>36890</v>
      </c>
    </row>
    <row r="216" spans="1:37" ht="16.5" customHeight="1" x14ac:dyDescent="0.3">
      <c r="A216" s="18" t="s">
        <v>699</v>
      </c>
      <c r="B216" s="18" t="s">
        <v>107</v>
      </c>
      <c r="C216" s="19" t="s">
        <v>108</v>
      </c>
      <c r="D216" s="18" t="s">
        <v>577</v>
      </c>
      <c r="E216" s="19" t="s">
        <v>578</v>
      </c>
      <c r="F216" s="18" t="s">
        <v>110</v>
      </c>
      <c r="G216" s="18" t="s">
        <v>111</v>
      </c>
      <c r="H216" s="19" t="s">
        <v>112</v>
      </c>
      <c r="I216" s="18" t="s">
        <v>113</v>
      </c>
      <c r="J216" s="19" t="s">
        <v>114</v>
      </c>
      <c r="K216" s="19" t="s">
        <v>115</v>
      </c>
      <c r="L216" s="18" t="s">
        <v>116</v>
      </c>
      <c r="M216" s="18" t="s">
        <v>133</v>
      </c>
      <c r="N216" s="18" t="s">
        <v>118</v>
      </c>
      <c r="O216" s="20">
        <v>119000</v>
      </c>
      <c r="P216" s="20">
        <v>82110</v>
      </c>
      <c r="Q216" s="20">
        <v>1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31</v>
      </c>
      <c r="X216" s="20">
        <v>13090</v>
      </c>
      <c r="Y216" s="20">
        <v>0</v>
      </c>
      <c r="Z216" s="20">
        <v>0</v>
      </c>
      <c r="AA216" s="20">
        <v>0</v>
      </c>
      <c r="AB216" s="20">
        <v>0</v>
      </c>
      <c r="AC216" s="20">
        <v>119000</v>
      </c>
      <c r="AD216" s="20">
        <v>82110</v>
      </c>
      <c r="AE216" s="20">
        <v>0</v>
      </c>
      <c r="AF216" s="20">
        <v>13090</v>
      </c>
      <c r="AG216" s="20">
        <v>105910</v>
      </c>
      <c r="AH216" s="20">
        <v>82110</v>
      </c>
      <c r="AI216" s="20">
        <v>21636</v>
      </c>
      <c r="AJ216" s="20">
        <v>2164</v>
      </c>
      <c r="AK216" s="20">
        <v>23800</v>
      </c>
    </row>
    <row r="217" spans="1:37" ht="16.5" customHeight="1" x14ac:dyDescent="0.3">
      <c r="A217" s="18" t="s">
        <v>701</v>
      </c>
      <c r="B217" s="18" t="s">
        <v>107</v>
      </c>
      <c r="C217" s="19" t="s">
        <v>108</v>
      </c>
      <c r="D217" s="18" t="s">
        <v>807</v>
      </c>
      <c r="E217" s="19" t="s">
        <v>808</v>
      </c>
      <c r="F217" s="18" t="s">
        <v>110</v>
      </c>
      <c r="G217" s="18" t="s">
        <v>111</v>
      </c>
      <c r="H217" s="19" t="s">
        <v>112</v>
      </c>
      <c r="I217" s="18" t="s">
        <v>113</v>
      </c>
      <c r="J217" s="19" t="s">
        <v>114</v>
      </c>
      <c r="K217" s="19" t="s">
        <v>115</v>
      </c>
      <c r="L217" s="18" t="s">
        <v>116</v>
      </c>
      <c r="M217" s="18" t="s">
        <v>133</v>
      </c>
      <c r="N217" s="18" t="s">
        <v>118</v>
      </c>
      <c r="O217" s="20">
        <v>119000</v>
      </c>
      <c r="P217" s="20">
        <v>82110</v>
      </c>
      <c r="Q217" s="20">
        <v>1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31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119000</v>
      </c>
      <c r="AD217" s="20">
        <v>82110</v>
      </c>
      <c r="AE217" s="20">
        <v>0</v>
      </c>
      <c r="AF217" s="20">
        <v>0</v>
      </c>
      <c r="AG217" s="20">
        <v>119000</v>
      </c>
      <c r="AH217" s="20">
        <v>82110</v>
      </c>
      <c r="AI217" s="20">
        <v>33536</v>
      </c>
      <c r="AJ217" s="20">
        <v>3354</v>
      </c>
      <c r="AK217" s="20">
        <v>36890</v>
      </c>
    </row>
    <row r="218" spans="1:37" ht="16.5" customHeight="1" x14ac:dyDescent="0.3">
      <c r="A218" s="18" t="s">
        <v>704</v>
      </c>
      <c r="B218" s="18" t="s">
        <v>107</v>
      </c>
      <c r="C218" s="19" t="s">
        <v>108</v>
      </c>
      <c r="D218" s="18" t="s">
        <v>731</v>
      </c>
      <c r="E218" s="19" t="s">
        <v>366</v>
      </c>
      <c r="F218" s="18" t="s">
        <v>110</v>
      </c>
      <c r="G218" s="18" t="s">
        <v>111</v>
      </c>
      <c r="H218" s="19" t="s">
        <v>112</v>
      </c>
      <c r="I218" s="18" t="s">
        <v>113</v>
      </c>
      <c r="J218" s="19" t="s">
        <v>114</v>
      </c>
      <c r="K218" s="19" t="s">
        <v>115</v>
      </c>
      <c r="L218" s="18" t="s">
        <v>116</v>
      </c>
      <c r="M218" s="18" t="s">
        <v>133</v>
      </c>
      <c r="N218" s="18" t="s">
        <v>118</v>
      </c>
      <c r="O218" s="20">
        <v>119000</v>
      </c>
      <c r="P218" s="20">
        <v>82110</v>
      </c>
      <c r="Q218" s="20">
        <v>1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31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119000</v>
      </c>
      <c r="AD218" s="20">
        <v>82110</v>
      </c>
      <c r="AE218" s="20">
        <v>0</v>
      </c>
      <c r="AF218" s="20">
        <v>0</v>
      </c>
      <c r="AG218" s="20">
        <v>119000</v>
      </c>
      <c r="AH218" s="20">
        <v>82110</v>
      </c>
      <c r="AI218" s="20">
        <v>33536</v>
      </c>
      <c r="AJ218" s="20">
        <v>3354</v>
      </c>
      <c r="AK218" s="20">
        <v>36890</v>
      </c>
    </row>
    <row r="219" spans="1:37" ht="16.5" customHeight="1" x14ac:dyDescent="0.3">
      <c r="A219" s="18" t="s">
        <v>706</v>
      </c>
      <c r="B219" s="18" t="s">
        <v>107</v>
      </c>
      <c r="C219" s="19" t="s">
        <v>108</v>
      </c>
      <c r="D219" s="18" t="s">
        <v>733</v>
      </c>
      <c r="E219" s="19" t="s">
        <v>734</v>
      </c>
      <c r="F219" s="18" t="s">
        <v>110</v>
      </c>
      <c r="G219" s="18" t="s">
        <v>111</v>
      </c>
      <c r="H219" s="19" t="s">
        <v>112</v>
      </c>
      <c r="I219" s="18" t="s">
        <v>113</v>
      </c>
      <c r="J219" s="19" t="s">
        <v>114</v>
      </c>
      <c r="K219" s="19" t="s">
        <v>115</v>
      </c>
      <c r="L219" s="18" t="s">
        <v>116</v>
      </c>
      <c r="M219" s="18" t="s">
        <v>133</v>
      </c>
      <c r="N219" s="18" t="s">
        <v>118</v>
      </c>
      <c r="O219" s="20">
        <v>119000</v>
      </c>
      <c r="P219" s="20">
        <v>82110</v>
      </c>
      <c r="Q219" s="20">
        <v>1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31</v>
      </c>
      <c r="X219" s="20">
        <v>0</v>
      </c>
      <c r="Y219" s="20">
        <v>10000</v>
      </c>
      <c r="Z219" s="20">
        <v>0</v>
      </c>
      <c r="AA219" s="20">
        <v>0</v>
      </c>
      <c r="AB219" s="20">
        <v>0</v>
      </c>
      <c r="AC219" s="20">
        <v>119000</v>
      </c>
      <c r="AD219" s="20">
        <v>82110</v>
      </c>
      <c r="AE219" s="20">
        <v>0</v>
      </c>
      <c r="AF219" s="20">
        <v>10000</v>
      </c>
      <c r="AG219" s="20">
        <v>109000</v>
      </c>
      <c r="AH219" s="20">
        <v>82110</v>
      </c>
      <c r="AI219" s="20">
        <v>24445</v>
      </c>
      <c r="AJ219" s="20">
        <v>2445</v>
      </c>
      <c r="AK219" s="20">
        <v>26890</v>
      </c>
    </row>
    <row r="220" spans="1:37" ht="16.5" customHeight="1" x14ac:dyDescent="0.3">
      <c r="A220" s="18" t="s">
        <v>709</v>
      </c>
      <c r="B220" s="18" t="s">
        <v>107</v>
      </c>
      <c r="C220" s="19" t="s">
        <v>108</v>
      </c>
      <c r="D220" s="18" t="s">
        <v>739</v>
      </c>
      <c r="E220" s="19" t="s">
        <v>740</v>
      </c>
      <c r="F220" s="18" t="s">
        <v>110</v>
      </c>
      <c r="G220" s="18" t="s">
        <v>111</v>
      </c>
      <c r="H220" s="19" t="s">
        <v>112</v>
      </c>
      <c r="I220" s="18" t="s">
        <v>113</v>
      </c>
      <c r="J220" s="19" t="s">
        <v>114</v>
      </c>
      <c r="K220" s="19" t="s">
        <v>115</v>
      </c>
      <c r="L220" s="18" t="s">
        <v>116</v>
      </c>
      <c r="M220" s="18" t="s">
        <v>133</v>
      </c>
      <c r="N220" s="18" t="s">
        <v>118</v>
      </c>
      <c r="O220" s="20">
        <v>119000</v>
      </c>
      <c r="P220" s="20">
        <v>82110</v>
      </c>
      <c r="Q220" s="20">
        <v>1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31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119000</v>
      </c>
      <c r="AD220" s="20">
        <v>82110</v>
      </c>
      <c r="AE220" s="20">
        <v>0</v>
      </c>
      <c r="AF220" s="20">
        <v>0</v>
      </c>
      <c r="AG220" s="20">
        <v>119000</v>
      </c>
      <c r="AH220" s="20">
        <v>82110</v>
      </c>
      <c r="AI220" s="20">
        <v>33536</v>
      </c>
      <c r="AJ220" s="20">
        <v>3354</v>
      </c>
      <c r="AK220" s="20">
        <v>36890</v>
      </c>
    </row>
    <row r="221" spans="1:37" ht="16.5" customHeight="1" x14ac:dyDescent="0.3">
      <c r="A221" s="18" t="s">
        <v>711</v>
      </c>
      <c r="B221" s="18" t="s">
        <v>107</v>
      </c>
      <c r="C221" s="19" t="s">
        <v>108</v>
      </c>
      <c r="D221" s="18" t="s">
        <v>742</v>
      </c>
      <c r="E221" s="19" t="s">
        <v>743</v>
      </c>
      <c r="F221" s="18" t="s">
        <v>110</v>
      </c>
      <c r="G221" s="18" t="s">
        <v>111</v>
      </c>
      <c r="H221" s="19" t="s">
        <v>112</v>
      </c>
      <c r="I221" s="18" t="s">
        <v>113</v>
      </c>
      <c r="J221" s="19" t="s">
        <v>114</v>
      </c>
      <c r="K221" s="19" t="s">
        <v>115</v>
      </c>
      <c r="L221" s="18" t="s">
        <v>116</v>
      </c>
      <c r="M221" s="18" t="s">
        <v>133</v>
      </c>
      <c r="N221" s="18" t="s">
        <v>118</v>
      </c>
      <c r="O221" s="20">
        <v>119000</v>
      </c>
      <c r="P221" s="20">
        <v>82110</v>
      </c>
      <c r="Q221" s="20">
        <v>1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31</v>
      </c>
      <c r="X221" s="20">
        <v>17850</v>
      </c>
      <c r="Y221" s="20">
        <v>0</v>
      </c>
      <c r="Z221" s="20">
        <v>0</v>
      </c>
      <c r="AA221" s="20">
        <v>0</v>
      </c>
      <c r="AB221" s="20">
        <v>0</v>
      </c>
      <c r="AC221" s="20">
        <v>119000</v>
      </c>
      <c r="AD221" s="20">
        <v>82110</v>
      </c>
      <c r="AE221" s="20">
        <v>0</v>
      </c>
      <c r="AF221" s="20">
        <v>17850</v>
      </c>
      <c r="AG221" s="20">
        <v>101150</v>
      </c>
      <c r="AH221" s="20">
        <v>82110</v>
      </c>
      <c r="AI221" s="20">
        <v>17309</v>
      </c>
      <c r="AJ221" s="20">
        <v>1731</v>
      </c>
      <c r="AK221" s="20">
        <v>19040</v>
      </c>
    </row>
    <row r="222" spans="1:37" ht="16.5" customHeight="1" x14ac:dyDescent="0.3">
      <c r="A222" s="18" t="s">
        <v>714</v>
      </c>
      <c r="B222" s="18" t="s">
        <v>107</v>
      </c>
      <c r="C222" s="19" t="s">
        <v>108</v>
      </c>
      <c r="D222" s="18" t="s">
        <v>876</v>
      </c>
      <c r="E222" s="19" t="s">
        <v>877</v>
      </c>
      <c r="F222" s="18" t="s">
        <v>110</v>
      </c>
      <c r="G222" s="18" t="s">
        <v>111</v>
      </c>
      <c r="H222" s="19" t="s">
        <v>112</v>
      </c>
      <c r="I222" s="18" t="s">
        <v>113</v>
      </c>
      <c r="J222" s="19" t="s">
        <v>114</v>
      </c>
      <c r="K222" s="19" t="s">
        <v>115</v>
      </c>
      <c r="L222" s="18" t="s">
        <v>116</v>
      </c>
      <c r="M222" s="18" t="s">
        <v>133</v>
      </c>
      <c r="N222" s="18" t="s">
        <v>118</v>
      </c>
      <c r="O222" s="20">
        <v>119000</v>
      </c>
      <c r="P222" s="20">
        <v>82110</v>
      </c>
      <c r="Q222" s="20">
        <v>1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31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119000</v>
      </c>
      <c r="AD222" s="20">
        <v>82110</v>
      </c>
      <c r="AE222" s="20">
        <v>0</v>
      </c>
      <c r="AF222" s="20">
        <v>0</v>
      </c>
      <c r="AG222" s="20">
        <v>119000</v>
      </c>
      <c r="AH222" s="20">
        <v>82110</v>
      </c>
      <c r="AI222" s="20">
        <v>33536</v>
      </c>
      <c r="AJ222" s="20">
        <v>3354</v>
      </c>
      <c r="AK222" s="20">
        <v>36890</v>
      </c>
    </row>
    <row r="223" spans="1:37" ht="16.5" customHeight="1" x14ac:dyDescent="0.3">
      <c r="A223" s="18" t="s">
        <v>717</v>
      </c>
      <c r="B223" s="18" t="s">
        <v>107</v>
      </c>
      <c r="C223" s="19" t="s">
        <v>108</v>
      </c>
      <c r="D223" s="18" t="s">
        <v>595</v>
      </c>
      <c r="E223" s="19" t="s">
        <v>596</v>
      </c>
      <c r="F223" s="18" t="s">
        <v>110</v>
      </c>
      <c r="G223" s="18" t="s">
        <v>111</v>
      </c>
      <c r="H223" s="19" t="s">
        <v>112</v>
      </c>
      <c r="I223" s="18" t="s">
        <v>113</v>
      </c>
      <c r="J223" s="19" t="s">
        <v>114</v>
      </c>
      <c r="K223" s="19" t="s">
        <v>115</v>
      </c>
      <c r="L223" s="18" t="s">
        <v>116</v>
      </c>
      <c r="M223" s="18" t="s">
        <v>133</v>
      </c>
      <c r="N223" s="18" t="s">
        <v>118</v>
      </c>
      <c r="O223" s="20">
        <v>119000</v>
      </c>
      <c r="P223" s="20">
        <v>82110</v>
      </c>
      <c r="Q223" s="20">
        <v>1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31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119000</v>
      </c>
      <c r="AD223" s="20">
        <v>82110</v>
      </c>
      <c r="AE223" s="20">
        <v>0</v>
      </c>
      <c r="AF223" s="20">
        <v>0</v>
      </c>
      <c r="AG223" s="20">
        <v>119000</v>
      </c>
      <c r="AH223" s="20">
        <v>82110</v>
      </c>
      <c r="AI223" s="20">
        <v>33536</v>
      </c>
      <c r="AJ223" s="20">
        <v>3354</v>
      </c>
      <c r="AK223" s="20">
        <v>36890</v>
      </c>
    </row>
    <row r="224" spans="1:37" ht="16.5" customHeight="1" x14ac:dyDescent="0.3">
      <c r="A224" s="18" t="s">
        <v>719</v>
      </c>
      <c r="B224" s="18" t="s">
        <v>107</v>
      </c>
      <c r="C224" s="19" t="s">
        <v>108</v>
      </c>
      <c r="D224" s="18" t="s">
        <v>745</v>
      </c>
      <c r="E224" s="19" t="s">
        <v>746</v>
      </c>
      <c r="F224" s="18" t="s">
        <v>110</v>
      </c>
      <c r="G224" s="18" t="s">
        <v>111</v>
      </c>
      <c r="H224" s="19" t="s">
        <v>112</v>
      </c>
      <c r="I224" s="18" t="s">
        <v>113</v>
      </c>
      <c r="J224" s="19" t="s">
        <v>114</v>
      </c>
      <c r="K224" s="19" t="s">
        <v>115</v>
      </c>
      <c r="L224" s="18" t="s">
        <v>116</v>
      </c>
      <c r="M224" s="18" t="s">
        <v>133</v>
      </c>
      <c r="N224" s="18" t="s">
        <v>118</v>
      </c>
      <c r="O224" s="20">
        <v>119000</v>
      </c>
      <c r="P224" s="20">
        <v>82110</v>
      </c>
      <c r="Q224" s="20">
        <v>1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31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119000</v>
      </c>
      <c r="AD224" s="20">
        <v>82110</v>
      </c>
      <c r="AE224" s="20">
        <v>0</v>
      </c>
      <c r="AF224" s="20">
        <v>0</v>
      </c>
      <c r="AG224" s="20">
        <v>119000</v>
      </c>
      <c r="AH224" s="20">
        <v>82110</v>
      </c>
      <c r="AI224" s="20">
        <v>33536</v>
      </c>
      <c r="AJ224" s="20">
        <v>3354</v>
      </c>
      <c r="AK224" s="20">
        <v>36890</v>
      </c>
    </row>
    <row r="225" spans="1:37" ht="16.5" customHeight="1" x14ac:dyDescent="0.3">
      <c r="A225" s="18" t="s">
        <v>722</v>
      </c>
      <c r="B225" s="18" t="s">
        <v>107</v>
      </c>
      <c r="C225" s="19" t="s">
        <v>108</v>
      </c>
      <c r="D225" s="18" t="s">
        <v>751</v>
      </c>
      <c r="E225" s="19" t="s">
        <v>401</v>
      </c>
      <c r="F225" s="18" t="s">
        <v>110</v>
      </c>
      <c r="G225" s="18" t="s">
        <v>111</v>
      </c>
      <c r="H225" s="19" t="s">
        <v>112</v>
      </c>
      <c r="I225" s="18" t="s">
        <v>113</v>
      </c>
      <c r="J225" s="19" t="s">
        <v>114</v>
      </c>
      <c r="K225" s="19" t="s">
        <v>151</v>
      </c>
      <c r="L225" s="18" t="s">
        <v>116</v>
      </c>
      <c r="M225" s="18" t="s">
        <v>133</v>
      </c>
      <c r="N225" s="18" t="s">
        <v>118</v>
      </c>
      <c r="O225" s="20">
        <v>119000</v>
      </c>
      <c r="P225" s="20">
        <v>82110</v>
      </c>
      <c r="Q225" s="20">
        <v>1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31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119000</v>
      </c>
      <c r="AD225" s="20">
        <v>82110</v>
      </c>
      <c r="AE225" s="20">
        <v>0</v>
      </c>
      <c r="AF225" s="20">
        <v>0</v>
      </c>
      <c r="AG225" s="20">
        <v>119000</v>
      </c>
      <c r="AH225" s="20">
        <v>82110</v>
      </c>
      <c r="AI225" s="20">
        <v>33536</v>
      </c>
      <c r="AJ225" s="20">
        <v>3354</v>
      </c>
      <c r="AK225" s="20">
        <v>36890</v>
      </c>
    </row>
    <row r="226" spans="1:37" ht="16.5" customHeight="1" x14ac:dyDescent="0.3">
      <c r="A226" s="18" t="s">
        <v>725</v>
      </c>
      <c r="B226" s="18" t="s">
        <v>107</v>
      </c>
      <c r="C226" s="19" t="s">
        <v>108</v>
      </c>
      <c r="D226" s="18" t="s">
        <v>753</v>
      </c>
      <c r="E226" s="19" t="s">
        <v>220</v>
      </c>
      <c r="F226" s="18" t="s">
        <v>110</v>
      </c>
      <c r="G226" s="18" t="s">
        <v>111</v>
      </c>
      <c r="H226" s="19" t="s">
        <v>112</v>
      </c>
      <c r="I226" s="18" t="s">
        <v>113</v>
      </c>
      <c r="J226" s="19" t="s">
        <v>114</v>
      </c>
      <c r="K226" s="19" t="s">
        <v>115</v>
      </c>
      <c r="L226" s="18" t="s">
        <v>116</v>
      </c>
      <c r="M226" s="18" t="s">
        <v>133</v>
      </c>
      <c r="N226" s="18" t="s">
        <v>118</v>
      </c>
      <c r="O226" s="20">
        <v>119000</v>
      </c>
      <c r="P226" s="20">
        <v>82110</v>
      </c>
      <c r="Q226" s="20">
        <v>1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31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119000</v>
      </c>
      <c r="AD226" s="20">
        <v>82110</v>
      </c>
      <c r="AE226" s="20">
        <v>0</v>
      </c>
      <c r="AF226" s="20">
        <v>0</v>
      </c>
      <c r="AG226" s="20">
        <v>119000</v>
      </c>
      <c r="AH226" s="20">
        <v>82110</v>
      </c>
      <c r="AI226" s="20">
        <v>33536</v>
      </c>
      <c r="AJ226" s="20">
        <v>3354</v>
      </c>
      <c r="AK226" s="20">
        <v>36890</v>
      </c>
    </row>
    <row r="227" spans="1:37" ht="16.5" customHeight="1" x14ac:dyDescent="0.3">
      <c r="A227" s="18" t="s">
        <v>727</v>
      </c>
      <c r="B227" s="18" t="s">
        <v>107</v>
      </c>
      <c r="C227" s="19" t="s">
        <v>108</v>
      </c>
      <c r="D227" s="18" t="s">
        <v>899</v>
      </c>
      <c r="E227" s="19" t="s">
        <v>900</v>
      </c>
      <c r="F227" s="18" t="s">
        <v>110</v>
      </c>
      <c r="G227" s="18" t="s">
        <v>111</v>
      </c>
      <c r="H227" s="19" t="s">
        <v>112</v>
      </c>
      <c r="I227" s="18" t="s">
        <v>113</v>
      </c>
      <c r="J227" s="19" t="s">
        <v>114</v>
      </c>
      <c r="K227" s="19" t="s">
        <v>115</v>
      </c>
      <c r="L227" s="18" t="s">
        <v>116</v>
      </c>
      <c r="M227" s="18" t="s">
        <v>133</v>
      </c>
      <c r="N227" s="18" t="s">
        <v>118</v>
      </c>
      <c r="O227" s="20">
        <v>119000</v>
      </c>
      <c r="P227" s="20">
        <v>82110</v>
      </c>
      <c r="Q227" s="20">
        <v>1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31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119000</v>
      </c>
      <c r="AD227" s="20">
        <v>82110</v>
      </c>
      <c r="AE227" s="20">
        <v>0</v>
      </c>
      <c r="AF227" s="20">
        <v>0</v>
      </c>
      <c r="AG227" s="20">
        <v>119000</v>
      </c>
      <c r="AH227" s="20">
        <v>82110</v>
      </c>
      <c r="AI227" s="20">
        <v>33536</v>
      </c>
      <c r="AJ227" s="20">
        <v>3354</v>
      </c>
      <c r="AK227" s="20">
        <v>36890</v>
      </c>
    </row>
    <row r="228" spans="1:37" ht="16.5" customHeight="1" x14ac:dyDescent="0.3">
      <c r="A228" s="18" t="s">
        <v>730</v>
      </c>
      <c r="B228" s="18" t="s">
        <v>107</v>
      </c>
      <c r="C228" s="19" t="s">
        <v>108</v>
      </c>
      <c r="D228" s="18" t="s">
        <v>755</v>
      </c>
      <c r="E228" s="19" t="s">
        <v>756</v>
      </c>
      <c r="F228" s="18" t="s">
        <v>110</v>
      </c>
      <c r="G228" s="18" t="s">
        <v>111</v>
      </c>
      <c r="H228" s="19" t="s">
        <v>112</v>
      </c>
      <c r="I228" s="18" t="s">
        <v>113</v>
      </c>
      <c r="J228" s="19" t="s">
        <v>114</v>
      </c>
      <c r="K228" s="19" t="s">
        <v>115</v>
      </c>
      <c r="L228" s="18" t="s">
        <v>116</v>
      </c>
      <c r="M228" s="18" t="s">
        <v>133</v>
      </c>
      <c r="N228" s="18" t="s">
        <v>118</v>
      </c>
      <c r="O228" s="20">
        <v>119000</v>
      </c>
      <c r="P228" s="20">
        <v>82110</v>
      </c>
      <c r="Q228" s="20">
        <v>1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31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119000</v>
      </c>
      <c r="AD228" s="20">
        <v>82110</v>
      </c>
      <c r="AE228" s="20">
        <v>0</v>
      </c>
      <c r="AF228" s="20">
        <v>0</v>
      </c>
      <c r="AG228" s="20">
        <v>119000</v>
      </c>
      <c r="AH228" s="20">
        <v>82110</v>
      </c>
      <c r="AI228" s="20">
        <v>33536</v>
      </c>
      <c r="AJ228" s="20">
        <v>3354</v>
      </c>
      <c r="AK228" s="20">
        <v>36890</v>
      </c>
    </row>
    <row r="229" spans="1:37" ht="16.5" customHeight="1" x14ac:dyDescent="0.3">
      <c r="A229" s="18" t="s">
        <v>732</v>
      </c>
      <c r="B229" s="18" t="s">
        <v>107</v>
      </c>
      <c r="C229" s="19" t="s">
        <v>108</v>
      </c>
      <c r="D229" s="18" t="s">
        <v>908</v>
      </c>
      <c r="E229" s="19" t="s">
        <v>909</v>
      </c>
      <c r="F229" s="18" t="s">
        <v>110</v>
      </c>
      <c r="G229" s="18" t="s">
        <v>111</v>
      </c>
      <c r="H229" s="19" t="s">
        <v>112</v>
      </c>
      <c r="I229" s="18" t="s">
        <v>113</v>
      </c>
      <c r="J229" s="19" t="s">
        <v>114</v>
      </c>
      <c r="K229" s="19" t="s">
        <v>115</v>
      </c>
      <c r="L229" s="18" t="s">
        <v>116</v>
      </c>
      <c r="M229" s="18" t="s">
        <v>133</v>
      </c>
      <c r="N229" s="18" t="s">
        <v>118</v>
      </c>
      <c r="O229" s="20">
        <v>119000</v>
      </c>
      <c r="P229" s="20">
        <v>82110</v>
      </c>
      <c r="Q229" s="20">
        <v>1</v>
      </c>
      <c r="R229" s="20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31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119000</v>
      </c>
      <c r="AD229" s="20">
        <v>82110</v>
      </c>
      <c r="AE229" s="20">
        <v>0</v>
      </c>
      <c r="AF229" s="20">
        <v>0</v>
      </c>
      <c r="AG229" s="20">
        <v>119000</v>
      </c>
      <c r="AH229" s="20">
        <v>82110</v>
      </c>
      <c r="AI229" s="20">
        <v>33536</v>
      </c>
      <c r="AJ229" s="20">
        <v>3354</v>
      </c>
      <c r="AK229" s="20">
        <v>36890</v>
      </c>
    </row>
    <row r="230" spans="1:37" ht="16.5" customHeight="1" x14ac:dyDescent="0.3">
      <c r="A230" s="18" t="s">
        <v>735</v>
      </c>
      <c r="B230" s="18" t="s">
        <v>107</v>
      </c>
      <c r="C230" s="19" t="s">
        <v>108</v>
      </c>
      <c r="D230" s="18" t="s">
        <v>764</v>
      </c>
      <c r="E230" s="19" t="s">
        <v>765</v>
      </c>
      <c r="F230" s="18" t="s">
        <v>110</v>
      </c>
      <c r="G230" s="18" t="s">
        <v>111</v>
      </c>
      <c r="H230" s="19" t="s">
        <v>112</v>
      </c>
      <c r="I230" s="18" t="s">
        <v>113</v>
      </c>
      <c r="J230" s="19" t="s">
        <v>114</v>
      </c>
      <c r="K230" s="19" t="s">
        <v>115</v>
      </c>
      <c r="L230" s="18" t="s">
        <v>116</v>
      </c>
      <c r="M230" s="18" t="s">
        <v>133</v>
      </c>
      <c r="N230" s="18" t="s">
        <v>118</v>
      </c>
      <c r="O230" s="20">
        <v>119000</v>
      </c>
      <c r="P230" s="20">
        <v>82110</v>
      </c>
      <c r="Q230" s="20">
        <v>1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31</v>
      </c>
      <c r="X230" s="20">
        <v>19040</v>
      </c>
      <c r="Y230" s="20">
        <v>0</v>
      </c>
      <c r="Z230" s="20">
        <v>0</v>
      </c>
      <c r="AA230" s="20">
        <v>0</v>
      </c>
      <c r="AB230" s="20">
        <v>0</v>
      </c>
      <c r="AC230" s="20">
        <v>119000</v>
      </c>
      <c r="AD230" s="20">
        <v>82110</v>
      </c>
      <c r="AE230" s="20">
        <v>0</v>
      </c>
      <c r="AF230" s="20">
        <v>19040</v>
      </c>
      <c r="AG230" s="20">
        <v>99960</v>
      </c>
      <c r="AH230" s="20">
        <v>82110</v>
      </c>
      <c r="AI230" s="20">
        <v>16227</v>
      </c>
      <c r="AJ230" s="20">
        <v>1623</v>
      </c>
      <c r="AK230" s="20">
        <v>17850</v>
      </c>
    </row>
    <row r="231" spans="1:37" ht="16.5" customHeight="1" x14ac:dyDescent="0.3">
      <c r="A231" s="18" t="s">
        <v>738</v>
      </c>
      <c r="B231" s="18" t="s">
        <v>107</v>
      </c>
      <c r="C231" s="19" t="s">
        <v>108</v>
      </c>
      <c r="D231" s="18" t="s">
        <v>767</v>
      </c>
      <c r="E231" s="19" t="s">
        <v>340</v>
      </c>
      <c r="F231" s="18" t="s">
        <v>110</v>
      </c>
      <c r="G231" s="18" t="s">
        <v>111</v>
      </c>
      <c r="H231" s="19" t="s">
        <v>112</v>
      </c>
      <c r="I231" s="18" t="s">
        <v>113</v>
      </c>
      <c r="J231" s="19" t="s">
        <v>114</v>
      </c>
      <c r="K231" s="19" t="s">
        <v>115</v>
      </c>
      <c r="L231" s="18" t="s">
        <v>116</v>
      </c>
      <c r="M231" s="18" t="s">
        <v>133</v>
      </c>
      <c r="N231" s="18" t="s">
        <v>118</v>
      </c>
      <c r="O231" s="20">
        <v>119000</v>
      </c>
      <c r="P231" s="20">
        <v>82110</v>
      </c>
      <c r="Q231" s="20">
        <v>2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31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238000</v>
      </c>
      <c r="AD231" s="20">
        <v>164220</v>
      </c>
      <c r="AE231" s="20">
        <v>0</v>
      </c>
      <c r="AF231" s="20">
        <v>0</v>
      </c>
      <c r="AG231" s="20">
        <v>238000</v>
      </c>
      <c r="AH231" s="20">
        <v>164220</v>
      </c>
      <c r="AI231" s="20">
        <v>67073</v>
      </c>
      <c r="AJ231" s="20">
        <v>6707</v>
      </c>
      <c r="AK231" s="20">
        <v>73780</v>
      </c>
    </row>
    <row r="232" spans="1:37" ht="16.5" customHeight="1" x14ac:dyDescent="0.3">
      <c r="A232" s="18" t="s">
        <v>741</v>
      </c>
      <c r="B232" s="18" t="s">
        <v>107</v>
      </c>
      <c r="C232" s="19" t="s">
        <v>108</v>
      </c>
      <c r="D232" s="18" t="s">
        <v>769</v>
      </c>
      <c r="E232" s="19" t="s">
        <v>770</v>
      </c>
      <c r="F232" s="18" t="s">
        <v>110</v>
      </c>
      <c r="G232" s="18" t="s">
        <v>111</v>
      </c>
      <c r="H232" s="19" t="s">
        <v>112</v>
      </c>
      <c r="I232" s="18" t="s">
        <v>113</v>
      </c>
      <c r="J232" s="19" t="s">
        <v>114</v>
      </c>
      <c r="K232" s="19" t="s">
        <v>115</v>
      </c>
      <c r="L232" s="18" t="s">
        <v>116</v>
      </c>
      <c r="M232" s="18" t="s">
        <v>133</v>
      </c>
      <c r="N232" s="18" t="s">
        <v>118</v>
      </c>
      <c r="O232" s="20">
        <v>119000</v>
      </c>
      <c r="P232" s="20">
        <v>82110</v>
      </c>
      <c r="Q232" s="20">
        <v>1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31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119000</v>
      </c>
      <c r="AD232" s="20">
        <v>82110</v>
      </c>
      <c r="AE232" s="20">
        <v>0</v>
      </c>
      <c r="AF232" s="20">
        <v>0</v>
      </c>
      <c r="AG232" s="20">
        <v>119000</v>
      </c>
      <c r="AH232" s="20">
        <v>82110</v>
      </c>
      <c r="AI232" s="20">
        <v>33536</v>
      </c>
      <c r="AJ232" s="20">
        <v>3354</v>
      </c>
      <c r="AK232" s="20">
        <v>36890</v>
      </c>
    </row>
    <row r="233" spans="1:37" ht="16.5" customHeight="1" x14ac:dyDescent="0.3">
      <c r="A233" s="18" t="s">
        <v>744</v>
      </c>
      <c r="B233" s="18" t="s">
        <v>107</v>
      </c>
      <c r="C233" s="19" t="s">
        <v>108</v>
      </c>
      <c r="D233" s="18" t="s">
        <v>930</v>
      </c>
      <c r="E233" s="19" t="s">
        <v>931</v>
      </c>
      <c r="F233" s="18" t="s">
        <v>110</v>
      </c>
      <c r="G233" s="18" t="s">
        <v>111</v>
      </c>
      <c r="H233" s="19" t="s">
        <v>112</v>
      </c>
      <c r="I233" s="18" t="s">
        <v>113</v>
      </c>
      <c r="J233" s="19" t="s">
        <v>114</v>
      </c>
      <c r="K233" s="19" t="s">
        <v>115</v>
      </c>
      <c r="L233" s="18" t="s">
        <v>116</v>
      </c>
      <c r="M233" s="18" t="s">
        <v>133</v>
      </c>
      <c r="N233" s="18" t="s">
        <v>118</v>
      </c>
      <c r="O233" s="20">
        <v>119000</v>
      </c>
      <c r="P233" s="20">
        <v>82110</v>
      </c>
      <c r="Q233" s="20">
        <v>1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31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119000</v>
      </c>
      <c r="AD233" s="20">
        <v>82110</v>
      </c>
      <c r="AE233" s="20">
        <v>0</v>
      </c>
      <c r="AF233" s="20">
        <v>0</v>
      </c>
      <c r="AG233" s="20">
        <v>119000</v>
      </c>
      <c r="AH233" s="20">
        <v>82110</v>
      </c>
      <c r="AI233" s="20">
        <v>33536</v>
      </c>
      <c r="AJ233" s="20">
        <v>3354</v>
      </c>
      <c r="AK233" s="20">
        <v>36890</v>
      </c>
    </row>
    <row r="234" spans="1:37" ht="16.5" customHeight="1" x14ac:dyDescent="0.3">
      <c r="A234" s="18" t="s">
        <v>747</v>
      </c>
      <c r="B234" s="18" t="s">
        <v>107</v>
      </c>
      <c r="C234" s="19" t="s">
        <v>108</v>
      </c>
      <c r="D234" s="18" t="s">
        <v>772</v>
      </c>
      <c r="E234" s="19" t="s">
        <v>773</v>
      </c>
      <c r="F234" s="18" t="s">
        <v>110</v>
      </c>
      <c r="G234" s="18" t="s">
        <v>111</v>
      </c>
      <c r="H234" s="19" t="s">
        <v>112</v>
      </c>
      <c r="I234" s="18" t="s">
        <v>113</v>
      </c>
      <c r="J234" s="19" t="s">
        <v>114</v>
      </c>
      <c r="K234" s="19" t="s">
        <v>115</v>
      </c>
      <c r="L234" s="18" t="s">
        <v>116</v>
      </c>
      <c r="M234" s="18" t="s">
        <v>133</v>
      </c>
      <c r="N234" s="18" t="s">
        <v>118</v>
      </c>
      <c r="O234" s="20">
        <v>119000</v>
      </c>
      <c r="P234" s="20">
        <v>82110</v>
      </c>
      <c r="Q234" s="20">
        <v>1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31</v>
      </c>
      <c r="X234" s="20">
        <v>0</v>
      </c>
      <c r="Y234" s="20">
        <v>0</v>
      </c>
      <c r="Z234" s="20">
        <v>0</v>
      </c>
      <c r="AA234" s="20">
        <v>0</v>
      </c>
      <c r="AB234" s="20">
        <v>5950</v>
      </c>
      <c r="AC234" s="20">
        <v>119000</v>
      </c>
      <c r="AD234" s="20">
        <v>82110</v>
      </c>
      <c r="AE234" s="20">
        <v>0</v>
      </c>
      <c r="AF234" s="20">
        <v>5950</v>
      </c>
      <c r="AG234" s="20">
        <v>113050</v>
      </c>
      <c r="AH234" s="20">
        <v>82110</v>
      </c>
      <c r="AI234" s="20">
        <v>28127</v>
      </c>
      <c r="AJ234" s="20">
        <v>2813</v>
      </c>
      <c r="AK234" s="20">
        <v>30940</v>
      </c>
    </row>
    <row r="235" spans="1:37" ht="16.5" customHeight="1" x14ac:dyDescent="0.3">
      <c r="A235" s="18" t="s">
        <v>750</v>
      </c>
      <c r="B235" s="18" t="s">
        <v>107</v>
      </c>
      <c r="C235" s="19" t="s">
        <v>108</v>
      </c>
      <c r="D235" s="18" t="s">
        <v>777</v>
      </c>
      <c r="E235" s="19" t="s">
        <v>357</v>
      </c>
      <c r="F235" s="18" t="s">
        <v>110</v>
      </c>
      <c r="G235" s="18" t="s">
        <v>111</v>
      </c>
      <c r="H235" s="19" t="s">
        <v>112</v>
      </c>
      <c r="I235" s="18" t="s">
        <v>113</v>
      </c>
      <c r="J235" s="19" t="s">
        <v>114</v>
      </c>
      <c r="K235" s="19" t="s">
        <v>115</v>
      </c>
      <c r="L235" s="18" t="s">
        <v>116</v>
      </c>
      <c r="M235" s="18" t="s">
        <v>133</v>
      </c>
      <c r="N235" s="18" t="s">
        <v>118</v>
      </c>
      <c r="O235" s="20">
        <v>119000</v>
      </c>
      <c r="P235" s="20">
        <v>82110</v>
      </c>
      <c r="Q235" s="20">
        <v>1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31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119000</v>
      </c>
      <c r="AD235" s="20">
        <v>82110</v>
      </c>
      <c r="AE235" s="20">
        <v>0</v>
      </c>
      <c r="AF235" s="20">
        <v>0</v>
      </c>
      <c r="AG235" s="20">
        <v>119000</v>
      </c>
      <c r="AH235" s="20">
        <v>82110</v>
      </c>
      <c r="AI235" s="20">
        <v>33536</v>
      </c>
      <c r="AJ235" s="20">
        <v>3354</v>
      </c>
      <c r="AK235" s="20">
        <v>36890</v>
      </c>
    </row>
    <row r="236" spans="1:37" ht="16.5" customHeight="1" x14ac:dyDescent="0.3">
      <c r="A236" s="18" t="s">
        <v>752</v>
      </c>
      <c r="B236" s="18" t="s">
        <v>107</v>
      </c>
      <c r="C236" s="19" t="s">
        <v>108</v>
      </c>
      <c r="D236" s="18" t="s">
        <v>779</v>
      </c>
      <c r="E236" s="19" t="s">
        <v>780</v>
      </c>
      <c r="F236" s="18" t="s">
        <v>110</v>
      </c>
      <c r="G236" s="18" t="s">
        <v>111</v>
      </c>
      <c r="H236" s="19" t="s">
        <v>112</v>
      </c>
      <c r="I236" s="18" t="s">
        <v>113</v>
      </c>
      <c r="J236" s="19" t="s">
        <v>114</v>
      </c>
      <c r="K236" s="19" t="s">
        <v>115</v>
      </c>
      <c r="L236" s="18" t="s">
        <v>116</v>
      </c>
      <c r="M236" s="18" t="s">
        <v>133</v>
      </c>
      <c r="N236" s="18" t="s">
        <v>118</v>
      </c>
      <c r="O236" s="20">
        <v>119000</v>
      </c>
      <c r="P236" s="20">
        <v>82110</v>
      </c>
      <c r="Q236" s="20">
        <v>1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31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119000</v>
      </c>
      <c r="AD236" s="20">
        <v>82110</v>
      </c>
      <c r="AE236" s="20">
        <v>0</v>
      </c>
      <c r="AF236" s="20">
        <v>0</v>
      </c>
      <c r="AG236" s="20">
        <v>119000</v>
      </c>
      <c r="AH236" s="20">
        <v>82110</v>
      </c>
      <c r="AI236" s="20">
        <v>33536</v>
      </c>
      <c r="AJ236" s="20">
        <v>3354</v>
      </c>
      <c r="AK236" s="20">
        <v>36890</v>
      </c>
    </row>
    <row r="237" spans="1:37" ht="16.5" customHeight="1" x14ac:dyDescent="0.3">
      <c r="A237" s="18" t="s">
        <v>754</v>
      </c>
      <c r="B237" s="18" t="s">
        <v>107</v>
      </c>
      <c r="C237" s="19" t="s">
        <v>108</v>
      </c>
      <c r="D237" s="18" t="s">
        <v>963</v>
      </c>
      <c r="E237" s="19" t="s">
        <v>964</v>
      </c>
      <c r="F237" s="18" t="s">
        <v>110</v>
      </c>
      <c r="G237" s="18" t="s">
        <v>111</v>
      </c>
      <c r="H237" s="19" t="s">
        <v>112</v>
      </c>
      <c r="I237" s="18" t="s">
        <v>113</v>
      </c>
      <c r="J237" s="19" t="s">
        <v>114</v>
      </c>
      <c r="K237" s="19" t="s">
        <v>115</v>
      </c>
      <c r="L237" s="18" t="s">
        <v>116</v>
      </c>
      <c r="M237" s="18" t="s">
        <v>133</v>
      </c>
      <c r="N237" s="18" t="s">
        <v>118</v>
      </c>
      <c r="O237" s="20">
        <v>119000</v>
      </c>
      <c r="P237" s="20">
        <v>82110</v>
      </c>
      <c r="Q237" s="20">
        <v>1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31</v>
      </c>
      <c r="X237" s="20">
        <v>0</v>
      </c>
      <c r="Y237" s="20">
        <v>10000</v>
      </c>
      <c r="Z237" s="20">
        <v>0</v>
      </c>
      <c r="AA237" s="20">
        <v>0</v>
      </c>
      <c r="AB237" s="20">
        <v>0</v>
      </c>
      <c r="AC237" s="20">
        <v>119000</v>
      </c>
      <c r="AD237" s="20">
        <v>82110</v>
      </c>
      <c r="AE237" s="20">
        <v>0</v>
      </c>
      <c r="AF237" s="20">
        <v>10000</v>
      </c>
      <c r="AG237" s="20">
        <v>109000</v>
      </c>
      <c r="AH237" s="20">
        <v>82110</v>
      </c>
      <c r="AI237" s="20">
        <v>24445</v>
      </c>
      <c r="AJ237" s="20">
        <v>2445</v>
      </c>
      <c r="AK237" s="20">
        <v>26890</v>
      </c>
    </row>
    <row r="238" spans="1:37" ht="16.5" customHeight="1" x14ac:dyDescent="0.3">
      <c r="A238" s="18" t="s">
        <v>757</v>
      </c>
      <c r="B238" s="18" t="s">
        <v>107</v>
      </c>
      <c r="C238" s="19" t="s">
        <v>108</v>
      </c>
      <c r="D238" s="18" t="s">
        <v>782</v>
      </c>
      <c r="E238" s="19" t="s">
        <v>783</v>
      </c>
      <c r="F238" s="18" t="s">
        <v>110</v>
      </c>
      <c r="G238" s="18" t="s">
        <v>111</v>
      </c>
      <c r="H238" s="19" t="s">
        <v>112</v>
      </c>
      <c r="I238" s="18" t="s">
        <v>113</v>
      </c>
      <c r="J238" s="19" t="s">
        <v>114</v>
      </c>
      <c r="K238" s="19" t="s">
        <v>115</v>
      </c>
      <c r="L238" s="18" t="s">
        <v>116</v>
      </c>
      <c r="M238" s="18" t="s">
        <v>133</v>
      </c>
      <c r="N238" s="18" t="s">
        <v>118</v>
      </c>
      <c r="O238" s="20">
        <v>119000</v>
      </c>
      <c r="P238" s="20">
        <v>82110</v>
      </c>
      <c r="Q238" s="20">
        <v>1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31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119000</v>
      </c>
      <c r="AD238" s="20">
        <v>82110</v>
      </c>
      <c r="AE238" s="20">
        <v>0</v>
      </c>
      <c r="AF238" s="20">
        <v>0</v>
      </c>
      <c r="AG238" s="20">
        <v>119000</v>
      </c>
      <c r="AH238" s="20">
        <v>82110</v>
      </c>
      <c r="AI238" s="20">
        <v>33536</v>
      </c>
      <c r="AJ238" s="20">
        <v>3354</v>
      </c>
      <c r="AK238" s="20">
        <v>36890</v>
      </c>
    </row>
    <row r="239" spans="1:37" ht="16.5" customHeight="1" x14ac:dyDescent="0.3">
      <c r="A239" s="18" t="s">
        <v>760</v>
      </c>
      <c r="B239" s="18" t="s">
        <v>107</v>
      </c>
      <c r="C239" s="19" t="s">
        <v>108</v>
      </c>
      <c r="D239" s="18" t="s">
        <v>1052</v>
      </c>
      <c r="E239" s="19" t="s">
        <v>139</v>
      </c>
      <c r="F239" s="18" t="s">
        <v>110</v>
      </c>
      <c r="G239" s="18" t="s">
        <v>111</v>
      </c>
      <c r="H239" s="19" t="s">
        <v>112</v>
      </c>
      <c r="I239" s="18" t="s">
        <v>113</v>
      </c>
      <c r="J239" s="19" t="s">
        <v>114</v>
      </c>
      <c r="K239" s="19" t="s">
        <v>115</v>
      </c>
      <c r="L239" s="18" t="s">
        <v>116</v>
      </c>
      <c r="M239" s="18" t="s">
        <v>133</v>
      </c>
      <c r="N239" s="18" t="s">
        <v>118</v>
      </c>
      <c r="O239" s="20">
        <v>119000</v>
      </c>
      <c r="P239" s="20">
        <v>82110</v>
      </c>
      <c r="Q239" s="20">
        <v>1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31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119000</v>
      </c>
      <c r="AD239" s="20">
        <v>82110</v>
      </c>
      <c r="AE239" s="20">
        <v>0</v>
      </c>
      <c r="AF239" s="20">
        <v>0</v>
      </c>
      <c r="AG239" s="20">
        <v>119000</v>
      </c>
      <c r="AH239" s="20">
        <v>82110</v>
      </c>
      <c r="AI239" s="20">
        <v>33536</v>
      </c>
      <c r="AJ239" s="20">
        <v>3354</v>
      </c>
      <c r="AK239" s="20">
        <v>36890</v>
      </c>
    </row>
    <row r="240" spans="1:37" ht="16.5" customHeight="1" x14ac:dyDescent="0.3">
      <c r="A240" s="18" t="s">
        <v>763</v>
      </c>
      <c r="B240" s="18" t="s">
        <v>107</v>
      </c>
      <c r="C240" s="19" t="s">
        <v>108</v>
      </c>
      <c r="D240" s="18" t="s">
        <v>984</v>
      </c>
      <c r="E240" s="19" t="s">
        <v>721</v>
      </c>
      <c r="F240" s="18" t="s">
        <v>110</v>
      </c>
      <c r="G240" s="18" t="s">
        <v>111</v>
      </c>
      <c r="H240" s="19" t="s">
        <v>112</v>
      </c>
      <c r="I240" s="18" t="s">
        <v>113</v>
      </c>
      <c r="J240" s="19" t="s">
        <v>114</v>
      </c>
      <c r="K240" s="19" t="s">
        <v>151</v>
      </c>
      <c r="L240" s="18" t="s">
        <v>116</v>
      </c>
      <c r="M240" s="18" t="s">
        <v>133</v>
      </c>
      <c r="N240" s="18" t="s">
        <v>118</v>
      </c>
      <c r="O240" s="20">
        <v>119000</v>
      </c>
      <c r="P240" s="20">
        <v>82110</v>
      </c>
      <c r="Q240" s="20">
        <v>1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31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119000</v>
      </c>
      <c r="AD240" s="20">
        <v>82110</v>
      </c>
      <c r="AE240" s="20">
        <v>0</v>
      </c>
      <c r="AF240" s="20">
        <v>0</v>
      </c>
      <c r="AG240" s="20">
        <v>119000</v>
      </c>
      <c r="AH240" s="20">
        <v>82110</v>
      </c>
      <c r="AI240" s="20">
        <v>33536</v>
      </c>
      <c r="AJ240" s="20">
        <v>3354</v>
      </c>
      <c r="AK240" s="20">
        <v>36890</v>
      </c>
    </row>
    <row r="241" spans="1:37" ht="16.5" customHeight="1" x14ac:dyDescent="0.3">
      <c r="A241" s="18" t="s">
        <v>766</v>
      </c>
      <c r="B241" s="18" t="s">
        <v>107</v>
      </c>
      <c r="C241" s="19" t="s">
        <v>108</v>
      </c>
      <c r="D241" s="18" t="s">
        <v>1062</v>
      </c>
      <c r="E241" s="19" t="s">
        <v>1063</v>
      </c>
      <c r="F241" s="18" t="s">
        <v>110</v>
      </c>
      <c r="G241" s="18" t="s">
        <v>111</v>
      </c>
      <c r="H241" s="19" t="s">
        <v>112</v>
      </c>
      <c r="I241" s="18" t="s">
        <v>113</v>
      </c>
      <c r="J241" s="19" t="s">
        <v>114</v>
      </c>
      <c r="K241" s="19" t="s">
        <v>115</v>
      </c>
      <c r="L241" s="18" t="s">
        <v>116</v>
      </c>
      <c r="M241" s="18" t="s">
        <v>133</v>
      </c>
      <c r="N241" s="18" t="s">
        <v>118</v>
      </c>
      <c r="O241" s="20">
        <v>119000</v>
      </c>
      <c r="P241" s="20">
        <v>82110</v>
      </c>
      <c r="Q241" s="20">
        <v>1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31</v>
      </c>
      <c r="X241" s="20">
        <v>0</v>
      </c>
      <c r="Y241" s="20">
        <v>0</v>
      </c>
      <c r="Z241" s="20">
        <v>0</v>
      </c>
      <c r="AA241" s="20">
        <v>0</v>
      </c>
      <c r="AB241" s="20">
        <v>5950</v>
      </c>
      <c r="AC241" s="20">
        <v>119000</v>
      </c>
      <c r="AD241" s="20">
        <v>82110</v>
      </c>
      <c r="AE241" s="20">
        <v>0</v>
      </c>
      <c r="AF241" s="20">
        <v>5950</v>
      </c>
      <c r="AG241" s="20">
        <v>113050</v>
      </c>
      <c r="AH241" s="20">
        <v>82110</v>
      </c>
      <c r="AI241" s="20">
        <v>28127</v>
      </c>
      <c r="AJ241" s="20">
        <v>2813</v>
      </c>
      <c r="AK241" s="20">
        <v>30940</v>
      </c>
    </row>
    <row r="242" spans="1:37" ht="16.5" customHeight="1" x14ac:dyDescent="0.3">
      <c r="A242" s="18" t="s">
        <v>768</v>
      </c>
      <c r="B242" s="18" t="s">
        <v>107</v>
      </c>
      <c r="C242" s="19" t="s">
        <v>108</v>
      </c>
      <c r="D242" s="18" t="s">
        <v>986</v>
      </c>
      <c r="E242" s="19" t="s">
        <v>987</v>
      </c>
      <c r="F242" s="18" t="s">
        <v>110</v>
      </c>
      <c r="G242" s="18" t="s">
        <v>111</v>
      </c>
      <c r="H242" s="19" t="s">
        <v>112</v>
      </c>
      <c r="I242" s="18" t="s">
        <v>113</v>
      </c>
      <c r="J242" s="19" t="s">
        <v>114</v>
      </c>
      <c r="K242" s="19" t="s">
        <v>115</v>
      </c>
      <c r="L242" s="18" t="s">
        <v>116</v>
      </c>
      <c r="M242" s="18" t="s">
        <v>133</v>
      </c>
      <c r="N242" s="18" t="s">
        <v>118</v>
      </c>
      <c r="O242" s="20">
        <v>119000</v>
      </c>
      <c r="P242" s="20">
        <v>82110</v>
      </c>
      <c r="Q242" s="20">
        <v>1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31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119000</v>
      </c>
      <c r="AD242" s="20">
        <v>82110</v>
      </c>
      <c r="AE242" s="20">
        <v>0</v>
      </c>
      <c r="AF242" s="20">
        <v>0</v>
      </c>
      <c r="AG242" s="20">
        <v>119000</v>
      </c>
      <c r="AH242" s="20">
        <v>82110</v>
      </c>
      <c r="AI242" s="20">
        <v>33536</v>
      </c>
      <c r="AJ242" s="20">
        <v>3354</v>
      </c>
      <c r="AK242" s="20">
        <v>36890</v>
      </c>
    </row>
    <row r="243" spans="1:37" ht="16.5" customHeight="1" x14ac:dyDescent="0.3">
      <c r="A243" s="18" t="s">
        <v>771</v>
      </c>
      <c r="B243" s="18" t="s">
        <v>107</v>
      </c>
      <c r="C243" s="19" t="s">
        <v>108</v>
      </c>
      <c r="D243" s="18" t="s">
        <v>989</v>
      </c>
      <c r="E243" s="19" t="s">
        <v>990</v>
      </c>
      <c r="F243" s="18" t="s">
        <v>110</v>
      </c>
      <c r="G243" s="18" t="s">
        <v>111</v>
      </c>
      <c r="H243" s="19" t="s">
        <v>112</v>
      </c>
      <c r="I243" s="18" t="s">
        <v>113</v>
      </c>
      <c r="J243" s="19" t="s">
        <v>114</v>
      </c>
      <c r="K243" s="19" t="s">
        <v>115</v>
      </c>
      <c r="L243" s="18" t="s">
        <v>116</v>
      </c>
      <c r="M243" s="18" t="s">
        <v>133</v>
      </c>
      <c r="N243" s="18" t="s">
        <v>118</v>
      </c>
      <c r="O243" s="20">
        <v>119000</v>
      </c>
      <c r="P243" s="20">
        <v>82110</v>
      </c>
      <c r="Q243" s="20">
        <v>1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31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119000</v>
      </c>
      <c r="AD243" s="20">
        <v>82110</v>
      </c>
      <c r="AE243" s="20">
        <v>0</v>
      </c>
      <c r="AF243" s="20">
        <v>0</v>
      </c>
      <c r="AG243" s="20">
        <v>119000</v>
      </c>
      <c r="AH243" s="20">
        <v>82110</v>
      </c>
      <c r="AI243" s="20">
        <v>33536</v>
      </c>
      <c r="AJ243" s="20">
        <v>3354</v>
      </c>
      <c r="AK243" s="20">
        <v>36890</v>
      </c>
    </row>
    <row r="244" spans="1:37" ht="16.5" customHeight="1" x14ac:dyDescent="0.3">
      <c r="A244" s="18" t="s">
        <v>774</v>
      </c>
      <c r="B244" s="18" t="s">
        <v>107</v>
      </c>
      <c r="C244" s="19" t="s">
        <v>108</v>
      </c>
      <c r="D244" s="18" t="s">
        <v>462</v>
      </c>
      <c r="E244" s="19" t="s">
        <v>463</v>
      </c>
      <c r="F244" s="18" t="s">
        <v>110</v>
      </c>
      <c r="G244" s="18" t="s">
        <v>111</v>
      </c>
      <c r="H244" s="19" t="s">
        <v>112</v>
      </c>
      <c r="I244" s="18" t="s">
        <v>113</v>
      </c>
      <c r="J244" s="19" t="s">
        <v>114</v>
      </c>
      <c r="K244" s="19" t="s">
        <v>115</v>
      </c>
      <c r="L244" s="18" t="s">
        <v>116</v>
      </c>
      <c r="M244" s="18" t="s">
        <v>133</v>
      </c>
      <c r="N244" s="18" t="s">
        <v>118</v>
      </c>
      <c r="O244" s="20">
        <v>119000</v>
      </c>
      <c r="P244" s="20">
        <v>82110</v>
      </c>
      <c r="Q244" s="20">
        <v>1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31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119000</v>
      </c>
      <c r="AD244" s="20">
        <v>82110</v>
      </c>
      <c r="AE244" s="20">
        <v>0</v>
      </c>
      <c r="AF244" s="20">
        <v>0</v>
      </c>
      <c r="AG244" s="20">
        <v>119000</v>
      </c>
      <c r="AH244" s="20">
        <v>82110</v>
      </c>
      <c r="AI244" s="20">
        <v>33536</v>
      </c>
      <c r="AJ244" s="20">
        <v>3354</v>
      </c>
      <c r="AK244" s="20">
        <v>36890</v>
      </c>
    </row>
    <row r="245" spans="1:37" ht="16.5" customHeight="1" x14ac:dyDescent="0.3">
      <c r="A245" s="18" t="s">
        <v>776</v>
      </c>
      <c r="B245" s="18" t="s">
        <v>107</v>
      </c>
      <c r="C245" s="19" t="s">
        <v>108</v>
      </c>
      <c r="D245" s="18" t="s">
        <v>465</v>
      </c>
      <c r="E245" s="19" t="s">
        <v>243</v>
      </c>
      <c r="F245" s="18" t="s">
        <v>110</v>
      </c>
      <c r="G245" s="18" t="s">
        <v>111</v>
      </c>
      <c r="H245" s="19" t="s">
        <v>112</v>
      </c>
      <c r="I245" s="18" t="s">
        <v>113</v>
      </c>
      <c r="J245" s="19" t="s">
        <v>114</v>
      </c>
      <c r="K245" s="19" t="s">
        <v>115</v>
      </c>
      <c r="L245" s="18" t="s">
        <v>116</v>
      </c>
      <c r="M245" s="18" t="s">
        <v>133</v>
      </c>
      <c r="N245" s="18" t="s">
        <v>118</v>
      </c>
      <c r="O245" s="20">
        <v>119000</v>
      </c>
      <c r="P245" s="20">
        <v>82110</v>
      </c>
      <c r="Q245" s="20">
        <v>1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31</v>
      </c>
      <c r="X245" s="20">
        <v>0</v>
      </c>
      <c r="Y245" s="20">
        <v>6000</v>
      </c>
      <c r="Z245" s="20">
        <v>0</v>
      </c>
      <c r="AA245" s="20">
        <v>0</v>
      </c>
      <c r="AB245" s="20">
        <v>5650</v>
      </c>
      <c r="AC245" s="20">
        <v>119000</v>
      </c>
      <c r="AD245" s="20">
        <v>82110</v>
      </c>
      <c r="AE245" s="20">
        <v>0</v>
      </c>
      <c r="AF245" s="20">
        <v>11650</v>
      </c>
      <c r="AG245" s="20">
        <v>107350</v>
      </c>
      <c r="AH245" s="20">
        <v>82110</v>
      </c>
      <c r="AI245" s="20">
        <v>22945</v>
      </c>
      <c r="AJ245" s="20">
        <v>2295</v>
      </c>
      <c r="AK245" s="20">
        <v>25240</v>
      </c>
    </row>
    <row r="246" spans="1:37" ht="16.5" customHeight="1" x14ac:dyDescent="0.3">
      <c r="A246" s="18" t="s">
        <v>778</v>
      </c>
      <c r="B246" s="18" t="s">
        <v>107</v>
      </c>
      <c r="C246" s="19" t="s">
        <v>108</v>
      </c>
      <c r="D246" s="18" t="s">
        <v>467</v>
      </c>
      <c r="E246" s="19" t="s">
        <v>468</v>
      </c>
      <c r="F246" s="18" t="s">
        <v>110</v>
      </c>
      <c r="G246" s="18" t="s">
        <v>111</v>
      </c>
      <c r="H246" s="19" t="s">
        <v>112</v>
      </c>
      <c r="I246" s="18" t="s">
        <v>113</v>
      </c>
      <c r="J246" s="19" t="s">
        <v>114</v>
      </c>
      <c r="K246" s="19" t="s">
        <v>115</v>
      </c>
      <c r="L246" s="18" t="s">
        <v>116</v>
      </c>
      <c r="M246" s="18" t="s">
        <v>133</v>
      </c>
      <c r="N246" s="18" t="s">
        <v>118</v>
      </c>
      <c r="O246" s="20">
        <v>119000</v>
      </c>
      <c r="P246" s="20">
        <v>82110</v>
      </c>
      <c r="Q246" s="20">
        <v>2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31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238000</v>
      </c>
      <c r="AD246" s="20">
        <v>164220</v>
      </c>
      <c r="AE246" s="20">
        <v>0</v>
      </c>
      <c r="AF246" s="20">
        <v>0</v>
      </c>
      <c r="AG246" s="20">
        <v>238000</v>
      </c>
      <c r="AH246" s="20">
        <v>164220</v>
      </c>
      <c r="AI246" s="20">
        <v>67073</v>
      </c>
      <c r="AJ246" s="20">
        <v>6707</v>
      </c>
      <c r="AK246" s="20">
        <v>73780</v>
      </c>
    </row>
    <row r="247" spans="1:37" ht="16.5" customHeight="1" x14ac:dyDescent="0.3">
      <c r="A247" s="18" t="s">
        <v>781</v>
      </c>
      <c r="B247" s="18" t="s">
        <v>107</v>
      </c>
      <c r="C247" s="19" t="s">
        <v>108</v>
      </c>
      <c r="D247" s="18" t="s">
        <v>472</v>
      </c>
      <c r="E247" s="19" t="s">
        <v>473</v>
      </c>
      <c r="F247" s="18" t="s">
        <v>110</v>
      </c>
      <c r="G247" s="18" t="s">
        <v>111</v>
      </c>
      <c r="H247" s="19" t="s">
        <v>112</v>
      </c>
      <c r="I247" s="18" t="s">
        <v>113</v>
      </c>
      <c r="J247" s="19" t="s">
        <v>114</v>
      </c>
      <c r="K247" s="19" t="s">
        <v>115</v>
      </c>
      <c r="L247" s="18" t="s">
        <v>116</v>
      </c>
      <c r="M247" s="18" t="s">
        <v>133</v>
      </c>
      <c r="N247" s="18" t="s">
        <v>118</v>
      </c>
      <c r="O247" s="20">
        <v>119000</v>
      </c>
      <c r="P247" s="20">
        <v>82110</v>
      </c>
      <c r="Q247" s="20">
        <v>1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31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119000</v>
      </c>
      <c r="AD247" s="20">
        <v>82110</v>
      </c>
      <c r="AE247" s="20">
        <v>0</v>
      </c>
      <c r="AF247" s="20">
        <v>0</v>
      </c>
      <c r="AG247" s="20">
        <v>119000</v>
      </c>
      <c r="AH247" s="20">
        <v>82110</v>
      </c>
      <c r="AI247" s="20">
        <v>33536</v>
      </c>
      <c r="AJ247" s="20">
        <v>3354</v>
      </c>
      <c r="AK247" s="20">
        <v>36890</v>
      </c>
    </row>
    <row r="248" spans="1:37" ht="16.5" customHeight="1" x14ac:dyDescent="0.3">
      <c r="A248" s="18" t="s">
        <v>784</v>
      </c>
      <c r="B248" s="18" t="s">
        <v>107</v>
      </c>
      <c r="C248" s="19" t="s">
        <v>108</v>
      </c>
      <c r="D248" s="18" t="s">
        <v>478</v>
      </c>
      <c r="E248" s="19" t="s">
        <v>479</v>
      </c>
      <c r="F248" s="18" t="s">
        <v>110</v>
      </c>
      <c r="G248" s="18" t="s">
        <v>111</v>
      </c>
      <c r="H248" s="19" t="s">
        <v>112</v>
      </c>
      <c r="I248" s="18" t="s">
        <v>113</v>
      </c>
      <c r="J248" s="19" t="s">
        <v>114</v>
      </c>
      <c r="K248" s="19" t="s">
        <v>115</v>
      </c>
      <c r="L248" s="18" t="s">
        <v>116</v>
      </c>
      <c r="M248" s="18" t="s">
        <v>133</v>
      </c>
      <c r="N248" s="18" t="s">
        <v>118</v>
      </c>
      <c r="O248" s="20">
        <v>119000</v>
      </c>
      <c r="P248" s="20">
        <v>82110</v>
      </c>
      <c r="Q248" s="20">
        <v>1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31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119000</v>
      </c>
      <c r="AD248" s="20">
        <v>82110</v>
      </c>
      <c r="AE248" s="20">
        <v>0</v>
      </c>
      <c r="AF248" s="20">
        <v>0</v>
      </c>
      <c r="AG248" s="20">
        <v>119000</v>
      </c>
      <c r="AH248" s="20">
        <v>82110</v>
      </c>
      <c r="AI248" s="20">
        <v>33536</v>
      </c>
      <c r="AJ248" s="20">
        <v>3354</v>
      </c>
      <c r="AK248" s="20">
        <v>36890</v>
      </c>
    </row>
    <row r="249" spans="1:37" ht="16.5" customHeight="1" x14ac:dyDescent="0.3">
      <c r="A249" s="18" t="s">
        <v>787</v>
      </c>
      <c r="B249" s="18" t="s">
        <v>107</v>
      </c>
      <c r="C249" s="19" t="s">
        <v>108</v>
      </c>
      <c r="D249" s="18" t="s">
        <v>261</v>
      </c>
      <c r="E249" s="19" t="s">
        <v>262</v>
      </c>
      <c r="F249" s="18" t="s">
        <v>110</v>
      </c>
      <c r="G249" s="18" t="s">
        <v>111</v>
      </c>
      <c r="H249" s="19" t="s">
        <v>112</v>
      </c>
      <c r="I249" s="18" t="s">
        <v>113</v>
      </c>
      <c r="J249" s="19" t="s">
        <v>114</v>
      </c>
      <c r="K249" s="19" t="s">
        <v>115</v>
      </c>
      <c r="L249" s="18" t="s">
        <v>116</v>
      </c>
      <c r="M249" s="18" t="s">
        <v>133</v>
      </c>
      <c r="N249" s="18" t="s">
        <v>118</v>
      </c>
      <c r="O249" s="20">
        <v>119000</v>
      </c>
      <c r="P249" s="20">
        <v>82110</v>
      </c>
      <c r="Q249" s="20">
        <v>1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31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119000</v>
      </c>
      <c r="AD249" s="20">
        <v>82110</v>
      </c>
      <c r="AE249" s="20">
        <v>0</v>
      </c>
      <c r="AF249" s="20">
        <v>0</v>
      </c>
      <c r="AG249" s="20">
        <v>119000</v>
      </c>
      <c r="AH249" s="20">
        <v>82110</v>
      </c>
      <c r="AI249" s="20">
        <v>33536</v>
      </c>
      <c r="AJ249" s="20">
        <v>3354</v>
      </c>
      <c r="AK249" s="20">
        <v>36890</v>
      </c>
    </row>
    <row r="250" spans="1:37" ht="16.5" customHeight="1" x14ac:dyDescent="0.3">
      <c r="A250" s="18" t="s">
        <v>789</v>
      </c>
      <c r="B250" s="18" t="s">
        <v>107</v>
      </c>
      <c r="C250" s="19" t="s">
        <v>108</v>
      </c>
      <c r="D250" s="18" t="s">
        <v>490</v>
      </c>
      <c r="E250" s="19" t="s">
        <v>491</v>
      </c>
      <c r="F250" s="18" t="s">
        <v>110</v>
      </c>
      <c r="G250" s="18" t="s">
        <v>111</v>
      </c>
      <c r="H250" s="19" t="s">
        <v>112</v>
      </c>
      <c r="I250" s="18" t="s">
        <v>113</v>
      </c>
      <c r="J250" s="19" t="s">
        <v>114</v>
      </c>
      <c r="K250" s="19" t="s">
        <v>115</v>
      </c>
      <c r="L250" s="18" t="s">
        <v>116</v>
      </c>
      <c r="M250" s="18" t="s">
        <v>133</v>
      </c>
      <c r="N250" s="18" t="s">
        <v>118</v>
      </c>
      <c r="O250" s="20">
        <v>119000</v>
      </c>
      <c r="P250" s="20">
        <v>82110</v>
      </c>
      <c r="Q250" s="20">
        <v>1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31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119000</v>
      </c>
      <c r="AD250" s="20">
        <v>82110</v>
      </c>
      <c r="AE250" s="20">
        <v>0</v>
      </c>
      <c r="AF250" s="20">
        <v>0</v>
      </c>
      <c r="AG250" s="20">
        <v>119000</v>
      </c>
      <c r="AH250" s="20">
        <v>82110</v>
      </c>
      <c r="AI250" s="20">
        <v>33536</v>
      </c>
      <c r="AJ250" s="20">
        <v>3354</v>
      </c>
      <c r="AK250" s="20">
        <v>36890</v>
      </c>
    </row>
    <row r="251" spans="1:37" ht="16.5" customHeight="1" x14ac:dyDescent="0.3">
      <c r="A251" s="18" t="s">
        <v>790</v>
      </c>
      <c r="B251" s="18" t="s">
        <v>107</v>
      </c>
      <c r="C251" s="19" t="s">
        <v>108</v>
      </c>
      <c r="D251" s="18" t="s">
        <v>493</v>
      </c>
      <c r="E251" s="19" t="s">
        <v>119</v>
      </c>
      <c r="F251" s="18" t="s">
        <v>110</v>
      </c>
      <c r="G251" s="18" t="s">
        <v>111</v>
      </c>
      <c r="H251" s="19" t="s">
        <v>112</v>
      </c>
      <c r="I251" s="18" t="s">
        <v>113</v>
      </c>
      <c r="J251" s="19" t="s">
        <v>114</v>
      </c>
      <c r="K251" s="19" t="s">
        <v>115</v>
      </c>
      <c r="L251" s="18" t="s">
        <v>116</v>
      </c>
      <c r="M251" s="18" t="s">
        <v>133</v>
      </c>
      <c r="N251" s="18" t="s">
        <v>118</v>
      </c>
      <c r="O251" s="20">
        <v>119000</v>
      </c>
      <c r="P251" s="20">
        <v>82110</v>
      </c>
      <c r="Q251" s="20">
        <v>1</v>
      </c>
      <c r="R251" s="20">
        <v>0</v>
      </c>
      <c r="S251" s="20">
        <v>0</v>
      </c>
      <c r="T251" s="20">
        <v>0</v>
      </c>
      <c r="U251" s="20">
        <v>0</v>
      </c>
      <c r="V251" s="20">
        <v>0</v>
      </c>
      <c r="W251" s="20">
        <v>31</v>
      </c>
      <c r="X251" s="20">
        <v>17850</v>
      </c>
      <c r="Y251" s="20">
        <v>0</v>
      </c>
      <c r="Z251" s="20">
        <v>0</v>
      </c>
      <c r="AA251" s="20">
        <v>0</v>
      </c>
      <c r="AB251" s="20">
        <v>0</v>
      </c>
      <c r="AC251" s="20">
        <v>119000</v>
      </c>
      <c r="AD251" s="20">
        <v>82110</v>
      </c>
      <c r="AE251" s="20">
        <v>0</v>
      </c>
      <c r="AF251" s="20">
        <v>17850</v>
      </c>
      <c r="AG251" s="20">
        <v>101150</v>
      </c>
      <c r="AH251" s="20">
        <v>82110</v>
      </c>
      <c r="AI251" s="20">
        <v>17309</v>
      </c>
      <c r="AJ251" s="20">
        <v>1731</v>
      </c>
      <c r="AK251" s="20">
        <v>19040</v>
      </c>
    </row>
    <row r="252" spans="1:37" ht="16.5" customHeight="1" x14ac:dyDescent="0.3">
      <c r="A252" s="18" t="s">
        <v>792</v>
      </c>
      <c r="B252" s="18" t="s">
        <v>107</v>
      </c>
      <c r="C252" s="19" t="s">
        <v>108</v>
      </c>
      <c r="D252" s="18" t="s">
        <v>495</v>
      </c>
      <c r="E252" s="19" t="s">
        <v>496</v>
      </c>
      <c r="F252" s="18" t="s">
        <v>110</v>
      </c>
      <c r="G252" s="18" t="s">
        <v>111</v>
      </c>
      <c r="H252" s="19" t="s">
        <v>112</v>
      </c>
      <c r="I252" s="18" t="s">
        <v>113</v>
      </c>
      <c r="J252" s="19" t="s">
        <v>114</v>
      </c>
      <c r="K252" s="19" t="s">
        <v>151</v>
      </c>
      <c r="L252" s="18" t="s">
        <v>116</v>
      </c>
      <c r="M252" s="18" t="s">
        <v>133</v>
      </c>
      <c r="N252" s="18" t="s">
        <v>118</v>
      </c>
      <c r="O252" s="20">
        <v>119000</v>
      </c>
      <c r="P252" s="20">
        <v>82110</v>
      </c>
      <c r="Q252" s="20">
        <v>1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31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119000</v>
      </c>
      <c r="AD252" s="20">
        <v>82110</v>
      </c>
      <c r="AE252" s="20">
        <v>0</v>
      </c>
      <c r="AF252" s="20">
        <v>0</v>
      </c>
      <c r="AG252" s="20">
        <v>119000</v>
      </c>
      <c r="AH252" s="20">
        <v>82110</v>
      </c>
      <c r="AI252" s="20">
        <v>33536</v>
      </c>
      <c r="AJ252" s="20">
        <v>3354</v>
      </c>
      <c r="AK252" s="20">
        <v>36890</v>
      </c>
    </row>
    <row r="253" spans="1:37" ht="16.5" customHeight="1" x14ac:dyDescent="0.3">
      <c r="A253" s="18" t="s">
        <v>793</v>
      </c>
      <c r="B253" s="18" t="s">
        <v>107</v>
      </c>
      <c r="C253" s="19" t="s">
        <v>108</v>
      </c>
      <c r="D253" s="18" t="s">
        <v>498</v>
      </c>
      <c r="E253" s="19" t="s">
        <v>499</v>
      </c>
      <c r="F253" s="18" t="s">
        <v>110</v>
      </c>
      <c r="G253" s="18" t="s">
        <v>111</v>
      </c>
      <c r="H253" s="19" t="s">
        <v>112</v>
      </c>
      <c r="I253" s="18" t="s">
        <v>113</v>
      </c>
      <c r="J253" s="19" t="s">
        <v>114</v>
      </c>
      <c r="K253" s="19" t="s">
        <v>115</v>
      </c>
      <c r="L253" s="18" t="s">
        <v>116</v>
      </c>
      <c r="M253" s="18" t="s">
        <v>133</v>
      </c>
      <c r="N253" s="18" t="s">
        <v>118</v>
      </c>
      <c r="O253" s="20">
        <v>119000</v>
      </c>
      <c r="P253" s="20">
        <v>82110</v>
      </c>
      <c r="Q253" s="20">
        <v>1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>
        <v>31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119000</v>
      </c>
      <c r="AD253" s="20">
        <v>82110</v>
      </c>
      <c r="AE253" s="20">
        <v>0</v>
      </c>
      <c r="AF253" s="20">
        <v>0</v>
      </c>
      <c r="AG253" s="20">
        <v>119000</v>
      </c>
      <c r="AH253" s="20">
        <v>82110</v>
      </c>
      <c r="AI253" s="20">
        <v>33536</v>
      </c>
      <c r="AJ253" s="20">
        <v>3354</v>
      </c>
      <c r="AK253" s="20">
        <v>36890</v>
      </c>
    </row>
    <row r="254" spans="1:37" ht="16.5" customHeight="1" x14ac:dyDescent="0.3">
      <c r="A254" s="18" t="s">
        <v>795</v>
      </c>
      <c r="B254" s="18" t="s">
        <v>107</v>
      </c>
      <c r="C254" s="19" t="s">
        <v>108</v>
      </c>
      <c r="D254" s="18" t="s">
        <v>501</v>
      </c>
      <c r="E254" s="19" t="s">
        <v>502</v>
      </c>
      <c r="F254" s="18" t="s">
        <v>110</v>
      </c>
      <c r="G254" s="18" t="s">
        <v>111</v>
      </c>
      <c r="H254" s="19" t="s">
        <v>112</v>
      </c>
      <c r="I254" s="18" t="s">
        <v>113</v>
      </c>
      <c r="J254" s="19" t="s">
        <v>114</v>
      </c>
      <c r="K254" s="19" t="s">
        <v>115</v>
      </c>
      <c r="L254" s="18" t="s">
        <v>116</v>
      </c>
      <c r="M254" s="18" t="s">
        <v>133</v>
      </c>
      <c r="N254" s="18" t="s">
        <v>118</v>
      </c>
      <c r="O254" s="20">
        <v>119000</v>
      </c>
      <c r="P254" s="20">
        <v>82110</v>
      </c>
      <c r="Q254" s="20">
        <v>1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>
        <v>31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119000</v>
      </c>
      <c r="AD254" s="20">
        <v>82110</v>
      </c>
      <c r="AE254" s="20">
        <v>0</v>
      </c>
      <c r="AF254" s="20">
        <v>0</v>
      </c>
      <c r="AG254" s="20">
        <v>119000</v>
      </c>
      <c r="AH254" s="20">
        <v>82110</v>
      </c>
      <c r="AI254" s="20">
        <v>33536</v>
      </c>
      <c r="AJ254" s="20">
        <v>3354</v>
      </c>
      <c r="AK254" s="20">
        <v>36890</v>
      </c>
    </row>
    <row r="255" spans="1:37" ht="16.5" customHeight="1" x14ac:dyDescent="0.3">
      <c r="A255" s="18" t="s">
        <v>796</v>
      </c>
      <c r="B255" s="18" t="s">
        <v>107</v>
      </c>
      <c r="C255" s="19" t="s">
        <v>108</v>
      </c>
      <c r="D255" s="18" t="s">
        <v>279</v>
      </c>
      <c r="E255" s="19" t="s">
        <v>280</v>
      </c>
      <c r="F255" s="18" t="s">
        <v>110</v>
      </c>
      <c r="G255" s="18" t="s">
        <v>111</v>
      </c>
      <c r="H255" s="19" t="s">
        <v>112</v>
      </c>
      <c r="I255" s="18" t="s">
        <v>113</v>
      </c>
      <c r="J255" s="19" t="s">
        <v>114</v>
      </c>
      <c r="K255" s="19" t="s">
        <v>115</v>
      </c>
      <c r="L255" s="18" t="s">
        <v>116</v>
      </c>
      <c r="M255" s="18" t="s">
        <v>133</v>
      </c>
      <c r="N255" s="18" t="s">
        <v>118</v>
      </c>
      <c r="O255" s="20">
        <v>119000</v>
      </c>
      <c r="P255" s="20">
        <v>82110</v>
      </c>
      <c r="Q255" s="20">
        <v>1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31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119000</v>
      </c>
      <c r="AD255" s="20">
        <v>82110</v>
      </c>
      <c r="AE255" s="20">
        <v>0</v>
      </c>
      <c r="AF255" s="20">
        <v>0</v>
      </c>
      <c r="AG255" s="20">
        <v>119000</v>
      </c>
      <c r="AH255" s="20">
        <v>82110</v>
      </c>
      <c r="AI255" s="20">
        <v>33536</v>
      </c>
      <c r="AJ255" s="20">
        <v>3354</v>
      </c>
      <c r="AK255" s="20">
        <v>36890</v>
      </c>
    </row>
    <row r="256" spans="1:37" ht="16.5" customHeight="1" x14ac:dyDescent="0.3">
      <c r="A256" s="18" t="s">
        <v>798</v>
      </c>
      <c r="B256" s="18" t="s">
        <v>107</v>
      </c>
      <c r="C256" s="19" t="s">
        <v>108</v>
      </c>
      <c r="D256" s="18" t="s">
        <v>507</v>
      </c>
      <c r="E256" s="19" t="s">
        <v>508</v>
      </c>
      <c r="F256" s="18" t="s">
        <v>110</v>
      </c>
      <c r="G256" s="18" t="s">
        <v>111</v>
      </c>
      <c r="H256" s="19" t="s">
        <v>112</v>
      </c>
      <c r="I256" s="18" t="s">
        <v>113</v>
      </c>
      <c r="J256" s="19" t="s">
        <v>114</v>
      </c>
      <c r="K256" s="19" t="s">
        <v>151</v>
      </c>
      <c r="L256" s="18" t="s">
        <v>116</v>
      </c>
      <c r="M256" s="18" t="s">
        <v>133</v>
      </c>
      <c r="N256" s="18" t="s">
        <v>118</v>
      </c>
      <c r="O256" s="20">
        <v>119000</v>
      </c>
      <c r="P256" s="20">
        <v>82110</v>
      </c>
      <c r="Q256" s="20">
        <v>1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31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119000</v>
      </c>
      <c r="AD256" s="20">
        <v>82110</v>
      </c>
      <c r="AE256" s="20">
        <v>0</v>
      </c>
      <c r="AF256" s="20">
        <v>0</v>
      </c>
      <c r="AG256" s="20">
        <v>119000</v>
      </c>
      <c r="AH256" s="20">
        <v>82110</v>
      </c>
      <c r="AI256" s="20">
        <v>33536</v>
      </c>
      <c r="AJ256" s="20">
        <v>3354</v>
      </c>
      <c r="AK256" s="20">
        <v>36890</v>
      </c>
    </row>
    <row r="257" spans="1:37" ht="16.5" customHeight="1" x14ac:dyDescent="0.3">
      <c r="A257" s="18" t="s">
        <v>801</v>
      </c>
      <c r="B257" s="18" t="s">
        <v>107</v>
      </c>
      <c r="C257" s="19" t="s">
        <v>108</v>
      </c>
      <c r="D257" s="18" t="s">
        <v>510</v>
      </c>
      <c r="E257" s="19" t="s">
        <v>511</v>
      </c>
      <c r="F257" s="18" t="s">
        <v>110</v>
      </c>
      <c r="G257" s="18" t="s">
        <v>111</v>
      </c>
      <c r="H257" s="19" t="s">
        <v>112</v>
      </c>
      <c r="I257" s="18" t="s">
        <v>113</v>
      </c>
      <c r="J257" s="19" t="s">
        <v>114</v>
      </c>
      <c r="K257" s="19" t="s">
        <v>115</v>
      </c>
      <c r="L257" s="18" t="s">
        <v>116</v>
      </c>
      <c r="M257" s="18" t="s">
        <v>133</v>
      </c>
      <c r="N257" s="18" t="s">
        <v>118</v>
      </c>
      <c r="O257" s="20">
        <v>119000</v>
      </c>
      <c r="P257" s="20">
        <v>82110</v>
      </c>
      <c r="Q257" s="20">
        <v>1</v>
      </c>
      <c r="R257" s="20">
        <v>0</v>
      </c>
      <c r="S257" s="20">
        <v>0</v>
      </c>
      <c r="T257" s="20">
        <v>0</v>
      </c>
      <c r="U257" s="20">
        <v>0</v>
      </c>
      <c r="V257" s="20">
        <v>0</v>
      </c>
      <c r="W257" s="20">
        <v>31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20">
        <v>119000</v>
      </c>
      <c r="AD257" s="20">
        <v>82110</v>
      </c>
      <c r="AE257" s="20">
        <v>0</v>
      </c>
      <c r="AF257" s="20">
        <v>0</v>
      </c>
      <c r="AG257" s="20">
        <v>119000</v>
      </c>
      <c r="AH257" s="20">
        <v>82110</v>
      </c>
      <c r="AI257" s="20">
        <v>33536</v>
      </c>
      <c r="AJ257" s="20">
        <v>3354</v>
      </c>
      <c r="AK257" s="20">
        <v>36890</v>
      </c>
    </row>
    <row r="258" spans="1:37" ht="16.5" customHeight="1" x14ac:dyDescent="0.3">
      <c r="A258" s="18" t="s">
        <v>804</v>
      </c>
      <c r="B258" s="18" t="s">
        <v>107</v>
      </c>
      <c r="C258" s="19" t="s">
        <v>108</v>
      </c>
      <c r="D258" s="18" t="s">
        <v>513</v>
      </c>
      <c r="E258" s="19" t="s">
        <v>514</v>
      </c>
      <c r="F258" s="18" t="s">
        <v>110</v>
      </c>
      <c r="G258" s="18" t="s">
        <v>111</v>
      </c>
      <c r="H258" s="19" t="s">
        <v>112</v>
      </c>
      <c r="I258" s="18" t="s">
        <v>113</v>
      </c>
      <c r="J258" s="19" t="s">
        <v>114</v>
      </c>
      <c r="K258" s="19" t="s">
        <v>115</v>
      </c>
      <c r="L258" s="18" t="s">
        <v>116</v>
      </c>
      <c r="M258" s="18" t="s">
        <v>133</v>
      </c>
      <c r="N258" s="18" t="s">
        <v>118</v>
      </c>
      <c r="O258" s="20">
        <v>119000</v>
      </c>
      <c r="P258" s="20">
        <v>82110</v>
      </c>
      <c r="Q258" s="20">
        <v>1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31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119000</v>
      </c>
      <c r="AD258" s="20">
        <v>82110</v>
      </c>
      <c r="AE258" s="20">
        <v>0</v>
      </c>
      <c r="AF258" s="20">
        <v>0</v>
      </c>
      <c r="AG258" s="20">
        <v>119000</v>
      </c>
      <c r="AH258" s="20">
        <v>82110</v>
      </c>
      <c r="AI258" s="20">
        <v>33536</v>
      </c>
      <c r="AJ258" s="20">
        <v>3354</v>
      </c>
      <c r="AK258" s="20">
        <v>36890</v>
      </c>
    </row>
    <row r="259" spans="1:37" ht="16.5" customHeight="1" x14ac:dyDescent="0.3">
      <c r="A259" s="18" t="s">
        <v>806</v>
      </c>
      <c r="B259" s="18" t="s">
        <v>107</v>
      </c>
      <c r="C259" s="19" t="s">
        <v>108</v>
      </c>
      <c r="D259" s="18" t="s">
        <v>516</v>
      </c>
      <c r="E259" s="19" t="s">
        <v>517</v>
      </c>
      <c r="F259" s="18" t="s">
        <v>110</v>
      </c>
      <c r="G259" s="18" t="s">
        <v>111</v>
      </c>
      <c r="H259" s="19" t="s">
        <v>112</v>
      </c>
      <c r="I259" s="18" t="s">
        <v>113</v>
      </c>
      <c r="J259" s="19" t="s">
        <v>114</v>
      </c>
      <c r="K259" s="19" t="s">
        <v>115</v>
      </c>
      <c r="L259" s="18" t="s">
        <v>116</v>
      </c>
      <c r="M259" s="18" t="s">
        <v>133</v>
      </c>
      <c r="N259" s="18" t="s">
        <v>118</v>
      </c>
      <c r="O259" s="20">
        <v>119000</v>
      </c>
      <c r="P259" s="20">
        <v>82110</v>
      </c>
      <c r="Q259" s="20">
        <v>1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31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119000</v>
      </c>
      <c r="AD259" s="20">
        <v>82110</v>
      </c>
      <c r="AE259" s="20">
        <v>0</v>
      </c>
      <c r="AF259" s="20">
        <v>0</v>
      </c>
      <c r="AG259" s="20">
        <v>119000</v>
      </c>
      <c r="AH259" s="20">
        <v>82110</v>
      </c>
      <c r="AI259" s="20">
        <v>33536</v>
      </c>
      <c r="AJ259" s="20">
        <v>3354</v>
      </c>
      <c r="AK259" s="20">
        <v>36890</v>
      </c>
    </row>
    <row r="260" spans="1:37" ht="16.5" customHeight="1" x14ac:dyDescent="0.3">
      <c r="A260" s="18" t="s">
        <v>809</v>
      </c>
      <c r="B260" s="18" t="s">
        <v>107</v>
      </c>
      <c r="C260" s="19" t="s">
        <v>108</v>
      </c>
      <c r="D260" s="18" t="s">
        <v>524</v>
      </c>
      <c r="E260" s="19" t="s">
        <v>401</v>
      </c>
      <c r="F260" s="18" t="s">
        <v>110</v>
      </c>
      <c r="G260" s="18" t="s">
        <v>111</v>
      </c>
      <c r="H260" s="19" t="s">
        <v>112</v>
      </c>
      <c r="I260" s="18" t="s">
        <v>113</v>
      </c>
      <c r="J260" s="19" t="s">
        <v>114</v>
      </c>
      <c r="K260" s="19" t="s">
        <v>115</v>
      </c>
      <c r="L260" s="18" t="s">
        <v>116</v>
      </c>
      <c r="M260" s="18" t="s">
        <v>133</v>
      </c>
      <c r="N260" s="18" t="s">
        <v>118</v>
      </c>
      <c r="O260" s="20">
        <v>119000</v>
      </c>
      <c r="P260" s="20">
        <v>82110</v>
      </c>
      <c r="Q260" s="20">
        <v>1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31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20">
        <v>119000</v>
      </c>
      <c r="AD260" s="20">
        <v>82110</v>
      </c>
      <c r="AE260" s="20">
        <v>0</v>
      </c>
      <c r="AF260" s="20">
        <v>0</v>
      </c>
      <c r="AG260" s="20">
        <v>119000</v>
      </c>
      <c r="AH260" s="20">
        <v>82110</v>
      </c>
      <c r="AI260" s="20">
        <v>33536</v>
      </c>
      <c r="AJ260" s="20">
        <v>3354</v>
      </c>
      <c r="AK260" s="20">
        <v>36890</v>
      </c>
    </row>
    <row r="261" spans="1:37" ht="16.5" customHeight="1" x14ac:dyDescent="0.3">
      <c r="A261" s="18" t="s">
        <v>812</v>
      </c>
      <c r="B261" s="18" t="s">
        <v>107</v>
      </c>
      <c r="C261" s="19" t="s">
        <v>108</v>
      </c>
      <c r="D261" s="18" t="s">
        <v>529</v>
      </c>
      <c r="E261" s="19" t="s">
        <v>289</v>
      </c>
      <c r="F261" s="18" t="s">
        <v>110</v>
      </c>
      <c r="G261" s="18" t="s">
        <v>111</v>
      </c>
      <c r="H261" s="19" t="s">
        <v>112</v>
      </c>
      <c r="I261" s="18" t="s">
        <v>113</v>
      </c>
      <c r="J261" s="19" t="s">
        <v>114</v>
      </c>
      <c r="K261" s="19" t="s">
        <v>115</v>
      </c>
      <c r="L261" s="18" t="s">
        <v>116</v>
      </c>
      <c r="M261" s="18" t="s">
        <v>133</v>
      </c>
      <c r="N261" s="18" t="s">
        <v>118</v>
      </c>
      <c r="O261" s="20">
        <v>119000</v>
      </c>
      <c r="P261" s="20">
        <v>82110</v>
      </c>
      <c r="Q261" s="20">
        <v>1</v>
      </c>
      <c r="R261" s="20">
        <v>0</v>
      </c>
      <c r="S261" s="20">
        <v>0</v>
      </c>
      <c r="T261" s="20">
        <v>0</v>
      </c>
      <c r="U261" s="20">
        <v>0</v>
      </c>
      <c r="V261" s="20">
        <v>0</v>
      </c>
      <c r="W261" s="20">
        <v>31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20">
        <v>119000</v>
      </c>
      <c r="AD261" s="20">
        <v>82110</v>
      </c>
      <c r="AE261" s="20">
        <v>0</v>
      </c>
      <c r="AF261" s="20">
        <v>0</v>
      </c>
      <c r="AG261" s="20">
        <v>119000</v>
      </c>
      <c r="AH261" s="20">
        <v>82110</v>
      </c>
      <c r="AI261" s="20">
        <v>33536</v>
      </c>
      <c r="AJ261" s="20">
        <v>3354</v>
      </c>
      <c r="AK261" s="20">
        <v>36890</v>
      </c>
    </row>
    <row r="262" spans="1:37" ht="16.5" customHeight="1" x14ac:dyDescent="0.3">
      <c r="A262" s="18" t="s">
        <v>814</v>
      </c>
      <c r="B262" s="18" t="s">
        <v>107</v>
      </c>
      <c r="C262" s="19" t="s">
        <v>108</v>
      </c>
      <c r="D262" s="18" t="s">
        <v>291</v>
      </c>
      <c r="E262" s="19" t="s">
        <v>292</v>
      </c>
      <c r="F262" s="18" t="s">
        <v>110</v>
      </c>
      <c r="G262" s="18" t="s">
        <v>111</v>
      </c>
      <c r="H262" s="19" t="s">
        <v>112</v>
      </c>
      <c r="I262" s="18" t="s">
        <v>113</v>
      </c>
      <c r="J262" s="19" t="s">
        <v>114</v>
      </c>
      <c r="K262" s="19" t="s">
        <v>115</v>
      </c>
      <c r="L262" s="18" t="s">
        <v>116</v>
      </c>
      <c r="M262" s="18" t="s">
        <v>133</v>
      </c>
      <c r="N262" s="18" t="s">
        <v>118</v>
      </c>
      <c r="O262" s="20">
        <v>119000</v>
      </c>
      <c r="P262" s="20">
        <v>82110</v>
      </c>
      <c r="Q262" s="20">
        <v>1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31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119000</v>
      </c>
      <c r="AD262" s="20">
        <v>82110</v>
      </c>
      <c r="AE262" s="20">
        <v>0</v>
      </c>
      <c r="AF262" s="20">
        <v>0</v>
      </c>
      <c r="AG262" s="20">
        <v>119000</v>
      </c>
      <c r="AH262" s="20">
        <v>82110</v>
      </c>
      <c r="AI262" s="20">
        <v>33536</v>
      </c>
      <c r="AJ262" s="20">
        <v>3354</v>
      </c>
      <c r="AK262" s="20">
        <v>36890</v>
      </c>
    </row>
    <row r="263" spans="1:37" ht="16.5" customHeight="1" x14ac:dyDescent="0.3">
      <c r="A263" s="18" t="s">
        <v>817</v>
      </c>
      <c r="B263" s="18" t="s">
        <v>107</v>
      </c>
      <c r="C263" s="19" t="s">
        <v>108</v>
      </c>
      <c r="D263" s="18" t="s">
        <v>531</v>
      </c>
      <c r="E263" s="19" t="s">
        <v>532</v>
      </c>
      <c r="F263" s="18" t="s">
        <v>110</v>
      </c>
      <c r="G263" s="18" t="s">
        <v>111</v>
      </c>
      <c r="H263" s="19" t="s">
        <v>112</v>
      </c>
      <c r="I263" s="18" t="s">
        <v>113</v>
      </c>
      <c r="J263" s="19" t="s">
        <v>114</v>
      </c>
      <c r="K263" s="19" t="s">
        <v>115</v>
      </c>
      <c r="L263" s="18" t="s">
        <v>116</v>
      </c>
      <c r="M263" s="18" t="s">
        <v>133</v>
      </c>
      <c r="N263" s="18" t="s">
        <v>118</v>
      </c>
      <c r="O263" s="20">
        <v>119000</v>
      </c>
      <c r="P263" s="20">
        <v>82110</v>
      </c>
      <c r="Q263" s="20">
        <v>1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31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20">
        <v>119000</v>
      </c>
      <c r="AD263" s="20">
        <v>82110</v>
      </c>
      <c r="AE263" s="20">
        <v>0</v>
      </c>
      <c r="AF263" s="20">
        <v>0</v>
      </c>
      <c r="AG263" s="20">
        <v>119000</v>
      </c>
      <c r="AH263" s="20">
        <v>82110</v>
      </c>
      <c r="AI263" s="20">
        <v>33536</v>
      </c>
      <c r="AJ263" s="20">
        <v>3354</v>
      </c>
      <c r="AK263" s="20">
        <v>36890</v>
      </c>
    </row>
    <row r="264" spans="1:37" ht="16.5" customHeight="1" x14ac:dyDescent="0.3">
      <c r="A264" s="18" t="s">
        <v>819</v>
      </c>
      <c r="B264" s="18" t="s">
        <v>107</v>
      </c>
      <c r="C264" s="19" t="s">
        <v>108</v>
      </c>
      <c r="D264" s="18" t="s">
        <v>534</v>
      </c>
      <c r="E264" s="19" t="s">
        <v>535</v>
      </c>
      <c r="F264" s="18" t="s">
        <v>110</v>
      </c>
      <c r="G264" s="18" t="s">
        <v>111</v>
      </c>
      <c r="H264" s="19" t="s">
        <v>112</v>
      </c>
      <c r="I264" s="18" t="s">
        <v>113</v>
      </c>
      <c r="J264" s="19" t="s">
        <v>114</v>
      </c>
      <c r="K264" s="19" t="s">
        <v>115</v>
      </c>
      <c r="L264" s="18" t="s">
        <v>116</v>
      </c>
      <c r="M264" s="18" t="s">
        <v>133</v>
      </c>
      <c r="N264" s="18" t="s">
        <v>118</v>
      </c>
      <c r="O264" s="20">
        <v>119000</v>
      </c>
      <c r="P264" s="20">
        <v>82110</v>
      </c>
      <c r="Q264" s="20">
        <v>1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31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119000</v>
      </c>
      <c r="AD264" s="20">
        <v>82110</v>
      </c>
      <c r="AE264" s="20">
        <v>0</v>
      </c>
      <c r="AF264" s="20">
        <v>0</v>
      </c>
      <c r="AG264" s="20">
        <v>119000</v>
      </c>
      <c r="AH264" s="20">
        <v>82110</v>
      </c>
      <c r="AI264" s="20">
        <v>33536</v>
      </c>
      <c r="AJ264" s="20">
        <v>3354</v>
      </c>
      <c r="AK264" s="20">
        <v>36890</v>
      </c>
    </row>
    <row r="265" spans="1:37" ht="16.5" customHeight="1" x14ac:dyDescent="0.3">
      <c r="A265" s="18" t="s">
        <v>821</v>
      </c>
      <c r="B265" s="18" t="s">
        <v>107</v>
      </c>
      <c r="C265" s="19" t="s">
        <v>108</v>
      </c>
      <c r="D265" s="18" t="s">
        <v>537</v>
      </c>
      <c r="E265" s="19" t="s">
        <v>538</v>
      </c>
      <c r="F265" s="18" t="s">
        <v>110</v>
      </c>
      <c r="G265" s="18" t="s">
        <v>111</v>
      </c>
      <c r="H265" s="19" t="s">
        <v>112</v>
      </c>
      <c r="I265" s="18" t="s">
        <v>113</v>
      </c>
      <c r="J265" s="19" t="s">
        <v>114</v>
      </c>
      <c r="K265" s="19" t="s">
        <v>115</v>
      </c>
      <c r="L265" s="18" t="s">
        <v>116</v>
      </c>
      <c r="M265" s="18" t="s">
        <v>133</v>
      </c>
      <c r="N265" s="18" t="s">
        <v>118</v>
      </c>
      <c r="O265" s="20">
        <v>119000</v>
      </c>
      <c r="P265" s="20">
        <v>82110</v>
      </c>
      <c r="Q265" s="20">
        <v>1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31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119000</v>
      </c>
      <c r="AD265" s="20">
        <v>82110</v>
      </c>
      <c r="AE265" s="20">
        <v>0</v>
      </c>
      <c r="AF265" s="20">
        <v>0</v>
      </c>
      <c r="AG265" s="20">
        <v>119000</v>
      </c>
      <c r="AH265" s="20">
        <v>82110</v>
      </c>
      <c r="AI265" s="20">
        <v>33536</v>
      </c>
      <c r="AJ265" s="20">
        <v>3354</v>
      </c>
      <c r="AK265" s="20">
        <v>36890</v>
      </c>
    </row>
    <row r="266" spans="1:37" ht="16.5" customHeight="1" x14ac:dyDescent="0.3">
      <c r="A266" s="18" t="s">
        <v>824</v>
      </c>
      <c r="B266" s="18" t="s">
        <v>107</v>
      </c>
      <c r="C266" s="19" t="s">
        <v>108</v>
      </c>
      <c r="D266" s="18" t="s">
        <v>540</v>
      </c>
      <c r="E266" s="19" t="s">
        <v>541</v>
      </c>
      <c r="F266" s="18" t="s">
        <v>110</v>
      </c>
      <c r="G266" s="18" t="s">
        <v>111</v>
      </c>
      <c r="H266" s="19" t="s">
        <v>112</v>
      </c>
      <c r="I266" s="18" t="s">
        <v>113</v>
      </c>
      <c r="J266" s="19" t="s">
        <v>114</v>
      </c>
      <c r="K266" s="19" t="s">
        <v>115</v>
      </c>
      <c r="L266" s="18" t="s">
        <v>116</v>
      </c>
      <c r="M266" s="18" t="s">
        <v>133</v>
      </c>
      <c r="N266" s="18" t="s">
        <v>118</v>
      </c>
      <c r="O266" s="20">
        <v>119000</v>
      </c>
      <c r="P266" s="20">
        <v>82110</v>
      </c>
      <c r="Q266" s="20">
        <v>1</v>
      </c>
      <c r="R266" s="20">
        <v>0</v>
      </c>
      <c r="S266" s="20">
        <v>0</v>
      </c>
      <c r="T266" s="20">
        <v>0</v>
      </c>
      <c r="U266" s="20">
        <v>0</v>
      </c>
      <c r="V266" s="20">
        <v>0</v>
      </c>
      <c r="W266" s="20">
        <v>31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20">
        <v>119000</v>
      </c>
      <c r="AD266" s="20">
        <v>82110</v>
      </c>
      <c r="AE266" s="20">
        <v>0</v>
      </c>
      <c r="AF266" s="20">
        <v>0</v>
      </c>
      <c r="AG266" s="20">
        <v>119000</v>
      </c>
      <c r="AH266" s="20">
        <v>82110</v>
      </c>
      <c r="AI266" s="20">
        <v>33536</v>
      </c>
      <c r="AJ266" s="20">
        <v>3354</v>
      </c>
      <c r="AK266" s="20">
        <v>36890</v>
      </c>
    </row>
    <row r="267" spans="1:37" ht="16.5" customHeight="1" x14ac:dyDescent="0.3">
      <c r="A267" s="18" t="s">
        <v>826</v>
      </c>
      <c r="B267" s="18" t="s">
        <v>107</v>
      </c>
      <c r="C267" s="19" t="s">
        <v>108</v>
      </c>
      <c r="D267" s="18" t="s">
        <v>296</v>
      </c>
      <c r="E267" s="19" t="s">
        <v>297</v>
      </c>
      <c r="F267" s="18" t="s">
        <v>110</v>
      </c>
      <c r="G267" s="18" t="s">
        <v>111</v>
      </c>
      <c r="H267" s="19" t="s">
        <v>112</v>
      </c>
      <c r="I267" s="18" t="s">
        <v>113</v>
      </c>
      <c r="J267" s="19" t="s">
        <v>114</v>
      </c>
      <c r="K267" s="19" t="s">
        <v>115</v>
      </c>
      <c r="L267" s="18" t="s">
        <v>116</v>
      </c>
      <c r="M267" s="18" t="s">
        <v>133</v>
      </c>
      <c r="N267" s="18" t="s">
        <v>118</v>
      </c>
      <c r="O267" s="20">
        <v>119000</v>
      </c>
      <c r="P267" s="20">
        <v>82110</v>
      </c>
      <c r="Q267" s="20">
        <v>1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31</v>
      </c>
      <c r="X267" s="20">
        <v>0</v>
      </c>
      <c r="Y267" s="20">
        <v>10000</v>
      </c>
      <c r="Z267" s="20">
        <v>0</v>
      </c>
      <c r="AA267" s="20">
        <v>0</v>
      </c>
      <c r="AB267" s="20">
        <v>0</v>
      </c>
      <c r="AC267" s="20">
        <v>119000</v>
      </c>
      <c r="AD267" s="20">
        <v>82110</v>
      </c>
      <c r="AE267" s="20">
        <v>0</v>
      </c>
      <c r="AF267" s="20">
        <v>10000</v>
      </c>
      <c r="AG267" s="20">
        <v>109000</v>
      </c>
      <c r="AH267" s="20">
        <v>82110</v>
      </c>
      <c r="AI267" s="20">
        <v>24445</v>
      </c>
      <c r="AJ267" s="20">
        <v>2445</v>
      </c>
      <c r="AK267" s="20">
        <v>26890</v>
      </c>
    </row>
    <row r="268" spans="1:37" ht="16.5" customHeight="1" x14ac:dyDescent="0.3">
      <c r="A268" s="18" t="s">
        <v>828</v>
      </c>
      <c r="B268" s="18" t="s">
        <v>107</v>
      </c>
      <c r="C268" s="19" t="s">
        <v>108</v>
      </c>
      <c r="D268" s="18" t="s">
        <v>543</v>
      </c>
      <c r="E268" s="19" t="s">
        <v>235</v>
      </c>
      <c r="F268" s="18" t="s">
        <v>110</v>
      </c>
      <c r="G268" s="18" t="s">
        <v>111</v>
      </c>
      <c r="H268" s="19" t="s">
        <v>112</v>
      </c>
      <c r="I268" s="18" t="s">
        <v>113</v>
      </c>
      <c r="J268" s="19" t="s">
        <v>114</v>
      </c>
      <c r="K268" s="19" t="s">
        <v>115</v>
      </c>
      <c r="L268" s="18" t="s">
        <v>116</v>
      </c>
      <c r="M268" s="18" t="s">
        <v>133</v>
      </c>
      <c r="N268" s="18" t="s">
        <v>118</v>
      </c>
      <c r="O268" s="20">
        <v>119000</v>
      </c>
      <c r="P268" s="20">
        <v>82110</v>
      </c>
      <c r="Q268" s="20">
        <v>1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31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20">
        <v>119000</v>
      </c>
      <c r="AD268" s="20">
        <v>82110</v>
      </c>
      <c r="AE268" s="20">
        <v>0</v>
      </c>
      <c r="AF268" s="20">
        <v>0</v>
      </c>
      <c r="AG268" s="20">
        <v>119000</v>
      </c>
      <c r="AH268" s="20">
        <v>82110</v>
      </c>
      <c r="AI268" s="20">
        <v>33536</v>
      </c>
      <c r="AJ268" s="20">
        <v>3354</v>
      </c>
      <c r="AK268" s="20">
        <v>36890</v>
      </c>
    </row>
    <row r="269" spans="1:37" ht="16.5" customHeight="1" x14ac:dyDescent="0.3">
      <c r="A269" s="18" t="s">
        <v>830</v>
      </c>
      <c r="B269" s="18" t="s">
        <v>107</v>
      </c>
      <c r="C269" s="19" t="s">
        <v>108</v>
      </c>
      <c r="D269" s="18" t="s">
        <v>545</v>
      </c>
      <c r="E269" s="19" t="s">
        <v>546</v>
      </c>
      <c r="F269" s="18" t="s">
        <v>110</v>
      </c>
      <c r="G269" s="18" t="s">
        <v>111</v>
      </c>
      <c r="H269" s="19" t="s">
        <v>112</v>
      </c>
      <c r="I269" s="18" t="s">
        <v>113</v>
      </c>
      <c r="J269" s="19" t="s">
        <v>114</v>
      </c>
      <c r="K269" s="19" t="s">
        <v>115</v>
      </c>
      <c r="L269" s="18" t="s">
        <v>116</v>
      </c>
      <c r="M269" s="18" t="s">
        <v>133</v>
      </c>
      <c r="N269" s="18" t="s">
        <v>118</v>
      </c>
      <c r="O269" s="20">
        <v>119000</v>
      </c>
      <c r="P269" s="20">
        <v>82110</v>
      </c>
      <c r="Q269" s="20">
        <v>1</v>
      </c>
      <c r="R269" s="20">
        <v>0</v>
      </c>
      <c r="S269" s="20">
        <v>0</v>
      </c>
      <c r="T269" s="20">
        <v>0</v>
      </c>
      <c r="U269" s="20">
        <v>0</v>
      </c>
      <c r="V269" s="20">
        <v>0</v>
      </c>
      <c r="W269" s="20">
        <v>31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119000</v>
      </c>
      <c r="AD269" s="20">
        <v>82110</v>
      </c>
      <c r="AE269" s="20">
        <v>0</v>
      </c>
      <c r="AF269" s="20">
        <v>0</v>
      </c>
      <c r="AG269" s="20">
        <v>119000</v>
      </c>
      <c r="AH269" s="20">
        <v>82110</v>
      </c>
      <c r="AI269" s="20">
        <v>33536</v>
      </c>
      <c r="AJ269" s="20">
        <v>3354</v>
      </c>
      <c r="AK269" s="20">
        <v>36890</v>
      </c>
    </row>
    <row r="270" spans="1:37" ht="16.5" customHeight="1" x14ac:dyDescent="0.3">
      <c r="A270" s="18" t="s">
        <v>832</v>
      </c>
      <c r="B270" s="18" t="s">
        <v>107</v>
      </c>
      <c r="C270" s="19" t="s">
        <v>108</v>
      </c>
      <c r="D270" s="18" t="s">
        <v>180</v>
      </c>
      <c r="E270" s="19" t="s">
        <v>181</v>
      </c>
      <c r="F270" s="18" t="s">
        <v>110</v>
      </c>
      <c r="G270" s="18" t="s">
        <v>111</v>
      </c>
      <c r="H270" s="19" t="s">
        <v>112</v>
      </c>
      <c r="I270" s="18" t="s">
        <v>113</v>
      </c>
      <c r="J270" s="19" t="s">
        <v>114</v>
      </c>
      <c r="K270" s="19" t="s">
        <v>115</v>
      </c>
      <c r="L270" s="18" t="s">
        <v>116</v>
      </c>
      <c r="M270" s="18" t="s">
        <v>133</v>
      </c>
      <c r="N270" s="18" t="s">
        <v>118</v>
      </c>
      <c r="O270" s="20">
        <v>119000</v>
      </c>
      <c r="P270" s="20">
        <v>82110</v>
      </c>
      <c r="Q270" s="20">
        <v>1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31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119000</v>
      </c>
      <c r="AD270" s="20">
        <v>82110</v>
      </c>
      <c r="AE270" s="20">
        <v>0</v>
      </c>
      <c r="AF270" s="20">
        <v>0</v>
      </c>
      <c r="AG270" s="20">
        <v>119000</v>
      </c>
      <c r="AH270" s="20">
        <v>82110</v>
      </c>
      <c r="AI270" s="20">
        <v>33536</v>
      </c>
      <c r="AJ270" s="20">
        <v>3354</v>
      </c>
      <c r="AK270" s="20">
        <v>36890</v>
      </c>
    </row>
    <row r="271" spans="1:37" ht="16.5" customHeight="1" x14ac:dyDescent="0.3">
      <c r="A271" s="18" t="s">
        <v>835</v>
      </c>
      <c r="B271" s="18" t="s">
        <v>107</v>
      </c>
      <c r="C271" s="19" t="s">
        <v>108</v>
      </c>
      <c r="D271" s="18" t="s">
        <v>627</v>
      </c>
      <c r="E271" s="19" t="s">
        <v>315</v>
      </c>
      <c r="F271" s="18" t="s">
        <v>110</v>
      </c>
      <c r="G271" s="18" t="s">
        <v>111</v>
      </c>
      <c r="H271" s="19" t="s">
        <v>112</v>
      </c>
      <c r="I271" s="18" t="s">
        <v>113</v>
      </c>
      <c r="J271" s="19" t="s">
        <v>114</v>
      </c>
      <c r="K271" s="19" t="s">
        <v>115</v>
      </c>
      <c r="L271" s="18" t="s">
        <v>116</v>
      </c>
      <c r="M271" s="18" t="s">
        <v>133</v>
      </c>
      <c r="N271" s="18" t="s">
        <v>118</v>
      </c>
      <c r="O271" s="20">
        <v>119000</v>
      </c>
      <c r="P271" s="20">
        <v>82110</v>
      </c>
      <c r="Q271" s="20">
        <v>1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31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119000</v>
      </c>
      <c r="AD271" s="20">
        <v>82110</v>
      </c>
      <c r="AE271" s="20">
        <v>0</v>
      </c>
      <c r="AF271" s="20">
        <v>0</v>
      </c>
      <c r="AG271" s="20">
        <v>119000</v>
      </c>
      <c r="AH271" s="20">
        <v>82110</v>
      </c>
      <c r="AI271" s="20">
        <v>33536</v>
      </c>
      <c r="AJ271" s="20">
        <v>3354</v>
      </c>
      <c r="AK271" s="20">
        <v>36890</v>
      </c>
    </row>
    <row r="272" spans="1:37" ht="16.5" customHeight="1" x14ac:dyDescent="0.3">
      <c r="A272" s="18" t="s">
        <v>838</v>
      </c>
      <c r="B272" s="18" t="s">
        <v>107</v>
      </c>
      <c r="C272" s="19" t="s">
        <v>108</v>
      </c>
      <c r="D272" s="18" t="s">
        <v>629</v>
      </c>
      <c r="E272" s="19" t="s">
        <v>630</v>
      </c>
      <c r="F272" s="18" t="s">
        <v>110</v>
      </c>
      <c r="G272" s="18" t="s">
        <v>111</v>
      </c>
      <c r="H272" s="19" t="s">
        <v>112</v>
      </c>
      <c r="I272" s="18" t="s">
        <v>113</v>
      </c>
      <c r="J272" s="19" t="s">
        <v>114</v>
      </c>
      <c r="K272" s="19" t="s">
        <v>115</v>
      </c>
      <c r="L272" s="18" t="s">
        <v>116</v>
      </c>
      <c r="M272" s="18" t="s">
        <v>133</v>
      </c>
      <c r="N272" s="18" t="s">
        <v>118</v>
      </c>
      <c r="O272" s="20">
        <v>119000</v>
      </c>
      <c r="P272" s="20">
        <v>82110</v>
      </c>
      <c r="Q272" s="20">
        <v>1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31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119000</v>
      </c>
      <c r="AD272" s="20">
        <v>82110</v>
      </c>
      <c r="AE272" s="20">
        <v>0</v>
      </c>
      <c r="AF272" s="20">
        <v>0</v>
      </c>
      <c r="AG272" s="20">
        <v>119000</v>
      </c>
      <c r="AH272" s="20">
        <v>82110</v>
      </c>
      <c r="AI272" s="20">
        <v>33536</v>
      </c>
      <c r="AJ272" s="20">
        <v>3354</v>
      </c>
      <c r="AK272" s="20">
        <v>36890</v>
      </c>
    </row>
    <row r="273" spans="1:37" ht="16.5" customHeight="1" x14ac:dyDescent="0.3">
      <c r="A273" s="18" t="s">
        <v>840</v>
      </c>
      <c r="B273" s="18" t="s">
        <v>107</v>
      </c>
      <c r="C273" s="19" t="s">
        <v>108</v>
      </c>
      <c r="D273" s="18" t="s">
        <v>548</v>
      </c>
      <c r="E273" s="19" t="s">
        <v>549</v>
      </c>
      <c r="F273" s="18" t="s">
        <v>110</v>
      </c>
      <c r="G273" s="18" t="s">
        <v>111</v>
      </c>
      <c r="H273" s="19" t="s">
        <v>112</v>
      </c>
      <c r="I273" s="18" t="s">
        <v>113</v>
      </c>
      <c r="J273" s="19" t="s">
        <v>114</v>
      </c>
      <c r="K273" s="19" t="s">
        <v>115</v>
      </c>
      <c r="L273" s="18" t="s">
        <v>116</v>
      </c>
      <c r="M273" s="18" t="s">
        <v>133</v>
      </c>
      <c r="N273" s="18" t="s">
        <v>118</v>
      </c>
      <c r="O273" s="20">
        <v>119000</v>
      </c>
      <c r="P273" s="20">
        <v>82110</v>
      </c>
      <c r="Q273" s="20">
        <v>1</v>
      </c>
      <c r="R273" s="20">
        <v>0</v>
      </c>
      <c r="S273" s="20">
        <v>0</v>
      </c>
      <c r="T273" s="20">
        <v>0</v>
      </c>
      <c r="U273" s="20">
        <v>0</v>
      </c>
      <c r="V273" s="20">
        <v>0</v>
      </c>
      <c r="W273" s="20">
        <v>31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119000</v>
      </c>
      <c r="AD273" s="20">
        <v>82110</v>
      </c>
      <c r="AE273" s="20">
        <v>0</v>
      </c>
      <c r="AF273" s="20">
        <v>0</v>
      </c>
      <c r="AG273" s="20">
        <v>119000</v>
      </c>
      <c r="AH273" s="20">
        <v>82110</v>
      </c>
      <c r="AI273" s="20">
        <v>33536</v>
      </c>
      <c r="AJ273" s="20">
        <v>3354</v>
      </c>
      <c r="AK273" s="20">
        <v>36890</v>
      </c>
    </row>
    <row r="274" spans="1:37" ht="16.5" customHeight="1" x14ac:dyDescent="0.3">
      <c r="A274" s="18" t="s">
        <v>843</v>
      </c>
      <c r="B274" s="18" t="s">
        <v>107</v>
      </c>
      <c r="C274" s="19" t="s">
        <v>108</v>
      </c>
      <c r="D274" s="18" t="s">
        <v>632</v>
      </c>
      <c r="E274" s="19" t="s">
        <v>633</v>
      </c>
      <c r="F274" s="18" t="s">
        <v>110</v>
      </c>
      <c r="G274" s="18" t="s">
        <v>111</v>
      </c>
      <c r="H274" s="19" t="s">
        <v>112</v>
      </c>
      <c r="I274" s="18" t="s">
        <v>113</v>
      </c>
      <c r="J274" s="19" t="s">
        <v>114</v>
      </c>
      <c r="K274" s="19" t="s">
        <v>115</v>
      </c>
      <c r="L274" s="18" t="s">
        <v>116</v>
      </c>
      <c r="M274" s="18" t="s">
        <v>133</v>
      </c>
      <c r="N274" s="18" t="s">
        <v>118</v>
      </c>
      <c r="O274" s="20">
        <v>119000</v>
      </c>
      <c r="P274" s="20">
        <v>82110</v>
      </c>
      <c r="Q274" s="20">
        <v>1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31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119000</v>
      </c>
      <c r="AD274" s="20">
        <v>82110</v>
      </c>
      <c r="AE274" s="20">
        <v>0</v>
      </c>
      <c r="AF274" s="20">
        <v>0</v>
      </c>
      <c r="AG274" s="20">
        <v>119000</v>
      </c>
      <c r="AH274" s="20">
        <v>82110</v>
      </c>
      <c r="AI274" s="20">
        <v>33536</v>
      </c>
      <c r="AJ274" s="20">
        <v>3354</v>
      </c>
      <c r="AK274" s="20">
        <v>36890</v>
      </c>
    </row>
    <row r="275" spans="1:37" ht="16.5" customHeight="1" x14ac:dyDescent="0.3">
      <c r="A275" s="18" t="s">
        <v>846</v>
      </c>
      <c r="B275" s="18" t="s">
        <v>107</v>
      </c>
      <c r="C275" s="19" t="s">
        <v>108</v>
      </c>
      <c r="D275" s="18" t="s">
        <v>638</v>
      </c>
      <c r="E275" s="19" t="s">
        <v>401</v>
      </c>
      <c r="F275" s="18" t="s">
        <v>110</v>
      </c>
      <c r="G275" s="18" t="s">
        <v>111</v>
      </c>
      <c r="H275" s="19" t="s">
        <v>112</v>
      </c>
      <c r="I275" s="18" t="s">
        <v>113</v>
      </c>
      <c r="J275" s="19" t="s">
        <v>114</v>
      </c>
      <c r="K275" s="19" t="s">
        <v>151</v>
      </c>
      <c r="L275" s="18" t="s">
        <v>116</v>
      </c>
      <c r="M275" s="18" t="s">
        <v>133</v>
      </c>
      <c r="N275" s="18" t="s">
        <v>118</v>
      </c>
      <c r="O275" s="20">
        <v>119000</v>
      </c>
      <c r="P275" s="20">
        <v>82110</v>
      </c>
      <c r="Q275" s="20">
        <v>1</v>
      </c>
      <c r="R275" s="20">
        <v>0</v>
      </c>
      <c r="S275" s="20">
        <v>0</v>
      </c>
      <c r="T275" s="20">
        <v>0</v>
      </c>
      <c r="U275" s="20">
        <v>0</v>
      </c>
      <c r="V275" s="20">
        <v>0</v>
      </c>
      <c r="W275" s="20">
        <v>31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119000</v>
      </c>
      <c r="AD275" s="20">
        <v>82110</v>
      </c>
      <c r="AE275" s="20">
        <v>0</v>
      </c>
      <c r="AF275" s="20">
        <v>0</v>
      </c>
      <c r="AG275" s="20">
        <v>119000</v>
      </c>
      <c r="AH275" s="20">
        <v>82110</v>
      </c>
      <c r="AI275" s="20">
        <v>33536</v>
      </c>
      <c r="AJ275" s="20">
        <v>3354</v>
      </c>
      <c r="AK275" s="20">
        <v>36890</v>
      </c>
    </row>
    <row r="276" spans="1:37" ht="16.5" customHeight="1" x14ac:dyDescent="0.3">
      <c r="A276" s="18" t="s">
        <v>848</v>
      </c>
      <c r="B276" s="18" t="s">
        <v>107</v>
      </c>
      <c r="C276" s="19" t="s">
        <v>108</v>
      </c>
      <c r="D276" s="18" t="s">
        <v>640</v>
      </c>
      <c r="E276" s="19" t="s">
        <v>641</v>
      </c>
      <c r="F276" s="18" t="s">
        <v>110</v>
      </c>
      <c r="G276" s="18" t="s">
        <v>111</v>
      </c>
      <c r="H276" s="19" t="s">
        <v>112</v>
      </c>
      <c r="I276" s="18" t="s">
        <v>113</v>
      </c>
      <c r="J276" s="19" t="s">
        <v>114</v>
      </c>
      <c r="K276" s="19" t="s">
        <v>115</v>
      </c>
      <c r="L276" s="18" t="s">
        <v>116</v>
      </c>
      <c r="M276" s="18" t="s">
        <v>133</v>
      </c>
      <c r="N276" s="18" t="s">
        <v>118</v>
      </c>
      <c r="O276" s="20">
        <v>119000</v>
      </c>
      <c r="P276" s="20">
        <v>82110</v>
      </c>
      <c r="Q276" s="20">
        <v>1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31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119000</v>
      </c>
      <c r="AD276" s="20">
        <v>82110</v>
      </c>
      <c r="AE276" s="20">
        <v>0</v>
      </c>
      <c r="AF276" s="20">
        <v>0</v>
      </c>
      <c r="AG276" s="20">
        <v>119000</v>
      </c>
      <c r="AH276" s="20">
        <v>82110</v>
      </c>
      <c r="AI276" s="20">
        <v>33536</v>
      </c>
      <c r="AJ276" s="20">
        <v>3354</v>
      </c>
      <c r="AK276" s="20">
        <v>36890</v>
      </c>
    </row>
    <row r="277" spans="1:37" ht="16.5" customHeight="1" x14ac:dyDescent="0.3">
      <c r="A277" s="18" t="s">
        <v>850</v>
      </c>
      <c r="B277" s="18" t="s">
        <v>107</v>
      </c>
      <c r="C277" s="19" t="s">
        <v>108</v>
      </c>
      <c r="D277" s="18" t="s">
        <v>643</v>
      </c>
      <c r="E277" s="19" t="s">
        <v>644</v>
      </c>
      <c r="F277" s="18" t="s">
        <v>110</v>
      </c>
      <c r="G277" s="18" t="s">
        <v>111</v>
      </c>
      <c r="H277" s="19" t="s">
        <v>112</v>
      </c>
      <c r="I277" s="18" t="s">
        <v>113</v>
      </c>
      <c r="J277" s="19" t="s">
        <v>114</v>
      </c>
      <c r="K277" s="19" t="s">
        <v>115</v>
      </c>
      <c r="L277" s="18" t="s">
        <v>116</v>
      </c>
      <c r="M277" s="18" t="s">
        <v>133</v>
      </c>
      <c r="N277" s="18" t="s">
        <v>118</v>
      </c>
      <c r="O277" s="20">
        <v>119000</v>
      </c>
      <c r="P277" s="20">
        <v>82110</v>
      </c>
      <c r="Q277" s="20">
        <v>1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v>31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119000</v>
      </c>
      <c r="AD277" s="20">
        <v>82110</v>
      </c>
      <c r="AE277" s="20">
        <v>0</v>
      </c>
      <c r="AF277" s="20">
        <v>0</v>
      </c>
      <c r="AG277" s="20">
        <v>119000</v>
      </c>
      <c r="AH277" s="20">
        <v>82110</v>
      </c>
      <c r="AI277" s="20">
        <v>33536</v>
      </c>
      <c r="AJ277" s="20">
        <v>3354</v>
      </c>
      <c r="AK277" s="20">
        <v>36890</v>
      </c>
    </row>
    <row r="278" spans="1:37" ht="16.5" customHeight="1" x14ac:dyDescent="0.3">
      <c r="A278" s="18" t="s">
        <v>853</v>
      </c>
      <c r="B278" s="18" t="s">
        <v>107</v>
      </c>
      <c r="C278" s="19" t="s">
        <v>108</v>
      </c>
      <c r="D278" s="18" t="s">
        <v>646</v>
      </c>
      <c r="E278" s="19" t="s">
        <v>644</v>
      </c>
      <c r="F278" s="18" t="s">
        <v>110</v>
      </c>
      <c r="G278" s="18" t="s">
        <v>111</v>
      </c>
      <c r="H278" s="19" t="s">
        <v>112</v>
      </c>
      <c r="I278" s="18" t="s">
        <v>113</v>
      </c>
      <c r="J278" s="19" t="s">
        <v>114</v>
      </c>
      <c r="K278" s="19" t="s">
        <v>115</v>
      </c>
      <c r="L278" s="18" t="s">
        <v>116</v>
      </c>
      <c r="M278" s="18" t="s">
        <v>133</v>
      </c>
      <c r="N278" s="18" t="s">
        <v>118</v>
      </c>
      <c r="O278" s="20">
        <v>119000</v>
      </c>
      <c r="P278" s="20">
        <v>82110</v>
      </c>
      <c r="Q278" s="20">
        <v>1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31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119000</v>
      </c>
      <c r="AD278" s="20">
        <v>82110</v>
      </c>
      <c r="AE278" s="20">
        <v>0</v>
      </c>
      <c r="AF278" s="20">
        <v>0</v>
      </c>
      <c r="AG278" s="20">
        <v>119000</v>
      </c>
      <c r="AH278" s="20">
        <v>82110</v>
      </c>
      <c r="AI278" s="20">
        <v>33536</v>
      </c>
      <c r="AJ278" s="20">
        <v>3354</v>
      </c>
      <c r="AK278" s="20">
        <v>36890</v>
      </c>
    </row>
    <row r="279" spans="1:37" ht="16.5" customHeight="1" x14ac:dyDescent="0.3">
      <c r="A279" s="18" t="s">
        <v>856</v>
      </c>
      <c r="B279" s="18" t="s">
        <v>107</v>
      </c>
      <c r="C279" s="19" t="s">
        <v>108</v>
      </c>
      <c r="D279" s="18" t="s">
        <v>648</v>
      </c>
      <c r="E279" s="19" t="s">
        <v>649</v>
      </c>
      <c r="F279" s="18" t="s">
        <v>110</v>
      </c>
      <c r="G279" s="18" t="s">
        <v>111</v>
      </c>
      <c r="H279" s="19" t="s">
        <v>112</v>
      </c>
      <c r="I279" s="18" t="s">
        <v>113</v>
      </c>
      <c r="J279" s="19" t="s">
        <v>114</v>
      </c>
      <c r="K279" s="19" t="s">
        <v>115</v>
      </c>
      <c r="L279" s="18" t="s">
        <v>116</v>
      </c>
      <c r="M279" s="18" t="s">
        <v>133</v>
      </c>
      <c r="N279" s="18" t="s">
        <v>118</v>
      </c>
      <c r="O279" s="20">
        <v>119000</v>
      </c>
      <c r="P279" s="20">
        <v>82110</v>
      </c>
      <c r="Q279" s="20">
        <v>1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31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119000</v>
      </c>
      <c r="AD279" s="20">
        <v>82110</v>
      </c>
      <c r="AE279" s="20">
        <v>0</v>
      </c>
      <c r="AF279" s="20">
        <v>0</v>
      </c>
      <c r="AG279" s="20">
        <v>119000</v>
      </c>
      <c r="AH279" s="20">
        <v>82110</v>
      </c>
      <c r="AI279" s="20">
        <v>33536</v>
      </c>
      <c r="AJ279" s="20">
        <v>3354</v>
      </c>
      <c r="AK279" s="20">
        <v>36890</v>
      </c>
    </row>
    <row r="280" spans="1:37" ht="16.5" customHeight="1" x14ac:dyDescent="0.3">
      <c r="A280" s="18" t="s">
        <v>858</v>
      </c>
      <c r="B280" s="18" t="s">
        <v>107</v>
      </c>
      <c r="C280" s="19" t="s">
        <v>108</v>
      </c>
      <c r="D280" s="18" t="s">
        <v>554</v>
      </c>
      <c r="E280" s="19" t="s">
        <v>555</v>
      </c>
      <c r="F280" s="18" t="s">
        <v>110</v>
      </c>
      <c r="G280" s="18" t="s">
        <v>111</v>
      </c>
      <c r="H280" s="19" t="s">
        <v>112</v>
      </c>
      <c r="I280" s="18" t="s">
        <v>113</v>
      </c>
      <c r="J280" s="19" t="s">
        <v>114</v>
      </c>
      <c r="K280" s="19" t="s">
        <v>115</v>
      </c>
      <c r="L280" s="18" t="s">
        <v>116</v>
      </c>
      <c r="M280" s="18" t="s">
        <v>133</v>
      </c>
      <c r="N280" s="18" t="s">
        <v>118</v>
      </c>
      <c r="O280" s="20">
        <v>119000</v>
      </c>
      <c r="P280" s="20">
        <v>82110</v>
      </c>
      <c r="Q280" s="20">
        <v>1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31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119000</v>
      </c>
      <c r="AD280" s="20">
        <v>82110</v>
      </c>
      <c r="AE280" s="20">
        <v>0</v>
      </c>
      <c r="AF280" s="20">
        <v>0</v>
      </c>
      <c r="AG280" s="20">
        <v>119000</v>
      </c>
      <c r="AH280" s="20">
        <v>82110</v>
      </c>
      <c r="AI280" s="20">
        <v>33536</v>
      </c>
      <c r="AJ280" s="20">
        <v>3354</v>
      </c>
      <c r="AK280" s="20">
        <v>36890</v>
      </c>
    </row>
    <row r="281" spans="1:37" ht="16.5" customHeight="1" x14ac:dyDescent="0.3">
      <c r="A281" s="18" t="s">
        <v>860</v>
      </c>
      <c r="B281" s="18" t="s">
        <v>107</v>
      </c>
      <c r="C281" s="19" t="s">
        <v>108</v>
      </c>
      <c r="D281" s="18" t="s">
        <v>557</v>
      </c>
      <c r="E281" s="19" t="s">
        <v>320</v>
      </c>
      <c r="F281" s="18" t="s">
        <v>110</v>
      </c>
      <c r="G281" s="18" t="s">
        <v>111</v>
      </c>
      <c r="H281" s="19" t="s">
        <v>112</v>
      </c>
      <c r="I281" s="18" t="s">
        <v>113</v>
      </c>
      <c r="J281" s="19" t="s">
        <v>114</v>
      </c>
      <c r="K281" s="19" t="s">
        <v>115</v>
      </c>
      <c r="L281" s="18" t="s">
        <v>116</v>
      </c>
      <c r="M281" s="18" t="s">
        <v>133</v>
      </c>
      <c r="N281" s="18" t="s">
        <v>118</v>
      </c>
      <c r="O281" s="20">
        <v>119000</v>
      </c>
      <c r="P281" s="20">
        <v>82110</v>
      </c>
      <c r="Q281" s="20">
        <v>1</v>
      </c>
      <c r="R281" s="20">
        <v>0</v>
      </c>
      <c r="S281" s="20">
        <v>0</v>
      </c>
      <c r="T281" s="20">
        <v>0</v>
      </c>
      <c r="U281" s="20">
        <v>0</v>
      </c>
      <c r="V281" s="20">
        <v>0</v>
      </c>
      <c r="W281" s="20">
        <v>31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119000</v>
      </c>
      <c r="AD281" s="20">
        <v>82110</v>
      </c>
      <c r="AE281" s="20">
        <v>0</v>
      </c>
      <c r="AF281" s="20">
        <v>0</v>
      </c>
      <c r="AG281" s="20">
        <v>119000</v>
      </c>
      <c r="AH281" s="20">
        <v>82110</v>
      </c>
      <c r="AI281" s="20">
        <v>33536</v>
      </c>
      <c r="AJ281" s="20">
        <v>3354</v>
      </c>
      <c r="AK281" s="20">
        <v>36890</v>
      </c>
    </row>
    <row r="282" spans="1:37" ht="16.5" customHeight="1" x14ac:dyDescent="0.3">
      <c r="A282" s="18" t="s">
        <v>862</v>
      </c>
      <c r="B282" s="18" t="s">
        <v>107</v>
      </c>
      <c r="C282" s="19" t="s">
        <v>108</v>
      </c>
      <c r="D282" s="18" t="s">
        <v>559</v>
      </c>
      <c r="E282" s="19" t="s">
        <v>235</v>
      </c>
      <c r="F282" s="18" t="s">
        <v>110</v>
      </c>
      <c r="G282" s="18" t="s">
        <v>111</v>
      </c>
      <c r="H282" s="19" t="s">
        <v>112</v>
      </c>
      <c r="I282" s="18" t="s">
        <v>113</v>
      </c>
      <c r="J282" s="19" t="s">
        <v>114</v>
      </c>
      <c r="K282" s="19" t="s">
        <v>115</v>
      </c>
      <c r="L282" s="18" t="s">
        <v>116</v>
      </c>
      <c r="M282" s="18" t="s">
        <v>133</v>
      </c>
      <c r="N282" s="18" t="s">
        <v>118</v>
      </c>
      <c r="O282" s="20">
        <v>119000</v>
      </c>
      <c r="P282" s="20">
        <v>82110</v>
      </c>
      <c r="Q282" s="20">
        <v>1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31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119000</v>
      </c>
      <c r="AD282" s="20">
        <v>82110</v>
      </c>
      <c r="AE282" s="20">
        <v>0</v>
      </c>
      <c r="AF282" s="20">
        <v>0</v>
      </c>
      <c r="AG282" s="20">
        <v>119000</v>
      </c>
      <c r="AH282" s="20">
        <v>82110</v>
      </c>
      <c r="AI282" s="20">
        <v>33536</v>
      </c>
      <c r="AJ282" s="20">
        <v>3354</v>
      </c>
      <c r="AK282" s="20">
        <v>36890</v>
      </c>
    </row>
    <row r="283" spans="1:37" ht="16.5" customHeight="1" x14ac:dyDescent="0.3">
      <c r="A283" s="18" t="s">
        <v>865</v>
      </c>
      <c r="B283" s="18" t="s">
        <v>107</v>
      </c>
      <c r="C283" s="19" t="s">
        <v>108</v>
      </c>
      <c r="D283" s="18" t="s">
        <v>561</v>
      </c>
      <c r="E283" s="19" t="s">
        <v>414</v>
      </c>
      <c r="F283" s="18" t="s">
        <v>110</v>
      </c>
      <c r="G283" s="18" t="s">
        <v>111</v>
      </c>
      <c r="H283" s="19" t="s">
        <v>112</v>
      </c>
      <c r="I283" s="18" t="s">
        <v>113</v>
      </c>
      <c r="J283" s="19" t="s">
        <v>114</v>
      </c>
      <c r="K283" s="19" t="s">
        <v>115</v>
      </c>
      <c r="L283" s="18" t="s">
        <v>116</v>
      </c>
      <c r="M283" s="18" t="s">
        <v>133</v>
      </c>
      <c r="N283" s="18" t="s">
        <v>118</v>
      </c>
      <c r="O283" s="20">
        <v>119000</v>
      </c>
      <c r="P283" s="20">
        <v>82110</v>
      </c>
      <c r="Q283" s="20">
        <v>1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31</v>
      </c>
      <c r="X283" s="20">
        <v>19040</v>
      </c>
      <c r="Y283" s="20">
        <v>0</v>
      </c>
      <c r="Z283" s="20">
        <v>0</v>
      </c>
      <c r="AA283" s="20">
        <v>0</v>
      </c>
      <c r="AB283" s="20">
        <v>0</v>
      </c>
      <c r="AC283" s="20">
        <v>119000</v>
      </c>
      <c r="AD283" s="20">
        <v>82110</v>
      </c>
      <c r="AE283" s="20">
        <v>0</v>
      </c>
      <c r="AF283" s="20">
        <v>19040</v>
      </c>
      <c r="AG283" s="20">
        <v>99960</v>
      </c>
      <c r="AH283" s="20">
        <v>82110</v>
      </c>
      <c r="AI283" s="20">
        <v>16227</v>
      </c>
      <c r="AJ283" s="20">
        <v>1623</v>
      </c>
      <c r="AK283" s="20">
        <v>17850</v>
      </c>
    </row>
    <row r="284" spans="1:37" ht="16.5" customHeight="1" x14ac:dyDescent="0.3">
      <c r="A284" s="18" t="s">
        <v>868</v>
      </c>
      <c r="B284" s="18" t="s">
        <v>107</v>
      </c>
      <c r="C284" s="19" t="s">
        <v>108</v>
      </c>
      <c r="D284" s="18" t="s">
        <v>686</v>
      </c>
      <c r="E284" s="19" t="s">
        <v>687</v>
      </c>
      <c r="F284" s="18" t="s">
        <v>110</v>
      </c>
      <c r="G284" s="18" t="s">
        <v>111</v>
      </c>
      <c r="H284" s="19" t="s">
        <v>112</v>
      </c>
      <c r="I284" s="18" t="s">
        <v>113</v>
      </c>
      <c r="J284" s="19" t="s">
        <v>114</v>
      </c>
      <c r="K284" s="19" t="s">
        <v>115</v>
      </c>
      <c r="L284" s="18" t="s">
        <v>116</v>
      </c>
      <c r="M284" s="18" t="s">
        <v>133</v>
      </c>
      <c r="N284" s="18" t="s">
        <v>118</v>
      </c>
      <c r="O284" s="20">
        <v>119000</v>
      </c>
      <c r="P284" s="20">
        <v>82110</v>
      </c>
      <c r="Q284" s="20">
        <v>1</v>
      </c>
      <c r="R284" s="20">
        <v>0</v>
      </c>
      <c r="S284" s="20">
        <v>0</v>
      </c>
      <c r="T284" s="20">
        <v>0</v>
      </c>
      <c r="U284" s="20">
        <v>0</v>
      </c>
      <c r="V284" s="20">
        <v>0</v>
      </c>
      <c r="W284" s="20">
        <v>31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119000</v>
      </c>
      <c r="AD284" s="20">
        <v>82110</v>
      </c>
      <c r="AE284" s="20">
        <v>0</v>
      </c>
      <c r="AF284" s="20">
        <v>0</v>
      </c>
      <c r="AG284" s="20">
        <v>119000</v>
      </c>
      <c r="AH284" s="20">
        <v>82110</v>
      </c>
      <c r="AI284" s="20">
        <v>33536</v>
      </c>
      <c r="AJ284" s="20">
        <v>3354</v>
      </c>
      <c r="AK284" s="20">
        <v>36890</v>
      </c>
    </row>
    <row r="285" spans="1:37" ht="16.5" customHeight="1" x14ac:dyDescent="0.3">
      <c r="A285" s="18" t="s">
        <v>871</v>
      </c>
      <c r="B285" s="18" t="s">
        <v>107</v>
      </c>
      <c r="C285" s="19" t="s">
        <v>108</v>
      </c>
      <c r="D285" s="18" t="s">
        <v>572</v>
      </c>
      <c r="E285" s="19" t="s">
        <v>366</v>
      </c>
      <c r="F285" s="18" t="s">
        <v>110</v>
      </c>
      <c r="G285" s="18" t="s">
        <v>111</v>
      </c>
      <c r="H285" s="19" t="s">
        <v>112</v>
      </c>
      <c r="I285" s="18" t="s">
        <v>113</v>
      </c>
      <c r="J285" s="19" t="s">
        <v>114</v>
      </c>
      <c r="K285" s="19" t="s">
        <v>115</v>
      </c>
      <c r="L285" s="18" t="s">
        <v>116</v>
      </c>
      <c r="M285" s="18" t="s">
        <v>133</v>
      </c>
      <c r="N285" s="18" t="s">
        <v>118</v>
      </c>
      <c r="O285" s="20">
        <v>119000</v>
      </c>
      <c r="P285" s="20">
        <v>82110</v>
      </c>
      <c r="Q285" s="20">
        <v>1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31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119000</v>
      </c>
      <c r="AD285" s="20">
        <v>82110</v>
      </c>
      <c r="AE285" s="20">
        <v>0</v>
      </c>
      <c r="AF285" s="20">
        <v>0</v>
      </c>
      <c r="AG285" s="20">
        <v>119000</v>
      </c>
      <c r="AH285" s="20">
        <v>82110</v>
      </c>
      <c r="AI285" s="20">
        <v>33536</v>
      </c>
      <c r="AJ285" s="20">
        <v>3354</v>
      </c>
      <c r="AK285" s="20">
        <v>36890</v>
      </c>
    </row>
    <row r="286" spans="1:37" ht="16.5" customHeight="1" x14ac:dyDescent="0.3">
      <c r="A286" s="18" t="s">
        <v>873</v>
      </c>
      <c r="B286" s="18" t="s">
        <v>107</v>
      </c>
      <c r="C286" s="19" t="s">
        <v>108</v>
      </c>
      <c r="D286" s="18" t="s">
        <v>696</v>
      </c>
      <c r="E286" s="19" t="s">
        <v>357</v>
      </c>
      <c r="F286" s="18" t="s">
        <v>110</v>
      </c>
      <c r="G286" s="18" t="s">
        <v>111</v>
      </c>
      <c r="H286" s="19" t="s">
        <v>112</v>
      </c>
      <c r="I286" s="18" t="s">
        <v>113</v>
      </c>
      <c r="J286" s="19" t="s">
        <v>114</v>
      </c>
      <c r="K286" s="19" t="s">
        <v>115</v>
      </c>
      <c r="L286" s="18" t="s">
        <v>116</v>
      </c>
      <c r="M286" s="18" t="s">
        <v>133</v>
      </c>
      <c r="N286" s="18" t="s">
        <v>118</v>
      </c>
      <c r="O286" s="20">
        <v>119000</v>
      </c>
      <c r="P286" s="20">
        <v>82110</v>
      </c>
      <c r="Q286" s="20">
        <v>1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31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119000</v>
      </c>
      <c r="AD286" s="20">
        <v>82110</v>
      </c>
      <c r="AE286" s="20">
        <v>0</v>
      </c>
      <c r="AF286" s="20">
        <v>0</v>
      </c>
      <c r="AG286" s="20">
        <v>119000</v>
      </c>
      <c r="AH286" s="20">
        <v>82110</v>
      </c>
      <c r="AI286" s="20">
        <v>33536</v>
      </c>
      <c r="AJ286" s="20">
        <v>3354</v>
      </c>
      <c r="AK286" s="20">
        <v>36890</v>
      </c>
    </row>
    <row r="287" spans="1:37" ht="16.5" customHeight="1" x14ac:dyDescent="0.3">
      <c r="A287" s="18" t="s">
        <v>875</v>
      </c>
      <c r="B287" s="18" t="s">
        <v>107</v>
      </c>
      <c r="C287" s="19" t="s">
        <v>108</v>
      </c>
      <c r="D287" s="18" t="s">
        <v>698</v>
      </c>
      <c r="E287" s="19" t="s">
        <v>320</v>
      </c>
      <c r="F287" s="18" t="s">
        <v>110</v>
      </c>
      <c r="G287" s="18" t="s">
        <v>111</v>
      </c>
      <c r="H287" s="19" t="s">
        <v>112</v>
      </c>
      <c r="I287" s="18" t="s">
        <v>113</v>
      </c>
      <c r="J287" s="19" t="s">
        <v>114</v>
      </c>
      <c r="K287" s="19" t="s">
        <v>115</v>
      </c>
      <c r="L287" s="18" t="s">
        <v>116</v>
      </c>
      <c r="M287" s="18" t="s">
        <v>133</v>
      </c>
      <c r="N287" s="18" t="s">
        <v>118</v>
      </c>
      <c r="O287" s="20">
        <v>119000</v>
      </c>
      <c r="P287" s="20">
        <v>82110</v>
      </c>
      <c r="Q287" s="20">
        <v>1</v>
      </c>
      <c r="R287" s="20">
        <v>0</v>
      </c>
      <c r="S287" s="20">
        <v>0</v>
      </c>
      <c r="T287" s="20">
        <v>0</v>
      </c>
      <c r="U287" s="20">
        <v>0</v>
      </c>
      <c r="V287" s="20">
        <v>0</v>
      </c>
      <c r="W287" s="20">
        <v>31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119000</v>
      </c>
      <c r="AD287" s="20">
        <v>82110</v>
      </c>
      <c r="AE287" s="20">
        <v>0</v>
      </c>
      <c r="AF287" s="20">
        <v>0</v>
      </c>
      <c r="AG287" s="20">
        <v>119000</v>
      </c>
      <c r="AH287" s="20">
        <v>82110</v>
      </c>
      <c r="AI287" s="20">
        <v>33536</v>
      </c>
      <c r="AJ287" s="20">
        <v>3354</v>
      </c>
      <c r="AK287" s="20">
        <v>36890</v>
      </c>
    </row>
    <row r="288" spans="1:37" ht="16.5" customHeight="1" x14ac:dyDescent="0.3">
      <c r="A288" s="18" t="s">
        <v>878</v>
      </c>
      <c r="B288" s="18" t="s">
        <v>107</v>
      </c>
      <c r="C288" s="19" t="s">
        <v>108</v>
      </c>
      <c r="D288" s="18" t="s">
        <v>707</v>
      </c>
      <c r="E288" s="19" t="s">
        <v>708</v>
      </c>
      <c r="F288" s="18" t="s">
        <v>110</v>
      </c>
      <c r="G288" s="18" t="s">
        <v>111</v>
      </c>
      <c r="H288" s="19" t="s">
        <v>112</v>
      </c>
      <c r="I288" s="18" t="s">
        <v>113</v>
      </c>
      <c r="J288" s="19" t="s">
        <v>114</v>
      </c>
      <c r="K288" s="19" t="s">
        <v>115</v>
      </c>
      <c r="L288" s="18" t="s">
        <v>116</v>
      </c>
      <c r="M288" s="18" t="s">
        <v>133</v>
      </c>
      <c r="N288" s="18" t="s">
        <v>118</v>
      </c>
      <c r="O288" s="20">
        <v>119000</v>
      </c>
      <c r="P288" s="20">
        <v>82110</v>
      </c>
      <c r="Q288" s="20">
        <v>1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31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119000</v>
      </c>
      <c r="AD288" s="20">
        <v>82110</v>
      </c>
      <c r="AE288" s="20">
        <v>0</v>
      </c>
      <c r="AF288" s="20">
        <v>0</v>
      </c>
      <c r="AG288" s="20">
        <v>119000</v>
      </c>
      <c r="AH288" s="20">
        <v>82110</v>
      </c>
      <c r="AI288" s="20">
        <v>33536</v>
      </c>
      <c r="AJ288" s="20">
        <v>3354</v>
      </c>
      <c r="AK288" s="20">
        <v>36890</v>
      </c>
    </row>
    <row r="289" spans="1:37" ht="16.5" customHeight="1" x14ac:dyDescent="0.3">
      <c r="A289" s="18" t="s">
        <v>880</v>
      </c>
      <c r="B289" s="18" t="s">
        <v>107</v>
      </c>
      <c r="C289" s="19" t="s">
        <v>108</v>
      </c>
      <c r="D289" s="18" t="s">
        <v>720</v>
      </c>
      <c r="E289" s="19" t="s">
        <v>721</v>
      </c>
      <c r="F289" s="18" t="s">
        <v>110</v>
      </c>
      <c r="G289" s="18" t="s">
        <v>111</v>
      </c>
      <c r="H289" s="19" t="s">
        <v>112</v>
      </c>
      <c r="I289" s="18" t="s">
        <v>113</v>
      </c>
      <c r="J289" s="19" t="s">
        <v>114</v>
      </c>
      <c r="K289" s="19" t="s">
        <v>115</v>
      </c>
      <c r="L289" s="18" t="s">
        <v>116</v>
      </c>
      <c r="M289" s="18" t="s">
        <v>133</v>
      </c>
      <c r="N289" s="18" t="s">
        <v>118</v>
      </c>
      <c r="O289" s="20">
        <v>119000</v>
      </c>
      <c r="P289" s="20">
        <v>82110</v>
      </c>
      <c r="Q289" s="20">
        <v>1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31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20">
        <v>119000</v>
      </c>
      <c r="AD289" s="20">
        <v>82110</v>
      </c>
      <c r="AE289" s="20">
        <v>0</v>
      </c>
      <c r="AF289" s="20">
        <v>0</v>
      </c>
      <c r="AG289" s="20">
        <v>119000</v>
      </c>
      <c r="AH289" s="20">
        <v>82110</v>
      </c>
      <c r="AI289" s="20">
        <v>33536</v>
      </c>
      <c r="AJ289" s="20">
        <v>3354</v>
      </c>
      <c r="AK289" s="20">
        <v>36890</v>
      </c>
    </row>
    <row r="290" spans="1:37" ht="16.5" customHeight="1" x14ac:dyDescent="0.3">
      <c r="A290" s="18" t="s">
        <v>883</v>
      </c>
      <c r="B290" s="18" t="s">
        <v>107</v>
      </c>
      <c r="C290" s="19" t="s">
        <v>108</v>
      </c>
      <c r="D290" s="18" t="s">
        <v>802</v>
      </c>
      <c r="E290" s="19" t="s">
        <v>803</v>
      </c>
      <c r="F290" s="18" t="s">
        <v>110</v>
      </c>
      <c r="G290" s="18" t="s">
        <v>111</v>
      </c>
      <c r="H290" s="19" t="s">
        <v>112</v>
      </c>
      <c r="I290" s="18" t="s">
        <v>113</v>
      </c>
      <c r="J290" s="19" t="s">
        <v>114</v>
      </c>
      <c r="K290" s="19" t="s">
        <v>115</v>
      </c>
      <c r="L290" s="18" t="s">
        <v>116</v>
      </c>
      <c r="M290" s="18" t="s">
        <v>133</v>
      </c>
      <c r="N290" s="18" t="s">
        <v>118</v>
      </c>
      <c r="O290" s="20">
        <v>119000</v>
      </c>
      <c r="P290" s="20">
        <v>82110</v>
      </c>
      <c r="Q290" s="20">
        <v>1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31</v>
      </c>
      <c r="X290" s="20">
        <v>0</v>
      </c>
      <c r="Y290" s="20">
        <v>0</v>
      </c>
      <c r="Z290" s="20">
        <v>0</v>
      </c>
      <c r="AA290" s="20">
        <v>0</v>
      </c>
      <c r="AB290" s="20">
        <v>5950</v>
      </c>
      <c r="AC290" s="20">
        <v>119000</v>
      </c>
      <c r="AD290" s="20">
        <v>82110</v>
      </c>
      <c r="AE290" s="20">
        <v>0</v>
      </c>
      <c r="AF290" s="20">
        <v>5950</v>
      </c>
      <c r="AG290" s="20">
        <v>113050</v>
      </c>
      <c r="AH290" s="20">
        <v>82110</v>
      </c>
      <c r="AI290" s="20">
        <v>28127</v>
      </c>
      <c r="AJ290" s="20">
        <v>2813</v>
      </c>
      <c r="AK290" s="20">
        <v>30940</v>
      </c>
    </row>
    <row r="291" spans="1:37" ht="16.5" customHeight="1" x14ac:dyDescent="0.3">
      <c r="A291" s="18" t="s">
        <v>886</v>
      </c>
      <c r="B291" s="18" t="s">
        <v>107</v>
      </c>
      <c r="C291" s="19" t="s">
        <v>108</v>
      </c>
      <c r="D291" s="18" t="s">
        <v>726</v>
      </c>
      <c r="E291" s="19" t="s">
        <v>636</v>
      </c>
      <c r="F291" s="18" t="s">
        <v>110</v>
      </c>
      <c r="G291" s="18" t="s">
        <v>111</v>
      </c>
      <c r="H291" s="19" t="s">
        <v>112</v>
      </c>
      <c r="I291" s="18" t="s">
        <v>113</v>
      </c>
      <c r="J291" s="19" t="s">
        <v>114</v>
      </c>
      <c r="K291" s="19" t="s">
        <v>115</v>
      </c>
      <c r="L291" s="18" t="s">
        <v>116</v>
      </c>
      <c r="M291" s="18" t="s">
        <v>133</v>
      </c>
      <c r="N291" s="18" t="s">
        <v>118</v>
      </c>
      <c r="O291" s="20">
        <v>119000</v>
      </c>
      <c r="P291" s="20">
        <v>82110</v>
      </c>
      <c r="Q291" s="20">
        <v>1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31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119000</v>
      </c>
      <c r="AD291" s="20">
        <v>82110</v>
      </c>
      <c r="AE291" s="20">
        <v>0</v>
      </c>
      <c r="AF291" s="20">
        <v>0</v>
      </c>
      <c r="AG291" s="20">
        <v>119000</v>
      </c>
      <c r="AH291" s="20">
        <v>82110</v>
      </c>
      <c r="AI291" s="20">
        <v>33536</v>
      </c>
      <c r="AJ291" s="20">
        <v>3354</v>
      </c>
      <c r="AK291" s="20">
        <v>36890</v>
      </c>
    </row>
    <row r="292" spans="1:37" ht="16.5" customHeight="1" x14ac:dyDescent="0.3">
      <c r="A292" s="18" t="s">
        <v>889</v>
      </c>
      <c r="B292" s="18" t="s">
        <v>107</v>
      </c>
      <c r="C292" s="19" t="s">
        <v>108</v>
      </c>
      <c r="D292" s="18" t="s">
        <v>728</v>
      </c>
      <c r="E292" s="19" t="s">
        <v>729</v>
      </c>
      <c r="F292" s="18" t="s">
        <v>110</v>
      </c>
      <c r="G292" s="18" t="s">
        <v>111</v>
      </c>
      <c r="H292" s="19" t="s">
        <v>112</v>
      </c>
      <c r="I292" s="18" t="s">
        <v>113</v>
      </c>
      <c r="J292" s="19" t="s">
        <v>114</v>
      </c>
      <c r="K292" s="19" t="s">
        <v>115</v>
      </c>
      <c r="L292" s="18" t="s">
        <v>116</v>
      </c>
      <c r="M292" s="18" t="s">
        <v>133</v>
      </c>
      <c r="N292" s="18" t="s">
        <v>118</v>
      </c>
      <c r="O292" s="20">
        <v>119000</v>
      </c>
      <c r="P292" s="20">
        <v>82110</v>
      </c>
      <c r="Q292" s="20">
        <v>1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31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119000</v>
      </c>
      <c r="AD292" s="20">
        <v>82110</v>
      </c>
      <c r="AE292" s="20">
        <v>0</v>
      </c>
      <c r="AF292" s="20">
        <v>0</v>
      </c>
      <c r="AG292" s="20">
        <v>119000</v>
      </c>
      <c r="AH292" s="20">
        <v>82110</v>
      </c>
      <c r="AI292" s="20">
        <v>33536</v>
      </c>
      <c r="AJ292" s="20">
        <v>3354</v>
      </c>
      <c r="AK292" s="20">
        <v>36890</v>
      </c>
    </row>
    <row r="293" spans="1:37" ht="16.5" customHeight="1" x14ac:dyDescent="0.3">
      <c r="A293" s="18" t="s">
        <v>892</v>
      </c>
      <c r="B293" s="18" t="s">
        <v>107</v>
      </c>
      <c r="C293" s="19" t="s">
        <v>108</v>
      </c>
      <c r="D293" s="18" t="s">
        <v>805</v>
      </c>
      <c r="E293" s="19" t="s">
        <v>169</v>
      </c>
      <c r="F293" s="18" t="s">
        <v>110</v>
      </c>
      <c r="G293" s="18" t="s">
        <v>111</v>
      </c>
      <c r="H293" s="19" t="s">
        <v>112</v>
      </c>
      <c r="I293" s="18" t="s">
        <v>113</v>
      </c>
      <c r="J293" s="19" t="s">
        <v>114</v>
      </c>
      <c r="K293" s="19" t="s">
        <v>115</v>
      </c>
      <c r="L293" s="18" t="s">
        <v>116</v>
      </c>
      <c r="M293" s="18" t="s">
        <v>133</v>
      </c>
      <c r="N293" s="18" t="s">
        <v>118</v>
      </c>
      <c r="O293" s="20">
        <v>119000</v>
      </c>
      <c r="P293" s="20">
        <v>82110</v>
      </c>
      <c r="Q293" s="20">
        <v>1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31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119000</v>
      </c>
      <c r="AD293" s="20">
        <v>82110</v>
      </c>
      <c r="AE293" s="20">
        <v>0</v>
      </c>
      <c r="AF293" s="20">
        <v>0</v>
      </c>
      <c r="AG293" s="20">
        <v>119000</v>
      </c>
      <c r="AH293" s="20">
        <v>82110</v>
      </c>
      <c r="AI293" s="20">
        <v>33536</v>
      </c>
      <c r="AJ293" s="20">
        <v>3354</v>
      </c>
      <c r="AK293" s="20">
        <v>36890</v>
      </c>
    </row>
    <row r="294" spans="1:37" ht="16.5" customHeight="1" x14ac:dyDescent="0.3">
      <c r="A294" s="18" t="s">
        <v>894</v>
      </c>
      <c r="B294" s="18" t="s">
        <v>107</v>
      </c>
      <c r="C294" s="19" t="s">
        <v>108</v>
      </c>
      <c r="D294" s="18" t="s">
        <v>681</v>
      </c>
      <c r="E294" s="19" t="s">
        <v>232</v>
      </c>
      <c r="F294" s="18" t="s">
        <v>110</v>
      </c>
      <c r="G294" s="18" t="s">
        <v>111</v>
      </c>
      <c r="H294" s="19" t="s">
        <v>112</v>
      </c>
      <c r="I294" s="18" t="s">
        <v>113</v>
      </c>
      <c r="J294" s="19" t="s">
        <v>114</v>
      </c>
      <c r="K294" s="19" t="s">
        <v>115</v>
      </c>
      <c r="L294" s="18" t="s">
        <v>116</v>
      </c>
      <c r="M294" s="18" t="s">
        <v>133</v>
      </c>
      <c r="N294" s="18" t="s">
        <v>118</v>
      </c>
      <c r="O294" s="20">
        <v>119000</v>
      </c>
      <c r="P294" s="20">
        <v>82110</v>
      </c>
      <c r="Q294" s="20">
        <v>1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31</v>
      </c>
      <c r="X294" s="20">
        <v>17850</v>
      </c>
      <c r="Y294" s="20">
        <v>0</v>
      </c>
      <c r="Z294" s="20">
        <v>0</v>
      </c>
      <c r="AA294" s="20">
        <v>0</v>
      </c>
      <c r="AB294" s="20">
        <v>0</v>
      </c>
      <c r="AC294" s="20">
        <v>119000</v>
      </c>
      <c r="AD294" s="20">
        <v>82110</v>
      </c>
      <c r="AE294" s="20">
        <v>0</v>
      </c>
      <c r="AF294" s="20">
        <v>17850</v>
      </c>
      <c r="AG294" s="20">
        <v>101150</v>
      </c>
      <c r="AH294" s="20">
        <v>82110</v>
      </c>
      <c r="AI294" s="20">
        <v>17309</v>
      </c>
      <c r="AJ294" s="20">
        <v>1731</v>
      </c>
      <c r="AK294" s="20">
        <v>19040</v>
      </c>
    </row>
    <row r="295" spans="1:37" ht="16.5" customHeight="1" x14ac:dyDescent="0.3">
      <c r="A295" s="18" t="s">
        <v>896</v>
      </c>
      <c r="B295" s="18" t="s">
        <v>107</v>
      </c>
      <c r="C295" s="19" t="s">
        <v>108</v>
      </c>
      <c r="D295" s="18" t="s">
        <v>702</v>
      </c>
      <c r="E295" s="19" t="s">
        <v>703</v>
      </c>
      <c r="F295" s="18" t="s">
        <v>110</v>
      </c>
      <c r="G295" s="18" t="s">
        <v>111</v>
      </c>
      <c r="H295" s="19" t="s">
        <v>112</v>
      </c>
      <c r="I295" s="18" t="s">
        <v>113</v>
      </c>
      <c r="J295" s="19" t="s">
        <v>114</v>
      </c>
      <c r="K295" s="19" t="s">
        <v>115</v>
      </c>
      <c r="L295" s="18" t="s">
        <v>116</v>
      </c>
      <c r="M295" s="18" t="s">
        <v>133</v>
      </c>
      <c r="N295" s="18" t="s">
        <v>118</v>
      </c>
      <c r="O295" s="20">
        <v>119000</v>
      </c>
      <c r="P295" s="20">
        <v>82110</v>
      </c>
      <c r="Q295" s="20">
        <v>1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31</v>
      </c>
      <c r="X295" s="20">
        <v>22610</v>
      </c>
      <c r="Y295" s="20">
        <v>0</v>
      </c>
      <c r="Z295" s="20">
        <v>0</v>
      </c>
      <c r="AA295" s="20">
        <v>0</v>
      </c>
      <c r="AB295" s="20">
        <v>0</v>
      </c>
      <c r="AC295" s="20">
        <v>119000</v>
      </c>
      <c r="AD295" s="20">
        <v>82110</v>
      </c>
      <c r="AE295" s="20">
        <v>0</v>
      </c>
      <c r="AF295" s="20">
        <v>22610</v>
      </c>
      <c r="AG295" s="20">
        <v>96390</v>
      </c>
      <c r="AH295" s="20">
        <v>82110</v>
      </c>
      <c r="AI295" s="20">
        <v>12982</v>
      </c>
      <c r="AJ295" s="20">
        <v>1298</v>
      </c>
      <c r="AK295" s="20">
        <v>14280</v>
      </c>
    </row>
    <row r="296" spans="1:37" ht="16.5" customHeight="1" x14ac:dyDescent="0.3">
      <c r="A296" s="18" t="s">
        <v>898</v>
      </c>
      <c r="B296" s="18" t="s">
        <v>107</v>
      </c>
      <c r="C296" s="19" t="s">
        <v>108</v>
      </c>
      <c r="D296" s="18" t="s">
        <v>813</v>
      </c>
      <c r="E296" s="19" t="s">
        <v>644</v>
      </c>
      <c r="F296" s="18" t="s">
        <v>110</v>
      </c>
      <c r="G296" s="18" t="s">
        <v>111</v>
      </c>
      <c r="H296" s="19" t="s">
        <v>112</v>
      </c>
      <c r="I296" s="18" t="s">
        <v>113</v>
      </c>
      <c r="J296" s="19" t="s">
        <v>114</v>
      </c>
      <c r="K296" s="19" t="s">
        <v>115</v>
      </c>
      <c r="L296" s="18" t="s">
        <v>116</v>
      </c>
      <c r="M296" s="18" t="s">
        <v>133</v>
      </c>
      <c r="N296" s="18" t="s">
        <v>118</v>
      </c>
      <c r="O296" s="20">
        <v>119000</v>
      </c>
      <c r="P296" s="20">
        <v>82110</v>
      </c>
      <c r="Q296" s="20">
        <v>1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31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119000</v>
      </c>
      <c r="AD296" s="20">
        <v>82110</v>
      </c>
      <c r="AE296" s="20">
        <v>0</v>
      </c>
      <c r="AF296" s="20">
        <v>0</v>
      </c>
      <c r="AG296" s="20">
        <v>119000</v>
      </c>
      <c r="AH296" s="20">
        <v>82110</v>
      </c>
      <c r="AI296" s="20">
        <v>33536</v>
      </c>
      <c r="AJ296" s="20">
        <v>3354</v>
      </c>
      <c r="AK296" s="20">
        <v>36890</v>
      </c>
    </row>
    <row r="297" spans="1:37" ht="16.5" customHeight="1" x14ac:dyDescent="0.3">
      <c r="A297" s="18" t="s">
        <v>901</v>
      </c>
      <c r="B297" s="18" t="s">
        <v>107</v>
      </c>
      <c r="C297" s="19" t="s">
        <v>108</v>
      </c>
      <c r="D297" s="18" t="s">
        <v>583</v>
      </c>
      <c r="E297" s="19" t="s">
        <v>584</v>
      </c>
      <c r="F297" s="18" t="s">
        <v>110</v>
      </c>
      <c r="G297" s="18" t="s">
        <v>111</v>
      </c>
      <c r="H297" s="19" t="s">
        <v>112</v>
      </c>
      <c r="I297" s="18" t="s">
        <v>113</v>
      </c>
      <c r="J297" s="19" t="s">
        <v>114</v>
      </c>
      <c r="K297" s="19" t="s">
        <v>115</v>
      </c>
      <c r="L297" s="18" t="s">
        <v>116</v>
      </c>
      <c r="M297" s="18" t="s">
        <v>133</v>
      </c>
      <c r="N297" s="18" t="s">
        <v>118</v>
      </c>
      <c r="O297" s="20">
        <v>119000</v>
      </c>
      <c r="P297" s="20">
        <v>82110</v>
      </c>
      <c r="Q297" s="20">
        <v>1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31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119000</v>
      </c>
      <c r="AD297" s="20">
        <v>82110</v>
      </c>
      <c r="AE297" s="20">
        <v>0</v>
      </c>
      <c r="AF297" s="20">
        <v>0</v>
      </c>
      <c r="AG297" s="20">
        <v>119000</v>
      </c>
      <c r="AH297" s="20">
        <v>82110</v>
      </c>
      <c r="AI297" s="20">
        <v>33536</v>
      </c>
      <c r="AJ297" s="20">
        <v>3354</v>
      </c>
      <c r="AK297" s="20">
        <v>36890</v>
      </c>
    </row>
    <row r="298" spans="1:37" ht="16.5" customHeight="1" x14ac:dyDescent="0.3">
      <c r="A298" s="18" t="s">
        <v>904</v>
      </c>
      <c r="B298" s="18" t="s">
        <v>107</v>
      </c>
      <c r="C298" s="19" t="s">
        <v>108</v>
      </c>
      <c r="D298" s="18" t="s">
        <v>583</v>
      </c>
      <c r="E298" s="19" t="s">
        <v>584</v>
      </c>
      <c r="F298" s="18" t="s">
        <v>110</v>
      </c>
      <c r="G298" s="18" t="s">
        <v>111</v>
      </c>
      <c r="H298" s="19" t="s">
        <v>112</v>
      </c>
      <c r="I298" s="18" t="s">
        <v>113</v>
      </c>
      <c r="J298" s="19" t="s">
        <v>114</v>
      </c>
      <c r="K298" s="19" t="s">
        <v>115</v>
      </c>
      <c r="L298" s="18" t="s">
        <v>116</v>
      </c>
      <c r="M298" s="18" t="s">
        <v>133</v>
      </c>
      <c r="N298" s="18" t="s">
        <v>118</v>
      </c>
      <c r="O298" s="20">
        <v>119000</v>
      </c>
      <c r="P298" s="20">
        <v>82110</v>
      </c>
      <c r="Q298" s="20">
        <v>1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31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119000</v>
      </c>
      <c r="AD298" s="20">
        <v>82110</v>
      </c>
      <c r="AE298" s="20">
        <v>0</v>
      </c>
      <c r="AF298" s="20">
        <v>0</v>
      </c>
      <c r="AG298" s="20">
        <v>119000</v>
      </c>
      <c r="AH298" s="20">
        <v>82110</v>
      </c>
      <c r="AI298" s="20">
        <v>33536</v>
      </c>
      <c r="AJ298" s="20">
        <v>3354</v>
      </c>
      <c r="AK298" s="20">
        <v>36890</v>
      </c>
    </row>
    <row r="299" spans="1:37" ht="16.5" customHeight="1" x14ac:dyDescent="0.3">
      <c r="A299" s="18" t="s">
        <v>907</v>
      </c>
      <c r="B299" s="18" t="s">
        <v>107</v>
      </c>
      <c r="C299" s="19" t="s">
        <v>108</v>
      </c>
      <c r="D299" s="18" t="s">
        <v>587</v>
      </c>
      <c r="E299" s="19" t="s">
        <v>205</v>
      </c>
      <c r="F299" s="18" t="s">
        <v>110</v>
      </c>
      <c r="G299" s="18" t="s">
        <v>111</v>
      </c>
      <c r="H299" s="19" t="s">
        <v>112</v>
      </c>
      <c r="I299" s="18" t="s">
        <v>113</v>
      </c>
      <c r="J299" s="19" t="s">
        <v>114</v>
      </c>
      <c r="K299" s="19" t="s">
        <v>115</v>
      </c>
      <c r="L299" s="18" t="s">
        <v>116</v>
      </c>
      <c r="M299" s="18" t="s">
        <v>133</v>
      </c>
      <c r="N299" s="18" t="s">
        <v>118</v>
      </c>
      <c r="O299" s="20">
        <v>119000</v>
      </c>
      <c r="P299" s="20">
        <v>82110</v>
      </c>
      <c r="Q299" s="20">
        <v>1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31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119000</v>
      </c>
      <c r="AD299" s="20">
        <v>82110</v>
      </c>
      <c r="AE299" s="20">
        <v>0</v>
      </c>
      <c r="AF299" s="20">
        <v>0</v>
      </c>
      <c r="AG299" s="20">
        <v>119000</v>
      </c>
      <c r="AH299" s="20">
        <v>82110</v>
      </c>
      <c r="AI299" s="20">
        <v>33536</v>
      </c>
      <c r="AJ299" s="20">
        <v>3354</v>
      </c>
      <c r="AK299" s="20">
        <v>36890</v>
      </c>
    </row>
    <row r="300" spans="1:37" ht="16.5" customHeight="1" x14ac:dyDescent="0.3">
      <c r="A300" s="18" t="s">
        <v>910</v>
      </c>
      <c r="B300" s="18" t="s">
        <v>107</v>
      </c>
      <c r="C300" s="19" t="s">
        <v>108</v>
      </c>
      <c r="D300" s="18" t="s">
        <v>589</v>
      </c>
      <c r="E300" s="19" t="s">
        <v>590</v>
      </c>
      <c r="F300" s="18" t="s">
        <v>110</v>
      </c>
      <c r="G300" s="18" t="s">
        <v>111</v>
      </c>
      <c r="H300" s="19" t="s">
        <v>112</v>
      </c>
      <c r="I300" s="18" t="s">
        <v>113</v>
      </c>
      <c r="J300" s="19" t="s">
        <v>114</v>
      </c>
      <c r="K300" s="19" t="s">
        <v>115</v>
      </c>
      <c r="L300" s="18" t="s">
        <v>116</v>
      </c>
      <c r="M300" s="18" t="s">
        <v>133</v>
      </c>
      <c r="N300" s="18" t="s">
        <v>118</v>
      </c>
      <c r="O300" s="20">
        <v>119000</v>
      </c>
      <c r="P300" s="20">
        <v>82110</v>
      </c>
      <c r="Q300" s="20">
        <v>1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31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119000</v>
      </c>
      <c r="AD300" s="20">
        <v>82110</v>
      </c>
      <c r="AE300" s="20">
        <v>0</v>
      </c>
      <c r="AF300" s="20">
        <v>0</v>
      </c>
      <c r="AG300" s="20">
        <v>119000</v>
      </c>
      <c r="AH300" s="20">
        <v>82110</v>
      </c>
      <c r="AI300" s="20">
        <v>33536</v>
      </c>
      <c r="AJ300" s="20">
        <v>3354</v>
      </c>
      <c r="AK300" s="20">
        <v>36890</v>
      </c>
    </row>
    <row r="301" spans="1:37" ht="16.5" customHeight="1" x14ac:dyDescent="0.3">
      <c r="A301" s="18" t="s">
        <v>912</v>
      </c>
      <c r="B301" s="18" t="s">
        <v>107</v>
      </c>
      <c r="C301" s="19" t="s">
        <v>108</v>
      </c>
      <c r="D301" s="18" t="s">
        <v>857</v>
      </c>
      <c r="E301" s="19" t="s">
        <v>235</v>
      </c>
      <c r="F301" s="18" t="s">
        <v>110</v>
      </c>
      <c r="G301" s="18" t="s">
        <v>111</v>
      </c>
      <c r="H301" s="19" t="s">
        <v>112</v>
      </c>
      <c r="I301" s="18" t="s">
        <v>113</v>
      </c>
      <c r="J301" s="19" t="s">
        <v>114</v>
      </c>
      <c r="K301" s="19" t="s">
        <v>115</v>
      </c>
      <c r="L301" s="18" t="s">
        <v>116</v>
      </c>
      <c r="M301" s="18" t="s">
        <v>133</v>
      </c>
      <c r="N301" s="18" t="s">
        <v>118</v>
      </c>
      <c r="O301" s="20">
        <v>119000</v>
      </c>
      <c r="P301" s="20">
        <v>82110</v>
      </c>
      <c r="Q301" s="20">
        <v>1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v>31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119000</v>
      </c>
      <c r="AD301" s="20">
        <v>82110</v>
      </c>
      <c r="AE301" s="20">
        <v>0</v>
      </c>
      <c r="AF301" s="20">
        <v>0</v>
      </c>
      <c r="AG301" s="20">
        <v>119000</v>
      </c>
      <c r="AH301" s="20">
        <v>82110</v>
      </c>
      <c r="AI301" s="20">
        <v>33536</v>
      </c>
      <c r="AJ301" s="20">
        <v>3354</v>
      </c>
      <c r="AK301" s="20">
        <v>36890</v>
      </c>
    </row>
    <row r="302" spans="1:37" ht="16.5" customHeight="1" x14ac:dyDescent="0.3">
      <c r="A302" s="18" t="s">
        <v>915</v>
      </c>
      <c r="B302" s="18" t="s">
        <v>107</v>
      </c>
      <c r="C302" s="19" t="s">
        <v>108</v>
      </c>
      <c r="D302" s="18" t="s">
        <v>592</v>
      </c>
      <c r="E302" s="19" t="s">
        <v>593</v>
      </c>
      <c r="F302" s="18" t="s">
        <v>110</v>
      </c>
      <c r="G302" s="18" t="s">
        <v>111</v>
      </c>
      <c r="H302" s="19" t="s">
        <v>112</v>
      </c>
      <c r="I302" s="18" t="s">
        <v>113</v>
      </c>
      <c r="J302" s="19" t="s">
        <v>114</v>
      </c>
      <c r="K302" s="19" t="s">
        <v>115</v>
      </c>
      <c r="L302" s="18" t="s">
        <v>116</v>
      </c>
      <c r="M302" s="18" t="s">
        <v>133</v>
      </c>
      <c r="N302" s="18" t="s">
        <v>118</v>
      </c>
      <c r="O302" s="20">
        <v>119000</v>
      </c>
      <c r="P302" s="20">
        <v>82110</v>
      </c>
      <c r="Q302" s="20">
        <v>1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31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119000</v>
      </c>
      <c r="AD302" s="20">
        <v>82110</v>
      </c>
      <c r="AE302" s="20">
        <v>0</v>
      </c>
      <c r="AF302" s="20">
        <v>0</v>
      </c>
      <c r="AG302" s="20">
        <v>119000</v>
      </c>
      <c r="AH302" s="20">
        <v>82110</v>
      </c>
      <c r="AI302" s="20">
        <v>33536</v>
      </c>
      <c r="AJ302" s="20">
        <v>3354</v>
      </c>
      <c r="AK302" s="20">
        <v>36890</v>
      </c>
    </row>
    <row r="303" spans="1:37" ht="16.5" customHeight="1" x14ac:dyDescent="0.3">
      <c r="A303" s="18" t="s">
        <v>917</v>
      </c>
      <c r="B303" s="18" t="s">
        <v>107</v>
      </c>
      <c r="C303" s="19" t="s">
        <v>108</v>
      </c>
      <c r="D303" s="18" t="s">
        <v>598</v>
      </c>
      <c r="E303" s="19" t="s">
        <v>599</v>
      </c>
      <c r="F303" s="18" t="s">
        <v>110</v>
      </c>
      <c r="G303" s="18" t="s">
        <v>111</v>
      </c>
      <c r="H303" s="19" t="s">
        <v>112</v>
      </c>
      <c r="I303" s="18" t="s">
        <v>113</v>
      </c>
      <c r="J303" s="19" t="s">
        <v>114</v>
      </c>
      <c r="K303" s="19" t="s">
        <v>123</v>
      </c>
      <c r="L303" s="18" t="s">
        <v>116</v>
      </c>
      <c r="M303" s="18" t="s">
        <v>133</v>
      </c>
      <c r="N303" s="18" t="s">
        <v>118</v>
      </c>
      <c r="O303" s="20">
        <v>119000</v>
      </c>
      <c r="P303" s="20">
        <v>82110</v>
      </c>
      <c r="Q303" s="20">
        <v>1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v>31</v>
      </c>
      <c r="X303" s="20">
        <v>0</v>
      </c>
      <c r="Y303" s="20">
        <v>5950</v>
      </c>
      <c r="Z303" s="20">
        <v>0</v>
      </c>
      <c r="AA303" s="20">
        <v>0</v>
      </c>
      <c r="AB303" s="20">
        <v>0</v>
      </c>
      <c r="AC303" s="20">
        <v>119000</v>
      </c>
      <c r="AD303" s="20">
        <v>82110</v>
      </c>
      <c r="AE303" s="20">
        <v>0</v>
      </c>
      <c r="AF303" s="20">
        <v>5950</v>
      </c>
      <c r="AG303" s="20">
        <v>113050</v>
      </c>
      <c r="AH303" s="20">
        <v>82110</v>
      </c>
      <c r="AI303" s="20">
        <v>28127</v>
      </c>
      <c r="AJ303" s="20">
        <v>2813</v>
      </c>
      <c r="AK303" s="20">
        <v>30940</v>
      </c>
    </row>
    <row r="304" spans="1:37" ht="16.5" customHeight="1" x14ac:dyDescent="0.3">
      <c r="A304" s="18" t="s">
        <v>920</v>
      </c>
      <c r="B304" s="18" t="s">
        <v>107</v>
      </c>
      <c r="C304" s="19" t="s">
        <v>108</v>
      </c>
      <c r="D304" s="18" t="s">
        <v>601</v>
      </c>
      <c r="E304" s="19" t="s">
        <v>136</v>
      </c>
      <c r="F304" s="18" t="s">
        <v>110</v>
      </c>
      <c r="G304" s="18" t="s">
        <v>111</v>
      </c>
      <c r="H304" s="19" t="s">
        <v>112</v>
      </c>
      <c r="I304" s="18" t="s">
        <v>113</v>
      </c>
      <c r="J304" s="19" t="s">
        <v>114</v>
      </c>
      <c r="K304" s="19" t="s">
        <v>123</v>
      </c>
      <c r="L304" s="18" t="s">
        <v>116</v>
      </c>
      <c r="M304" s="18" t="s">
        <v>133</v>
      </c>
      <c r="N304" s="18" t="s">
        <v>118</v>
      </c>
      <c r="O304" s="20">
        <v>119000</v>
      </c>
      <c r="P304" s="20">
        <v>82110</v>
      </c>
      <c r="Q304" s="20">
        <v>1</v>
      </c>
      <c r="R304" s="20">
        <v>0</v>
      </c>
      <c r="S304" s="20">
        <v>0</v>
      </c>
      <c r="T304" s="20">
        <v>0</v>
      </c>
      <c r="U304" s="20">
        <v>0</v>
      </c>
      <c r="V304" s="20">
        <v>0</v>
      </c>
      <c r="W304" s="20">
        <v>31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119000</v>
      </c>
      <c r="AD304" s="20">
        <v>82110</v>
      </c>
      <c r="AE304" s="20">
        <v>0</v>
      </c>
      <c r="AF304" s="20">
        <v>0</v>
      </c>
      <c r="AG304" s="20">
        <v>119000</v>
      </c>
      <c r="AH304" s="20">
        <v>82110</v>
      </c>
      <c r="AI304" s="20">
        <v>33536</v>
      </c>
      <c r="AJ304" s="20">
        <v>3354</v>
      </c>
      <c r="AK304" s="20">
        <v>36890</v>
      </c>
    </row>
    <row r="305" spans="1:37" ht="16.5" customHeight="1" x14ac:dyDescent="0.3">
      <c r="A305" s="18" t="s">
        <v>923</v>
      </c>
      <c r="B305" s="18" t="s">
        <v>107</v>
      </c>
      <c r="C305" s="19" t="s">
        <v>108</v>
      </c>
      <c r="D305" s="18" t="s">
        <v>603</v>
      </c>
      <c r="E305" s="19" t="s">
        <v>604</v>
      </c>
      <c r="F305" s="18" t="s">
        <v>110</v>
      </c>
      <c r="G305" s="18" t="s">
        <v>111</v>
      </c>
      <c r="H305" s="19" t="s">
        <v>112</v>
      </c>
      <c r="I305" s="18" t="s">
        <v>113</v>
      </c>
      <c r="J305" s="19" t="s">
        <v>114</v>
      </c>
      <c r="K305" s="19" t="s">
        <v>151</v>
      </c>
      <c r="L305" s="18" t="s">
        <v>116</v>
      </c>
      <c r="M305" s="18" t="s">
        <v>133</v>
      </c>
      <c r="N305" s="18" t="s">
        <v>118</v>
      </c>
      <c r="O305" s="20">
        <v>119000</v>
      </c>
      <c r="P305" s="20">
        <v>82110</v>
      </c>
      <c r="Q305" s="20">
        <v>1</v>
      </c>
      <c r="R305" s="20">
        <v>0</v>
      </c>
      <c r="S305" s="20">
        <v>0</v>
      </c>
      <c r="T305" s="20">
        <v>0</v>
      </c>
      <c r="U305" s="20">
        <v>0</v>
      </c>
      <c r="V305" s="20">
        <v>0</v>
      </c>
      <c r="W305" s="20">
        <v>31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119000</v>
      </c>
      <c r="AD305" s="20">
        <v>82110</v>
      </c>
      <c r="AE305" s="20">
        <v>0</v>
      </c>
      <c r="AF305" s="20">
        <v>0</v>
      </c>
      <c r="AG305" s="20">
        <v>119000</v>
      </c>
      <c r="AH305" s="20">
        <v>82110</v>
      </c>
      <c r="AI305" s="20">
        <v>33536</v>
      </c>
      <c r="AJ305" s="20">
        <v>3354</v>
      </c>
      <c r="AK305" s="20">
        <v>36890</v>
      </c>
    </row>
    <row r="306" spans="1:37" ht="16.5" customHeight="1" x14ac:dyDescent="0.3">
      <c r="A306" s="18" t="s">
        <v>926</v>
      </c>
      <c r="B306" s="18" t="s">
        <v>107</v>
      </c>
      <c r="C306" s="19" t="s">
        <v>108</v>
      </c>
      <c r="D306" s="18" t="s">
        <v>606</v>
      </c>
      <c r="E306" s="19" t="s">
        <v>607</v>
      </c>
      <c r="F306" s="18" t="s">
        <v>110</v>
      </c>
      <c r="G306" s="18" t="s">
        <v>111</v>
      </c>
      <c r="H306" s="19" t="s">
        <v>112</v>
      </c>
      <c r="I306" s="18" t="s">
        <v>113</v>
      </c>
      <c r="J306" s="19" t="s">
        <v>114</v>
      </c>
      <c r="K306" s="19" t="s">
        <v>115</v>
      </c>
      <c r="L306" s="18" t="s">
        <v>116</v>
      </c>
      <c r="M306" s="18" t="s">
        <v>133</v>
      </c>
      <c r="N306" s="18" t="s">
        <v>118</v>
      </c>
      <c r="O306" s="20">
        <v>119000</v>
      </c>
      <c r="P306" s="20">
        <v>82110</v>
      </c>
      <c r="Q306" s="20">
        <v>1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31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119000</v>
      </c>
      <c r="AD306" s="20">
        <v>82110</v>
      </c>
      <c r="AE306" s="20">
        <v>0</v>
      </c>
      <c r="AF306" s="20">
        <v>0</v>
      </c>
      <c r="AG306" s="20">
        <v>119000</v>
      </c>
      <c r="AH306" s="20">
        <v>82110</v>
      </c>
      <c r="AI306" s="20">
        <v>33536</v>
      </c>
      <c r="AJ306" s="20">
        <v>3354</v>
      </c>
      <c r="AK306" s="20">
        <v>36890</v>
      </c>
    </row>
    <row r="307" spans="1:37" ht="16.5" customHeight="1" x14ac:dyDescent="0.3">
      <c r="A307" s="18" t="s">
        <v>929</v>
      </c>
      <c r="B307" s="18" t="s">
        <v>107</v>
      </c>
      <c r="C307" s="19" t="s">
        <v>108</v>
      </c>
      <c r="D307" s="18" t="s">
        <v>761</v>
      </c>
      <c r="E307" s="19" t="s">
        <v>762</v>
      </c>
      <c r="F307" s="18" t="s">
        <v>110</v>
      </c>
      <c r="G307" s="18" t="s">
        <v>111</v>
      </c>
      <c r="H307" s="19" t="s">
        <v>112</v>
      </c>
      <c r="I307" s="18" t="s">
        <v>113</v>
      </c>
      <c r="J307" s="19" t="s">
        <v>114</v>
      </c>
      <c r="K307" s="19" t="s">
        <v>115</v>
      </c>
      <c r="L307" s="18" t="s">
        <v>116</v>
      </c>
      <c r="M307" s="18" t="s">
        <v>133</v>
      </c>
      <c r="N307" s="18" t="s">
        <v>118</v>
      </c>
      <c r="O307" s="20">
        <v>119000</v>
      </c>
      <c r="P307" s="20">
        <v>82110</v>
      </c>
      <c r="Q307" s="20">
        <v>1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31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119000</v>
      </c>
      <c r="AD307" s="20">
        <v>82110</v>
      </c>
      <c r="AE307" s="20">
        <v>0</v>
      </c>
      <c r="AF307" s="20">
        <v>0</v>
      </c>
      <c r="AG307" s="20">
        <v>119000</v>
      </c>
      <c r="AH307" s="20">
        <v>82110</v>
      </c>
      <c r="AI307" s="20">
        <v>33536</v>
      </c>
      <c r="AJ307" s="20">
        <v>3354</v>
      </c>
      <c r="AK307" s="20">
        <v>36890</v>
      </c>
    </row>
    <row r="308" spans="1:37" ht="16.5" customHeight="1" x14ac:dyDescent="0.3">
      <c r="A308" s="18" t="s">
        <v>932</v>
      </c>
      <c r="B308" s="18" t="s">
        <v>107</v>
      </c>
      <c r="C308" s="19" t="s">
        <v>108</v>
      </c>
      <c r="D308" s="18" t="s">
        <v>635</v>
      </c>
      <c r="E308" s="19" t="s">
        <v>636</v>
      </c>
      <c r="F308" s="18" t="s">
        <v>110</v>
      </c>
      <c r="G308" s="18" t="s">
        <v>111</v>
      </c>
      <c r="H308" s="19" t="s">
        <v>112</v>
      </c>
      <c r="I308" s="18" t="s">
        <v>113</v>
      </c>
      <c r="J308" s="19" t="s">
        <v>114</v>
      </c>
      <c r="K308" s="19" t="s">
        <v>151</v>
      </c>
      <c r="L308" s="18" t="s">
        <v>116</v>
      </c>
      <c r="M308" s="18" t="s">
        <v>133</v>
      </c>
      <c r="N308" s="18" t="s">
        <v>118</v>
      </c>
      <c r="O308" s="20">
        <v>119000</v>
      </c>
      <c r="P308" s="20">
        <v>82110</v>
      </c>
      <c r="Q308" s="20">
        <v>1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31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119000</v>
      </c>
      <c r="AD308" s="20">
        <v>82110</v>
      </c>
      <c r="AE308" s="20">
        <v>0</v>
      </c>
      <c r="AF308" s="20">
        <v>0</v>
      </c>
      <c r="AG308" s="20">
        <v>119000</v>
      </c>
      <c r="AH308" s="20">
        <v>82110</v>
      </c>
      <c r="AI308" s="20">
        <v>33536</v>
      </c>
      <c r="AJ308" s="20">
        <v>3354</v>
      </c>
      <c r="AK308" s="20">
        <v>36890</v>
      </c>
    </row>
    <row r="309" spans="1:37" ht="16.5" customHeight="1" x14ac:dyDescent="0.3">
      <c r="A309" s="18" t="s">
        <v>935</v>
      </c>
      <c r="B309" s="18" t="s">
        <v>107</v>
      </c>
      <c r="C309" s="19" t="s">
        <v>108</v>
      </c>
      <c r="D309" s="18" t="s">
        <v>551</v>
      </c>
      <c r="E309" s="19" t="s">
        <v>552</v>
      </c>
      <c r="F309" s="18" t="s">
        <v>110</v>
      </c>
      <c r="G309" s="18" t="s">
        <v>111</v>
      </c>
      <c r="H309" s="19" t="s">
        <v>112</v>
      </c>
      <c r="I309" s="18" t="s">
        <v>113</v>
      </c>
      <c r="J309" s="19" t="s">
        <v>114</v>
      </c>
      <c r="K309" s="19" t="s">
        <v>115</v>
      </c>
      <c r="L309" s="18" t="s">
        <v>116</v>
      </c>
      <c r="M309" s="18" t="s">
        <v>133</v>
      </c>
      <c r="N309" s="18" t="s">
        <v>118</v>
      </c>
      <c r="O309" s="20">
        <v>119000</v>
      </c>
      <c r="P309" s="20">
        <v>82110</v>
      </c>
      <c r="Q309" s="20">
        <v>1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31</v>
      </c>
      <c r="X309" s="20">
        <v>0</v>
      </c>
      <c r="Y309" s="20">
        <v>10000</v>
      </c>
      <c r="Z309" s="20">
        <v>0</v>
      </c>
      <c r="AA309" s="20">
        <v>0</v>
      </c>
      <c r="AB309" s="20">
        <v>0</v>
      </c>
      <c r="AC309" s="20">
        <v>119000</v>
      </c>
      <c r="AD309" s="20">
        <v>82110</v>
      </c>
      <c r="AE309" s="20">
        <v>0</v>
      </c>
      <c r="AF309" s="20">
        <v>10000</v>
      </c>
      <c r="AG309" s="20">
        <v>109000</v>
      </c>
      <c r="AH309" s="20">
        <v>82110</v>
      </c>
      <c r="AI309" s="20">
        <v>24445</v>
      </c>
      <c r="AJ309" s="20">
        <v>2445</v>
      </c>
      <c r="AK309" s="20">
        <v>26890</v>
      </c>
    </row>
    <row r="310" spans="1:37" ht="16.5" customHeight="1" x14ac:dyDescent="0.3">
      <c r="A310" s="18" t="s">
        <v>937</v>
      </c>
      <c r="B310" s="18" t="s">
        <v>107</v>
      </c>
      <c r="C310" s="19" t="s">
        <v>108</v>
      </c>
      <c r="D310" s="18" t="s">
        <v>574</v>
      </c>
      <c r="E310" s="19" t="s">
        <v>575</v>
      </c>
      <c r="F310" s="18" t="s">
        <v>110</v>
      </c>
      <c r="G310" s="18" t="s">
        <v>111</v>
      </c>
      <c r="H310" s="19" t="s">
        <v>112</v>
      </c>
      <c r="I310" s="18" t="s">
        <v>113</v>
      </c>
      <c r="J310" s="19" t="s">
        <v>114</v>
      </c>
      <c r="K310" s="19" t="s">
        <v>115</v>
      </c>
      <c r="L310" s="18" t="s">
        <v>116</v>
      </c>
      <c r="M310" s="18" t="s">
        <v>133</v>
      </c>
      <c r="N310" s="18" t="s">
        <v>118</v>
      </c>
      <c r="O310" s="20">
        <v>119000</v>
      </c>
      <c r="P310" s="20">
        <v>82110</v>
      </c>
      <c r="Q310" s="20">
        <v>1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v>31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119000</v>
      </c>
      <c r="AD310" s="20">
        <v>82110</v>
      </c>
      <c r="AE310" s="20">
        <v>0</v>
      </c>
      <c r="AF310" s="20">
        <v>0</v>
      </c>
      <c r="AG310" s="20">
        <v>119000</v>
      </c>
      <c r="AH310" s="20">
        <v>82110</v>
      </c>
      <c r="AI310" s="20">
        <v>33536</v>
      </c>
      <c r="AJ310" s="20">
        <v>3354</v>
      </c>
      <c r="AK310" s="20">
        <v>36890</v>
      </c>
    </row>
    <row r="311" spans="1:37" ht="16.5" customHeight="1" x14ac:dyDescent="0.3">
      <c r="A311" s="18" t="s">
        <v>940</v>
      </c>
      <c r="B311" s="18" t="s">
        <v>107</v>
      </c>
      <c r="C311" s="19" t="s">
        <v>108</v>
      </c>
      <c r="D311" s="18" t="s">
        <v>330</v>
      </c>
      <c r="E311" s="19" t="s">
        <v>331</v>
      </c>
      <c r="F311" s="18" t="s">
        <v>110</v>
      </c>
      <c r="G311" s="18" t="s">
        <v>111</v>
      </c>
      <c r="H311" s="19" t="s">
        <v>112</v>
      </c>
      <c r="I311" s="18" t="s">
        <v>113</v>
      </c>
      <c r="J311" s="19" t="s">
        <v>114</v>
      </c>
      <c r="K311" s="19" t="s">
        <v>115</v>
      </c>
      <c r="L311" s="18" t="s">
        <v>116</v>
      </c>
      <c r="M311" s="18" t="s">
        <v>133</v>
      </c>
      <c r="N311" s="18" t="s">
        <v>118</v>
      </c>
      <c r="O311" s="20">
        <v>119000</v>
      </c>
      <c r="P311" s="20">
        <v>82110</v>
      </c>
      <c r="Q311" s="20">
        <v>1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31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119000</v>
      </c>
      <c r="AD311" s="20">
        <v>82110</v>
      </c>
      <c r="AE311" s="20">
        <v>0</v>
      </c>
      <c r="AF311" s="20">
        <v>0</v>
      </c>
      <c r="AG311" s="20">
        <v>119000</v>
      </c>
      <c r="AH311" s="20">
        <v>82110</v>
      </c>
      <c r="AI311" s="20">
        <v>33536</v>
      </c>
      <c r="AJ311" s="20">
        <v>3354</v>
      </c>
      <c r="AK311" s="20">
        <v>36890</v>
      </c>
    </row>
    <row r="312" spans="1:37" ht="16.5" customHeight="1" x14ac:dyDescent="0.3">
      <c r="A312" s="18" t="s">
        <v>942</v>
      </c>
      <c r="B312" s="18" t="s">
        <v>107</v>
      </c>
      <c r="C312" s="19" t="s">
        <v>108</v>
      </c>
      <c r="D312" s="18" t="s">
        <v>377</v>
      </c>
      <c r="E312" s="19" t="s">
        <v>378</v>
      </c>
      <c r="F312" s="18" t="s">
        <v>110</v>
      </c>
      <c r="G312" s="18" t="s">
        <v>111</v>
      </c>
      <c r="H312" s="19" t="s">
        <v>112</v>
      </c>
      <c r="I312" s="18" t="s">
        <v>113</v>
      </c>
      <c r="J312" s="19" t="s">
        <v>114</v>
      </c>
      <c r="K312" s="19" t="s">
        <v>115</v>
      </c>
      <c r="L312" s="18" t="s">
        <v>116</v>
      </c>
      <c r="M312" s="18" t="s">
        <v>133</v>
      </c>
      <c r="N312" s="18" t="s">
        <v>118</v>
      </c>
      <c r="O312" s="20">
        <v>119000</v>
      </c>
      <c r="P312" s="20">
        <v>82110</v>
      </c>
      <c r="Q312" s="20">
        <v>1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31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119000</v>
      </c>
      <c r="AD312" s="20">
        <v>82110</v>
      </c>
      <c r="AE312" s="20">
        <v>0</v>
      </c>
      <c r="AF312" s="20">
        <v>0</v>
      </c>
      <c r="AG312" s="20">
        <v>119000</v>
      </c>
      <c r="AH312" s="20">
        <v>82110</v>
      </c>
      <c r="AI312" s="20">
        <v>33536</v>
      </c>
      <c r="AJ312" s="20">
        <v>3354</v>
      </c>
      <c r="AK312" s="20">
        <v>36890</v>
      </c>
    </row>
    <row r="313" spans="1:37" ht="16.5" customHeight="1" x14ac:dyDescent="0.3">
      <c r="A313" s="18" t="s">
        <v>944</v>
      </c>
      <c r="B313" s="18" t="s">
        <v>107</v>
      </c>
      <c r="C313" s="19" t="s">
        <v>108</v>
      </c>
      <c r="D313" s="18" t="s">
        <v>377</v>
      </c>
      <c r="E313" s="19" t="s">
        <v>378</v>
      </c>
      <c r="F313" s="18" t="s">
        <v>110</v>
      </c>
      <c r="G313" s="18" t="s">
        <v>111</v>
      </c>
      <c r="H313" s="19" t="s">
        <v>112</v>
      </c>
      <c r="I313" s="18" t="s">
        <v>113</v>
      </c>
      <c r="J313" s="19" t="s">
        <v>114</v>
      </c>
      <c r="K313" s="19" t="s">
        <v>115</v>
      </c>
      <c r="L313" s="18" t="s">
        <v>116</v>
      </c>
      <c r="M313" s="18" t="s">
        <v>133</v>
      </c>
      <c r="N313" s="18" t="s">
        <v>118</v>
      </c>
      <c r="O313" s="20">
        <v>119000</v>
      </c>
      <c r="P313" s="20">
        <v>82110</v>
      </c>
      <c r="Q313" s="20">
        <v>1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31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119000</v>
      </c>
      <c r="AD313" s="20">
        <v>82110</v>
      </c>
      <c r="AE313" s="20">
        <v>0</v>
      </c>
      <c r="AF313" s="20">
        <v>0</v>
      </c>
      <c r="AG313" s="20">
        <v>119000</v>
      </c>
      <c r="AH313" s="20">
        <v>82110</v>
      </c>
      <c r="AI313" s="20">
        <v>33536</v>
      </c>
      <c r="AJ313" s="20">
        <v>3354</v>
      </c>
      <c r="AK313" s="20">
        <v>36890</v>
      </c>
    </row>
    <row r="314" spans="1:37" ht="16.5" customHeight="1" x14ac:dyDescent="0.3">
      <c r="A314" s="18" t="s">
        <v>947</v>
      </c>
      <c r="B314" s="18" t="s">
        <v>107</v>
      </c>
      <c r="C314" s="19" t="s">
        <v>108</v>
      </c>
      <c r="D314" s="18" t="s">
        <v>475</v>
      </c>
      <c r="E314" s="19" t="s">
        <v>476</v>
      </c>
      <c r="F314" s="18" t="s">
        <v>110</v>
      </c>
      <c r="G314" s="18" t="s">
        <v>111</v>
      </c>
      <c r="H314" s="19" t="s">
        <v>112</v>
      </c>
      <c r="I314" s="18" t="s">
        <v>113</v>
      </c>
      <c r="J314" s="19" t="s">
        <v>114</v>
      </c>
      <c r="K314" s="19" t="s">
        <v>115</v>
      </c>
      <c r="L314" s="18" t="s">
        <v>116</v>
      </c>
      <c r="M314" s="18" t="s">
        <v>133</v>
      </c>
      <c r="N314" s="18" t="s">
        <v>118</v>
      </c>
      <c r="O314" s="20">
        <v>119000</v>
      </c>
      <c r="P314" s="20">
        <v>82110</v>
      </c>
      <c r="Q314" s="20">
        <v>1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31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119000</v>
      </c>
      <c r="AD314" s="20">
        <v>82110</v>
      </c>
      <c r="AE314" s="20">
        <v>0</v>
      </c>
      <c r="AF314" s="20">
        <v>0</v>
      </c>
      <c r="AG314" s="20">
        <v>119000</v>
      </c>
      <c r="AH314" s="20">
        <v>82110</v>
      </c>
      <c r="AI314" s="20">
        <v>33536</v>
      </c>
      <c r="AJ314" s="20">
        <v>3354</v>
      </c>
      <c r="AK314" s="20">
        <v>36890</v>
      </c>
    </row>
    <row r="315" spans="1:37" ht="16.5" customHeight="1" x14ac:dyDescent="0.3">
      <c r="A315" s="18" t="s">
        <v>950</v>
      </c>
      <c r="B315" s="18" t="s">
        <v>107</v>
      </c>
      <c r="C315" s="19" t="s">
        <v>108</v>
      </c>
      <c r="D315" s="18" t="s">
        <v>658</v>
      </c>
      <c r="E315" s="19" t="s">
        <v>232</v>
      </c>
      <c r="F315" s="18" t="s">
        <v>110</v>
      </c>
      <c r="G315" s="18" t="s">
        <v>111</v>
      </c>
      <c r="H315" s="19" t="s">
        <v>112</v>
      </c>
      <c r="I315" s="18" t="s">
        <v>113</v>
      </c>
      <c r="J315" s="19" t="s">
        <v>114</v>
      </c>
      <c r="K315" s="19" t="s">
        <v>115</v>
      </c>
      <c r="L315" s="18" t="s">
        <v>116</v>
      </c>
      <c r="M315" s="18" t="s">
        <v>133</v>
      </c>
      <c r="N315" s="18" t="s">
        <v>118</v>
      </c>
      <c r="O315" s="20">
        <v>119000</v>
      </c>
      <c r="P315" s="20">
        <v>82110</v>
      </c>
      <c r="Q315" s="20">
        <v>1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>
        <v>31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119000</v>
      </c>
      <c r="AD315" s="20">
        <v>82110</v>
      </c>
      <c r="AE315" s="20">
        <v>0</v>
      </c>
      <c r="AF315" s="20">
        <v>0</v>
      </c>
      <c r="AG315" s="20">
        <v>119000</v>
      </c>
      <c r="AH315" s="20">
        <v>82110</v>
      </c>
      <c r="AI315" s="20">
        <v>33536</v>
      </c>
      <c r="AJ315" s="20">
        <v>3354</v>
      </c>
      <c r="AK315" s="20">
        <v>36890</v>
      </c>
    </row>
    <row r="316" spans="1:37" ht="16.5" customHeight="1" x14ac:dyDescent="0.3">
      <c r="A316" s="18" t="s">
        <v>953</v>
      </c>
      <c r="B316" s="18" t="s">
        <v>107</v>
      </c>
      <c r="C316" s="19" t="s">
        <v>108</v>
      </c>
      <c r="D316" s="18" t="s">
        <v>307</v>
      </c>
      <c r="E316" s="19" t="s">
        <v>308</v>
      </c>
      <c r="F316" s="18" t="s">
        <v>110</v>
      </c>
      <c r="G316" s="18" t="s">
        <v>111</v>
      </c>
      <c r="H316" s="19" t="s">
        <v>112</v>
      </c>
      <c r="I316" s="18" t="s">
        <v>113</v>
      </c>
      <c r="J316" s="19" t="s">
        <v>114</v>
      </c>
      <c r="K316" s="19" t="s">
        <v>115</v>
      </c>
      <c r="L316" s="18" t="s">
        <v>116</v>
      </c>
      <c r="M316" s="18" t="s">
        <v>133</v>
      </c>
      <c r="N316" s="18" t="s">
        <v>118</v>
      </c>
      <c r="O316" s="20">
        <v>119000</v>
      </c>
      <c r="P316" s="20">
        <v>82110</v>
      </c>
      <c r="Q316" s="20">
        <v>1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31</v>
      </c>
      <c r="X316" s="20">
        <v>0</v>
      </c>
      <c r="Y316" s="20">
        <v>10000</v>
      </c>
      <c r="Z316" s="20">
        <v>0</v>
      </c>
      <c r="AA316" s="20">
        <v>0</v>
      </c>
      <c r="AB316" s="20">
        <v>0</v>
      </c>
      <c r="AC316" s="20">
        <v>119000</v>
      </c>
      <c r="AD316" s="20">
        <v>82110</v>
      </c>
      <c r="AE316" s="20">
        <v>0</v>
      </c>
      <c r="AF316" s="20">
        <v>10000</v>
      </c>
      <c r="AG316" s="20">
        <v>109000</v>
      </c>
      <c r="AH316" s="20">
        <v>82110</v>
      </c>
      <c r="AI316" s="20">
        <v>24445</v>
      </c>
      <c r="AJ316" s="20">
        <v>2445</v>
      </c>
      <c r="AK316" s="20">
        <v>26890</v>
      </c>
    </row>
    <row r="317" spans="1:37" ht="16.5" customHeight="1" x14ac:dyDescent="0.3">
      <c r="A317" s="18" t="s">
        <v>956</v>
      </c>
      <c r="B317" s="18" t="s">
        <v>107</v>
      </c>
      <c r="C317" s="19" t="s">
        <v>108</v>
      </c>
      <c r="D317" s="18" t="s">
        <v>225</v>
      </c>
      <c r="E317" s="19" t="s">
        <v>217</v>
      </c>
      <c r="F317" s="18" t="s">
        <v>110</v>
      </c>
      <c r="G317" s="18" t="s">
        <v>111</v>
      </c>
      <c r="H317" s="19" t="s">
        <v>112</v>
      </c>
      <c r="I317" s="18" t="s">
        <v>113</v>
      </c>
      <c r="J317" s="19" t="s">
        <v>114</v>
      </c>
      <c r="K317" s="19" t="s">
        <v>115</v>
      </c>
      <c r="L317" s="18" t="s">
        <v>116</v>
      </c>
      <c r="M317" s="18" t="s">
        <v>133</v>
      </c>
      <c r="N317" s="18" t="s">
        <v>118</v>
      </c>
      <c r="O317" s="20">
        <v>119000</v>
      </c>
      <c r="P317" s="20">
        <v>82110</v>
      </c>
      <c r="Q317" s="20">
        <v>1</v>
      </c>
      <c r="R317" s="20">
        <v>0</v>
      </c>
      <c r="S317" s="20">
        <v>0</v>
      </c>
      <c r="T317" s="20">
        <v>0</v>
      </c>
      <c r="U317" s="20">
        <v>0</v>
      </c>
      <c r="V317" s="20">
        <v>0</v>
      </c>
      <c r="W317" s="20">
        <v>31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119000</v>
      </c>
      <c r="AD317" s="20">
        <v>82110</v>
      </c>
      <c r="AE317" s="20">
        <v>0</v>
      </c>
      <c r="AF317" s="20">
        <v>0</v>
      </c>
      <c r="AG317" s="20">
        <v>119000</v>
      </c>
      <c r="AH317" s="20">
        <v>82110</v>
      </c>
      <c r="AI317" s="20">
        <v>33536</v>
      </c>
      <c r="AJ317" s="20">
        <v>3354</v>
      </c>
      <c r="AK317" s="20">
        <v>36890</v>
      </c>
    </row>
    <row r="318" spans="1:37" ht="16.5" customHeight="1" x14ac:dyDescent="0.3">
      <c r="A318" s="18" t="s">
        <v>959</v>
      </c>
      <c r="B318" s="18" t="s">
        <v>107</v>
      </c>
      <c r="C318" s="19" t="s">
        <v>108</v>
      </c>
      <c r="D318" s="18" t="s">
        <v>723</v>
      </c>
      <c r="E318" s="19" t="s">
        <v>724</v>
      </c>
      <c r="F318" s="18" t="s">
        <v>110</v>
      </c>
      <c r="G318" s="18" t="s">
        <v>111</v>
      </c>
      <c r="H318" s="19" t="s">
        <v>112</v>
      </c>
      <c r="I318" s="18" t="s">
        <v>113</v>
      </c>
      <c r="J318" s="19" t="s">
        <v>114</v>
      </c>
      <c r="K318" s="19" t="s">
        <v>115</v>
      </c>
      <c r="L318" s="18" t="s">
        <v>116</v>
      </c>
      <c r="M318" s="18" t="s">
        <v>133</v>
      </c>
      <c r="N318" s="18" t="s">
        <v>118</v>
      </c>
      <c r="O318" s="20">
        <v>119000</v>
      </c>
      <c r="P318" s="20">
        <v>82110</v>
      </c>
      <c r="Q318" s="20">
        <v>1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31</v>
      </c>
      <c r="X318" s="20">
        <v>0</v>
      </c>
      <c r="Y318" s="20">
        <v>10000</v>
      </c>
      <c r="Z318" s="20">
        <v>0</v>
      </c>
      <c r="AA318" s="20">
        <v>0</v>
      </c>
      <c r="AB318" s="20">
        <v>0</v>
      </c>
      <c r="AC318" s="20">
        <v>119000</v>
      </c>
      <c r="AD318" s="20">
        <v>82110</v>
      </c>
      <c r="AE318" s="20">
        <v>0</v>
      </c>
      <c r="AF318" s="20">
        <v>10000</v>
      </c>
      <c r="AG318" s="20">
        <v>109000</v>
      </c>
      <c r="AH318" s="20">
        <v>82110</v>
      </c>
      <c r="AI318" s="20">
        <v>24445</v>
      </c>
      <c r="AJ318" s="20">
        <v>2445</v>
      </c>
      <c r="AK318" s="20">
        <v>26890</v>
      </c>
    </row>
    <row r="319" spans="1:37" ht="16.5" customHeight="1" x14ac:dyDescent="0.3">
      <c r="A319" s="18" t="s">
        <v>962</v>
      </c>
      <c r="B319" s="18" t="s">
        <v>107</v>
      </c>
      <c r="C319" s="19" t="s">
        <v>108</v>
      </c>
      <c r="D319" s="18" t="s">
        <v>580</v>
      </c>
      <c r="E319" s="19" t="s">
        <v>581</v>
      </c>
      <c r="F319" s="18" t="s">
        <v>110</v>
      </c>
      <c r="G319" s="18" t="s">
        <v>111</v>
      </c>
      <c r="H319" s="19" t="s">
        <v>112</v>
      </c>
      <c r="I319" s="18" t="s">
        <v>113</v>
      </c>
      <c r="J319" s="19" t="s">
        <v>114</v>
      </c>
      <c r="K319" s="19" t="s">
        <v>123</v>
      </c>
      <c r="L319" s="18" t="s">
        <v>116</v>
      </c>
      <c r="M319" s="18" t="s">
        <v>133</v>
      </c>
      <c r="N319" s="18" t="s">
        <v>118</v>
      </c>
      <c r="O319" s="20">
        <v>119000</v>
      </c>
      <c r="P319" s="20">
        <v>82110</v>
      </c>
      <c r="Q319" s="20">
        <v>2</v>
      </c>
      <c r="R319" s="20">
        <v>0</v>
      </c>
      <c r="S319" s="20">
        <v>0</v>
      </c>
      <c r="T319" s="20">
        <v>0</v>
      </c>
      <c r="U319" s="20">
        <v>0</v>
      </c>
      <c r="V319" s="20">
        <v>0</v>
      </c>
      <c r="W319" s="20">
        <v>31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238000</v>
      </c>
      <c r="AD319" s="20">
        <v>164220</v>
      </c>
      <c r="AE319" s="20">
        <v>0</v>
      </c>
      <c r="AF319" s="20">
        <v>0</v>
      </c>
      <c r="AG319" s="20">
        <v>238000</v>
      </c>
      <c r="AH319" s="20">
        <v>164220</v>
      </c>
      <c r="AI319" s="20">
        <v>67073</v>
      </c>
      <c r="AJ319" s="20">
        <v>6707</v>
      </c>
      <c r="AK319" s="20">
        <v>73780</v>
      </c>
    </row>
    <row r="320" spans="1:37" ht="16.5" customHeight="1" x14ac:dyDescent="0.3">
      <c r="A320" s="18" t="s">
        <v>965</v>
      </c>
      <c r="B320" s="18" t="s">
        <v>107</v>
      </c>
      <c r="C320" s="19" t="s">
        <v>108</v>
      </c>
      <c r="D320" s="18" t="s">
        <v>651</v>
      </c>
      <c r="E320" s="19" t="s">
        <v>390</v>
      </c>
      <c r="F320" s="18" t="s">
        <v>110</v>
      </c>
      <c r="G320" s="18" t="s">
        <v>111</v>
      </c>
      <c r="H320" s="19" t="s">
        <v>112</v>
      </c>
      <c r="I320" s="18" t="s">
        <v>113</v>
      </c>
      <c r="J320" s="19" t="s">
        <v>114</v>
      </c>
      <c r="K320" s="19" t="s">
        <v>115</v>
      </c>
      <c r="L320" s="18" t="s">
        <v>116</v>
      </c>
      <c r="M320" s="18" t="s">
        <v>133</v>
      </c>
      <c r="N320" s="18" t="s">
        <v>118</v>
      </c>
      <c r="O320" s="20">
        <v>119000</v>
      </c>
      <c r="P320" s="20">
        <v>82110</v>
      </c>
      <c r="Q320" s="20">
        <v>1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31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119000</v>
      </c>
      <c r="AD320" s="20">
        <v>82110</v>
      </c>
      <c r="AE320" s="20">
        <v>0</v>
      </c>
      <c r="AF320" s="20">
        <v>0</v>
      </c>
      <c r="AG320" s="20">
        <v>119000</v>
      </c>
      <c r="AH320" s="20">
        <v>82110</v>
      </c>
      <c r="AI320" s="20">
        <v>33536</v>
      </c>
      <c r="AJ320" s="20">
        <v>3354</v>
      </c>
      <c r="AK320" s="20">
        <v>36890</v>
      </c>
    </row>
    <row r="321" spans="1:37" ht="16.5" customHeight="1" x14ac:dyDescent="0.3">
      <c r="A321" s="18" t="s">
        <v>968</v>
      </c>
      <c r="B321" s="18" t="s">
        <v>107</v>
      </c>
      <c r="C321" s="19" t="s">
        <v>108</v>
      </c>
      <c r="D321" s="18" t="s">
        <v>314</v>
      </c>
      <c r="E321" s="19" t="s">
        <v>315</v>
      </c>
      <c r="F321" s="18" t="s">
        <v>110</v>
      </c>
      <c r="G321" s="18" t="s">
        <v>111</v>
      </c>
      <c r="H321" s="19" t="s">
        <v>112</v>
      </c>
      <c r="I321" s="18" t="s">
        <v>113</v>
      </c>
      <c r="J321" s="19" t="s">
        <v>114</v>
      </c>
      <c r="K321" s="19" t="s">
        <v>115</v>
      </c>
      <c r="L321" s="18" t="s">
        <v>116</v>
      </c>
      <c r="M321" s="18" t="s">
        <v>133</v>
      </c>
      <c r="N321" s="18" t="s">
        <v>118</v>
      </c>
      <c r="O321" s="20">
        <v>119000</v>
      </c>
      <c r="P321" s="20">
        <v>82110</v>
      </c>
      <c r="Q321" s="20">
        <v>1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v>31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119000</v>
      </c>
      <c r="AD321" s="20">
        <v>82110</v>
      </c>
      <c r="AE321" s="20">
        <v>0</v>
      </c>
      <c r="AF321" s="20">
        <v>0</v>
      </c>
      <c r="AG321" s="20">
        <v>119000</v>
      </c>
      <c r="AH321" s="20">
        <v>82110</v>
      </c>
      <c r="AI321" s="20">
        <v>33536</v>
      </c>
      <c r="AJ321" s="20">
        <v>3354</v>
      </c>
      <c r="AK321" s="20">
        <v>36890</v>
      </c>
    </row>
    <row r="322" spans="1:37" ht="16.5" customHeight="1" x14ac:dyDescent="0.3">
      <c r="A322" s="18" t="s">
        <v>971</v>
      </c>
      <c r="B322" s="18" t="s">
        <v>107</v>
      </c>
      <c r="C322" s="19" t="s">
        <v>108</v>
      </c>
      <c r="D322" s="18" t="s">
        <v>131</v>
      </c>
      <c r="E322" s="19" t="s">
        <v>132</v>
      </c>
      <c r="F322" s="18" t="s">
        <v>110</v>
      </c>
      <c r="G322" s="18" t="s">
        <v>111</v>
      </c>
      <c r="H322" s="19" t="s">
        <v>112</v>
      </c>
      <c r="I322" s="18" t="s">
        <v>113</v>
      </c>
      <c r="J322" s="19" t="s">
        <v>114</v>
      </c>
      <c r="K322" s="19" t="s">
        <v>115</v>
      </c>
      <c r="L322" s="18" t="s">
        <v>116</v>
      </c>
      <c r="M322" s="18" t="s">
        <v>133</v>
      </c>
      <c r="N322" s="18" t="s">
        <v>118</v>
      </c>
      <c r="O322" s="20">
        <v>119000</v>
      </c>
      <c r="P322" s="20">
        <v>82110</v>
      </c>
      <c r="Q322" s="20">
        <v>1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31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119000</v>
      </c>
      <c r="AD322" s="20">
        <v>82110</v>
      </c>
      <c r="AE322" s="20">
        <v>0</v>
      </c>
      <c r="AF322" s="20">
        <v>0</v>
      </c>
      <c r="AG322" s="20">
        <v>119000</v>
      </c>
      <c r="AH322" s="20">
        <v>82110</v>
      </c>
      <c r="AI322" s="20">
        <v>33536</v>
      </c>
      <c r="AJ322" s="20">
        <v>3354</v>
      </c>
      <c r="AK322" s="20">
        <v>36890</v>
      </c>
    </row>
    <row r="323" spans="1:37" ht="16.5" customHeight="1" x14ac:dyDescent="0.3">
      <c r="A323" s="18" t="s">
        <v>974</v>
      </c>
      <c r="B323" s="18" t="s">
        <v>107</v>
      </c>
      <c r="C323" s="19" t="s">
        <v>108</v>
      </c>
      <c r="D323" s="18" t="s">
        <v>186</v>
      </c>
      <c r="E323" s="19" t="s">
        <v>187</v>
      </c>
      <c r="F323" s="18" t="s">
        <v>110</v>
      </c>
      <c r="G323" s="18" t="s">
        <v>111</v>
      </c>
      <c r="H323" s="19" t="s">
        <v>112</v>
      </c>
      <c r="I323" s="18" t="s">
        <v>113</v>
      </c>
      <c r="J323" s="19" t="s">
        <v>114</v>
      </c>
      <c r="K323" s="19" t="s">
        <v>115</v>
      </c>
      <c r="L323" s="18" t="s">
        <v>116</v>
      </c>
      <c r="M323" s="18" t="s">
        <v>133</v>
      </c>
      <c r="N323" s="18" t="s">
        <v>118</v>
      </c>
      <c r="O323" s="20">
        <v>119000</v>
      </c>
      <c r="P323" s="20">
        <v>82110</v>
      </c>
      <c r="Q323" s="20">
        <v>1</v>
      </c>
      <c r="R323" s="20">
        <v>0</v>
      </c>
      <c r="S323" s="20">
        <v>0</v>
      </c>
      <c r="T323" s="20">
        <v>0</v>
      </c>
      <c r="U323" s="20">
        <v>0</v>
      </c>
      <c r="V323" s="20">
        <v>0</v>
      </c>
      <c r="W323" s="20">
        <v>31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119000</v>
      </c>
      <c r="AD323" s="20">
        <v>82110</v>
      </c>
      <c r="AE323" s="20">
        <v>0</v>
      </c>
      <c r="AF323" s="20">
        <v>0</v>
      </c>
      <c r="AG323" s="20">
        <v>119000</v>
      </c>
      <c r="AH323" s="20">
        <v>82110</v>
      </c>
      <c r="AI323" s="20">
        <v>33536</v>
      </c>
      <c r="AJ323" s="20">
        <v>3354</v>
      </c>
      <c r="AK323" s="20">
        <v>36890</v>
      </c>
    </row>
    <row r="324" spans="1:37" ht="16.5" customHeight="1" x14ac:dyDescent="0.3">
      <c r="A324" s="18" t="s">
        <v>976</v>
      </c>
      <c r="B324" s="18" t="s">
        <v>107</v>
      </c>
      <c r="C324" s="19" t="s">
        <v>108</v>
      </c>
      <c r="D324" s="18" t="s">
        <v>189</v>
      </c>
      <c r="E324" s="19" t="s">
        <v>190</v>
      </c>
      <c r="F324" s="18" t="s">
        <v>110</v>
      </c>
      <c r="G324" s="18" t="s">
        <v>111</v>
      </c>
      <c r="H324" s="19" t="s">
        <v>112</v>
      </c>
      <c r="I324" s="18" t="s">
        <v>113</v>
      </c>
      <c r="J324" s="19" t="s">
        <v>114</v>
      </c>
      <c r="K324" s="19" t="s">
        <v>115</v>
      </c>
      <c r="L324" s="18" t="s">
        <v>116</v>
      </c>
      <c r="M324" s="18" t="s">
        <v>133</v>
      </c>
      <c r="N324" s="18" t="s">
        <v>118</v>
      </c>
      <c r="O324" s="20">
        <v>119000</v>
      </c>
      <c r="P324" s="20">
        <v>82110</v>
      </c>
      <c r="Q324" s="20">
        <v>1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v>31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119000</v>
      </c>
      <c r="AD324" s="20">
        <v>82110</v>
      </c>
      <c r="AE324" s="20">
        <v>0</v>
      </c>
      <c r="AF324" s="20">
        <v>0</v>
      </c>
      <c r="AG324" s="20">
        <v>119000</v>
      </c>
      <c r="AH324" s="20">
        <v>82110</v>
      </c>
      <c r="AI324" s="20">
        <v>33536</v>
      </c>
      <c r="AJ324" s="20">
        <v>3354</v>
      </c>
      <c r="AK324" s="20">
        <v>36890</v>
      </c>
    </row>
    <row r="325" spans="1:37" ht="16.5" customHeight="1" x14ac:dyDescent="0.3">
      <c r="A325" s="18" t="s">
        <v>978</v>
      </c>
      <c r="B325" s="18" t="s">
        <v>107</v>
      </c>
      <c r="C325" s="19" t="s">
        <v>108</v>
      </c>
      <c r="D325" s="18" t="s">
        <v>317</v>
      </c>
      <c r="E325" s="19" t="s">
        <v>220</v>
      </c>
      <c r="F325" s="18" t="s">
        <v>110</v>
      </c>
      <c r="G325" s="18" t="s">
        <v>111</v>
      </c>
      <c r="H325" s="19" t="s">
        <v>112</v>
      </c>
      <c r="I325" s="18" t="s">
        <v>113</v>
      </c>
      <c r="J325" s="19" t="s">
        <v>114</v>
      </c>
      <c r="K325" s="19" t="s">
        <v>115</v>
      </c>
      <c r="L325" s="18" t="s">
        <v>116</v>
      </c>
      <c r="M325" s="18" t="s">
        <v>133</v>
      </c>
      <c r="N325" s="18" t="s">
        <v>118</v>
      </c>
      <c r="O325" s="20">
        <v>119000</v>
      </c>
      <c r="P325" s="20">
        <v>82110</v>
      </c>
      <c r="Q325" s="20">
        <v>1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31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119000</v>
      </c>
      <c r="AD325" s="20">
        <v>82110</v>
      </c>
      <c r="AE325" s="20">
        <v>0</v>
      </c>
      <c r="AF325" s="20">
        <v>0</v>
      </c>
      <c r="AG325" s="20">
        <v>119000</v>
      </c>
      <c r="AH325" s="20">
        <v>82110</v>
      </c>
      <c r="AI325" s="20">
        <v>33536</v>
      </c>
      <c r="AJ325" s="20">
        <v>3354</v>
      </c>
      <c r="AK325" s="20">
        <v>36890</v>
      </c>
    </row>
    <row r="326" spans="1:37" ht="16.5" customHeight="1" x14ac:dyDescent="0.3">
      <c r="A326" s="18" t="s">
        <v>980</v>
      </c>
      <c r="B326" s="18" t="s">
        <v>107</v>
      </c>
      <c r="C326" s="19" t="s">
        <v>108</v>
      </c>
      <c r="D326" s="18" t="s">
        <v>319</v>
      </c>
      <c r="E326" s="19" t="s">
        <v>320</v>
      </c>
      <c r="F326" s="18" t="s">
        <v>110</v>
      </c>
      <c r="G326" s="18" t="s">
        <v>111</v>
      </c>
      <c r="H326" s="19" t="s">
        <v>112</v>
      </c>
      <c r="I326" s="18" t="s">
        <v>113</v>
      </c>
      <c r="J326" s="19" t="s">
        <v>114</v>
      </c>
      <c r="K326" s="19" t="s">
        <v>115</v>
      </c>
      <c r="L326" s="18" t="s">
        <v>116</v>
      </c>
      <c r="M326" s="18" t="s">
        <v>133</v>
      </c>
      <c r="N326" s="18" t="s">
        <v>118</v>
      </c>
      <c r="O326" s="20">
        <v>119000</v>
      </c>
      <c r="P326" s="20">
        <v>82110</v>
      </c>
      <c r="Q326" s="20">
        <v>1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31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119000</v>
      </c>
      <c r="AD326" s="20">
        <v>82110</v>
      </c>
      <c r="AE326" s="20">
        <v>0</v>
      </c>
      <c r="AF326" s="20">
        <v>0</v>
      </c>
      <c r="AG326" s="20">
        <v>119000</v>
      </c>
      <c r="AH326" s="20">
        <v>82110</v>
      </c>
      <c r="AI326" s="20">
        <v>33536</v>
      </c>
      <c r="AJ326" s="20">
        <v>3354</v>
      </c>
      <c r="AK326" s="20">
        <v>36890</v>
      </c>
    </row>
    <row r="327" spans="1:37" ht="16.5" customHeight="1" x14ac:dyDescent="0.3">
      <c r="A327" s="18" t="s">
        <v>983</v>
      </c>
      <c r="B327" s="18" t="s">
        <v>107</v>
      </c>
      <c r="C327" s="19" t="s">
        <v>108</v>
      </c>
      <c r="D327" s="18" t="s">
        <v>322</v>
      </c>
      <c r="E327" s="19" t="s">
        <v>119</v>
      </c>
      <c r="F327" s="18" t="s">
        <v>110</v>
      </c>
      <c r="G327" s="18" t="s">
        <v>111</v>
      </c>
      <c r="H327" s="19" t="s">
        <v>112</v>
      </c>
      <c r="I327" s="18" t="s">
        <v>113</v>
      </c>
      <c r="J327" s="19" t="s">
        <v>114</v>
      </c>
      <c r="K327" s="19" t="s">
        <v>151</v>
      </c>
      <c r="L327" s="18" t="s">
        <v>116</v>
      </c>
      <c r="M327" s="18" t="s">
        <v>133</v>
      </c>
      <c r="N327" s="18" t="s">
        <v>118</v>
      </c>
      <c r="O327" s="20">
        <v>119000</v>
      </c>
      <c r="P327" s="20">
        <v>82110</v>
      </c>
      <c r="Q327" s="20">
        <v>1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31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119000</v>
      </c>
      <c r="AD327" s="20">
        <v>82110</v>
      </c>
      <c r="AE327" s="20">
        <v>0</v>
      </c>
      <c r="AF327" s="20">
        <v>0</v>
      </c>
      <c r="AG327" s="20">
        <v>119000</v>
      </c>
      <c r="AH327" s="20">
        <v>82110</v>
      </c>
      <c r="AI327" s="20">
        <v>33536</v>
      </c>
      <c r="AJ327" s="20">
        <v>3354</v>
      </c>
      <c r="AK327" s="20">
        <v>36890</v>
      </c>
    </row>
    <row r="328" spans="1:37" ht="16.5" customHeight="1" x14ac:dyDescent="0.3">
      <c r="A328" s="18" t="s">
        <v>985</v>
      </c>
      <c r="B328" s="18" t="s">
        <v>107</v>
      </c>
      <c r="C328" s="19" t="s">
        <v>108</v>
      </c>
      <c r="D328" s="18" t="s">
        <v>324</v>
      </c>
      <c r="E328" s="19" t="s">
        <v>325</v>
      </c>
      <c r="F328" s="18" t="s">
        <v>110</v>
      </c>
      <c r="G328" s="18" t="s">
        <v>111</v>
      </c>
      <c r="H328" s="19" t="s">
        <v>112</v>
      </c>
      <c r="I328" s="18" t="s">
        <v>113</v>
      </c>
      <c r="J328" s="19" t="s">
        <v>114</v>
      </c>
      <c r="K328" s="19" t="s">
        <v>115</v>
      </c>
      <c r="L328" s="18" t="s">
        <v>116</v>
      </c>
      <c r="M328" s="18" t="s">
        <v>133</v>
      </c>
      <c r="N328" s="18" t="s">
        <v>118</v>
      </c>
      <c r="O328" s="20">
        <v>119000</v>
      </c>
      <c r="P328" s="20">
        <v>82110</v>
      </c>
      <c r="Q328" s="20">
        <v>1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31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119000</v>
      </c>
      <c r="AD328" s="20">
        <v>82110</v>
      </c>
      <c r="AE328" s="20">
        <v>0</v>
      </c>
      <c r="AF328" s="20">
        <v>0</v>
      </c>
      <c r="AG328" s="20">
        <v>119000</v>
      </c>
      <c r="AH328" s="20">
        <v>82110</v>
      </c>
      <c r="AI328" s="20">
        <v>33536</v>
      </c>
      <c r="AJ328" s="20">
        <v>3354</v>
      </c>
      <c r="AK328" s="20">
        <v>36890</v>
      </c>
    </row>
    <row r="329" spans="1:37" ht="16.5" customHeight="1" x14ac:dyDescent="0.3">
      <c r="A329" s="18" t="s">
        <v>988</v>
      </c>
      <c r="B329" s="18" t="s">
        <v>107</v>
      </c>
      <c r="C329" s="19" t="s">
        <v>108</v>
      </c>
      <c r="D329" s="18" t="s">
        <v>327</v>
      </c>
      <c r="E329" s="19" t="s">
        <v>328</v>
      </c>
      <c r="F329" s="18" t="s">
        <v>110</v>
      </c>
      <c r="G329" s="18" t="s">
        <v>111</v>
      </c>
      <c r="H329" s="19" t="s">
        <v>112</v>
      </c>
      <c r="I329" s="18" t="s">
        <v>113</v>
      </c>
      <c r="J329" s="19" t="s">
        <v>114</v>
      </c>
      <c r="K329" s="19" t="s">
        <v>115</v>
      </c>
      <c r="L329" s="18" t="s">
        <v>116</v>
      </c>
      <c r="M329" s="18" t="s">
        <v>133</v>
      </c>
      <c r="N329" s="18" t="s">
        <v>118</v>
      </c>
      <c r="O329" s="20">
        <v>119000</v>
      </c>
      <c r="P329" s="20">
        <v>82110</v>
      </c>
      <c r="Q329" s="20">
        <v>1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31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119000</v>
      </c>
      <c r="AD329" s="20">
        <v>82110</v>
      </c>
      <c r="AE329" s="20">
        <v>0</v>
      </c>
      <c r="AF329" s="20">
        <v>0</v>
      </c>
      <c r="AG329" s="20">
        <v>119000</v>
      </c>
      <c r="AH329" s="20">
        <v>82110</v>
      </c>
      <c r="AI329" s="20">
        <v>33536</v>
      </c>
      <c r="AJ329" s="20">
        <v>3354</v>
      </c>
      <c r="AK329" s="20">
        <v>36890</v>
      </c>
    </row>
    <row r="330" spans="1:37" ht="16.5" customHeight="1" x14ac:dyDescent="0.3">
      <c r="A330" s="18" t="s">
        <v>991</v>
      </c>
      <c r="B330" s="18" t="s">
        <v>107</v>
      </c>
      <c r="C330" s="19" t="s">
        <v>108</v>
      </c>
      <c r="D330" s="18" t="s">
        <v>198</v>
      </c>
      <c r="E330" s="19" t="s">
        <v>199</v>
      </c>
      <c r="F330" s="18" t="s">
        <v>110</v>
      </c>
      <c r="G330" s="18" t="s">
        <v>111</v>
      </c>
      <c r="H330" s="19" t="s">
        <v>112</v>
      </c>
      <c r="I330" s="18" t="s">
        <v>113</v>
      </c>
      <c r="J330" s="19" t="s">
        <v>114</v>
      </c>
      <c r="K330" s="19" t="s">
        <v>115</v>
      </c>
      <c r="L330" s="18" t="s">
        <v>116</v>
      </c>
      <c r="M330" s="18" t="s">
        <v>133</v>
      </c>
      <c r="N330" s="18" t="s">
        <v>118</v>
      </c>
      <c r="O330" s="20">
        <v>119000</v>
      </c>
      <c r="P330" s="20">
        <v>82110</v>
      </c>
      <c r="Q330" s="20">
        <v>1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31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119000</v>
      </c>
      <c r="AD330" s="20">
        <v>82110</v>
      </c>
      <c r="AE330" s="20">
        <v>0</v>
      </c>
      <c r="AF330" s="20">
        <v>0</v>
      </c>
      <c r="AG330" s="20">
        <v>119000</v>
      </c>
      <c r="AH330" s="20">
        <v>82110</v>
      </c>
      <c r="AI330" s="20">
        <v>33536</v>
      </c>
      <c r="AJ330" s="20">
        <v>3354</v>
      </c>
      <c r="AK330" s="20">
        <v>36890</v>
      </c>
    </row>
    <row r="331" spans="1:37" ht="16.5" customHeight="1" x14ac:dyDescent="0.3">
      <c r="A331" s="18" t="s">
        <v>994</v>
      </c>
      <c r="B331" s="18" t="s">
        <v>107</v>
      </c>
      <c r="C331" s="19" t="s">
        <v>108</v>
      </c>
      <c r="D331" s="18" t="s">
        <v>336</v>
      </c>
      <c r="E331" s="19" t="s">
        <v>337</v>
      </c>
      <c r="F331" s="18" t="s">
        <v>110</v>
      </c>
      <c r="G331" s="18" t="s">
        <v>111</v>
      </c>
      <c r="H331" s="19" t="s">
        <v>112</v>
      </c>
      <c r="I331" s="18" t="s">
        <v>113</v>
      </c>
      <c r="J331" s="19" t="s">
        <v>114</v>
      </c>
      <c r="K331" s="19" t="s">
        <v>115</v>
      </c>
      <c r="L331" s="18" t="s">
        <v>116</v>
      </c>
      <c r="M331" s="18" t="s">
        <v>133</v>
      </c>
      <c r="N331" s="18" t="s">
        <v>118</v>
      </c>
      <c r="O331" s="20">
        <v>119000</v>
      </c>
      <c r="P331" s="20">
        <v>82110</v>
      </c>
      <c r="Q331" s="20">
        <v>1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31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119000</v>
      </c>
      <c r="AD331" s="20">
        <v>82110</v>
      </c>
      <c r="AE331" s="20">
        <v>0</v>
      </c>
      <c r="AF331" s="20">
        <v>0</v>
      </c>
      <c r="AG331" s="20">
        <v>119000</v>
      </c>
      <c r="AH331" s="20">
        <v>82110</v>
      </c>
      <c r="AI331" s="20">
        <v>33536</v>
      </c>
      <c r="AJ331" s="20">
        <v>3354</v>
      </c>
      <c r="AK331" s="20">
        <v>36890</v>
      </c>
    </row>
    <row r="332" spans="1:37" ht="16.5" customHeight="1" x14ac:dyDescent="0.3">
      <c r="A332" s="18" t="s">
        <v>996</v>
      </c>
      <c r="B332" s="18" t="s">
        <v>107</v>
      </c>
      <c r="C332" s="19" t="s">
        <v>108</v>
      </c>
      <c r="D332" s="18" t="s">
        <v>339</v>
      </c>
      <c r="E332" s="19" t="s">
        <v>340</v>
      </c>
      <c r="F332" s="18" t="s">
        <v>110</v>
      </c>
      <c r="G332" s="18" t="s">
        <v>111</v>
      </c>
      <c r="H332" s="19" t="s">
        <v>112</v>
      </c>
      <c r="I332" s="18" t="s">
        <v>113</v>
      </c>
      <c r="J332" s="19" t="s">
        <v>114</v>
      </c>
      <c r="K332" s="19" t="s">
        <v>115</v>
      </c>
      <c r="L332" s="18" t="s">
        <v>116</v>
      </c>
      <c r="M332" s="18" t="s">
        <v>133</v>
      </c>
      <c r="N332" s="18" t="s">
        <v>118</v>
      </c>
      <c r="O332" s="20">
        <v>119000</v>
      </c>
      <c r="P332" s="20">
        <v>82110</v>
      </c>
      <c r="Q332" s="20">
        <v>1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31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119000</v>
      </c>
      <c r="AD332" s="20">
        <v>82110</v>
      </c>
      <c r="AE332" s="20">
        <v>0</v>
      </c>
      <c r="AF332" s="20">
        <v>0</v>
      </c>
      <c r="AG332" s="20">
        <v>119000</v>
      </c>
      <c r="AH332" s="20">
        <v>82110</v>
      </c>
      <c r="AI332" s="20">
        <v>33536</v>
      </c>
      <c r="AJ332" s="20">
        <v>3354</v>
      </c>
      <c r="AK332" s="20">
        <v>36890</v>
      </c>
    </row>
    <row r="333" spans="1:37" ht="16.5" customHeight="1" x14ac:dyDescent="0.3">
      <c r="A333" s="18" t="s">
        <v>999</v>
      </c>
      <c r="B333" s="18" t="s">
        <v>107</v>
      </c>
      <c r="C333" s="19" t="s">
        <v>108</v>
      </c>
      <c r="D333" s="18" t="s">
        <v>342</v>
      </c>
      <c r="E333" s="19" t="s">
        <v>343</v>
      </c>
      <c r="F333" s="18" t="s">
        <v>110</v>
      </c>
      <c r="G333" s="18" t="s">
        <v>111</v>
      </c>
      <c r="H333" s="19" t="s">
        <v>112</v>
      </c>
      <c r="I333" s="18" t="s">
        <v>113</v>
      </c>
      <c r="J333" s="19" t="s">
        <v>114</v>
      </c>
      <c r="K333" s="19" t="s">
        <v>115</v>
      </c>
      <c r="L333" s="18" t="s">
        <v>116</v>
      </c>
      <c r="M333" s="18" t="s">
        <v>133</v>
      </c>
      <c r="N333" s="18" t="s">
        <v>118</v>
      </c>
      <c r="O333" s="20">
        <v>119000</v>
      </c>
      <c r="P333" s="20">
        <v>82110</v>
      </c>
      <c r="Q333" s="20">
        <v>1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31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119000</v>
      </c>
      <c r="AD333" s="20">
        <v>82110</v>
      </c>
      <c r="AE333" s="20">
        <v>0</v>
      </c>
      <c r="AF333" s="20">
        <v>0</v>
      </c>
      <c r="AG333" s="20">
        <v>119000</v>
      </c>
      <c r="AH333" s="20">
        <v>82110</v>
      </c>
      <c r="AI333" s="20">
        <v>33536</v>
      </c>
      <c r="AJ333" s="20">
        <v>3354</v>
      </c>
      <c r="AK333" s="20">
        <v>36890</v>
      </c>
    </row>
    <row r="334" spans="1:37" ht="16.5" customHeight="1" x14ac:dyDescent="0.3">
      <c r="A334" s="18" t="s">
        <v>1002</v>
      </c>
      <c r="B334" s="18" t="s">
        <v>107</v>
      </c>
      <c r="C334" s="19" t="s">
        <v>108</v>
      </c>
      <c r="D334" s="18" t="s">
        <v>210</v>
      </c>
      <c r="E334" s="19" t="s">
        <v>211</v>
      </c>
      <c r="F334" s="18" t="s">
        <v>110</v>
      </c>
      <c r="G334" s="18" t="s">
        <v>111</v>
      </c>
      <c r="H334" s="19" t="s">
        <v>112</v>
      </c>
      <c r="I334" s="18" t="s">
        <v>113</v>
      </c>
      <c r="J334" s="19" t="s">
        <v>114</v>
      </c>
      <c r="K334" s="19" t="s">
        <v>115</v>
      </c>
      <c r="L334" s="18" t="s">
        <v>116</v>
      </c>
      <c r="M334" s="18" t="s">
        <v>133</v>
      </c>
      <c r="N334" s="18" t="s">
        <v>118</v>
      </c>
      <c r="O334" s="20">
        <v>119000</v>
      </c>
      <c r="P334" s="20">
        <v>82110</v>
      </c>
      <c r="Q334" s="20">
        <v>1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31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119000</v>
      </c>
      <c r="AD334" s="20">
        <v>82110</v>
      </c>
      <c r="AE334" s="20">
        <v>0</v>
      </c>
      <c r="AF334" s="20">
        <v>0</v>
      </c>
      <c r="AG334" s="20">
        <v>119000</v>
      </c>
      <c r="AH334" s="20">
        <v>82110</v>
      </c>
      <c r="AI334" s="20">
        <v>33536</v>
      </c>
      <c r="AJ334" s="20">
        <v>3354</v>
      </c>
      <c r="AK334" s="20">
        <v>36890</v>
      </c>
    </row>
    <row r="335" spans="1:37" ht="16.5" customHeight="1" x14ac:dyDescent="0.3">
      <c r="A335" s="18" t="s">
        <v>1005</v>
      </c>
      <c r="B335" s="18" t="s">
        <v>107</v>
      </c>
      <c r="C335" s="19" t="s">
        <v>108</v>
      </c>
      <c r="D335" s="18" t="s">
        <v>353</v>
      </c>
      <c r="E335" s="19" t="s">
        <v>354</v>
      </c>
      <c r="F335" s="18" t="s">
        <v>110</v>
      </c>
      <c r="G335" s="18" t="s">
        <v>111</v>
      </c>
      <c r="H335" s="19" t="s">
        <v>112</v>
      </c>
      <c r="I335" s="18" t="s">
        <v>113</v>
      </c>
      <c r="J335" s="19" t="s">
        <v>114</v>
      </c>
      <c r="K335" s="19" t="s">
        <v>115</v>
      </c>
      <c r="L335" s="18" t="s">
        <v>116</v>
      </c>
      <c r="M335" s="18" t="s">
        <v>133</v>
      </c>
      <c r="N335" s="18" t="s">
        <v>118</v>
      </c>
      <c r="O335" s="20">
        <v>119000</v>
      </c>
      <c r="P335" s="20">
        <v>82110</v>
      </c>
      <c r="Q335" s="20">
        <v>1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31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119000</v>
      </c>
      <c r="AD335" s="20">
        <v>82110</v>
      </c>
      <c r="AE335" s="20">
        <v>0</v>
      </c>
      <c r="AF335" s="20">
        <v>0</v>
      </c>
      <c r="AG335" s="20">
        <v>119000</v>
      </c>
      <c r="AH335" s="20">
        <v>82110</v>
      </c>
      <c r="AI335" s="20">
        <v>33536</v>
      </c>
      <c r="AJ335" s="20">
        <v>3354</v>
      </c>
      <c r="AK335" s="20">
        <v>36890</v>
      </c>
    </row>
    <row r="336" spans="1:37" ht="16.5" customHeight="1" x14ac:dyDescent="0.3">
      <c r="A336" s="18" t="s">
        <v>1008</v>
      </c>
      <c r="B336" s="18" t="s">
        <v>107</v>
      </c>
      <c r="C336" s="19" t="s">
        <v>108</v>
      </c>
      <c r="D336" s="18" t="s">
        <v>213</v>
      </c>
      <c r="E336" s="19" t="s">
        <v>214</v>
      </c>
      <c r="F336" s="18" t="s">
        <v>110</v>
      </c>
      <c r="G336" s="18" t="s">
        <v>111</v>
      </c>
      <c r="H336" s="19" t="s">
        <v>112</v>
      </c>
      <c r="I336" s="18" t="s">
        <v>113</v>
      </c>
      <c r="J336" s="19" t="s">
        <v>114</v>
      </c>
      <c r="K336" s="19" t="s">
        <v>115</v>
      </c>
      <c r="L336" s="18" t="s">
        <v>116</v>
      </c>
      <c r="M336" s="18" t="s">
        <v>133</v>
      </c>
      <c r="N336" s="18" t="s">
        <v>118</v>
      </c>
      <c r="O336" s="20">
        <v>119000</v>
      </c>
      <c r="P336" s="20">
        <v>82110</v>
      </c>
      <c r="Q336" s="20">
        <v>1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31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119000</v>
      </c>
      <c r="AD336" s="20">
        <v>82110</v>
      </c>
      <c r="AE336" s="20">
        <v>0</v>
      </c>
      <c r="AF336" s="20">
        <v>0</v>
      </c>
      <c r="AG336" s="20">
        <v>119000</v>
      </c>
      <c r="AH336" s="20">
        <v>82110</v>
      </c>
      <c r="AI336" s="20">
        <v>33536</v>
      </c>
      <c r="AJ336" s="20">
        <v>3354</v>
      </c>
      <c r="AK336" s="20">
        <v>36890</v>
      </c>
    </row>
    <row r="337" spans="1:37" ht="16.5" customHeight="1" x14ac:dyDescent="0.3">
      <c r="A337" s="18" t="s">
        <v>1010</v>
      </c>
      <c r="B337" s="18" t="s">
        <v>107</v>
      </c>
      <c r="C337" s="19" t="s">
        <v>108</v>
      </c>
      <c r="D337" s="18" t="s">
        <v>356</v>
      </c>
      <c r="E337" s="19" t="s">
        <v>357</v>
      </c>
      <c r="F337" s="18" t="s">
        <v>110</v>
      </c>
      <c r="G337" s="18" t="s">
        <v>111</v>
      </c>
      <c r="H337" s="19" t="s">
        <v>112</v>
      </c>
      <c r="I337" s="18" t="s">
        <v>113</v>
      </c>
      <c r="J337" s="19" t="s">
        <v>114</v>
      </c>
      <c r="K337" s="19" t="s">
        <v>115</v>
      </c>
      <c r="L337" s="18" t="s">
        <v>116</v>
      </c>
      <c r="M337" s="18" t="s">
        <v>133</v>
      </c>
      <c r="N337" s="18" t="s">
        <v>118</v>
      </c>
      <c r="O337" s="20">
        <v>119000</v>
      </c>
      <c r="P337" s="20">
        <v>82110</v>
      </c>
      <c r="Q337" s="20">
        <v>1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31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119000</v>
      </c>
      <c r="AD337" s="20">
        <v>82110</v>
      </c>
      <c r="AE337" s="20">
        <v>0</v>
      </c>
      <c r="AF337" s="20">
        <v>0</v>
      </c>
      <c r="AG337" s="20">
        <v>119000</v>
      </c>
      <c r="AH337" s="20">
        <v>82110</v>
      </c>
      <c r="AI337" s="20">
        <v>33536</v>
      </c>
      <c r="AJ337" s="20">
        <v>3354</v>
      </c>
      <c r="AK337" s="20">
        <v>36890</v>
      </c>
    </row>
    <row r="338" spans="1:37" ht="16.5" customHeight="1" x14ac:dyDescent="0.3">
      <c r="A338" s="18" t="s">
        <v>1013</v>
      </c>
      <c r="B338" s="18" t="s">
        <v>107</v>
      </c>
      <c r="C338" s="19" t="s">
        <v>108</v>
      </c>
      <c r="D338" s="18" t="s">
        <v>362</v>
      </c>
      <c r="E338" s="19" t="s">
        <v>363</v>
      </c>
      <c r="F338" s="18" t="s">
        <v>110</v>
      </c>
      <c r="G338" s="18" t="s">
        <v>111</v>
      </c>
      <c r="H338" s="19" t="s">
        <v>112</v>
      </c>
      <c r="I338" s="18" t="s">
        <v>113</v>
      </c>
      <c r="J338" s="19" t="s">
        <v>114</v>
      </c>
      <c r="K338" s="19" t="s">
        <v>115</v>
      </c>
      <c r="L338" s="18" t="s">
        <v>116</v>
      </c>
      <c r="M338" s="18" t="s">
        <v>133</v>
      </c>
      <c r="N338" s="18" t="s">
        <v>118</v>
      </c>
      <c r="O338" s="20">
        <v>119000</v>
      </c>
      <c r="P338" s="20">
        <v>82110</v>
      </c>
      <c r="Q338" s="20">
        <v>1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31</v>
      </c>
      <c r="X338" s="20">
        <v>0</v>
      </c>
      <c r="Y338" s="20">
        <v>5000</v>
      </c>
      <c r="Z338" s="20">
        <v>0</v>
      </c>
      <c r="AA338" s="20">
        <v>0</v>
      </c>
      <c r="AB338" s="20">
        <v>0</v>
      </c>
      <c r="AC338" s="20">
        <v>119000</v>
      </c>
      <c r="AD338" s="20">
        <v>82110</v>
      </c>
      <c r="AE338" s="20">
        <v>0</v>
      </c>
      <c r="AF338" s="20">
        <v>5000</v>
      </c>
      <c r="AG338" s="20">
        <v>114000</v>
      </c>
      <c r="AH338" s="20">
        <v>82110</v>
      </c>
      <c r="AI338" s="20">
        <v>28991</v>
      </c>
      <c r="AJ338" s="20">
        <v>2899</v>
      </c>
      <c r="AK338" s="20">
        <v>31890</v>
      </c>
    </row>
    <row r="339" spans="1:37" ht="16.5" customHeight="1" x14ac:dyDescent="0.3">
      <c r="A339" s="18" t="s">
        <v>1016</v>
      </c>
      <c r="B339" s="18" t="s">
        <v>107</v>
      </c>
      <c r="C339" s="19" t="s">
        <v>108</v>
      </c>
      <c r="D339" s="18" t="s">
        <v>365</v>
      </c>
      <c r="E339" s="19" t="s">
        <v>366</v>
      </c>
      <c r="F339" s="18" t="s">
        <v>110</v>
      </c>
      <c r="G339" s="18" t="s">
        <v>111</v>
      </c>
      <c r="H339" s="19" t="s">
        <v>112</v>
      </c>
      <c r="I339" s="18" t="s">
        <v>113</v>
      </c>
      <c r="J339" s="19" t="s">
        <v>114</v>
      </c>
      <c r="K339" s="19" t="s">
        <v>115</v>
      </c>
      <c r="L339" s="18" t="s">
        <v>116</v>
      </c>
      <c r="M339" s="18" t="s">
        <v>133</v>
      </c>
      <c r="N339" s="18" t="s">
        <v>118</v>
      </c>
      <c r="O339" s="20">
        <v>119000</v>
      </c>
      <c r="P339" s="20">
        <v>82110</v>
      </c>
      <c r="Q339" s="20">
        <v>1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31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119000</v>
      </c>
      <c r="AD339" s="20">
        <v>82110</v>
      </c>
      <c r="AE339" s="20">
        <v>0</v>
      </c>
      <c r="AF339" s="20">
        <v>0</v>
      </c>
      <c r="AG339" s="20">
        <v>119000</v>
      </c>
      <c r="AH339" s="20">
        <v>82110</v>
      </c>
      <c r="AI339" s="20">
        <v>33536</v>
      </c>
      <c r="AJ339" s="20">
        <v>3354</v>
      </c>
      <c r="AK339" s="20">
        <v>36890</v>
      </c>
    </row>
    <row r="340" spans="1:37" ht="16.5" customHeight="1" x14ac:dyDescent="0.3">
      <c r="A340" s="18" t="s">
        <v>1018</v>
      </c>
      <c r="B340" s="18" t="s">
        <v>107</v>
      </c>
      <c r="C340" s="19" t="s">
        <v>108</v>
      </c>
      <c r="D340" s="18" t="s">
        <v>368</v>
      </c>
      <c r="E340" s="19" t="s">
        <v>369</v>
      </c>
      <c r="F340" s="18" t="s">
        <v>110</v>
      </c>
      <c r="G340" s="18" t="s">
        <v>111</v>
      </c>
      <c r="H340" s="19" t="s">
        <v>112</v>
      </c>
      <c r="I340" s="18" t="s">
        <v>113</v>
      </c>
      <c r="J340" s="19" t="s">
        <v>114</v>
      </c>
      <c r="K340" s="19" t="s">
        <v>151</v>
      </c>
      <c r="L340" s="18" t="s">
        <v>116</v>
      </c>
      <c r="M340" s="18" t="s">
        <v>133</v>
      </c>
      <c r="N340" s="18" t="s">
        <v>118</v>
      </c>
      <c r="O340" s="20">
        <v>119000</v>
      </c>
      <c r="P340" s="20">
        <v>82110</v>
      </c>
      <c r="Q340" s="20">
        <v>1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31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119000</v>
      </c>
      <c r="AD340" s="20">
        <v>82110</v>
      </c>
      <c r="AE340" s="20">
        <v>0</v>
      </c>
      <c r="AF340" s="20">
        <v>0</v>
      </c>
      <c r="AG340" s="20">
        <v>119000</v>
      </c>
      <c r="AH340" s="20">
        <v>82110</v>
      </c>
      <c r="AI340" s="20">
        <v>33536</v>
      </c>
      <c r="AJ340" s="20">
        <v>3354</v>
      </c>
      <c r="AK340" s="20">
        <v>36890</v>
      </c>
    </row>
    <row r="341" spans="1:37" ht="16.5" customHeight="1" x14ac:dyDescent="0.3">
      <c r="A341" s="18" t="s">
        <v>1021</v>
      </c>
      <c r="B341" s="18" t="s">
        <v>107</v>
      </c>
      <c r="C341" s="19" t="s">
        <v>108</v>
      </c>
      <c r="D341" s="18" t="s">
        <v>222</v>
      </c>
      <c r="E341" s="19" t="s">
        <v>223</v>
      </c>
      <c r="F341" s="18" t="s">
        <v>110</v>
      </c>
      <c r="G341" s="18" t="s">
        <v>111</v>
      </c>
      <c r="H341" s="19" t="s">
        <v>112</v>
      </c>
      <c r="I341" s="18" t="s">
        <v>113</v>
      </c>
      <c r="J341" s="19" t="s">
        <v>114</v>
      </c>
      <c r="K341" s="19" t="s">
        <v>115</v>
      </c>
      <c r="L341" s="18" t="s">
        <v>116</v>
      </c>
      <c r="M341" s="18" t="s">
        <v>133</v>
      </c>
      <c r="N341" s="18" t="s">
        <v>118</v>
      </c>
      <c r="O341" s="20">
        <v>119000</v>
      </c>
      <c r="P341" s="20">
        <v>82110</v>
      </c>
      <c r="Q341" s="20">
        <v>1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31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119000</v>
      </c>
      <c r="AD341" s="20">
        <v>82110</v>
      </c>
      <c r="AE341" s="20">
        <v>0</v>
      </c>
      <c r="AF341" s="20">
        <v>0</v>
      </c>
      <c r="AG341" s="20">
        <v>119000</v>
      </c>
      <c r="AH341" s="20">
        <v>82110</v>
      </c>
      <c r="AI341" s="20">
        <v>33536</v>
      </c>
      <c r="AJ341" s="20">
        <v>3354</v>
      </c>
      <c r="AK341" s="20">
        <v>36890</v>
      </c>
    </row>
    <row r="342" spans="1:37" ht="16.5" customHeight="1" x14ac:dyDescent="0.3">
      <c r="A342" s="18" t="s">
        <v>1024</v>
      </c>
      <c r="B342" s="18" t="s">
        <v>107</v>
      </c>
      <c r="C342" s="19" t="s">
        <v>108</v>
      </c>
      <c r="D342" s="18" t="s">
        <v>371</v>
      </c>
      <c r="E342" s="19" t="s">
        <v>372</v>
      </c>
      <c r="F342" s="18" t="s">
        <v>110</v>
      </c>
      <c r="G342" s="18" t="s">
        <v>111</v>
      </c>
      <c r="H342" s="19" t="s">
        <v>112</v>
      </c>
      <c r="I342" s="18" t="s">
        <v>113</v>
      </c>
      <c r="J342" s="19" t="s">
        <v>114</v>
      </c>
      <c r="K342" s="19" t="s">
        <v>115</v>
      </c>
      <c r="L342" s="18" t="s">
        <v>116</v>
      </c>
      <c r="M342" s="18" t="s">
        <v>133</v>
      </c>
      <c r="N342" s="18" t="s">
        <v>118</v>
      </c>
      <c r="O342" s="20">
        <v>119000</v>
      </c>
      <c r="P342" s="20">
        <v>82110</v>
      </c>
      <c r="Q342" s="20">
        <v>1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31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119000</v>
      </c>
      <c r="AD342" s="20">
        <v>82110</v>
      </c>
      <c r="AE342" s="20">
        <v>0</v>
      </c>
      <c r="AF342" s="20">
        <v>0</v>
      </c>
      <c r="AG342" s="20">
        <v>119000</v>
      </c>
      <c r="AH342" s="20">
        <v>82110</v>
      </c>
      <c r="AI342" s="20">
        <v>33536</v>
      </c>
      <c r="AJ342" s="20">
        <v>3354</v>
      </c>
      <c r="AK342" s="20">
        <v>36890</v>
      </c>
    </row>
    <row r="343" spans="1:37" ht="16.5" customHeight="1" x14ac:dyDescent="0.3">
      <c r="A343" s="18" t="s">
        <v>1026</v>
      </c>
      <c r="B343" s="18" t="s">
        <v>107</v>
      </c>
      <c r="C343" s="19" t="s">
        <v>108</v>
      </c>
      <c r="D343" s="18" t="s">
        <v>381</v>
      </c>
      <c r="E343" s="19" t="s">
        <v>382</v>
      </c>
      <c r="F343" s="18" t="s">
        <v>110</v>
      </c>
      <c r="G343" s="18" t="s">
        <v>111</v>
      </c>
      <c r="H343" s="19" t="s">
        <v>112</v>
      </c>
      <c r="I343" s="18" t="s">
        <v>113</v>
      </c>
      <c r="J343" s="19" t="s">
        <v>114</v>
      </c>
      <c r="K343" s="19" t="s">
        <v>115</v>
      </c>
      <c r="L343" s="18" t="s">
        <v>116</v>
      </c>
      <c r="M343" s="18" t="s">
        <v>133</v>
      </c>
      <c r="N343" s="18" t="s">
        <v>118</v>
      </c>
      <c r="O343" s="20">
        <v>119000</v>
      </c>
      <c r="P343" s="20">
        <v>82110</v>
      </c>
      <c r="Q343" s="20">
        <v>1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31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119000</v>
      </c>
      <c r="AD343" s="20">
        <v>82110</v>
      </c>
      <c r="AE343" s="20">
        <v>0</v>
      </c>
      <c r="AF343" s="20">
        <v>0</v>
      </c>
      <c r="AG343" s="20">
        <v>119000</v>
      </c>
      <c r="AH343" s="20">
        <v>82110</v>
      </c>
      <c r="AI343" s="20">
        <v>33536</v>
      </c>
      <c r="AJ343" s="20">
        <v>3354</v>
      </c>
      <c r="AK343" s="20">
        <v>36890</v>
      </c>
    </row>
    <row r="344" spans="1:37" ht="16.5" customHeight="1" x14ac:dyDescent="0.3">
      <c r="A344" s="18" t="s">
        <v>1028</v>
      </c>
      <c r="B344" s="18" t="s">
        <v>107</v>
      </c>
      <c r="C344" s="19" t="s">
        <v>108</v>
      </c>
      <c r="D344" s="18" t="s">
        <v>384</v>
      </c>
      <c r="E344" s="19" t="s">
        <v>385</v>
      </c>
      <c r="F344" s="18" t="s">
        <v>110</v>
      </c>
      <c r="G344" s="18" t="s">
        <v>111</v>
      </c>
      <c r="H344" s="19" t="s">
        <v>112</v>
      </c>
      <c r="I344" s="18" t="s">
        <v>113</v>
      </c>
      <c r="J344" s="19" t="s">
        <v>114</v>
      </c>
      <c r="K344" s="19" t="s">
        <v>115</v>
      </c>
      <c r="L344" s="18" t="s">
        <v>116</v>
      </c>
      <c r="M344" s="18" t="s">
        <v>133</v>
      </c>
      <c r="N344" s="18" t="s">
        <v>118</v>
      </c>
      <c r="O344" s="20">
        <v>119000</v>
      </c>
      <c r="P344" s="20">
        <v>82110</v>
      </c>
      <c r="Q344" s="20">
        <v>1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31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119000</v>
      </c>
      <c r="AD344" s="20">
        <v>82110</v>
      </c>
      <c r="AE344" s="20">
        <v>0</v>
      </c>
      <c r="AF344" s="20">
        <v>0</v>
      </c>
      <c r="AG344" s="20">
        <v>119000</v>
      </c>
      <c r="AH344" s="20">
        <v>82110</v>
      </c>
      <c r="AI344" s="20">
        <v>33536</v>
      </c>
      <c r="AJ344" s="20">
        <v>3354</v>
      </c>
      <c r="AK344" s="20">
        <v>36890</v>
      </c>
    </row>
    <row r="345" spans="1:37" ht="16.5" customHeight="1" x14ac:dyDescent="0.3">
      <c r="A345" s="18" t="s">
        <v>1030</v>
      </c>
      <c r="B345" s="18" t="s">
        <v>107</v>
      </c>
      <c r="C345" s="19" t="s">
        <v>108</v>
      </c>
      <c r="D345" s="18" t="s">
        <v>387</v>
      </c>
      <c r="E345" s="19" t="s">
        <v>169</v>
      </c>
      <c r="F345" s="18" t="s">
        <v>110</v>
      </c>
      <c r="G345" s="18" t="s">
        <v>111</v>
      </c>
      <c r="H345" s="19" t="s">
        <v>112</v>
      </c>
      <c r="I345" s="18" t="s">
        <v>113</v>
      </c>
      <c r="J345" s="19" t="s">
        <v>114</v>
      </c>
      <c r="K345" s="19" t="s">
        <v>115</v>
      </c>
      <c r="L345" s="18" t="s">
        <v>116</v>
      </c>
      <c r="M345" s="18" t="s">
        <v>133</v>
      </c>
      <c r="N345" s="18" t="s">
        <v>118</v>
      </c>
      <c r="O345" s="20">
        <v>119000</v>
      </c>
      <c r="P345" s="20">
        <v>82110</v>
      </c>
      <c r="Q345" s="20">
        <v>1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>
        <v>31</v>
      </c>
      <c r="X345" s="20">
        <v>17850</v>
      </c>
      <c r="Y345" s="20">
        <v>0</v>
      </c>
      <c r="Z345" s="20">
        <v>0</v>
      </c>
      <c r="AA345" s="20">
        <v>0</v>
      </c>
      <c r="AB345" s="20">
        <v>0</v>
      </c>
      <c r="AC345" s="20">
        <v>119000</v>
      </c>
      <c r="AD345" s="20">
        <v>82110</v>
      </c>
      <c r="AE345" s="20">
        <v>0</v>
      </c>
      <c r="AF345" s="20">
        <v>17850</v>
      </c>
      <c r="AG345" s="20">
        <v>101150</v>
      </c>
      <c r="AH345" s="20">
        <v>82110</v>
      </c>
      <c r="AI345" s="20">
        <v>17309</v>
      </c>
      <c r="AJ345" s="20">
        <v>1731</v>
      </c>
      <c r="AK345" s="20">
        <v>19040</v>
      </c>
    </row>
    <row r="346" spans="1:37" ht="16.5" customHeight="1" x14ac:dyDescent="0.3">
      <c r="A346" s="18" t="s">
        <v>1033</v>
      </c>
      <c r="B346" s="18" t="s">
        <v>107</v>
      </c>
      <c r="C346" s="19" t="s">
        <v>108</v>
      </c>
      <c r="D346" s="18" t="s">
        <v>389</v>
      </c>
      <c r="E346" s="19" t="s">
        <v>390</v>
      </c>
      <c r="F346" s="18" t="s">
        <v>110</v>
      </c>
      <c r="G346" s="18" t="s">
        <v>111</v>
      </c>
      <c r="H346" s="19" t="s">
        <v>112</v>
      </c>
      <c r="I346" s="18" t="s">
        <v>113</v>
      </c>
      <c r="J346" s="19" t="s">
        <v>114</v>
      </c>
      <c r="K346" s="19" t="s">
        <v>115</v>
      </c>
      <c r="L346" s="18" t="s">
        <v>116</v>
      </c>
      <c r="M346" s="18" t="s">
        <v>133</v>
      </c>
      <c r="N346" s="18" t="s">
        <v>118</v>
      </c>
      <c r="O346" s="20">
        <v>119000</v>
      </c>
      <c r="P346" s="20">
        <v>82110</v>
      </c>
      <c r="Q346" s="20">
        <v>1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31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119000</v>
      </c>
      <c r="AD346" s="20">
        <v>82110</v>
      </c>
      <c r="AE346" s="20">
        <v>0</v>
      </c>
      <c r="AF346" s="20">
        <v>0</v>
      </c>
      <c r="AG346" s="20">
        <v>119000</v>
      </c>
      <c r="AH346" s="20">
        <v>82110</v>
      </c>
      <c r="AI346" s="20">
        <v>33536</v>
      </c>
      <c r="AJ346" s="20">
        <v>3354</v>
      </c>
      <c r="AK346" s="20">
        <v>36890</v>
      </c>
    </row>
    <row r="347" spans="1:37" ht="16.5" customHeight="1" x14ac:dyDescent="0.3">
      <c r="A347" s="18" t="s">
        <v>1034</v>
      </c>
      <c r="B347" s="18" t="s">
        <v>107</v>
      </c>
      <c r="C347" s="19" t="s">
        <v>108</v>
      </c>
      <c r="D347" s="18" t="s">
        <v>392</v>
      </c>
      <c r="E347" s="19" t="s">
        <v>163</v>
      </c>
      <c r="F347" s="18" t="s">
        <v>110</v>
      </c>
      <c r="G347" s="18" t="s">
        <v>111</v>
      </c>
      <c r="H347" s="19" t="s">
        <v>112</v>
      </c>
      <c r="I347" s="18" t="s">
        <v>113</v>
      </c>
      <c r="J347" s="19" t="s">
        <v>114</v>
      </c>
      <c r="K347" s="19" t="s">
        <v>115</v>
      </c>
      <c r="L347" s="18" t="s">
        <v>116</v>
      </c>
      <c r="M347" s="18" t="s">
        <v>133</v>
      </c>
      <c r="N347" s="18" t="s">
        <v>118</v>
      </c>
      <c r="O347" s="20">
        <v>119000</v>
      </c>
      <c r="P347" s="20">
        <v>82110</v>
      </c>
      <c r="Q347" s="20">
        <v>1</v>
      </c>
      <c r="R347" s="20">
        <v>0</v>
      </c>
      <c r="S347" s="20">
        <v>0</v>
      </c>
      <c r="T347" s="20">
        <v>0</v>
      </c>
      <c r="U347" s="20">
        <v>0</v>
      </c>
      <c r="V347" s="20">
        <v>0</v>
      </c>
      <c r="W347" s="20">
        <v>31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119000</v>
      </c>
      <c r="AD347" s="20">
        <v>82110</v>
      </c>
      <c r="AE347" s="20">
        <v>0</v>
      </c>
      <c r="AF347" s="20">
        <v>0</v>
      </c>
      <c r="AG347" s="20">
        <v>119000</v>
      </c>
      <c r="AH347" s="20">
        <v>82110</v>
      </c>
      <c r="AI347" s="20">
        <v>33536</v>
      </c>
      <c r="AJ347" s="20">
        <v>3354</v>
      </c>
      <c r="AK347" s="20">
        <v>36890</v>
      </c>
    </row>
    <row r="348" spans="1:37" ht="16.5" customHeight="1" x14ac:dyDescent="0.3">
      <c r="A348" s="18" t="s">
        <v>1037</v>
      </c>
      <c r="B348" s="18" t="s">
        <v>107</v>
      </c>
      <c r="C348" s="19" t="s">
        <v>108</v>
      </c>
      <c r="D348" s="18" t="s">
        <v>394</v>
      </c>
      <c r="E348" s="19" t="s">
        <v>395</v>
      </c>
      <c r="F348" s="18" t="s">
        <v>110</v>
      </c>
      <c r="G348" s="18" t="s">
        <v>111</v>
      </c>
      <c r="H348" s="19" t="s">
        <v>112</v>
      </c>
      <c r="I348" s="18" t="s">
        <v>113</v>
      </c>
      <c r="J348" s="19" t="s">
        <v>114</v>
      </c>
      <c r="K348" s="19" t="s">
        <v>115</v>
      </c>
      <c r="L348" s="18" t="s">
        <v>116</v>
      </c>
      <c r="M348" s="18" t="s">
        <v>133</v>
      </c>
      <c r="N348" s="18" t="s">
        <v>118</v>
      </c>
      <c r="O348" s="20">
        <v>119000</v>
      </c>
      <c r="P348" s="20">
        <v>82110</v>
      </c>
      <c r="Q348" s="20">
        <v>1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31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119000</v>
      </c>
      <c r="AD348" s="20">
        <v>82110</v>
      </c>
      <c r="AE348" s="20">
        <v>0</v>
      </c>
      <c r="AF348" s="20">
        <v>0</v>
      </c>
      <c r="AG348" s="20">
        <v>119000</v>
      </c>
      <c r="AH348" s="20">
        <v>82110</v>
      </c>
      <c r="AI348" s="20">
        <v>33536</v>
      </c>
      <c r="AJ348" s="20">
        <v>3354</v>
      </c>
      <c r="AK348" s="20">
        <v>36890</v>
      </c>
    </row>
    <row r="349" spans="1:37" ht="16.5" customHeight="1" x14ac:dyDescent="0.3">
      <c r="A349" s="18" t="s">
        <v>1039</v>
      </c>
      <c r="B349" s="18" t="s">
        <v>107</v>
      </c>
      <c r="C349" s="19" t="s">
        <v>108</v>
      </c>
      <c r="D349" s="18" t="s">
        <v>397</v>
      </c>
      <c r="E349" s="19" t="s">
        <v>398</v>
      </c>
      <c r="F349" s="18" t="s">
        <v>110</v>
      </c>
      <c r="G349" s="18" t="s">
        <v>111</v>
      </c>
      <c r="H349" s="19" t="s">
        <v>112</v>
      </c>
      <c r="I349" s="18" t="s">
        <v>113</v>
      </c>
      <c r="J349" s="19" t="s">
        <v>114</v>
      </c>
      <c r="K349" s="19" t="s">
        <v>115</v>
      </c>
      <c r="L349" s="18" t="s">
        <v>116</v>
      </c>
      <c r="M349" s="18" t="s">
        <v>133</v>
      </c>
      <c r="N349" s="18" t="s">
        <v>118</v>
      </c>
      <c r="O349" s="20">
        <v>119000</v>
      </c>
      <c r="P349" s="20">
        <v>82110</v>
      </c>
      <c r="Q349" s="20">
        <v>1</v>
      </c>
      <c r="R349" s="20">
        <v>0</v>
      </c>
      <c r="S349" s="20">
        <v>0</v>
      </c>
      <c r="T349" s="20">
        <v>0</v>
      </c>
      <c r="U349" s="20">
        <v>0</v>
      </c>
      <c r="V349" s="20">
        <v>0</v>
      </c>
      <c r="W349" s="20">
        <v>31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119000</v>
      </c>
      <c r="AD349" s="20">
        <v>82110</v>
      </c>
      <c r="AE349" s="20">
        <v>0</v>
      </c>
      <c r="AF349" s="20">
        <v>0</v>
      </c>
      <c r="AG349" s="20">
        <v>119000</v>
      </c>
      <c r="AH349" s="20">
        <v>82110</v>
      </c>
      <c r="AI349" s="20">
        <v>33536</v>
      </c>
      <c r="AJ349" s="20">
        <v>3354</v>
      </c>
      <c r="AK349" s="20">
        <v>36890</v>
      </c>
    </row>
    <row r="350" spans="1:37" ht="16.5" customHeight="1" x14ac:dyDescent="0.3">
      <c r="A350" s="18" t="s">
        <v>1042</v>
      </c>
      <c r="B350" s="18" t="s">
        <v>107</v>
      </c>
      <c r="C350" s="19" t="s">
        <v>108</v>
      </c>
      <c r="D350" s="18" t="s">
        <v>231</v>
      </c>
      <c r="E350" s="19" t="s">
        <v>232</v>
      </c>
      <c r="F350" s="18" t="s">
        <v>110</v>
      </c>
      <c r="G350" s="18" t="s">
        <v>111</v>
      </c>
      <c r="H350" s="19" t="s">
        <v>112</v>
      </c>
      <c r="I350" s="18" t="s">
        <v>113</v>
      </c>
      <c r="J350" s="19" t="s">
        <v>114</v>
      </c>
      <c r="K350" s="19" t="s">
        <v>115</v>
      </c>
      <c r="L350" s="18" t="s">
        <v>116</v>
      </c>
      <c r="M350" s="18" t="s">
        <v>133</v>
      </c>
      <c r="N350" s="18" t="s">
        <v>118</v>
      </c>
      <c r="O350" s="20">
        <v>119000</v>
      </c>
      <c r="P350" s="20">
        <v>82110</v>
      </c>
      <c r="Q350" s="20">
        <v>1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31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119000</v>
      </c>
      <c r="AD350" s="20">
        <v>82110</v>
      </c>
      <c r="AE350" s="20">
        <v>0</v>
      </c>
      <c r="AF350" s="20">
        <v>0</v>
      </c>
      <c r="AG350" s="20">
        <v>119000</v>
      </c>
      <c r="AH350" s="20">
        <v>82110</v>
      </c>
      <c r="AI350" s="20">
        <v>33536</v>
      </c>
      <c r="AJ350" s="20">
        <v>3354</v>
      </c>
      <c r="AK350" s="20">
        <v>36890</v>
      </c>
    </row>
    <row r="351" spans="1:37" ht="16.5" customHeight="1" x14ac:dyDescent="0.3">
      <c r="A351" s="18" t="s">
        <v>1045</v>
      </c>
      <c r="B351" s="18" t="s">
        <v>107</v>
      </c>
      <c r="C351" s="19" t="s">
        <v>108</v>
      </c>
      <c r="D351" s="18" t="s">
        <v>403</v>
      </c>
      <c r="E351" s="19" t="s">
        <v>404</v>
      </c>
      <c r="F351" s="18" t="s">
        <v>110</v>
      </c>
      <c r="G351" s="18" t="s">
        <v>111</v>
      </c>
      <c r="H351" s="19" t="s">
        <v>112</v>
      </c>
      <c r="I351" s="18" t="s">
        <v>113</v>
      </c>
      <c r="J351" s="19" t="s">
        <v>114</v>
      </c>
      <c r="K351" s="19" t="s">
        <v>115</v>
      </c>
      <c r="L351" s="18" t="s">
        <v>116</v>
      </c>
      <c r="M351" s="18" t="s">
        <v>133</v>
      </c>
      <c r="N351" s="18" t="s">
        <v>118</v>
      </c>
      <c r="O351" s="20">
        <v>119000</v>
      </c>
      <c r="P351" s="20">
        <v>82110</v>
      </c>
      <c r="Q351" s="20">
        <v>1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31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119000</v>
      </c>
      <c r="AD351" s="20">
        <v>82110</v>
      </c>
      <c r="AE351" s="20">
        <v>0</v>
      </c>
      <c r="AF351" s="20">
        <v>0</v>
      </c>
      <c r="AG351" s="20">
        <v>119000</v>
      </c>
      <c r="AH351" s="20">
        <v>82110</v>
      </c>
      <c r="AI351" s="20">
        <v>33536</v>
      </c>
      <c r="AJ351" s="20">
        <v>3354</v>
      </c>
      <c r="AK351" s="20">
        <v>36890</v>
      </c>
    </row>
    <row r="352" spans="1:37" ht="16.5" customHeight="1" x14ac:dyDescent="0.3">
      <c r="A352" s="18" t="s">
        <v>1048</v>
      </c>
      <c r="B352" s="18" t="s">
        <v>107</v>
      </c>
      <c r="C352" s="19" t="s">
        <v>108</v>
      </c>
      <c r="D352" s="18" t="s">
        <v>408</v>
      </c>
      <c r="E352" s="19" t="s">
        <v>169</v>
      </c>
      <c r="F352" s="18" t="s">
        <v>110</v>
      </c>
      <c r="G352" s="18" t="s">
        <v>111</v>
      </c>
      <c r="H352" s="19" t="s">
        <v>112</v>
      </c>
      <c r="I352" s="18" t="s">
        <v>113</v>
      </c>
      <c r="J352" s="19" t="s">
        <v>114</v>
      </c>
      <c r="K352" s="19" t="s">
        <v>115</v>
      </c>
      <c r="L352" s="18" t="s">
        <v>116</v>
      </c>
      <c r="M352" s="18" t="s">
        <v>133</v>
      </c>
      <c r="N352" s="18" t="s">
        <v>118</v>
      </c>
      <c r="O352" s="20">
        <v>119000</v>
      </c>
      <c r="P352" s="20">
        <v>82110</v>
      </c>
      <c r="Q352" s="20">
        <v>1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31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119000</v>
      </c>
      <c r="AD352" s="20">
        <v>82110</v>
      </c>
      <c r="AE352" s="20">
        <v>0</v>
      </c>
      <c r="AF352" s="20">
        <v>0</v>
      </c>
      <c r="AG352" s="20">
        <v>119000</v>
      </c>
      <c r="AH352" s="20">
        <v>82110</v>
      </c>
      <c r="AI352" s="20">
        <v>33536</v>
      </c>
      <c r="AJ352" s="20">
        <v>3354</v>
      </c>
      <c r="AK352" s="20">
        <v>36890</v>
      </c>
    </row>
    <row r="353" spans="1:37" ht="16.5" customHeight="1" x14ac:dyDescent="0.3">
      <c r="A353" s="18" t="s">
        <v>1051</v>
      </c>
      <c r="B353" s="18" t="s">
        <v>107</v>
      </c>
      <c r="C353" s="19" t="s">
        <v>108</v>
      </c>
      <c r="D353" s="18" t="s">
        <v>234</v>
      </c>
      <c r="E353" s="19" t="s">
        <v>235</v>
      </c>
      <c r="F353" s="18" t="s">
        <v>110</v>
      </c>
      <c r="G353" s="18" t="s">
        <v>111</v>
      </c>
      <c r="H353" s="19" t="s">
        <v>112</v>
      </c>
      <c r="I353" s="18" t="s">
        <v>113</v>
      </c>
      <c r="J353" s="19" t="s">
        <v>114</v>
      </c>
      <c r="K353" s="19" t="s">
        <v>115</v>
      </c>
      <c r="L353" s="18" t="s">
        <v>116</v>
      </c>
      <c r="M353" s="18" t="s">
        <v>133</v>
      </c>
      <c r="N353" s="18" t="s">
        <v>118</v>
      </c>
      <c r="O353" s="20">
        <v>119000</v>
      </c>
      <c r="P353" s="20">
        <v>82110</v>
      </c>
      <c r="Q353" s="20">
        <v>1</v>
      </c>
      <c r="R353" s="20">
        <v>0</v>
      </c>
      <c r="S353" s="20">
        <v>0</v>
      </c>
      <c r="T353" s="20">
        <v>0</v>
      </c>
      <c r="U353" s="20">
        <v>0</v>
      </c>
      <c r="V353" s="20">
        <v>0</v>
      </c>
      <c r="W353" s="20">
        <v>31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119000</v>
      </c>
      <c r="AD353" s="20">
        <v>82110</v>
      </c>
      <c r="AE353" s="20">
        <v>0</v>
      </c>
      <c r="AF353" s="20">
        <v>0</v>
      </c>
      <c r="AG353" s="20">
        <v>119000</v>
      </c>
      <c r="AH353" s="20">
        <v>82110</v>
      </c>
      <c r="AI353" s="20">
        <v>33536</v>
      </c>
      <c r="AJ353" s="20">
        <v>3354</v>
      </c>
      <c r="AK353" s="20">
        <v>36890</v>
      </c>
    </row>
    <row r="354" spans="1:37" ht="16.5" customHeight="1" x14ac:dyDescent="0.3">
      <c r="A354" s="18" t="s">
        <v>1053</v>
      </c>
      <c r="B354" s="18" t="s">
        <v>107</v>
      </c>
      <c r="C354" s="19" t="s">
        <v>108</v>
      </c>
      <c r="D354" s="18" t="s">
        <v>237</v>
      </c>
      <c r="E354" s="19" t="s">
        <v>217</v>
      </c>
      <c r="F354" s="18" t="s">
        <v>110</v>
      </c>
      <c r="G354" s="18" t="s">
        <v>111</v>
      </c>
      <c r="H354" s="19" t="s">
        <v>112</v>
      </c>
      <c r="I354" s="18" t="s">
        <v>113</v>
      </c>
      <c r="J354" s="19" t="s">
        <v>114</v>
      </c>
      <c r="K354" s="19" t="s">
        <v>115</v>
      </c>
      <c r="L354" s="18" t="s">
        <v>116</v>
      </c>
      <c r="M354" s="18" t="s">
        <v>133</v>
      </c>
      <c r="N354" s="18" t="s">
        <v>118</v>
      </c>
      <c r="O354" s="20">
        <v>119000</v>
      </c>
      <c r="P354" s="20">
        <v>82110</v>
      </c>
      <c r="Q354" s="20">
        <v>1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31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119000</v>
      </c>
      <c r="AD354" s="20">
        <v>82110</v>
      </c>
      <c r="AE354" s="20">
        <v>0</v>
      </c>
      <c r="AF354" s="20">
        <v>0</v>
      </c>
      <c r="AG354" s="20">
        <v>119000</v>
      </c>
      <c r="AH354" s="20">
        <v>82110</v>
      </c>
      <c r="AI354" s="20">
        <v>33536</v>
      </c>
      <c r="AJ354" s="20">
        <v>3354</v>
      </c>
      <c r="AK354" s="20">
        <v>36890</v>
      </c>
    </row>
    <row r="355" spans="1:37" ht="16.5" customHeight="1" x14ac:dyDescent="0.3">
      <c r="A355" s="18" t="s">
        <v>1056</v>
      </c>
      <c r="B355" s="18" t="s">
        <v>107</v>
      </c>
      <c r="C355" s="19" t="s">
        <v>108</v>
      </c>
      <c r="D355" s="18" t="s">
        <v>410</v>
      </c>
      <c r="E355" s="19" t="s">
        <v>411</v>
      </c>
      <c r="F355" s="18" t="s">
        <v>110</v>
      </c>
      <c r="G355" s="18" t="s">
        <v>111</v>
      </c>
      <c r="H355" s="19" t="s">
        <v>112</v>
      </c>
      <c r="I355" s="18" t="s">
        <v>113</v>
      </c>
      <c r="J355" s="19" t="s">
        <v>114</v>
      </c>
      <c r="K355" s="19" t="s">
        <v>115</v>
      </c>
      <c r="L355" s="18" t="s">
        <v>116</v>
      </c>
      <c r="M355" s="18" t="s">
        <v>133</v>
      </c>
      <c r="N355" s="18" t="s">
        <v>118</v>
      </c>
      <c r="O355" s="20">
        <v>119000</v>
      </c>
      <c r="P355" s="20">
        <v>82110</v>
      </c>
      <c r="Q355" s="20">
        <v>1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31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119000</v>
      </c>
      <c r="AD355" s="20">
        <v>82110</v>
      </c>
      <c r="AE355" s="20">
        <v>0</v>
      </c>
      <c r="AF355" s="20">
        <v>0</v>
      </c>
      <c r="AG355" s="20">
        <v>119000</v>
      </c>
      <c r="AH355" s="20">
        <v>82110</v>
      </c>
      <c r="AI355" s="20">
        <v>33536</v>
      </c>
      <c r="AJ355" s="20">
        <v>3354</v>
      </c>
      <c r="AK355" s="20">
        <v>36890</v>
      </c>
    </row>
    <row r="356" spans="1:37" ht="16.5" customHeight="1" x14ac:dyDescent="0.3">
      <c r="A356" s="18" t="s">
        <v>1059</v>
      </c>
      <c r="B356" s="18" t="s">
        <v>107</v>
      </c>
      <c r="C356" s="19" t="s">
        <v>108</v>
      </c>
      <c r="D356" s="18" t="s">
        <v>413</v>
      </c>
      <c r="E356" s="19" t="s">
        <v>414</v>
      </c>
      <c r="F356" s="18" t="s">
        <v>110</v>
      </c>
      <c r="G356" s="18" t="s">
        <v>111</v>
      </c>
      <c r="H356" s="19" t="s">
        <v>112</v>
      </c>
      <c r="I356" s="18" t="s">
        <v>113</v>
      </c>
      <c r="J356" s="19" t="s">
        <v>114</v>
      </c>
      <c r="K356" s="19" t="s">
        <v>115</v>
      </c>
      <c r="L356" s="18" t="s">
        <v>116</v>
      </c>
      <c r="M356" s="18" t="s">
        <v>133</v>
      </c>
      <c r="N356" s="18" t="s">
        <v>118</v>
      </c>
      <c r="O356" s="20">
        <v>119000</v>
      </c>
      <c r="P356" s="20">
        <v>82110</v>
      </c>
      <c r="Q356" s="20">
        <v>1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>
        <v>31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119000</v>
      </c>
      <c r="AD356" s="20">
        <v>82110</v>
      </c>
      <c r="AE356" s="20">
        <v>0</v>
      </c>
      <c r="AF356" s="20">
        <v>0</v>
      </c>
      <c r="AG356" s="20">
        <v>119000</v>
      </c>
      <c r="AH356" s="20">
        <v>82110</v>
      </c>
      <c r="AI356" s="20">
        <v>33536</v>
      </c>
      <c r="AJ356" s="20">
        <v>3354</v>
      </c>
      <c r="AK356" s="20">
        <v>36890</v>
      </c>
    </row>
    <row r="357" spans="1:37" ht="16.5" customHeight="1" x14ac:dyDescent="0.3">
      <c r="A357" s="18" t="s">
        <v>1061</v>
      </c>
      <c r="B357" s="18" t="s">
        <v>107</v>
      </c>
      <c r="C357" s="19" t="s">
        <v>108</v>
      </c>
      <c r="D357" s="18" t="s">
        <v>416</v>
      </c>
      <c r="E357" s="19" t="s">
        <v>417</v>
      </c>
      <c r="F357" s="18" t="s">
        <v>110</v>
      </c>
      <c r="G357" s="18" t="s">
        <v>111</v>
      </c>
      <c r="H357" s="19" t="s">
        <v>112</v>
      </c>
      <c r="I357" s="18" t="s">
        <v>113</v>
      </c>
      <c r="J357" s="19" t="s">
        <v>114</v>
      </c>
      <c r="K357" s="19" t="s">
        <v>115</v>
      </c>
      <c r="L357" s="18" t="s">
        <v>116</v>
      </c>
      <c r="M357" s="18" t="s">
        <v>133</v>
      </c>
      <c r="N357" s="18" t="s">
        <v>118</v>
      </c>
      <c r="O357" s="20">
        <v>119000</v>
      </c>
      <c r="P357" s="20">
        <v>82110</v>
      </c>
      <c r="Q357" s="20">
        <v>1</v>
      </c>
      <c r="R357" s="20">
        <v>0</v>
      </c>
      <c r="S357" s="20">
        <v>0</v>
      </c>
      <c r="T357" s="20">
        <v>0</v>
      </c>
      <c r="U357" s="20">
        <v>0</v>
      </c>
      <c r="V357" s="20">
        <v>0</v>
      </c>
      <c r="W357" s="20">
        <v>31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119000</v>
      </c>
      <c r="AD357" s="20">
        <v>82110</v>
      </c>
      <c r="AE357" s="20">
        <v>0</v>
      </c>
      <c r="AF357" s="20">
        <v>0</v>
      </c>
      <c r="AG357" s="20">
        <v>119000</v>
      </c>
      <c r="AH357" s="20">
        <v>82110</v>
      </c>
      <c r="AI357" s="20">
        <v>33536</v>
      </c>
      <c r="AJ357" s="20">
        <v>3354</v>
      </c>
      <c r="AK357" s="20">
        <v>36890</v>
      </c>
    </row>
    <row r="358" spans="1:37" ht="16.5" customHeight="1" x14ac:dyDescent="0.3">
      <c r="A358" s="18" t="s">
        <v>1064</v>
      </c>
      <c r="B358" s="18" t="s">
        <v>107</v>
      </c>
      <c r="C358" s="19" t="s">
        <v>108</v>
      </c>
      <c r="D358" s="18" t="s">
        <v>419</v>
      </c>
      <c r="E358" s="19" t="s">
        <v>420</v>
      </c>
      <c r="F358" s="18" t="s">
        <v>110</v>
      </c>
      <c r="G358" s="18" t="s">
        <v>111</v>
      </c>
      <c r="H358" s="19" t="s">
        <v>112</v>
      </c>
      <c r="I358" s="18" t="s">
        <v>113</v>
      </c>
      <c r="J358" s="19" t="s">
        <v>114</v>
      </c>
      <c r="K358" s="19" t="s">
        <v>115</v>
      </c>
      <c r="L358" s="18" t="s">
        <v>116</v>
      </c>
      <c r="M358" s="18" t="s">
        <v>133</v>
      </c>
      <c r="N358" s="18" t="s">
        <v>118</v>
      </c>
      <c r="O358" s="20">
        <v>119000</v>
      </c>
      <c r="P358" s="20">
        <v>82110</v>
      </c>
      <c r="Q358" s="20">
        <v>1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31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119000</v>
      </c>
      <c r="AD358" s="20">
        <v>82110</v>
      </c>
      <c r="AE358" s="20">
        <v>0</v>
      </c>
      <c r="AF358" s="20">
        <v>0</v>
      </c>
      <c r="AG358" s="20">
        <v>119000</v>
      </c>
      <c r="AH358" s="20">
        <v>82110</v>
      </c>
      <c r="AI358" s="20">
        <v>33536</v>
      </c>
      <c r="AJ358" s="20">
        <v>3354</v>
      </c>
      <c r="AK358" s="20">
        <v>36890</v>
      </c>
    </row>
    <row r="359" spans="1:37" ht="16.5" customHeight="1" x14ac:dyDescent="0.3">
      <c r="A359" s="18" t="s">
        <v>1067</v>
      </c>
      <c r="B359" s="18" t="s">
        <v>107</v>
      </c>
      <c r="C359" s="19" t="s">
        <v>108</v>
      </c>
      <c r="D359" s="18" t="s">
        <v>422</v>
      </c>
      <c r="E359" s="19" t="s">
        <v>423</v>
      </c>
      <c r="F359" s="18" t="s">
        <v>110</v>
      </c>
      <c r="G359" s="18" t="s">
        <v>111</v>
      </c>
      <c r="H359" s="19" t="s">
        <v>112</v>
      </c>
      <c r="I359" s="18" t="s">
        <v>113</v>
      </c>
      <c r="J359" s="19" t="s">
        <v>114</v>
      </c>
      <c r="K359" s="19" t="s">
        <v>115</v>
      </c>
      <c r="L359" s="18" t="s">
        <v>116</v>
      </c>
      <c r="M359" s="18" t="s">
        <v>133</v>
      </c>
      <c r="N359" s="18" t="s">
        <v>118</v>
      </c>
      <c r="O359" s="20">
        <v>119000</v>
      </c>
      <c r="P359" s="20">
        <v>82110</v>
      </c>
      <c r="Q359" s="20">
        <v>1</v>
      </c>
      <c r="R359" s="20">
        <v>0</v>
      </c>
      <c r="S359" s="20">
        <v>0</v>
      </c>
      <c r="T359" s="20">
        <v>0</v>
      </c>
      <c r="U359" s="20">
        <v>0</v>
      </c>
      <c r="V359" s="20">
        <v>0</v>
      </c>
      <c r="W359" s="20">
        <v>31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119000</v>
      </c>
      <c r="AD359" s="20">
        <v>82110</v>
      </c>
      <c r="AE359" s="20">
        <v>0</v>
      </c>
      <c r="AF359" s="20">
        <v>0</v>
      </c>
      <c r="AG359" s="20">
        <v>119000</v>
      </c>
      <c r="AH359" s="20">
        <v>82110</v>
      </c>
      <c r="AI359" s="20">
        <v>33536</v>
      </c>
      <c r="AJ359" s="20">
        <v>3354</v>
      </c>
      <c r="AK359" s="20">
        <v>36890</v>
      </c>
    </row>
    <row r="360" spans="1:37" ht="16.5" customHeight="1" x14ac:dyDescent="0.3">
      <c r="A360" s="18" t="s">
        <v>1070</v>
      </c>
      <c r="B360" s="18" t="s">
        <v>107</v>
      </c>
      <c r="C360" s="19" t="s">
        <v>108</v>
      </c>
      <c r="D360" s="18" t="s">
        <v>425</v>
      </c>
      <c r="E360" s="19" t="s">
        <v>426</v>
      </c>
      <c r="F360" s="18" t="s">
        <v>110</v>
      </c>
      <c r="G360" s="18" t="s">
        <v>111</v>
      </c>
      <c r="H360" s="19" t="s">
        <v>112</v>
      </c>
      <c r="I360" s="18" t="s">
        <v>113</v>
      </c>
      <c r="J360" s="19" t="s">
        <v>114</v>
      </c>
      <c r="K360" s="19" t="s">
        <v>151</v>
      </c>
      <c r="L360" s="18" t="s">
        <v>116</v>
      </c>
      <c r="M360" s="18" t="s">
        <v>133</v>
      </c>
      <c r="N360" s="18" t="s">
        <v>118</v>
      </c>
      <c r="O360" s="20">
        <v>119000</v>
      </c>
      <c r="P360" s="20">
        <v>82110</v>
      </c>
      <c r="Q360" s="20">
        <v>1</v>
      </c>
      <c r="R360" s="20">
        <v>0</v>
      </c>
      <c r="S360" s="20">
        <v>0</v>
      </c>
      <c r="T360" s="20">
        <v>0</v>
      </c>
      <c r="U360" s="20">
        <v>0</v>
      </c>
      <c r="V360" s="20">
        <v>0</v>
      </c>
      <c r="W360" s="20">
        <v>31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20">
        <v>119000</v>
      </c>
      <c r="AD360" s="20">
        <v>82110</v>
      </c>
      <c r="AE360" s="20">
        <v>0</v>
      </c>
      <c r="AF360" s="20">
        <v>0</v>
      </c>
      <c r="AG360" s="20">
        <v>119000</v>
      </c>
      <c r="AH360" s="20">
        <v>82110</v>
      </c>
      <c r="AI360" s="20">
        <v>33536</v>
      </c>
      <c r="AJ360" s="20">
        <v>3354</v>
      </c>
      <c r="AK360" s="20">
        <v>36890</v>
      </c>
    </row>
    <row r="361" spans="1:37" ht="16.5" customHeight="1" x14ac:dyDescent="0.3">
      <c r="A361" s="18" t="s">
        <v>1072</v>
      </c>
      <c r="B361" s="18" t="s">
        <v>107</v>
      </c>
      <c r="C361" s="19" t="s">
        <v>108</v>
      </c>
      <c r="D361" s="18" t="s">
        <v>428</v>
      </c>
      <c r="E361" s="19" t="s">
        <v>429</v>
      </c>
      <c r="F361" s="18" t="s">
        <v>110</v>
      </c>
      <c r="G361" s="18" t="s">
        <v>111</v>
      </c>
      <c r="H361" s="19" t="s">
        <v>112</v>
      </c>
      <c r="I361" s="18" t="s">
        <v>113</v>
      </c>
      <c r="J361" s="19" t="s">
        <v>114</v>
      </c>
      <c r="K361" s="19" t="s">
        <v>115</v>
      </c>
      <c r="L361" s="18" t="s">
        <v>116</v>
      </c>
      <c r="M361" s="18" t="s">
        <v>133</v>
      </c>
      <c r="N361" s="18" t="s">
        <v>118</v>
      </c>
      <c r="O361" s="20">
        <v>119000</v>
      </c>
      <c r="P361" s="20">
        <v>82110</v>
      </c>
      <c r="Q361" s="20">
        <v>1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31</v>
      </c>
      <c r="X361" s="20">
        <v>19040</v>
      </c>
      <c r="Y361" s="20">
        <v>0</v>
      </c>
      <c r="Z361" s="20">
        <v>0</v>
      </c>
      <c r="AA361" s="20">
        <v>0</v>
      </c>
      <c r="AB361" s="20">
        <v>0</v>
      </c>
      <c r="AC361" s="20">
        <v>119000</v>
      </c>
      <c r="AD361" s="20">
        <v>82110</v>
      </c>
      <c r="AE361" s="20">
        <v>0</v>
      </c>
      <c r="AF361" s="20">
        <v>19040</v>
      </c>
      <c r="AG361" s="20">
        <v>99960</v>
      </c>
      <c r="AH361" s="20">
        <v>82110</v>
      </c>
      <c r="AI361" s="20">
        <v>16227</v>
      </c>
      <c r="AJ361" s="20">
        <v>1623</v>
      </c>
      <c r="AK361" s="20">
        <v>17850</v>
      </c>
    </row>
    <row r="362" spans="1:37" ht="16.5" customHeight="1" x14ac:dyDescent="0.3">
      <c r="A362" s="18" t="s">
        <v>1075</v>
      </c>
      <c r="B362" s="18" t="s">
        <v>107</v>
      </c>
      <c r="C362" s="19" t="s">
        <v>108</v>
      </c>
      <c r="D362" s="18" t="s">
        <v>431</v>
      </c>
      <c r="E362" s="19" t="s">
        <v>169</v>
      </c>
      <c r="F362" s="18" t="s">
        <v>110</v>
      </c>
      <c r="G362" s="18" t="s">
        <v>111</v>
      </c>
      <c r="H362" s="19" t="s">
        <v>112</v>
      </c>
      <c r="I362" s="18" t="s">
        <v>113</v>
      </c>
      <c r="J362" s="19" t="s">
        <v>114</v>
      </c>
      <c r="K362" s="19" t="s">
        <v>115</v>
      </c>
      <c r="L362" s="18" t="s">
        <v>116</v>
      </c>
      <c r="M362" s="18" t="s">
        <v>133</v>
      </c>
      <c r="N362" s="18" t="s">
        <v>118</v>
      </c>
      <c r="O362" s="20">
        <v>119000</v>
      </c>
      <c r="P362" s="20">
        <v>82110</v>
      </c>
      <c r="Q362" s="20">
        <v>1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31</v>
      </c>
      <c r="X362" s="20">
        <v>0</v>
      </c>
      <c r="Y362" s="20">
        <v>10000</v>
      </c>
      <c r="Z362" s="20">
        <v>0</v>
      </c>
      <c r="AA362" s="20">
        <v>0</v>
      </c>
      <c r="AB362" s="20">
        <v>0</v>
      </c>
      <c r="AC362" s="20">
        <v>119000</v>
      </c>
      <c r="AD362" s="20">
        <v>82110</v>
      </c>
      <c r="AE362" s="20">
        <v>0</v>
      </c>
      <c r="AF362" s="20">
        <v>10000</v>
      </c>
      <c r="AG362" s="20">
        <v>109000</v>
      </c>
      <c r="AH362" s="20">
        <v>82110</v>
      </c>
      <c r="AI362" s="20">
        <v>24445</v>
      </c>
      <c r="AJ362" s="20">
        <v>2445</v>
      </c>
      <c r="AK362" s="20">
        <v>26890</v>
      </c>
    </row>
    <row r="363" spans="1:37" ht="16.5" customHeight="1" x14ac:dyDescent="0.3">
      <c r="A363" s="18" t="s">
        <v>1077</v>
      </c>
      <c r="B363" s="18" t="s">
        <v>107</v>
      </c>
      <c r="C363" s="19" t="s">
        <v>108</v>
      </c>
      <c r="D363" s="18" t="s">
        <v>433</v>
      </c>
      <c r="E363" s="19" t="s">
        <v>434</v>
      </c>
      <c r="F363" s="18" t="s">
        <v>110</v>
      </c>
      <c r="G363" s="18" t="s">
        <v>111</v>
      </c>
      <c r="H363" s="19" t="s">
        <v>112</v>
      </c>
      <c r="I363" s="18" t="s">
        <v>113</v>
      </c>
      <c r="J363" s="19" t="s">
        <v>114</v>
      </c>
      <c r="K363" s="19" t="s">
        <v>115</v>
      </c>
      <c r="L363" s="18" t="s">
        <v>116</v>
      </c>
      <c r="M363" s="18" t="s">
        <v>133</v>
      </c>
      <c r="N363" s="18" t="s">
        <v>118</v>
      </c>
      <c r="O363" s="20">
        <v>119000</v>
      </c>
      <c r="P363" s="20">
        <v>82110</v>
      </c>
      <c r="Q363" s="20">
        <v>1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31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119000</v>
      </c>
      <c r="AD363" s="20">
        <v>82110</v>
      </c>
      <c r="AE363" s="20">
        <v>0</v>
      </c>
      <c r="AF363" s="20">
        <v>0</v>
      </c>
      <c r="AG363" s="20">
        <v>119000</v>
      </c>
      <c r="AH363" s="20">
        <v>82110</v>
      </c>
      <c r="AI363" s="20">
        <v>33536</v>
      </c>
      <c r="AJ363" s="20">
        <v>3354</v>
      </c>
      <c r="AK363" s="20">
        <v>36890</v>
      </c>
    </row>
    <row r="364" spans="1:37" ht="16.5" customHeight="1" x14ac:dyDescent="0.3">
      <c r="A364" s="18" t="s">
        <v>1079</v>
      </c>
      <c r="B364" s="18" t="s">
        <v>107</v>
      </c>
      <c r="C364" s="19" t="s">
        <v>108</v>
      </c>
      <c r="D364" s="18" t="s">
        <v>439</v>
      </c>
      <c r="E364" s="19" t="s">
        <v>440</v>
      </c>
      <c r="F364" s="18" t="s">
        <v>110</v>
      </c>
      <c r="G364" s="18" t="s">
        <v>111</v>
      </c>
      <c r="H364" s="19" t="s">
        <v>112</v>
      </c>
      <c r="I364" s="18" t="s">
        <v>113</v>
      </c>
      <c r="J364" s="19" t="s">
        <v>114</v>
      </c>
      <c r="K364" s="19" t="s">
        <v>115</v>
      </c>
      <c r="L364" s="18" t="s">
        <v>116</v>
      </c>
      <c r="M364" s="18" t="s">
        <v>133</v>
      </c>
      <c r="N364" s="18" t="s">
        <v>118</v>
      </c>
      <c r="O364" s="20">
        <v>119000</v>
      </c>
      <c r="P364" s="20">
        <v>82110</v>
      </c>
      <c r="Q364" s="20">
        <v>1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31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119000</v>
      </c>
      <c r="AD364" s="20">
        <v>82110</v>
      </c>
      <c r="AE364" s="20">
        <v>0</v>
      </c>
      <c r="AF364" s="20">
        <v>0</v>
      </c>
      <c r="AG364" s="20">
        <v>119000</v>
      </c>
      <c r="AH364" s="20">
        <v>82110</v>
      </c>
      <c r="AI364" s="20">
        <v>33536</v>
      </c>
      <c r="AJ364" s="20">
        <v>3354</v>
      </c>
      <c r="AK364" s="20">
        <v>36890</v>
      </c>
    </row>
    <row r="365" spans="1:37" ht="16.5" customHeight="1" x14ac:dyDescent="0.3">
      <c r="A365" s="18" t="s">
        <v>1082</v>
      </c>
      <c r="B365" s="18" t="s">
        <v>107</v>
      </c>
      <c r="C365" s="19" t="s">
        <v>108</v>
      </c>
      <c r="D365" s="18" t="s">
        <v>442</v>
      </c>
      <c r="E365" s="19" t="s">
        <v>443</v>
      </c>
      <c r="F365" s="18" t="s">
        <v>110</v>
      </c>
      <c r="G365" s="18" t="s">
        <v>111</v>
      </c>
      <c r="H365" s="19" t="s">
        <v>112</v>
      </c>
      <c r="I365" s="18" t="s">
        <v>113</v>
      </c>
      <c r="J365" s="19" t="s">
        <v>114</v>
      </c>
      <c r="K365" s="19" t="s">
        <v>115</v>
      </c>
      <c r="L365" s="18" t="s">
        <v>116</v>
      </c>
      <c r="M365" s="18" t="s">
        <v>133</v>
      </c>
      <c r="N365" s="18" t="s">
        <v>118</v>
      </c>
      <c r="O365" s="20">
        <v>119000</v>
      </c>
      <c r="P365" s="20">
        <v>82110</v>
      </c>
      <c r="Q365" s="20">
        <v>1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31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119000</v>
      </c>
      <c r="AD365" s="20">
        <v>82110</v>
      </c>
      <c r="AE365" s="20">
        <v>0</v>
      </c>
      <c r="AF365" s="20">
        <v>0</v>
      </c>
      <c r="AG365" s="20">
        <v>119000</v>
      </c>
      <c r="AH365" s="20">
        <v>82110</v>
      </c>
      <c r="AI365" s="20">
        <v>33536</v>
      </c>
      <c r="AJ365" s="20">
        <v>3354</v>
      </c>
      <c r="AK365" s="20">
        <v>36890</v>
      </c>
    </row>
    <row r="366" spans="1:37" ht="16.5" customHeight="1" x14ac:dyDescent="0.3">
      <c r="A366" s="18" t="s">
        <v>1084</v>
      </c>
      <c r="B366" s="18" t="s">
        <v>107</v>
      </c>
      <c r="C366" s="19" t="s">
        <v>108</v>
      </c>
      <c r="D366" s="18" t="s">
        <v>445</v>
      </c>
      <c r="E366" s="19" t="s">
        <v>446</v>
      </c>
      <c r="F366" s="18" t="s">
        <v>110</v>
      </c>
      <c r="G366" s="18" t="s">
        <v>111</v>
      </c>
      <c r="H366" s="19" t="s">
        <v>112</v>
      </c>
      <c r="I366" s="18" t="s">
        <v>113</v>
      </c>
      <c r="J366" s="19" t="s">
        <v>114</v>
      </c>
      <c r="K366" s="19" t="s">
        <v>115</v>
      </c>
      <c r="L366" s="18" t="s">
        <v>116</v>
      </c>
      <c r="M366" s="18" t="s">
        <v>133</v>
      </c>
      <c r="N366" s="18" t="s">
        <v>118</v>
      </c>
      <c r="O366" s="20">
        <v>119000</v>
      </c>
      <c r="P366" s="20">
        <v>82110</v>
      </c>
      <c r="Q366" s="20">
        <v>1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31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119000</v>
      </c>
      <c r="AD366" s="20">
        <v>82110</v>
      </c>
      <c r="AE366" s="20">
        <v>0</v>
      </c>
      <c r="AF366" s="20">
        <v>0</v>
      </c>
      <c r="AG366" s="20">
        <v>119000</v>
      </c>
      <c r="AH366" s="20">
        <v>82110</v>
      </c>
      <c r="AI366" s="20">
        <v>33536</v>
      </c>
      <c r="AJ366" s="20">
        <v>3354</v>
      </c>
      <c r="AK366" s="20">
        <v>36890</v>
      </c>
    </row>
    <row r="367" spans="1:37" ht="16.5" customHeight="1" x14ac:dyDescent="0.3">
      <c r="A367" s="18" t="s">
        <v>1086</v>
      </c>
      <c r="B367" s="18" t="s">
        <v>107</v>
      </c>
      <c r="C367" s="19" t="s">
        <v>108</v>
      </c>
      <c r="D367" s="18" t="s">
        <v>448</v>
      </c>
      <c r="E367" s="19" t="s">
        <v>449</v>
      </c>
      <c r="F367" s="18" t="s">
        <v>110</v>
      </c>
      <c r="G367" s="18" t="s">
        <v>111</v>
      </c>
      <c r="H367" s="19" t="s">
        <v>112</v>
      </c>
      <c r="I367" s="18" t="s">
        <v>113</v>
      </c>
      <c r="J367" s="19" t="s">
        <v>114</v>
      </c>
      <c r="K367" s="19" t="s">
        <v>115</v>
      </c>
      <c r="L367" s="18" t="s">
        <v>116</v>
      </c>
      <c r="M367" s="18" t="s">
        <v>133</v>
      </c>
      <c r="N367" s="18" t="s">
        <v>118</v>
      </c>
      <c r="O367" s="20">
        <v>119000</v>
      </c>
      <c r="P367" s="20">
        <v>82110</v>
      </c>
      <c r="Q367" s="20">
        <v>1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31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119000</v>
      </c>
      <c r="AD367" s="20">
        <v>82110</v>
      </c>
      <c r="AE367" s="20">
        <v>0</v>
      </c>
      <c r="AF367" s="20">
        <v>0</v>
      </c>
      <c r="AG367" s="20">
        <v>119000</v>
      </c>
      <c r="AH367" s="20">
        <v>82110</v>
      </c>
      <c r="AI367" s="20">
        <v>33536</v>
      </c>
      <c r="AJ367" s="20">
        <v>3354</v>
      </c>
      <c r="AK367" s="20">
        <v>36890</v>
      </c>
    </row>
    <row r="368" spans="1:37" ht="16.5" customHeight="1" x14ac:dyDescent="0.3">
      <c r="A368" s="18" t="s">
        <v>1089</v>
      </c>
      <c r="B368" s="18" t="s">
        <v>107</v>
      </c>
      <c r="C368" s="19" t="s">
        <v>108</v>
      </c>
      <c r="D368" s="18" t="s">
        <v>451</v>
      </c>
      <c r="E368" s="19" t="s">
        <v>452</v>
      </c>
      <c r="F368" s="18" t="s">
        <v>110</v>
      </c>
      <c r="G368" s="18" t="s">
        <v>111</v>
      </c>
      <c r="H368" s="19" t="s">
        <v>112</v>
      </c>
      <c r="I368" s="18" t="s">
        <v>113</v>
      </c>
      <c r="J368" s="19" t="s">
        <v>114</v>
      </c>
      <c r="K368" s="19" t="s">
        <v>115</v>
      </c>
      <c r="L368" s="18" t="s">
        <v>116</v>
      </c>
      <c r="M368" s="18" t="s">
        <v>133</v>
      </c>
      <c r="N368" s="18" t="s">
        <v>118</v>
      </c>
      <c r="O368" s="20">
        <v>119000</v>
      </c>
      <c r="P368" s="20">
        <v>82110</v>
      </c>
      <c r="Q368" s="20">
        <v>1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31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119000</v>
      </c>
      <c r="AD368" s="20">
        <v>82110</v>
      </c>
      <c r="AE368" s="20">
        <v>0</v>
      </c>
      <c r="AF368" s="20">
        <v>0</v>
      </c>
      <c r="AG368" s="20">
        <v>119000</v>
      </c>
      <c r="AH368" s="20">
        <v>82110</v>
      </c>
      <c r="AI368" s="20">
        <v>33536</v>
      </c>
      <c r="AJ368" s="20">
        <v>3354</v>
      </c>
      <c r="AK368" s="20">
        <v>36890</v>
      </c>
    </row>
    <row r="369" spans="1:37" ht="16.5" customHeight="1" x14ac:dyDescent="0.3">
      <c r="A369" s="18" t="s">
        <v>1091</v>
      </c>
      <c r="B369" s="18" t="s">
        <v>107</v>
      </c>
      <c r="C369" s="19" t="s">
        <v>108</v>
      </c>
      <c r="D369" s="18" t="s">
        <v>454</v>
      </c>
      <c r="E369" s="19" t="s">
        <v>455</v>
      </c>
      <c r="F369" s="18" t="s">
        <v>110</v>
      </c>
      <c r="G369" s="18" t="s">
        <v>111</v>
      </c>
      <c r="H369" s="19" t="s">
        <v>112</v>
      </c>
      <c r="I369" s="18" t="s">
        <v>113</v>
      </c>
      <c r="J369" s="19" t="s">
        <v>114</v>
      </c>
      <c r="K369" s="19" t="s">
        <v>115</v>
      </c>
      <c r="L369" s="18" t="s">
        <v>116</v>
      </c>
      <c r="M369" s="18" t="s">
        <v>133</v>
      </c>
      <c r="N369" s="18" t="s">
        <v>118</v>
      </c>
      <c r="O369" s="20">
        <v>119000</v>
      </c>
      <c r="P369" s="20">
        <v>82110</v>
      </c>
      <c r="Q369" s="20">
        <v>1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31</v>
      </c>
      <c r="X369" s="20">
        <v>0</v>
      </c>
      <c r="Y369" s="20">
        <v>10000</v>
      </c>
      <c r="Z369" s="20">
        <v>0</v>
      </c>
      <c r="AA369" s="20">
        <v>0</v>
      </c>
      <c r="AB369" s="20">
        <v>0</v>
      </c>
      <c r="AC369" s="20">
        <v>119000</v>
      </c>
      <c r="AD369" s="20">
        <v>82110</v>
      </c>
      <c r="AE369" s="20">
        <v>0</v>
      </c>
      <c r="AF369" s="20">
        <v>10000</v>
      </c>
      <c r="AG369" s="20">
        <v>109000</v>
      </c>
      <c r="AH369" s="20">
        <v>82110</v>
      </c>
      <c r="AI369" s="20">
        <v>24445</v>
      </c>
      <c r="AJ369" s="20">
        <v>2445</v>
      </c>
      <c r="AK369" s="20">
        <v>26890</v>
      </c>
    </row>
    <row r="370" spans="1:37" ht="16.5" customHeight="1" x14ac:dyDescent="0.3">
      <c r="A370" s="18" t="s">
        <v>1094</v>
      </c>
      <c r="B370" s="18" t="s">
        <v>107</v>
      </c>
      <c r="C370" s="19" t="s">
        <v>108</v>
      </c>
      <c r="D370" s="18" t="s">
        <v>457</v>
      </c>
      <c r="E370" s="19" t="s">
        <v>458</v>
      </c>
      <c r="F370" s="18" t="s">
        <v>110</v>
      </c>
      <c r="G370" s="18" t="s">
        <v>111</v>
      </c>
      <c r="H370" s="19" t="s">
        <v>112</v>
      </c>
      <c r="I370" s="18" t="s">
        <v>113</v>
      </c>
      <c r="J370" s="19" t="s">
        <v>114</v>
      </c>
      <c r="K370" s="19" t="s">
        <v>115</v>
      </c>
      <c r="L370" s="18" t="s">
        <v>116</v>
      </c>
      <c r="M370" s="18" t="s">
        <v>133</v>
      </c>
      <c r="N370" s="18" t="s">
        <v>118</v>
      </c>
      <c r="O370" s="20">
        <v>119000</v>
      </c>
      <c r="P370" s="20">
        <v>82110</v>
      </c>
      <c r="Q370" s="20">
        <v>1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31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119000</v>
      </c>
      <c r="AD370" s="20">
        <v>82110</v>
      </c>
      <c r="AE370" s="20">
        <v>0</v>
      </c>
      <c r="AF370" s="20">
        <v>0</v>
      </c>
      <c r="AG370" s="20">
        <v>119000</v>
      </c>
      <c r="AH370" s="20">
        <v>82110</v>
      </c>
      <c r="AI370" s="20">
        <v>33536</v>
      </c>
      <c r="AJ370" s="20">
        <v>3354</v>
      </c>
      <c r="AK370" s="20">
        <v>36890</v>
      </c>
    </row>
    <row r="371" spans="1:37" ht="16.5" customHeight="1" x14ac:dyDescent="0.3">
      <c r="A371" s="18" t="s">
        <v>1097</v>
      </c>
      <c r="B371" s="18" t="s">
        <v>107</v>
      </c>
      <c r="C371" s="19" t="s">
        <v>108</v>
      </c>
      <c r="D371" s="18" t="s">
        <v>460</v>
      </c>
      <c r="E371" s="19" t="s">
        <v>109</v>
      </c>
      <c r="F371" s="18" t="s">
        <v>110</v>
      </c>
      <c r="G371" s="18" t="s">
        <v>111</v>
      </c>
      <c r="H371" s="19" t="s">
        <v>112</v>
      </c>
      <c r="I371" s="18" t="s">
        <v>113</v>
      </c>
      <c r="J371" s="19" t="s">
        <v>114</v>
      </c>
      <c r="K371" s="19" t="s">
        <v>115</v>
      </c>
      <c r="L371" s="18" t="s">
        <v>116</v>
      </c>
      <c r="M371" s="18" t="s">
        <v>133</v>
      </c>
      <c r="N371" s="18" t="s">
        <v>118</v>
      </c>
      <c r="O371" s="20">
        <v>119000</v>
      </c>
      <c r="P371" s="20">
        <v>82110</v>
      </c>
      <c r="Q371" s="20">
        <v>1</v>
      </c>
      <c r="R371" s="20">
        <v>0</v>
      </c>
      <c r="S371" s="20">
        <v>0</v>
      </c>
      <c r="T371" s="20">
        <v>0</v>
      </c>
      <c r="U371" s="20">
        <v>0</v>
      </c>
      <c r="V371" s="20">
        <v>0</v>
      </c>
      <c r="W371" s="20">
        <v>31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119000</v>
      </c>
      <c r="AD371" s="20">
        <v>82110</v>
      </c>
      <c r="AE371" s="20">
        <v>0</v>
      </c>
      <c r="AF371" s="20">
        <v>0</v>
      </c>
      <c r="AG371" s="20">
        <v>119000</v>
      </c>
      <c r="AH371" s="20">
        <v>82110</v>
      </c>
      <c r="AI371" s="20">
        <v>33536</v>
      </c>
      <c r="AJ371" s="20">
        <v>3354</v>
      </c>
      <c r="AK371" s="20">
        <v>36890</v>
      </c>
    </row>
    <row r="372" spans="1:37" ht="16.5" customHeight="1" x14ac:dyDescent="0.3">
      <c r="A372" s="18" t="s">
        <v>1100</v>
      </c>
      <c r="B372" s="18" t="s">
        <v>107</v>
      </c>
      <c r="C372" s="19" t="s">
        <v>108</v>
      </c>
      <c r="D372" s="18" t="s">
        <v>192</v>
      </c>
      <c r="E372" s="19" t="s">
        <v>193</v>
      </c>
      <c r="F372" s="18" t="s">
        <v>110</v>
      </c>
      <c r="G372" s="18" t="s">
        <v>111</v>
      </c>
      <c r="H372" s="19" t="s">
        <v>112</v>
      </c>
      <c r="I372" s="18" t="s">
        <v>113</v>
      </c>
      <c r="J372" s="19" t="s">
        <v>114</v>
      </c>
      <c r="K372" s="19" t="s">
        <v>115</v>
      </c>
      <c r="L372" s="18" t="s">
        <v>116</v>
      </c>
      <c r="M372" s="18" t="s">
        <v>133</v>
      </c>
      <c r="N372" s="18" t="s">
        <v>118</v>
      </c>
      <c r="O372" s="20">
        <v>119000</v>
      </c>
      <c r="P372" s="20">
        <v>82110</v>
      </c>
      <c r="Q372" s="20">
        <v>1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31</v>
      </c>
      <c r="X372" s="20">
        <v>0</v>
      </c>
      <c r="Y372" s="20">
        <v>10000</v>
      </c>
      <c r="Z372" s="20">
        <v>0</v>
      </c>
      <c r="AA372" s="20">
        <v>0</v>
      </c>
      <c r="AB372" s="20">
        <v>0</v>
      </c>
      <c r="AC372" s="20">
        <v>119000</v>
      </c>
      <c r="AD372" s="20">
        <v>82110</v>
      </c>
      <c r="AE372" s="20">
        <v>0</v>
      </c>
      <c r="AF372" s="20">
        <v>10000</v>
      </c>
      <c r="AG372" s="20">
        <v>109000</v>
      </c>
      <c r="AH372" s="20">
        <v>82110</v>
      </c>
      <c r="AI372" s="20">
        <v>24445</v>
      </c>
      <c r="AJ372" s="20">
        <v>2445</v>
      </c>
      <c r="AK372" s="20">
        <v>26890</v>
      </c>
    </row>
    <row r="373" spans="1:37" ht="16.5" customHeight="1" x14ac:dyDescent="0.3">
      <c r="A373" s="18" t="s">
        <v>1102</v>
      </c>
      <c r="B373" s="18" t="s">
        <v>107</v>
      </c>
      <c r="C373" s="19" t="s">
        <v>108</v>
      </c>
      <c r="D373" s="18" t="s">
        <v>135</v>
      </c>
      <c r="E373" s="19" t="s">
        <v>136</v>
      </c>
      <c r="F373" s="18" t="s">
        <v>110</v>
      </c>
      <c r="G373" s="18" t="s">
        <v>111</v>
      </c>
      <c r="H373" s="19" t="s">
        <v>112</v>
      </c>
      <c r="I373" s="18" t="s">
        <v>113</v>
      </c>
      <c r="J373" s="19" t="s">
        <v>114</v>
      </c>
      <c r="K373" s="19" t="s">
        <v>123</v>
      </c>
      <c r="L373" s="18" t="s">
        <v>116</v>
      </c>
      <c r="M373" s="18" t="s">
        <v>133</v>
      </c>
      <c r="N373" s="18" t="s">
        <v>118</v>
      </c>
      <c r="O373" s="20">
        <v>119000</v>
      </c>
      <c r="P373" s="20">
        <v>82110</v>
      </c>
      <c r="Q373" s="20">
        <v>1</v>
      </c>
      <c r="R373" s="20">
        <v>0</v>
      </c>
      <c r="S373" s="20">
        <v>0</v>
      </c>
      <c r="T373" s="20">
        <v>0</v>
      </c>
      <c r="U373" s="20">
        <v>0</v>
      </c>
      <c r="V373" s="20">
        <v>0</v>
      </c>
      <c r="W373" s="20">
        <v>31</v>
      </c>
      <c r="X373" s="20">
        <v>0</v>
      </c>
      <c r="Y373" s="20">
        <v>0</v>
      </c>
      <c r="Z373" s="20">
        <v>0</v>
      </c>
      <c r="AA373" s="20">
        <v>0</v>
      </c>
      <c r="AB373" s="20">
        <v>0</v>
      </c>
      <c r="AC373" s="20">
        <v>119000</v>
      </c>
      <c r="AD373" s="20">
        <v>82110</v>
      </c>
      <c r="AE373" s="20">
        <v>0</v>
      </c>
      <c r="AF373" s="20">
        <v>0</v>
      </c>
      <c r="AG373" s="20">
        <v>119000</v>
      </c>
      <c r="AH373" s="20">
        <v>82110</v>
      </c>
      <c r="AI373" s="20">
        <v>33536</v>
      </c>
      <c r="AJ373" s="20">
        <v>3354</v>
      </c>
      <c r="AK373" s="20">
        <v>36890</v>
      </c>
    </row>
    <row r="374" spans="1:37" ht="16.5" customHeight="1" x14ac:dyDescent="0.3">
      <c r="A374" s="18" t="s">
        <v>1105</v>
      </c>
      <c r="B374" s="18" t="s">
        <v>107</v>
      </c>
      <c r="C374" s="19" t="s">
        <v>108</v>
      </c>
      <c r="D374" s="18" t="s">
        <v>219</v>
      </c>
      <c r="E374" s="19" t="s">
        <v>220</v>
      </c>
      <c r="F374" s="18" t="s">
        <v>110</v>
      </c>
      <c r="G374" s="18" t="s">
        <v>111</v>
      </c>
      <c r="H374" s="19" t="s">
        <v>112</v>
      </c>
      <c r="I374" s="18" t="s">
        <v>113</v>
      </c>
      <c r="J374" s="19" t="s">
        <v>114</v>
      </c>
      <c r="K374" s="19" t="s">
        <v>115</v>
      </c>
      <c r="L374" s="18" t="s">
        <v>116</v>
      </c>
      <c r="M374" s="18" t="s">
        <v>133</v>
      </c>
      <c r="N374" s="18" t="s">
        <v>118</v>
      </c>
      <c r="O374" s="20">
        <v>119000</v>
      </c>
      <c r="P374" s="20">
        <v>82110</v>
      </c>
      <c r="Q374" s="20">
        <v>1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31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119000</v>
      </c>
      <c r="AD374" s="20">
        <v>82110</v>
      </c>
      <c r="AE374" s="20">
        <v>0</v>
      </c>
      <c r="AF374" s="20">
        <v>0</v>
      </c>
      <c r="AG374" s="20">
        <v>119000</v>
      </c>
      <c r="AH374" s="20">
        <v>82110</v>
      </c>
      <c r="AI374" s="20">
        <v>33536</v>
      </c>
      <c r="AJ374" s="20">
        <v>3354</v>
      </c>
      <c r="AK374" s="20">
        <v>36890</v>
      </c>
    </row>
    <row r="375" spans="1:37" ht="16.5" customHeight="1" x14ac:dyDescent="0.3">
      <c r="A375" s="18" t="s">
        <v>1108</v>
      </c>
      <c r="B375" s="18" t="s">
        <v>107</v>
      </c>
      <c r="C375" s="19" t="s">
        <v>108</v>
      </c>
      <c r="D375" s="18" t="s">
        <v>138</v>
      </c>
      <c r="E375" s="19" t="s">
        <v>139</v>
      </c>
      <c r="F375" s="18" t="s">
        <v>110</v>
      </c>
      <c r="G375" s="18" t="s">
        <v>111</v>
      </c>
      <c r="H375" s="19" t="s">
        <v>112</v>
      </c>
      <c r="I375" s="18" t="s">
        <v>113</v>
      </c>
      <c r="J375" s="19" t="s">
        <v>114</v>
      </c>
      <c r="K375" s="19" t="s">
        <v>115</v>
      </c>
      <c r="L375" s="18" t="s">
        <v>116</v>
      </c>
      <c r="M375" s="18" t="s">
        <v>133</v>
      </c>
      <c r="N375" s="18" t="s">
        <v>118</v>
      </c>
      <c r="O375" s="20">
        <v>119000</v>
      </c>
      <c r="P375" s="20">
        <v>82110</v>
      </c>
      <c r="Q375" s="20">
        <v>1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v>31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119000</v>
      </c>
      <c r="AD375" s="20">
        <v>82110</v>
      </c>
      <c r="AE375" s="20">
        <v>0</v>
      </c>
      <c r="AF375" s="20">
        <v>0</v>
      </c>
      <c r="AG375" s="20">
        <v>119000</v>
      </c>
      <c r="AH375" s="20">
        <v>82110</v>
      </c>
      <c r="AI375" s="20">
        <v>33536</v>
      </c>
      <c r="AJ375" s="20">
        <v>3354</v>
      </c>
      <c r="AK375" s="20">
        <v>36890</v>
      </c>
    </row>
    <row r="376" spans="1:37" ht="16.5" customHeight="1" x14ac:dyDescent="0.3">
      <c r="A376" s="18" t="s">
        <v>1110</v>
      </c>
      <c r="B376" s="18" t="s">
        <v>107</v>
      </c>
      <c r="C376" s="19" t="s">
        <v>108</v>
      </c>
      <c r="D376" s="18" t="s">
        <v>141</v>
      </c>
      <c r="E376" s="19" t="s">
        <v>142</v>
      </c>
      <c r="F376" s="18" t="s">
        <v>110</v>
      </c>
      <c r="G376" s="18" t="s">
        <v>111</v>
      </c>
      <c r="H376" s="19" t="s">
        <v>112</v>
      </c>
      <c r="I376" s="18" t="s">
        <v>113</v>
      </c>
      <c r="J376" s="19" t="s">
        <v>114</v>
      </c>
      <c r="K376" s="19" t="s">
        <v>115</v>
      </c>
      <c r="L376" s="18" t="s">
        <v>116</v>
      </c>
      <c r="M376" s="18" t="s">
        <v>133</v>
      </c>
      <c r="N376" s="18" t="s">
        <v>118</v>
      </c>
      <c r="O376" s="20">
        <v>119000</v>
      </c>
      <c r="P376" s="20">
        <v>82110</v>
      </c>
      <c r="Q376" s="20">
        <v>1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31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20">
        <v>119000</v>
      </c>
      <c r="AD376" s="20">
        <v>82110</v>
      </c>
      <c r="AE376" s="20">
        <v>0</v>
      </c>
      <c r="AF376" s="20">
        <v>0</v>
      </c>
      <c r="AG376" s="20">
        <v>119000</v>
      </c>
      <c r="AH376" s="20">
        <v>82110</v>
      </c>
      <c r="AI376" s="20">
        <v>33536</v>
      </c>
      <c r="AJ376" s="20">
        <v>3354</v>
      </c>
      <c r="AK376" s="20">
        <v>36890</v>
      </c>
    </row>
    <row r="377" spans="1:37" ht="16.5" customHeight="1" x14ac:dyDescent="0.3">
      <c r="A377" s="18" t="s">
        <v>1113</v>
      </c>
      <c r="B377" s="18" t="s">
        <v>107</v>
      </c>
      <c r="C377" s="19" t="s">
        <v>108</v>
      </c>
      <c r="D377" s="18" t="s">
        <v>144</v>
      </c>
      <c r="E377" s="19" t="s">
        <v>142</v>
      </c>
      <c r="F377" s="18" t="s">
        <v>110</v>
      </c>
      <c r="G377" s="18" t="s">
        <v>111</v>
      </c>
      <c r="H377" s="19" t="s">
        <v>112</v>
      </c>
      <c r="I377" s="18" t="s">
        <v>113</v>
      </c>
      <c r="J377" s="19" t="s">
        <v>114</v>
      </c>
      <c r="K377" s="19" t="s">
        <v>115</v>
      </c>
      <c r="L377" s="18" t="s">
        <v>116</v>
      </c>
      <c r="M377" s="18" t="s">
        <v>133</v>
      </c>
      <c r="N377" s="18" t="s">
        <v>118</v>
      </c>
      <c r="O377" s="20">
        <v>119000</v>
      </c>
      <c r="P377" s="20">
        <v>82110</v>
      </c>
      <c r="Q377" s="20">
        <v>1</v>
      </c>
      <c r="R377" s="20">
        <v>0</v>
      </c>
      <c r="S377" s="20">
        <v>0</v>
      </c>
      <c r="T377" s="20">
        <v>0</v>
      </c>
      <c r="U377" s="20">
        <v>0</v>
      </c>
      <c r="V377" s="20">
        <v>0</v>
      </c>
      <c r="W377" s="20">
        <v>31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119000</v>
      </c>
      <c r="AD377" s="20">
        <v>82110</v>
      </c>
      <c r="AE377" s="20">
        <v>0</v>
      </c>
      <c r="AF377" s="20">
        <v>0</v>
      </c>
      <c r="AG377" s="20">
        <v>119000</v>
      </c>
      <c r="AH377" s="20">
        <v>82110</v>
      </c>
      <c r="AI377" s="20">
        <v>33536</v>
      </c>
      <c r="AJ377" s="20">
        <v>3354</v>
      </c>
      <c r="AK377" s="20">
        <v>36890</v>
      </c>
    </row>
    <row r="378" spans="1:37" ht="16.5" customHeight="1" x14ac:dyDescent="0.3">
      <c r="A378" s="18" t="s">
        <v>1116</v>
      </c>
      <c r="B378" s="18" t="s">
        <v>107</v>
      </c>
      <c r="C378" s="19" t="s">
        <v>108</v>
      </c>
      <c r="D378" s="18" t="s">
        <v>299</v>
      </c>
      <c r="E378" s="19" t="s">
        <v>300</v>
      </c>
      <c r="F378" s="18" t="s">
        <v>110</v>
      </c>
      <c r="G378" s="18" t="s">
        <v>111</v>
      </c>
      <c r="H378" s="19" t="s">
        <v>112</v>
      </c>
      <c r="I378" s="18" t="s">
        <v>113</v>
      </c>
      <c r="J378" s="19" t="s">
        <v>114</v>
      </c>
      <c r="K378" s="19" t="s">
        <v>115</v>
      </c>
      <c r="L378" s="18" t="s">
        <v>116</v>
      </c>
      <c r="M378" s="18" t="s">
        <v>133</v>
      </c>
      <c r="N378" s="18" t="s">
        <v>118</v>
      </c>
      <c r="O378" s="20">
        <v>119000</v>
      </c>
      <c r="P378" s="20">
        <v>82110</v>
      </c>
      <c r="Q378" s="20">
        <v>1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v>31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119000</v>
      </c>
      <c r="AD378" s="20">
        <v>82110</v>
      </c>
      <c r="AE378" s="20">
        <v>0</v>
      </c>
      <c r="AF378" s="20">
        <v>0</v>
      </c>
      <c r="AG378" s="20">
        <v>119000</v>
      </c>
      <c r="AH378" s="20">
        <v>82110</v>
      </c>
      <c r="AI378" s="20">
        <v>33536</v>
      </c>
      <c r="AJ378" s="20">
        <v>3354</v>
      </c>
      <c r="AK378" s="20">
        <v>36890</v>
      </c>
    </row>
    <row r="379" spans="1:37" ht="16.5" customHeight="1" x14ac:dyDescent="0.3">
      <c r="A379" s="18" t="s">
        <v>1118</v>
      </c>
      <c r="B379" s="18" t="s">
        <v>107</v>
      </c>
      <c r="C379" s="19" t="s">
        <v>108</v>
      </c>
      <c r="D379" s="18" t="s">
        <v>146</v>
      </c>
      <c r="E379" s="19" t="s">
        <v>147</v>
      </c>
      <c r="F379" s="18" t="s">
        <v>110</v>
      </c>
      <c r="G379" s="18" t="s">
        <v>111</v>
      </c>
      <c r="H379" s="19" t="s">
        <v>112</v>
      </c>
      <c r="I379" s="18" t="s">
        <v>113</v>
      </c>
      <c r="J379" s="19" t="s">
        <v>114</v>
      </c>
      <c r="K379" s="19" t="s">
        <v>123</v>
      </c>
      <c r="L379" s="18" t="s">
        <v>116</v>
      </c>
      <c r="M379" s="18" t="s">
        <v>133</v>
      </c>
      <c r="N379" s="18" t="s">
        <v>118</v>
      </c>
      <c r="O379" s="20">
        <v>119000</v>
      </c>
      <c r="P379" s="20">
        <v>82110</v>
      </c>
      <c r="Q379" s="20">
        <v>1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31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119000</v>
      </c>
      <c r="AD379" s="20">
        <v>82110</v>
      </c>
      <c r="AE379" s="20">
        <v>0</v>
      </c>
      <c r="AF379" s="20">
        <v>0</v>
      </c>
      <c r="AG379" s="20">
        <v>119000</v>
      </c>
      <c r="AH379" s="20">
        <v>82110</v>
      </c>
      <c r="AI379" s="20">
        <v>33536</v>
      </c>
      <c r="AJ379" s="20">
        <v>3354</v>
      </c>
      <c r="AK379" s="20">
        <v>36890</v>
      </c>
    </row>
    <row r="380" spans="1:37" ht="16.5" customHeight="1" x14ac:dyDescent="0.3">
      <c r="A380" s="18" t="s">
        <v>1121</v>
      </c>
      <c r="B380" s="18" t="s">
        <v>107</v>
      </c>
      <c r="C380" s="19" t="s">
        <v>108</v>
      </c>
      <c r="D380" s="18" t="s">
        <v>149</v>
      </c>
      <c r="E380" s="19" t="s">
        <v>150</v>
      </c>
      <c r="F380" s="18" t="s">
        <v>110</v>
      </c>
      <c r="G380" s="18" t="s">
        <v>111</v>
      </c>
      <c r="H380" s="19" t="s">
        <v>112</v>
      </c>
      <c r="I380" s="18" t="s">
        <v>113</v>
      </c>
      <c r="J380" s="19" t="s">
        <v>114</v>
      </c>
      <c r="K380" s="19" t="s">
        <v>151</v>
      </c>
      <c r="L380" s="18" t="s">
        <v>116</v>
      </c>
      <c r="M380" s="18" t="s">
        <v>133</v>
      </c>
      <c r="N380" s="18" t="s">
        <v>118</v>
      </c>
      <c r="O380" s="20">
        <v>119000</v>
      </c>
      <c r="P380" s="20">
        <v>82110</v>
      </c>
      <c r="Q380" s="20">
        <v>1</v>
      </c>
      <c r="R380" s="20">
        <v>0</v>
      </c>
      <c r="S380" s="20">
        <v>0</v>
      </c>
      <c r="T380" s="20">
        <v>0</v>
      </c>
      <c r="U380" s="20">
        <v>0</v>
      </c>
      <c r="V380" s="20">
        <v>0</v>
      </c>
      <c r="W380" s="20">
        <v>31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119000</v>
      </c>
      <c r="AD380" s="20">
        <v>82110</v>
      </c>
      <c r="AE380" s="20">
        <v>0</v>
      </c>
      <c r="AF380" s="20">
        <v>0</v>
      </c>
      <c r="AG380" s="20">
        <v>119000</v>
      </c>
      <c r="AH380" s="20">
        <v>82110</v>
      </c>
      <c r="AI380" s="20">
        <v>33536</v>
      </c>
      <c r="AJ380" s="20">
        <v>3354</v>
      </c>
      <c r="AK380" s="20">
        <v>36890</v>
      </c>
    </row>
    <row r="381" spans="1:37" ht="16.5" customHeight="1" x14ac:dyDescent="0.3">
      <c r="A381" s="18" t="s">
        <v>1124</v>
      </c>
      <c r="B381" s="18" t="s">
        <v>107</v>
      </c>
      <c r="C381" s="19" t="s">
        <v>108</v>
      </c>
      <c r="D381" s="18" t="s">
        <v>225</v>
      </c>
      <c r="E381" s="19" t="s">
        <v>217</v>
      </c>
      <c r="F381" s="18" t="s">
        <v>110</v>
      </c>
      <c r="G381" s="18" t="s">
        <v>111</v>
      </c>
      <c r="H381" s="19" t="s">
        <v>112</v>
      </c>
      <c r="I381" s="18" t="s">
        <v>113</v>
      </c>
      <c r="J381" s="19" t="s">
        <v>114</v>
      </c>
      <c r="K381" s="19" t="s">
        <v>115</v>
      </c>
      <c r="L381" s="18" t="s">
        <v>116</v>
      </c>
      <c r="M381" s="18" t="s">
        <v>133</v>
      </c>
      <c r="N381" s="18" t="s">
        <v>118</v>
      </c>
      <c r="O381" s="20">
        <v>119000</v>
      </c>
      <c r="P381" s="20">
        <v>82110</v>
      </c>
      <c r="Q381" s="20">
        <v>1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31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119000</v>
      </c>
      <c r="AD381" s="20">
        <v>82110</v>
      </c>
      <c r="AE381" s="20">
        <v>0</v>
      </c>
      <c r="AF381" s="20">
        <v>0</v>
      </c>
      <c r="AG381" s="20">
        <v>119000</v>
      </c>
      <c r="AH381" s="20">
        <v>82110</v>
      </c>
      <c r="AI381" s="20">
        <v>33536</v>
      </c>
      <c r="AJ381" s="20">
        <v>3354</v>
      </c>
      <c r="AK381" s="20">
        <v>36890</v>
      </c>
    </row>
    <row r="382" spans="1:37" ht="16.5" customHeight="1" x14ac:dyDescent="0.3">
      <c r="A382" s="18" t="s">
        <v>1127</v>
      </c>
      <c r="B382" s="18" t="s">
        <v>107</v>
      </c>
      <c r="C382" s="19" t="s">
        <v>108</v>
      </c>
      <c r="D382" s="18" t="s">
        <v>225</v>
      </c>
      <c r="E382" s="19" t="s">
        <v>217</v>
      </c>
      <c r="F382" s="18" t="s">
        <v>110</v>
      </c>
      <c r="G382" s="18" t="s">
        <v>111</v>
      </c>
      <c r="H382" s="19" t="s">
        <v>112</v>
      </c>
      <c r="I382" s="18" t="s">
        <v>113</v>
      </c>
      <c r="J382" s="19" t="s">
        <v>114</v>
      </c>
      <c r="K382" s="19" t="s">
        <v>115</v>
      </c>
      <c r="L382" s="18" t="s">
        <v>116</v>
      </c>
      <c r="M382" s="18" t="s">
        <v>133</v>
      </c>
      <c r="N382" s="18" t="s">
        <v>118</v>
      </c>
      <c r="O382" s="20">
        <v>119000</v>
      </c>
      <c r="P382" s="20">
        <v>82110</v>
      </c>
      <c r="Q382" s="20">
        <v>1</v>
      </c>
      <c r="R382" s="20">
        <v>0</v>
      </c>
      <c r="S382" s="20">
        <v>0</v>
      </c>
      <c r="T382" s="20">
        <v>0</v>
      </c>
      <c r="U382" s="20">
        <v>0</v>
      </c>
      <c r="V382" s="20">
        <v>0</v>
      </c>
      <c r="W382" s="20">
        <v>31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119000</v>
      </c>
      <c r="AD382" s="20">
        <v>82110</v>
      </c>
      <c r="AE382" s="20">
        <v>0</v>
      </c>
      <c r="AF382" s="20">
        <v>0</v>
      </c>
      <c r="AG382" s="20">
        <v>119000</v>
      </c>
      <c r="AH382" s="20">
        <v>82110</v>
      </c>
      <c r="AI382" s="20">
        <v>33536</v>
      </c>
      <c r="AJ382" s="20">
        <v>3354</v>
      </c>
      <c r="AK382" s="20">
        <v>36890</v>
      </c>
    </row>
    <row r="383" spans="1:37" ht="16.5" customHeight="1" x14ac:dyDescent="0.3">
      <c r="A383" s="18" t="s">
        <v>1130</v>
      </c>
      <c r="B383" s="18" t="s">
        <v>107</v>
      </c>
      <c r="C383" s="19" t="s">
        <v>108</v>
      </c>
      <c r="D383" s="18" t="s">
        <v>245</v>
      </c>
      <c r="E383" s="19" t="s">
        <v>246</v>
      </c>
      <c r="F383" s="18" t="s">
        <v>110</v>
      </c>
      <c r="G383" s="18" t="s">
        <v>111</v>
      </c>
      <c r="H383" s="19" t="s">
        <v>112</v>
      </c>
      <c r="I383" s="18" t="s">
        <v>113</v>
      </c>
      <c r="J383" s="19" t="s">
        <v>114</v>
      </c>
      <c r="K383" s="19" t="s">
        <v>115</v>
      </c>
      <c r="L383" s="18" t="s">
        <v>116</v>
      </c>
      <c r="M383" s="18" t="s">
        <v>133</v>
      </c>
      <c r="N383" s="18" t="s">
        <v>118</v>
      </c>
      <c r="O383" s="20">
        <v>119000</v>
      </c>
      <c r="P383" s="20">
        <v>82110</v>
      </c>
      <c r="Q383" s="20">
        <v>1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>
        <v>31</v>
      </c>
      <c r="X383" s="20">
        <v>19040</v>
      </c>
      <c r="Y383" s="20">
        <v>0</v>
      </c>
      <c r="Z383" s="20">
        <v>0</v>
      </c>
      <c r="AA383" s="20">
        <v>0</v>
      </c>
      <c r="AB383" s="20">
        <v>0</v>
      </c>
      <c r="AC383" s="20">
        <v>119000</v>
      </c>
      <c r="AD383" s="20">
        <v>82110</v>
      </c>
      <c r="AE383" s="20">
        <v>0</v>
      </c>
      <c r="AF383" s="20">
        <v>19040</v>
      </c>
      <c r="AG383" s="20">
        <v>99960</v>
      </c>
      <c r="AH383" s="20">
        <v>82110</v>
      </c>
      <c r="AI383" s="20">
        <v>16227</v>
      </c>
      <c r="AJ383" s="20">
        <v>1623</v>
      </c>
      <c r="AK383" s="20">
        <v>17850</v>
      </c>
    </row>
    <row r="384" spans="1:37" ht="16.5" customHeight="1" x14ac:dyDescent="0.3">
      <c r="A384" s="18" t="s">
        <v>1133</v>
      </c>
      <c r="B384" s="18" t="s">
        <v>107</v>
      </c>
      <c r="C384" s="19" t="s">
        <v>108</v>
      </c>
      <c r="D384" s="18" t="s">
        <v>153</v>
      </c>
      <c r="E384" s="19" t="s">
        <v>154</v>
      </c>
      <c r="F384" s="18" t="s">
        <v>110</v>
      </c>
      <c r="G384" s="18" t="s">
        <v>111</v>
      </c>
      <c r="H384" s="19" t="s">
        <v>112</v>
      </c>
      <c r="I384" s="18" t="s">
        <v>113</v>
      </c>
      <c r="J384" s="19" t="s">
        <v>114</v>
      </c>
      <c r="K384" s="19" t="s">
        <v>115</v>
      </c>
      <c r="L384" s="18" t="s">
        <v>116</v>
      </c>
      <c r="M384" s="18" t="s">
        <v>133</v>
      </c>
      <c r="N384" s="18" t="s">
        <v>118</v>
      </c>
      <c r="O384" s="20">
        <v>119000</v>
      </c>
      <c r="P384" s="20">
        <v>82110</v>
      </c>
      <c r="Q384" s="20">
        <v>1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31</v>
      </c>
      <c r="X384" s="20">
        <v>0</v>
      </c>
      <c r="Y384" s="20">
        <v>10000</v>
      </c>
      <c r="Z384" s="20">
        <v>0</v>
      </c>
      <c r="AA384" s="20">
        <v>0</v>
      </c>
      <c r="AB384" s="20">
        <v>0</v>
      </c>
      <c r="AC384" s="20">
        <v>119000</v>
      </c>
      <c r="AD384" s="20">
        <v>82110</v>
      </c>
      <c r="AE384" s="20">
        <v>0</v>
      </c>
      <c r="AF384" s="20">
        <v>10000</v>
      </c>
      <c r="AG384" s="20">
        <v>109000</v>
      </c>
      <c r="AH384" s="20">
        <v>82110</v>
      </c>
      <c r="AI384" s="20">
        <v>24445</v>
      </c>
      <c r="AJ384" s="20">
        <v>2445</v>
      </c>
      <c r="AK384" s="20">
        <v>26890</v>
      </c>
    </row>
    <row r="385" spans="1:37" ht="16.5" customHeight="1" x14ac:dyDescent="0.3">
      <c r="A385" s="18" t="s">
        <v>1135</v>
      </c>
      <c r="B385" s="18" t="s">
        <v>107</v>
      </c>
      <c r="C385" s="19" t="s">
        <v>108</v>
      </c>
      <c r="D385" s="18" t="s">
        <v>481</v>
      </c>
      <c r="E385" s="19" t="s">
        <v>482</v>
      </c>
      <c r="F385" s="18" t="s">
        <v>110</v>
      </c>
      <c r="G385" s="18" t="s">
        <v>111</v>
      </c>
      <c r="H385" s="19" t="s">
        <v>112</v>
      </c>
      <c r="I385" s="18" t="s">
        <v>113</v>
      </c>
      <c r="J385" s="19" t="s">
        <v>114</v>
      </c>
      <c r="K385" s="19" t="s">
        <v>115</v>
      </c>
      <c r="L385" s="18" t="s">
        <v>116</v>
      </c>
      <c r="M385" s="18" t="s">
        <v>133</v>
      </c>
      <c r="N385" s="18" t="s">
        <v>118</v>
      </c>
      <c r="O385" s="20">
        <v>119000</v>
      </c>
      <c r="P385" s="20">
        <v>82110</v>
      </c>
      <c r="Q385" s="20">
        <v>1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v>31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119000</v>
      </c>
      <c r="AD385" s="20">
        <v>82110</v>
      </c>
      <c r="AE385" s="20">
        <v>0</v>
      </c>
      <c r="AF385" s="20">
        <v>0</v>
      </c>
      <c r="AG385" s="20">
        <v>119000</v>
      </c>
      <c r="AH385" s="20">
        <v>82110</v>
      </c>
      <c r="AI385" s="20">
        <v>33536</v>
      </c>
      <c r="AJ385" s="20">
        <v>3354</v>
      </c>
      <c r="AK385" s="20">
        <v>36890</v>
      </c>
    </row>
    <row r="386" spans="1:37" ht="16.5" customHeight="1" x14ac:dyDescent="0.3">
      <c r="A386" s="18" t="s">
        <v>1137</v>
      </c>
      <c r="B386" s="18" t="s">
        <v>107</v>
      </c>
      <c r="C386" s="19" t="s">
        <v>108</v>
      </c>
      <c r="D386" s="18" t="s">
        <v>156</v>
      </c>
      <c r="E386" s="19" t="s">
        <v>157</v>
      </c>
      <c r="F386" s="18" t="s">
        <v>110</v>
      </c>
      <c r="G386" s="18" t="s">
        <v>111</v>
      </c>
      <c r="H386" s="19" t="s">
        <v>112</v>
      </c>
      <c r="I386" s="18" t="s">
        <v>113</v>
      </c>
      <c r="J386" s="19" t="s">
        <v>114</v>
      </c>
      <c r="K386" s="19" t="s">
        <v>123</v>
      </c>
      <c r="L386" s="18" t="s">
        <v>116</v>
      </c>
      <c r="M386" s="18" t="s">
        <v>133</v>
      </c>
      <c r="N386" s="18" t="s">
        <v>118</v>
      </c>
      <c r="O386" s="20">
        <v>119000</v>
      </c>
      <c r="P386" s="20">
        <v>82110</v>
      </c>
      <c r="Q386" s="20">
        <v>1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31</v>
      </c>
      <c r="X386" s="20">
        <v>0</v>
      </c>
      <c r="Y386" s="20">
        <v>5950</v>
      </c>
      <c r="Z386" s="20">
        <v>0</v>
      </c>
      <c r="AA386" s="20">
        <v>0</v>
      </c>
      <c r="AB386" s="20">
        <v>0</v>
      </c>
      <c r="AC386" s="20">
        <v>119000</v>
      </c>
      <c r="AD386" s="20">
        <v>82110</v>
      </c>
      <c r="AE386" s="20">
        <v>0</v>
      </c>
      <c r="AF386" s="20">
        <v>5950</v>
      </c>
      <c r="AG386" s="20">
        <v>113050</v>
      </c>
      <c r="AH386" s="20">
        <v>82110</v>
      </c>
      <c r="AI386" s="20">
        <v>28127</v>
      </c>
      <c r="AJ386" s="20">
        <v>2813</v>
      </c>
      <c r="AK386" s="20">
        <v>30940</v>
      </c>
    </row>
    <row r="387" spans="1:37" ht="16.5" customHeight="1" x14ac:dyDescent="0.3">
      <c r="A387" s="18" t="s">
        <v>1139</v>
      </c>
      <c r="B387" s="18" t="s">
        <v>107</v>
      </c>
      <c r="C387" s="19" t="s">
        <v>108</v>
      </c>
      <c r="D387" s="18" t="s">
        <v>276</v>
      </c>
      <c r="E387" s="19" t="s">
        <v>277</v>
      </c>
      <c r="F387" s="18" t="s">
        <v>110</v>
      </c>
      <c r="G387" s="18" t="s">
        <v>111</v>
      </c>
      <c r="H387" s="19" t="s">
        <v>112</v>
      </c>
      <c r="I387" s="18" t="s">
        <v>113</v>
      </c>
      <c r="J387" s="19" t="s">
        <v>114</v>
      </c>
      <c r="K387" s="19" t="s">
        <v>151</v>
      </c>
      <c r="L387" s="18" t="s">
        <v>116</v>
      </c>
      <c r="M387" s="18" t="s">
        <v>133</v>
      </c>
      <c r="N387" s="18" t="s">
        <v>118</v>
      </c>
      <c r="O387" s="20">
        <v>119000</v>
      </c>
      <c r="P387" s="20">
        <v>82110</v>
      </c>
      <c r="Q387" s="20">
        <v>1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v>31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119000</v>
      </c>
      <c r="AD387" s="20">
        <v>82110</v>
      </c>
      <c r="AE387" s="20">
        <v>0</v>
      </c>
      <c r="AF387" s="20">
        <v>0</v>
      </c>
      <c r="AG387" s="20">
        <v>119000</v>
      </c>
      <c r="AH387" s="20">
        <v>82110</v>
      </c>
      <c r="AI387" s="20">
        <v>33536</v>
      </c>
      <c r="AJ387" s="20">
        <v>3354</v>
      </c>
      <c r="AK387" s="20">
        <v>36890</v>
      </c>
    </row>
    <row r="388" spans="1:37" ht="16.5" customHeight="1" x14ac:dyDescent="0.3">
      <c r="A388" s="18" t="s">
        <v>1142</v>
      </c>
      <c r="B388" s="18" t="s">
        <v>107</v>
      </c>
      <c r="C388" s="19" t="s">
        <v>108</v>
      </c>
      <c r="D388" s="18" t="s">
        <v>159</v>
      </c>
      <c r="E388" s="19" t="s">
        <v>160</v>
      </c>
      <c r="F388" s="18" t="s">
        <v>110</v>
      </c>
      <c r="G388" s="18" t="s">
        <v>111</v>
      </c>
      <c r="H388" s="19" t="s">
        <v>112</v>
      </c>
      <c r="I388" s="18" t="s">
        <v>113</v>
      </c>
      <c r="J388" s="19" t="s">
        <v>114</v>
      </c>
      <c r="K388" s="19" t="s">
        <v>115</v>
      </c>
      <c r="L388" s="18" t="s">
        <v>116</v>
      </c>
      <c r="M388" s="18" t="s">
        <v>133</v>
      </c>
      <c r="N388" s="18" t="s">
        <v>118</v>
      </c>
      <c r="O388" s="20">
        <v>119000</v>
      </c>
      <c r="P388" s="20">
        <v>82110</v>
      </c>
      <c r="Q388" s="20">
        <v>1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31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119000</v>
      </c>
      <c r="AD388" s="20">
        <v>82110</v>
      </c>
      <c r="AE388" s="20">
        <v>0</v>
      </c>
      <c r="AF388" s="20">
        <v>0</v>
      </c>
      <c r="AG388" s="20">
        <v>119000</v>
      </c>
      <c r="AH388" s="20">
        <v>82110</v>
      </c>
      <c r="AI388" s="20">
        <v>33536</v>
      </c>
      <c r="AJ388" s="20">
        <v>3354</v>
      </c>
      <c r="AK388" s="20">
        <v>36890</v>
      </c>
    </row>
    <row r="389" spans="1:37" ht="16.5" customHeight="1" x14ac:dyDescent="0.3">
      <c r="A389" s="18" t="s">
        <v>1144</v>
      </c>
      <c r="B389" s="18" t="s">
        <v>107</v>
      </c>
      <c r="C389" s="19" t="s">
        <v>108</v>
      </c>
      <c r="D389" s="18" t="s">
        <v>162</v>
      </c>
      <c r="E389" s="19" t="s">
        <v>163</v>
      </c>
      <c r="F389" s="18" t="s">
        <v>110</v>
      </c>
      <c r="G389" s="18" t="s">
        <v>111</v>
      </c>
      <c r="H389" s="19" t="s">
        <v>112</v>
      </c>
      <c r="I389" s="18" t="s">
        <v>113</v>
      </c>
      <c r="J389" s="19" t="s">
        <v>114</v>
      </c>
      <c r="K389" s="19" t="s">
        <v>151</v>
      </c>
      <c r="L389" s="18" t="s">
        <v>116</v>
      </c>
      <c r="M389" s="18" t="s">
        <v>133</v>
      </c>
      <c r="N389" s="18" t="s">
        <v>118</v>
      </c>
      <c r="O389" s="20">
        <v>119000</v>
      </c>
      <c r="P389" s="20">
        <v>82110</v>
      </c>
      <c r="Q389" s="20">
        <v>1</v>
      </c>
      <c r="R389" s="20">
        <v>0</v>
      </c>
      <c r="S389" s="20">
        <v>0</v>
      </c>
      <c r="T389" s="20">
        <v>0</v>
      </c>
      <c r="U389" s="20">
        <v>0</v>
      </c>
      <c r="V389" s="20">
        <v>0</v>
      </c>
      <c r="W389" s="20">
        <v>31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119000</v>
      </c>
      <c r="AD389" s="20">
        <v>82110</v>
      </c>
      <c r="AE389" s="20">
        <v>0</v>
      </c>
      <c r="AF389" s="20">
        <v>0</v>
      </c>
      <c r="AG389" s="20">
        <v>119000</v>
      </c>
      <c r="AH389" s="20">
        <v>82110</v>
      </c>
      <c r="AI389" s="20">
        <v>33536</v>
      </c>
      <c r="AJ389" s="20">
        <v>3354</v>
      </c>
      <c r="AK389" s="20">
        <v>36890</v>
      </c>
    </row>
    <row r="390" spans="1:37" ht="16.5" customHeight="1" x14ac:dyDescent="0.3">
      <c r="A390" s="18" t="s">
        <v>1147</v>
      </c>
      <c r="B390" s="18" t="s">
        <v>107</v>
      </c>
      <c r="C390" s="19" t="s">
        <v>108</v>
      </c>
      <c r="D390" s="18" t="s">
        <v>165</v>
      </c>
      <c r="E390" s="19" t="s">
        <v>166</v>
      </c>
      <c r="F390" s="18" t="s">
        <v>110</v>
      </c>
      <c r="G390" s="18" t="s">
        <v>111</v>
      </c>
      <c r="H390" s="19" t="s">
        <v>112</v>
      </c>
      <c r="I390" s="18" t="s">
        <v>113</v>
      </c>
      <c r="J390" s="19" t="s">
        <v>114</v>
      </c>
      <c r="K390" s="19" t="s">
        <v>115</v>
      </c>
      <c r="L390" s="18" t="s">
        <v>116</v>
      </c>
      <c r="M390" s="18" t="s">
        <v>133</v>
      </c>
      <c r="N390" s="18" t="s">
        <v>118</v>
      </c>
      <c r="O390" s="20">
        <v>119000</v>
      </c>
      <c r="P390" s="20">
        <v>82110</v>
      </c>
      <c r="Q390" s="20">
        <v>1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31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119000</v>
      </c>
      <c r="AD390" s="20">
        <v>82110</v>
      </c>
      <c r="AE390" s="20">
        <v>0</v>
      </c>
      <c r="AF390" s="20">
        <v>0</v>
      </c>
      <c r="AG390" s="20">
        <v>119000</v>
      </c>
      <c r="AH390" s="20">
        <v>82110</v>
      </c>
      <c r="AI390" s="20">
        <v>33536</v>
      </c>
      <c r="AJ390" s="20">
        <v>3354</v>
      </c>
      <c r="AK390" s="20">
        <v>36890</v>
      </c>
    </row>
    <row r="391" spans="1:37" ht="16.5" customHeight="1" x14ac:dyDescent="0.3">
      <c r="A391" s="18" t="s">
        <v>1150</v>
      </c>
      <c r="B391" s="18" t="s">
        <v>107</v>
      </c>
      <c r="C391" s="19" t="s">
        <v>108</v>
      </c>
      <c r="D391" s="18" t="s">
        <v>168</v>
      </c>
      <c r="E391" s="19" t="s">
        <v>169</v>
      </c>
      <c r="F391" s="18" t="s">
        <v>110</v>
      </c>
      <c r="G391" s="18" t="s">
        <v>111</v>
      </c>
      <c r="H391" s="19" t="s">
        <v>112</v>
      </c>
      <c r="I391" s="18" t="s">
        <v>113</v>
      </c>
      <c r="J391" s="19" t="s">
        <v>114</v>
      </c>
      <c r="K391" s="19" t="s">
        <v>115</v>
      </c>
      <c r="L391" s="18" t="s">
        <v>116</v>
      </c>
      <c r="M391" s="18" t="s">
        <v>133</v>
      </c>
      <c r="N391" s="18" t="s">
        <v>118</v>
      </c>
      <c r="O391" s="20">
        <v>119000</v>
      </c>
      <c r="P391" s="20">
        <v>82110</v>
      </c>
      <c r="Q391" s="20">
        <v>1</v>
      </c>
      <c r="R391" s="20">
        <v>0</v>
      </c>
      <c r="S391" s="20">
        <v>0</v>
      </c>
      <c r="T391" s="20">
        <v>0</v>
      </c>
      <c r="U391" s="20">
        <v>0</v>
      </c>
      <c r="V391" s="20">
        <v>0</v>
      </c>
      <c r="W391" s="20">
        <v>31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119000</v>
      </c>
      <c r="AD391" s="20">
        <v>82110</v>
      </c>
      <c r="AE391" s="20">
        <v>0</v>
      </c>
      <c r="AF391" s="20">
        <v>0</v>
      </c>
      <c r="AG391" s="20">
        <v>119000</v>
      </c>
      <c r="AH391" s="20">
        <v>82110</v>
      </c>
      <c r="AI391" s="20">
        <v>33536</v>
      </c>
      <c r="AJ391" s="20">
        <v>3354</v>
      </c>
      <c r="AK391" s="20">
        <v>36890</v>
      </c>
    </row>
    <row r="392" spans="1:37" ht="16.5" customHeight="1" x14ac:dyDescent="0.3">
      <c r="A392" s="18" t="s">
        <v>1153</v>
      </c>
      <c r="B392" s="18" t="s">
        <v>107</v>
      </c>
      <c r="C392" s="19" t="s">
        <v>108</v>
      </c>
      <c r="D392" s="18" t="s">
        <v>282</v>
      </c>
      <c r="E392" s="19" t="s">
        <v>283</v>
      </c>
      <c r="F392" s="18" t="s">
        <v>110</v>
      </c>
      <c r="G392" s="18" t="s">
        <v>111</v>
      </c>
      <c r="H392" s="19" t="s">
        <v>112</v>
      </c>
      <c r="I392" s="18" t="s">
        <v>113</v>
      </c>
      <c r="J392" s="19" t="s">
        <v>114</v>
      </c>
      <c r="K392" s="19" t="s">
        <v>115</v>
      </c>
      <c r="L392" s="18" t="s">
        <v>116</v>
      </c>
      <c r="M392" s="18" t="s">
        <v>133</v>
      </c>
      <c r="N392" s="18" t="s">
        <v>118</v>
      </c>
      <c r="O392" s="20">
        <v>119000</v>
      </c>
      <c r="P392" s="20">
        <v>82110</v>
      </c>
      <c r="Q392" s="20">
        <v>1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31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119000</v>
      </c>
      <c r="AD392" s="20">
        <v>82110</v>
      </c>
      <c r="AE392" s="20">
        <v>0</v>
      </c>
      <c r="AF392" s="20">
        <v>0</v>
      </c>
      <c r="AG392" s="20">
        <v>119000</v>
      </c>
      <c r="AH392" s="20">
        <v>82110</v>
      </c>
      <c r="AI392" s="20">
        <v>33536</v>
      </c>
      <c r="AJ392" s="20">
        <v>3354</v>
      </c>
      <c r="AK392" s="20">
        <v>36890</v>
      </c>
    </row>
    <row r="393" spans="1:37" ht="16.5" customHeight="1" x14ac:dyDescent="0.3">
      <c r="A393" s="18" t="s">
        <v>1156</v>
      </c>
      <c r="B393" s="18" t="s">
        <v>107</v>
      </c>
      <c r="C393" s="19" t="s">
        <v>108</v>
      </c>
      <c r="D393" s="18" t="s">
        <v>171</v>
      </c>
      <c r="E393" s="19" t="s">
        <v>172</v>
      </c>
      <c r="F393" s="18" t="s">
        <v>110</v>
      </c>
      <c r="G393" s="18" t="s">
        <v>111</v>
      </c>
      <c r="H393" s="19" t="s">
        <v>112</v>
      </c>
      <c r="I393" s="18" t="s">
        <v>113</v>
      </c>
      <c r="J393" s="19" t="s">
        <v>114</v>
      </c>
      <c r="K393" s="19" t="s">
        <v>115</v>
      </c>
      <c r="L393" s="18" t="s">
        <v>116</v>
      </c>
      <c r="M393" s="18" t="s">
        <v>133</v>
      </c>
      <c r="N393" s="18" t="s">
        <v>118</v>
      </c>
      <c r="O393" s="20">
        <v>119000</v>
      </c>
      <c r="P393" s="20">
        <v>82110</v>
      </c>
      <c r="Q393" s="20">
        <v>1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31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119000</v>
      </c>
      <c r="AD393" s="20">
        <v>82110</v>
      </c>
      <c r="AE393" s="20">
        <v>0</v>
      </c>
      <c r="AF393" s="20">
        <v>0</v>
      </c>
      <c r="AG393" s="20">
        <v>119000</v>
      </c>
      <c r="AH393" s="20">
        <v>82110</v>
      </c>
      <c r="AI393" s="20">
        <v>33536</v>
      </c>
      <c r="AJ393" s="20">
        <v>3354</v>
      </c>
      <c r="AK393" s="20">
        <v>36890</v>
      </c>
    </row>
    <row r="394" spans="1:37" ht="16.5" customHeight="1" x14ac:dyDescent="0.3">
      <c r="A394" s="18" t="s">
        <v>1158</v>
      </c>
      <c r="B394" s="18" t="s">
        <v>107</v>
      </c>
      <c r="C394" s="19" t="s">
        <v>108</v>
      </c>
      <c r="D394" s="18" t="s">
        <v>285</v>
      </c>
      <c r="E394" s="19" t="s">
        <v>286</v>
      </c>
      <c r="F394" s="18" t="s">
        <v>110</v>
      </c>
      <c r="G394" s="18" t="s">
        <v>111</v>
      </c>
      <c r="H394" s="19" t="s">
        <v>112</v>
      </c>
      <c r="I394" s="18" t="s">
        <v>113</v>
      </c>
      <c r="J394" s="19" t="s">
        <v>114</v>
      </c>
      <c r="K394" s="19" t="s">
        <v>115</v>
      </c>
      <c r="L394" s="18" t="s">
        <v>116</v>
      </c>
      <c r="M394" s="18" t="s">
        <v>133</v>
      </c>
      <c r="N394" s="18" t="s">
        <v>118</v>
      </c>
      <c r="O394" s="20">
        <v>119000</v>
      </c>
      <c r="P394" s="20">
        <v>82110</v>
      </c>
      <c r="Q394" s="20">
        <v>1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31</v>
      </c>
      <c r="X394" s="20">
        <v>0</v>
      </c>
      <c r="Y394" s="20">
        <v>10000</v>
      </c>
      <c r="Z394" s="20">
        <v>0</v>
      </c>
      <c r="AA394" s="20">
        <v>0</v>
      </c>
      <c r="AB394" s="20">
        <v>0</v>
      </c>
      <c r="AC394" s="20">
        <v>119000</v>
      </c>
      <c r="AD394" s="20">
        <v>82110</v>
      </c>
      <c r="AE394" s="20">
        <v>0</v>
      </c>
      <c r="AF394" s="20">
        <v>10000</v>
      </c>
      <c r="AG394" s="20">
        <v>109000</v>
      </c>
      <c r="AH394" s="20">
        <v>82110</v>
      </c>
      <c r="AI394" s="20">
        <v>24445</v>
      </c>
      <c r="AJ394" s="20">
        <v>2445</v>
      </c>
      <c r="AK394" s="20">
        <v>26890</v>
      </c>
    </row>
    <row r="395" spans="1:37" ht="16.5" customHeight="1" x14ac:dyDescent="0.3">
      <c r="A395" s="18" t="s">
        <v>1161</v>
      </c>
      <c r="B395" s="18" t="s">
        <v>107</v>
      </c>
      <c r="C395" s="19" t="s">
        <v>108</v>
      </c>
      <c r="D395" s="18" t="s">
        <v>526</v>
      </c>
      <c r="E395" s="19" t="s">
        <v>527</v>
      </c>
      <c r="F395" s="18" t="s">
        <v>110</v>
      </c>
      <c r="G395" s="18" t="s">
        <v>111</v>
      </c>
      <c r="H395" s="19" t="s">
        <v>112</v>
      </c>
      <c r="I395" s="18" t="s">
        <v>113</v>
      </c>
      <c r="J395" s="19" t="s">
        <v>114</v>
      </c>
      <c r="K395" s="19" t="s">
        <v>115</v>
      </c>
      <c r="L395" s="18" t="s">
        <v>116</v>
      </c>
      <c r="M395" s="18" t="s">
        <v>133</v>
      </c>
      <c r="N395" s="18" t="s">
        <v>118</v>
      </c>
      <c r="O395" s="20">
        <v>119000</v>
      </c>
      <c r="P395" s="20">
        <v>82110</v>
      </c>
      <c r="Q395" s="20">
        <v>1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31</v>
      </c>
      <c r="X395" s="20">
        <v>0</v>
      </c>
      <c r="Y395" s="20">
        <v>0</v>
      </c>
      <c r="Z395" s="20">
        <v>0</v>
      </c>
      <c r="AA395" s="20">
        <v>0</v>
      </c>
      <c r="AB395" s="20">
        <v>5950</v>
      </c>
      <c r="AC395" s="20">
        <v>119000</v>
      </c>
      <c r="AD395" s="20">
        <v>82110</v>
      </c>
      <c r="AE395" s="20">
        <v>0</v>
      </c>
      <c r="AF395" s="20">
        <v>5950</v>
      </c>
      <c r="AG395" s="20">
        <v>113050</v>
      </c>
      <c r="AH395" s="20">
        <v>82110</v>
      </c>
      <c r="AI395" s="20">
        <v>28127</v>
      </c>
      <c r="AJ395" s="20">
        <v>2813</v>
      </c>
      <c r="AK395" s="20">
        <v>30940</v>
      </c>
    </row>
    <row r="396" spans="1:37" ht="16.5" customHeight="1" x14ac:dyDescent="0.3">
      <c r="A396" s="18" t="s">
        <v>1164</v>
      </c>
      <c r="B396" s="18" t="s">
        <v>107</v>
      </c>
      <c r="C396" s="19" t="s">
        <v>108</v>
      </c>
      <c r="D396" s="18" t="s">
        <v>174</v>
      </c>
      <c r="E396" s="19" t="s">
        <v>175</v>
      </c>
      <c r="F396" s="18" t="s">
        <v>110</v>
      </c>
      <c r="G396" s="18" t="s">
        <v>111</v>
      </c>
      <c r="H396" s="19" t="s">
        <v>112</v>
      </c>
      <c r="I396" s="18" t="s">
        <v>113</v>
      </c>
      <c r="J396" s="19" t="s">
        <v>114</v>
      </c>
      <c r="K396" s="19" t="s">
        <v>123</v>
      </c>
      <c r="L396" s="18" t="s">
        <v>116</v>
      </c>
      <c r="M396" s="18" t="s">
        <v>133</v>
      </c>
      <c r="N396" s="18" t="s">
        <v>118</v>
      </c>
      <c r="O396" s="20">
        <v>119000</v>
      </c>
      <c r="P396" s="20">
        <v>82110</v>
      </c>
      <c r="Q396" s="20">
        <v>1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31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119000</v>
      </c>
      <c r="AD396" s="20">
        <v>82110</v>
      </c>
      <c r="AE396" s="20">
        <v>0</v>
      </c>
      <c r="AF396" s="20">
        <v>0</v>
      </c>
      <c r="AG396" s="20">
        <v>119000</v>
      </c>
      <c r="AH396" s="20">
        <v>82110</v>
      </c>
      <c r="AI396" s="20">
        <v>33536</v>
      </c>
      <c r="AJ396" s="20">
        <v>3354</v>
      </c>
      <c r="AK396" s="20">
        <v>36890</v>
      </c>
    </row>
    <row r="397" spans="1:37" ht="16.5" customHeight="1" x14ac:dyDescent="0.3">
      <c r="A397" s="18" t="s">
        <v>1166</v>
      </c>
      <c r="B397" s="18" t="s">
        <v>107</v>
      </c>
      <c r="C397" s="19" t="s">
        <v>108</v>
      </c>
      <c r="D397" s="18" t="s">
        <v>177</v>
      </c>
      <c r="E397" s="19" t="s">
        <v>178</v>
      </c>
      <c r="F397" s="18" t="s">
        <v>110</v>
      </c>
      <c r="G397" s="18" t="s">
        <v>111</v>
      </c>
      <c r="H397" s="19" t="s">
        <v>112</v>
      </c>
      <c r="I397" s="18" t="s">
        <v>113</v>
      </c>
      <c r="J397" s="19" t="s">
        <v>114</v>
      </c>
      <c r="K397" s="19" t="s">
        <v>115</v>
      </c>
      <c r="L397" s="18" t="s">
        <v>116</v>
      </c>
      <c r="M397" s="18" t="s">
        <v>133</v>
      </c>
      <c r="N397" s="18" t="s">
        <v>118</v>
      </c>
      <c r="O397" s="20">
        <v>119000</v>
      </c>
      <c r="P397" s="20">
        <v>82110</v>
      </c>
      <c r="Q397" s="20">
        <v>1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31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119000</v>
      </c>
      <c r="AD397" s="20">
        <v>82110</v>
      </c>
      <c r="AE397" s="20">
        <v>0</v>
      </c>
      <c r="AF397" s="20">
        <v>0</v>
      </c>
      <c r="AG397" s="20">
        <v>119000</v>
      </c>
      <c r="AH397" s="20">
        <v>82110</v>
      </c>
      <c r="AI397" s="20">
        <v>33536</v>
      </c>
      <c r="AJ397" s="20">
        <v>3354</v>
      </c>
      <c r="AK397" s="20">
        <v>36890</v>
      </c>
    </row>
    <row r="398" spans="1:37" ht="16.5" customHeight="1" x14ac:dyDescent="0.3">
      <c r="A398" s="18" t="s">
        <v>1168</v>
      </c>
      <c r="B398" s="18" t="s">
        <v>107</v>
      </c>
      <c r="C398" s="19" t="s">
        <v>108</v>
      </c>
      <c r="D398" s="18" t="s">
        <v>302</v>
      </c>
      <c r="E398" s="19" t="s">
        <v>303</v>
      </c>
      <c r="F398" s="18" t="s">
        <v>110</v>
      </c>
      <c r="G398" s="18" t="s">
        <v>111</v>
      </c>
      <c r="H398" s="19" t="s">
        <v>112</v>
      </c>
      <c r="I398" s="18" t="s">
        <v>113</v>
      </c>
      <c r="J398" s="19" t="s">
        <v>114</v>
      </c>
      <c r="K398" s="19" t="s">
        <v>123</v>
      </c>
      <c r="L398" s="18" t="s">
        <v>116</v>
      </c>
      <c r="M398" s="18" t="s">
        <v>133</v>
      </c>
      <c r="N398" s="18" t="s">
        <v>118</v>
      </c>
      <c r="O398" s="20">
        <v>119000</v>
      </c>
      <c r="P398" s="20">
        <v>82110</v>
      </c>
      <c r="Q398" s="20">
        <v>1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31</v>
      </c>
      <c r="X398" s="20">
        <v>0</v>
      </c>
      <c r="Y398" s="20">
        <v>5950</v>
      </c>
      <c r="Z398" s="20">
        <v>0</v>
      </c>
      <c r="AA398" s="20">
        <v>0</v>
      </c>
      <c r="AB398" s="20">
        <v>0</v>
      </c>
      <c r="AC398" s="20">
        <v>119000</v>
      </c>
      <c r="AD398" s="20">
        <v>82110</v>
      </c>
      <c r="AE398" s="20">
        <v>0</v>
      </c>
      <c r="AF398" s="20">
        <v>5950</v>
      </c>
      <c r="AG398" s="20">
        <v>113050</v>
      </c>
      <c r="AH398" s="20">
        <v>82110</v>
      </c>
      <c r="AI398" s="20">
        <v>28127</v>
      </c>
      <c r="AJ398" s="20">
        <v>2813</v>
      </c>
      <c r="AK398" s="20">
        <v>30940</v>
      </c>
    </row>
    <row r="399" spans="1:37" ht="16.5" customHeight="1" x14ac:dyDescent="0.3">
      <c r="A399" s="18" t="s">
        <v>1171</v>
      </c>
      <c r="B399" s="18" t="s">
        <v>107</v>
      </c>
      <c r="C399" s="19" t="s">
        <v>108</v>
      </c>
      <c r="D399" s="18" t="s">
        <v>305</v>
      </c>
      <c r="E399" s="19" t="s">
        <v>136</v>
      </c>
      <c r="F399" s="18" t="s">
        <v>110</v>
      </c>
      <c r="G399" s="18" t="s">
        <v>111</v>
      </c>
      <c r="H399" s="19" t="s">
        <v>112</v>
      </c>
      <c r="I399" s="18" t="s">
        <v>113</v>
      </c>
      <c r="J399" s="19" t="s">
        <v>114</v>
      </c>
      <c r="K399" s="19" t="s">
        <v>123</v>
      </c>
      <c r="L399" s="18" t="s">
        <v>116</v>
      </c>
      <c r="M399" s="18" t="s">
        <v>133</v>
      </c>
      <c r="N399" s="18" t="s">
        <v>118</v>
      </c>
      <c r="O399" s="20">
        <v>119000</v>
      </c>
      <c r="P399" s="20">
        <v>82110</v>
      </c>
      <c r="Q399" s="20">
        <v>1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31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119000</v>
      </c>
      <c r="AD399" s="20">
        <v>82110</v>
      </c>
      <c r="AE399" s="20">
        <v>0</v>
      </c>
      <c r="AF399" s="20">
        <v>0</v>
      </c>
      <c r="AG399" s="20">
        <v>119000</v>
      </c>
      <c r="AH399" s="20">
        <v>82110</v>
      </c>
      <c r="AI399" s="20">
        <v>33536</v>
      </c>
      <c r="AJ399" s="20">
        <v>3354</v>
      </c>
      <c r="AK399" s="20">
        <v>36890</v>
      </c>
    </row>
    <row r="400" spans="1:37" ht="16.5" customHeight="1" x14ac:dyDescent="0.3">
      <c r="A400" s="18" t="s">
        <v>1173</v>
      </c>
      <c r="B400" s="18" t="s">
        <v>107</v>
      </c>
      <c r="C400" s="19" t="s">
        <v>108</v>
      </c>
      <c r="D400" s="18" t="s">
        <v>183</v>
      </c>
      <c r="E400" s="19" t="s">
        <v>184</v>
      </c>
      <c r="F400" s="18" t="s">
        <v>110</v>
      </c>
      <c r="G400" s="18" t="s">
        <v>111</v>
      </c>
      <c r="H400" s="19" t="s">
        <v>112</v>
      </c>
      <c r="I400" s="18" t="s">
        <v>113</v>
      </c>
      <c r="J400" s="19" t="s">
        <v>114</v>
      </c>
      <c r="K400" s="19" t="s">
        <v>115</v>
      </c>
      <c r="L400" s="18" t="s">
        <v>116</v>
      </c>
      <c r="M400" s="18" t="s">
        <v>133</v>
      </c>
      <c r="N400" s="18" t="s">
        <v>118</v>
      </c>
      <c r="O400" s="20">
        <v>119000</v>
      </c>
      <c r="P400" s="20">
        <v>82110</v>
      </c>
      <c r="Q400" s="20">
        <v>1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31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119000</v>
      </c>
      <c r="AD400" s="20">
        <v>82110</v>
      </c>
      <c r="AE400" s="20">
        <v>0</v>
      </c>
      <c r="AF400" s="20">
        <v>0</v>
      </c>
      <c r="AG400" s="20">
        <v>119000</v>
      </c>
      <c r="AH400" s="20">
        <v>82110</v>
      </c>
      <c r="AI400" s="20">
        <v>33536</v>
      </c>
      <c r="AJ400" s="20">
        <v>3354</v>
      </c>
      <c r="AK400" s="20">
        <v>36890</v>
      </c>
    </row>
    <row r="401" spans="1:37" ht="16.5" customHeight="1" x14ac:dyDescent="0.3">
      <c r="A401" s="18" t="s">
        <v>1175</v>
      </c>
      <c r="B401" s="18" t="s">
        <v>107</v>
      </c>
      <c r="C401" s="19" t="s">
        <v>108</v>
      </c>
      <c r="D401" s="18" t="s">
        <v>195</v>
      </c>
      <c r="E401" s="19" t="s">
        <v>196</v>
      </c>
      <c r="F401" s="18" t="s">
        <v>110</v>
      </c>
      <c r="G401" s="18" t="s">
        <v>111</v>
      </c>
      <c r="H401" s="19" t="s">
        <v>112</v>
      </c>
      <c r="I401" s="18" t="s">
        <v>113</v>
      </c>
      <c r="J401" s="19" t="s">
        <v>114</v>
      </c>
      <c r="K401" s="19" t="s">
        <v>115</v>
      </c>
      <c r="L401" s="18" t="s">
        <v>116</v>
      </c>
      <c r="M401" s="18" t="s">
        <v>133</v>
      </c>
      <c r="N401" s="18" t="s">
        <v>118</v>
      </c>
      <c r="O401" s="20">
        <v>119000</v>
      </c>
      <c r="P401" s="20">
        <v>82110</v>
      </c>
      <c r="Q401" s="20">
        <v>1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31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20">
        <v>119000</v>
      </c>
      <c r="AD401" s="20">
        <v>82110</v>
      </c>
      <c r="AE401" s="20">
        <v>0</v>
      </c>
      <c r="AF401" s="20">
        <v>0</v>
      </c>
      <c r="AG401" s="20">
        <v>119000</v>
      </c>
      <c r="AH401" s="20">
        <v>82110</v>
      </c>
      <c r="AI401" s="20">
        <v>33536</v>
      </c>
      <c r="AJ401" s="20">
        <v>3354</v>
      </c>
      <c r="AK401" s="20">
        <v>36890</v>
      </c>
    </row>
    <row r="402" spans="1:37" ht="16.5" customHeight="1" x14ac:dyDescent="0.3">
      <c r="A402" s="18" t="s">
        <v>1178</v>
      </c>
      <c r="B402" s="18" t="s">
        <v>107</v>
      </c>
      <c r="C402" s="19" t="s">
        <v>108</v>
      </c>
      <c r="D402" s="18" t="s">
        <v>333</v>
      </c>
      <c r="E402" s="19" t="s">
        <v>334</v>
      </c>
      <c r="F402" s="18" t="s">
        <v>110</v>
      </c>
      <c r="G402" s="18" t="s">
        <v>111</v>
      </c>
      <c r="H402" s="19" t="s">
        <v>112</v>
      </c>
      <c r="I402" s="18" t="s">
        <v>113</v>
      </c>
      <c r="J402" s="19" t="s">
        <v>114</v>
      </c>
      <c r="K402" s="19" t="s">
        <v>115</v>
      </c>
      <c r="L402" s="18" t="s">
        <v>116</v>
      </c>
      <c r="M402" s="18" t="s">
        <v>133</v>
      </c>
      <c r="N402" s="18" t="s">
        <v>118</v>
      </c>
      <c r="O402" s="20">
        <v>119000</v>
      </c>
      <c r="P402" s="20">
        <v>82110</v>
      </c>
      <c r="Q402" s="20">
        <v>1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31</v>
      </c>
      <c r="X402" s="20">
        <v>19040</v>
      </c>
      <c r="Y402" s="20">
        <v>0</v>
      </c>
      <c r="Z402" s="20">
        <v>0</v>
      </c>
      <c r="AA402" s="20">
        <v>0</v>
      </c>
      <c r="AB402" s="20">
        <v>0</v>
      </c>
      <c r="AC402" s="20">
        <v>119000</v>
      </c>
      <c r="AD402" s="20">
        <v>82110</v>
      </c>
      <c r="AE402" s="20">
        <v>0</v>
      </c>
      <c r="AF402" s="20">
        <v>19040</v>
      </c>
      <c r="AG402" s="20">
        <v>99960</v>
      </c>
      <c r="AH402" s="20">
        <v>82110</v>
      </c>
      <c r="AI402" s="20">
        <v>16227</v>
      </c>
      <c r="AJ402" s="20">
        <v>1623</v>
      </c>
      <c r="AK402" s="20">
        <v>17850</v>
      </c>
    </row>
    <row r="403" spans="1:37" ht="16.5" customHeight="1" x14ac:dyDescent="0.3">
      <c r="A403" s="18" t="s">
        <v>1180</v>
      </c>
      <c r="B403" s="18" t="s">
        <v>107</v>
      </c>
      <c r="C403" s="19" t="s">
        <v>108</v>
      </c>
      <c r="D403" s="18" t="s">
        <v>201</v>
      </c>
      <c r="E403" s="19" t="s">
        <v>202</v>
      </c>
      <c r="F403" s="18" t="s">
        <v>110</v>
      </c>
      <c r="G403" s="18" t="s">
        <v>111</v>
      </c>
      <c r="H403" s="19" t="s">
        <v>112</v>
      </c>
      <c r="I403" s="18" t="s">
        <v>113</v>
      </c>
      <c r="J403" s="19" t="s">
        <v>114</v>
      </c>
      <c r="K403" s="19" t="s">
        <v>115</v>
      </c>
      <c r="L403" s="18" t="s">
        <v>116</v>
      </c>
      <c r="M403" s="18" t="s">
        <v>133</v>
      </c>
      <c r="N403" s="18" t="s">
        <v>118</v>
      </c>
      <c r="O403" s="20">
        <v>119000</v>
      </c>
      <c r="P403" s="20">
        <v>82110</v>
      </c>
      <c r="Q403" s="20">
        <v>1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31</v>
      </c>
      <c r="X403" s="20">
        <v>0</v>
      </c>
      <c r="Y403" s="20">
        <v>0</v>
      </c>
      <c r="Z403" s="20">
        <v>0</v>
      </c>
      <c r="AA403" s="20">
        <v>0</v>
      </c>
      <c r="AB403" s="20">
        <v>5950</v>
      </c>
      <c r="AC403" s="20">
        <v>119000</v>
      </c>
      <c r="AD403" s="20">
        <v>82110</v>
      </c>
      <c r="AE403" s="20">
        <v>0</v>
      </c>
      <c r="AF403" s="20">
        <v>5950</v>
      </c>
      <c r="AG403" s="20">
        <v>113050</v>
      </c>
      <c r="AH403" s="20">
        <v>82110</v>
      </c>
      <c r="AI403" s="20">
        <v>28127</v>
      </c>
      <c r="AJ403" s="20">
        <v>2813</v>
      </c>
      <c r="AK403" s="20">
        <v>30940</v>
      </c>
    </row>
    <row r="404" spans="1:37" ht="16.5" customHeight="1" x14ac:dyDescent="0.3">
      <c r="A404" s="18" t="s">
        <v>1182</v>
      </c>
      <c r="B404" s="18" t="s">
        <v>107</v>
      </c>
      <c r="C404" s="19" t="s">
        <v>108</v>
      </c>
      <c r="D404" s="18" t="s">
        <v>345</v>
      </c>
      <c r="E404" s="19" t="s">
        <v>346</v>
      </c>
      <c r="F404" s="18" t="s">
        <v>110</v>
      </c>
      <c r="G404" s="18" t="s">
        <v>111</v>
      </c>
      <c r="H404" s="19" t="s">
        <v>112</v>
      </c>
      <c r="I404" s="18" t="s">
        <v>113</v>
      </c>
      <c r="J404" s="19" t="s">
        <v>114</v>
      </c>
      <c r="K404" s="19" t="s">
        <v>115</v>
      </c>
      <c r="L404" s="18" t="s">
        <v>116</v>
      </c>
      <c r="M404" s="18" t="s">
        <v>133</v>
      </c>
      <c r="N404" s="18" t="s">
        <v>118</v>
      </c>
      <c r="O404" s="20">
        <v>119000</v>
      </c>
      <c r="P404" s="20">
        <v>82110</v>
      </c>
      <c r="Q404" s="20">
        <v>1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31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119000</v>
      </c>
      <c r="AD404" s="20">
        <v>82110</v>
      </c>
      <c r="AE404" s="20">
        <v>0</v>
      </c>
      <c r="AF404" s="20">
        <v>0</v>
      </c>
      <c r="AG404" s="20">
        <v>119000</v>
      </c>
      <c r="AH404" s="20">
        <v>82110</v>
      </c>
      <c r="AI404" s="20">
        <v>33536</v>
      </c>
      <c r="AJ404" s="20">
        <v>3354</v>
      </c>
      <c r="AK404" s="20">
        <v>36890</v>
      </c>
    </row>
    <row r="405" spans="1:37" ht="16.5" customHeight="1" x14ac:dyDescent="0.3">
      <c r="A405" s="18" t="s">
        <v>1185</v>
      </c>
      <c r="B405" s="18" t="s">
        <v>107</v>
      </c>
      <c r="C405" s="19" t="s">
        <v>108</v>
      </c>
      <c r="D405" s="18" t="s">
        <v>204</v>
      </c>
      <c r="E405" s="19" t="s">
        <v>205</v>
      </c>
      <c r="F405" s="18" t="s">
        <v>110</v>
      </c>
      <c r="G405" s="18" t="s">
        <v>111</v>
      </c>
      <c r="H405" s="19" t="s">
        <v>112</v>
      </c>
      <c r="I405" s="18" t="s">
        <v>113</v>
      </c>
      <c r="J405" s="19" t="s">
        <v>114</v>
      </c>
      <c r="K405" s="19" t="s">
        <v>115</v>
      </c>
      <c r="L405" s="18" t="s">
        <v>116</v>
      </c>
      <c r="M405" s="18" t="s">
        <v>133</v>
      </c>
      <c r="N405" s="18" t="s">
        <v>118</v>
      </c>
      <c r="O405" s="20">
        <v>119000</v>
      </c>
      <c r="P405" s="20">
        <v>82110</v>
      </c>
      <c r="Q405" s="20">
        <v>1</v>
      </c>
      <c r="R405" s="20">
        <v>0</v>
      </c>
      <c r="S405" s="20">
        <v>0</v>
      </c>
      <c r="T405" s="20">
        <v>0</v>
      </c>
      <c r="U405" s="20">
        <v>0</v>
      </c>
      <c r="V405" s="20">
        <v>0</v>
      </c>
      <c r="W405" s="20">
        <v>31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119000</v>
      </c>
      <c r="AD405" s="20">
        <v>82110</v>
      </c>
      <c r="AE405" s="20">
        <v>0</v>
      </c>
      <c r="AF405" s="20">
        <v>0</v>
      </c>
      <c r="AG405" s="20">
        <v>119000</v>
      </c>
      <c r="AH405" s="20">
        <v>82110</v>
      </c>
      <c r="AI405" s="20">
        <v>33536</v>
      </c>
      <c r="AJ405" s="20">
        <v>3354</v>
      </c>
      <c r="AK405" s="20">
        <v>36890</v>
      </c>
    </row>
    <row r="406" spans="1:37" ht="16.5" customHeight="1" x14ac:dyDescent="0.3">
      <c r="A406" s="18" t="s">
        <v>1188</v>
      </c>
      <c r="B406" s="18" t="s">
        <v>107</v>
      </c>
      <c r="C406" s="19" t="s">
        <v>108</v>
      </c>
      <c r="D406" s="18" t="s">
        <v>348</v>
      </c>
      <c r="E406" s="19" t="s">
        <v>349</v>
      </c>
      <c r="F406" s="18" t="s">
        <v>110</v>
      </c>
      <c r="G406" s="18" t="s">
        <v>111</v>
      </c>
      <c r="H406" s="19" t="s">
        <v>112</v>
      </c>
      <c r="I406" s="18" t="s">
        <v>113</v>
      </c>
      <c r="J406" s="19" t="s">
        <v>114</v>
      </c>
      <c r="K406" s="19" t="s">
        <v>115</v>
      </c>
      <c r="L406" s="18" t="s">
        <v>116</v>
      </c>
      <c r="M406" s="18" t="s">
        <v>133</v>
      </c>
      <c r="N406" s="18" t="s">
        <v>118</v>
      </c>
      <c r="O406" s="20">
        <v>119000</v>
      </c>
      <c r="P406" s="20">
        <v>82110</v>
      </c>
      <c r="Q406" s="20">
        <v>1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31</v>
      </c>
      <c r="X406" s="20">
        <v>19040</v>
      </c>
      <c r="Y406" s="20">
        <v>0</v>
      </c>
      <c r="Z406" s="20">
        <v>0</v>
      </c>
      <c r="AA406" s="20">
        <v>0</v>
      </c>
      <c r="AB406" s="20">
        <v>0</v>
      </c>
      <c r="AC406" s="20">
        <v>119000</v>
      </c>
      <c r="AD406" s="20">
        <v>82110</v>
      </c>
      <c r="AE406" s="20">
        <v>0</v>
      </c>
      <c r="AF406" s="20">
        <v>19040</v>
      </c>
      <c r="AG406" s="20">
        <v>99960</v>
      </c>
      <c r="AH406" s="20">
        <v>82110</v>
      </c>
      <c r="AI406" s="20">
        <v>16227</v>
      </c>
      <c r="AJ406" s="20">
        <v>1623</v>
      </c>
      <c r="AK406" s="20">
        <v>17850</v>
      </c>
    </row>
    <row r="407" spans="1:37" ht="16.5" customHeight="1" x14ac:dyDescent="0.3">
      <c r="A407" s="18" t="s">
        <v>1191</v>
      </c>
      <c r="B407" s="18" t="s">
        <v>107</v>
      </c>
      <c r="C407" s="19" t="s">
        <v>108</v>
      </c>
      <c r="D407" s="18" t="s">
        <v>207</v>
      </c>
      <c r="E407" s="19" t="s">
        <v>208</v>
      </c>
      <c r="F407" s="18" t="s">
        <v>110</v>
      </c>
      <c r="G407" s="18" t="s">
        <v>111</v>
      </c>
      <c r="H407" s="19" t="s">
        <v>112</v>
      </c>
      <c r="I407" s="18" t="s">
        <v>113</v>
      </c>
      <c r="J407" s="19" t="s">
        <v>114</v>
      </c>
      <c r="K407" s="19" t="s">
        <v>115</v>
      </c>
      <c r="L407" s="18" t="s">
        <v>116</v>
      </c>
      <c r="M407" s="18" t="s">
        <v>133</v>
      </c>
      <c r="N407" s="18" t="s">
        <v>118</v>
      </c>
      <c r="O407" s="20">
        <v>119000</v>
      </c>
      <c r="P407" s="20">
        <v>82110</v>
      </c>
      <c r="Q407" s="20">
        <v>1</v>
      </c>
      <c r="R407" s="20">
        <v>0</v>
      </c>
      <c r="S407" s="20">
        <v>0</v>
      </c>
      <c r="T407" s="20">
        <v>0</v>
      </c>
      <c r="U407" s="20">
        <v>0</v>
      </c>
      <c r="V407" s="20">
        <v>0</v>
      </c>
      <c r="W407" s="20">
        <v>31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119000</v>
      </c>
      <c r="AD407" s="20">
        <v>82110</v>
      </c>
      <c r="AE407" s="20">
        <v>0</v>
      </c>
      <c r="AF407" s="20">
        <v>0</v>
      </c>
      <c r="AG407" s="20">
        <v>119000</v>
      </c>
      <c r="AH407" s="20">
        <v>82110</v>
      </c>
      <c r="AI407" s="20">
        <v>33536</v>
      </c>
      <c r="AJ407" s="20">
        <v>3354</v>
      </c>
      <c r="AK407" s="20">
        <v>36890</v>
      </c>
    </row>
    <row r="408" spans="1:37" ht="16.5" customHeight="1" x14ac:dyDescent="0.3">
      <c r="A408" s="18" t="s">
        <v>1194</v>
      </c>
      <c r="B408" s="18" t="s">
        <v>107</v>
      </c>
      <c r="C408" s="19" t="s">
        <v>108</v>
      </c>
      <c r="D408" s="18" t="s">
        <v>351</v>
      </c>
      <c r="E408" s="19" t="s">
        <v>340</v>
      </c>
      <c r="F408" s="18" t="s">
        <v>110</v>
      </c>
      <c r="G408" s="18" t="s">
        <v>111</v>
      </c>
      <c r="H408" s="19" t="s">
        <v>112</v>
      </c>
      <c r="I408" s="18" t="s">
        <v>113</v>
      </c>
      <c r="J408" s="19" t="s">
        <v>114</v>
      </c>
      <c r="K408" s="19" t="s">
        <v>115</v>
      </c>
      <c r="L408" s="18" t="s">
        <v>116</v>
      </c>
      <c r="M408" s="18" t="s">
        <v>133</v>
      </c>
      <c r="N408" s="18" t="s">
        <v>118</v>
      </c>
      <c r="O408" s="20">
        <v>119000</v>
      </c>
      <c r="P408" s="20">
        <v>82110</v>
      </c>
      <c r="Q408" s="20">
        <v>1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31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119000</v>
      </c>
      <c r="AD408" s="20">
        <v>82110</v>
      </c>
      <c r="AE408" s="20">
        <v>0</v>
      </c>
      <c r="AF408" s="20">
        <v>0</v>
      </c>
      <c r="AG408" s="20">
        <v>119000</v>
      </c>
      <c r="AH408" s="20">
        <v>82110</v>
      </c>
      <c r="AI408" s="20">
        <v>33536</v>
      </c>
      <c r="AJ408" s="20">
        <v>3354</v>
      </c>
      <c r="AK408" s="20">
        <v>36890</v>
      </c>
    </row>
    <row r="409" spans="1:37" ht="16.5" customHeight="1" x14ac:dyDescent="0.3">
      <c r="A409" s="18" t="s">
        <v>1197</v>
      </c>
      <c r="B409" s="18" t="s">
        <v>107</v>
      </c>
      <c r="C409" s="19" t="s">
        <v>108</v>
      </c>
      <c r="D409" s="18" t="s">
        <v>359</v>
      </c>
      <c r="E409" s="19" t="s">
        <v>360</v>
      </c>
      <c r="F409" s="18" t="s">
        <v>110</v>
      </c>
      <c r="G409" s="18" t="s">
        <v>111</v>
      </c>
      <c r="H409" s="19" t="s">
        <v>112</v>
      </c>
      <c r="I409" s="18" t="s">
        <v>113</v>
      </c>
      <c r="J409" s="19" t="s">
        <v>114</v>
      </c>
      <c r="K409" s="19" t="s">
        <v>115</v>
      </c>
      <c r="L409" s="18" t="s">
        <v>116</v>
      </c>
      <c r="M409" s="18" t="s">
        <v>133</v>
      </c>
      <c r="N409" s="18" t="s">
        <v>118</v>
      </c>
      <c r="O409" s="20">
        <v>119000</v>
      </c>
      <c r="P409" s="20">
        <v>82110</v>
      </c>
      <c r="Q409" s="20">
        <v>1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31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119000</v>
      </c>
      <c r="AD409" s="20">
        <v>82110</v>
      </c>
      <c r="AE409" s="20">
        <v>0</v>
      </c>
      <c r="AF409" s="20">
        <v>0</v>
      </c>
      <c r="AG409" s="20">
        <v>119000</v>
      </c>
      <c r="AH409" s="20">
        <v>82110</v>
      </c>
      <c r="AI409" s="20">
        <v>33536</v>
      </c>
      <c r="AJ409" s="20">
        <v>3354</v>
      </c>
      <c r="AK409" s="20">
        <v>36890</v>
      </c>
    </row>
    <row r="410" spans="1:37" ht="16.5" customHeight="1" x14ac:dyDescent="0.3">
      <c r="A410" s="18" t="s">
        <v>1199</v>
      </c>
      <c r="B410" s="18" t="s">
        <v>107</v>
      </c>
      <c r="C410" s="19" t="s">
        <v>108</v>
      </c>
      <c r="D410" s="18" t="s">
        <v>216</v>
      </c>
      <c r="E410" s="19" t="s">
        <v>217</v>
      </c>
      <c r="F410" s="18" t="s">
        <v>110</v>
      </c>
      <c r="G410" s="18" t="s">
        <v>111</v>
      </c>
      <c r="H410" s="19" t="s">
        <v>112</v>
      </c>
      <c r="I410" s="18" t="s">
        <v>113</v>
      </c>
      <c r="J410" s="19" t="s">
        <v>114</v>
      </c>
      <c r="K410" s="19" t="s">
        <v>115</v>
      </c>
      <c r="L410" s="18" t="s">
        <v>116</v>
      </c>
      <c r="M410" s="18" t="s">
        <v>133</v>
      </c>
      <c r="N410" s="18" t="s">
        <v>118</v>
      </c>
      <c r="O410" s="20">
        <v>119000</v>
      </c>
      <c r="P410" s="20">
        <v>82110</v>
      </c>
      <c r="Q410" s="20">
        <v>1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31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119000</v>
      </c>
      <c r="AD410" s="20">
        <v>82110</v>
      </c>
      <c r="AE410" s="20">
        <v>0</v>
      </c>
      <c r="AF410" s="20">
        <v>0</v>
      </c>
      <c r="AG410" s="20">
        <v>119000</v>
      </c>
      <c r="AH410" s="20">
        <v>82110</v>
      </c>
      <c r="AI410" s="20">
        <v>33536</v>
      </c>
      <c r="AJ410" s="20">
        <v>3354</v>
      </c>
      <c r="AK410" s="20">
        <v>36890</v>
      </c>
    </row>
    <row r="411" spans="1:37" ht="16.5" customHeight="1" x14ac:dyDescent="0.3">
      <c r="A411" s="18" t="s">
        <v>1202</v>
      </c>
      <c r="B411" s="18" t="s">
        <v>107</v>
      </c>
      <c r="C411" s="19" t="s">
        <v>108</v>
      </c>
      <c r="D411" s="18" t="s">
        <v>374</v>
      </c>
      <c r="E411" s="19" t="s">
        <v>375</v>
      </c>
      <c r="F411" s="18" t="s">
        <v>110</v>
      </c>
      <c r="G411" s="18" t="s">
        <v>111</v>
      </c>
      <c r="H411" s="19" t="s">
        <v>112</v>
      </c>
      <c r="I411" s="18" t="s">
        <v>113</v>
      </c>
      <c r="J411" s="19" t="s">
        <v>114</v>
      </c>
      <c r="K411" s="19" t="s">
        <v>115</v>
      </c>
      <c r="L411" s="18" t="s">
        <v>116</v>
      </c>
      <c r="M411" s="18" t="s">
        <v>133</v>
      </c>
      <c r="N411" s="18" t="s">
        <v>118</v>
      </c>
      <c r="O411" s="20">
        <v>119000</v>
      </c>
      <c r="P411" s="20">
        <v>82110</v>
      </c>
      <c r="Q411" s="20">
        <v>1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31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119000</v>
      </c>
      <c r="AD411" s="20">
        <v>82110</v>
      </c>
      <c r="AE411" s="20">
        <v>0</v>
      </c>
      <c r="AF411" s="20">
        <v>0</v>
      </c>
      <c r="AG411" s="20">
        <v>119000</v>
      </c>
      <c r="AH411" s="20">
        <v>82110</v>
      </c>
      <c r="AI411" s="20">
        <v>33536</v>
      </c>
      <c r="AJ411" s="20">
        <v>3354</v>
      </c>
      <c r="AK411" s="20">
        <v>36890</v>
      </c>
    </row>
    <row r="412" spans="1:37" ht="16.5" customHeight="1" x14ac:dyDescent="0.3">
      <c r="A412" s="18" t="s">
        <v>1205</v>
      </c>
      <c r="B412" s="18" t="s">
        <v>107</v>
      </c>
      <c r="C412" s="19" t="s">
        <v>108</v>
      </c>
      <c r="D412" s="18" t="s">
        <v>228</v>
      </c>
      <c r="E412" s="19" t="s">
        <v>229</v>
      </c>
      <c r="F412" s="18" t="s">
        <v>110</v>
      </c>
      <c r="G412" s="18" t="s">
        <v>111</v>
      </c>
      <c r="H412" s="19" t="s">
        <v>112</v>
      </c>
      <c r="I412" s="18" t="s">
        <v>113</v>
      </c>
      <c r="J412" s="19" t="s">
        <v>114</v>
      </c>
      <c r="K412" s="19" t="s">
        <v>115</v>
      </c>
      <c r="L412" s="18" t="s">
        <v>116</v>
      </c>
      <c r="M412" s="18" t="s">
        <v>133</v>
      </c>
      <c r="N412" s="18" t="s">
        <v>118</v>
      </c>
      <c r="O412" s="20">
        <v>119000</v>
      </c>
      <c r="P412" s="20">
        <v>82110</v>
      </c>
      <c r="Q412" s="20">
        <v>1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31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119000</v>
      </c>
      <c r="AD412" s="20">
        <v>82110</v>
      </c>
      <c r="AE412" s="20">
        <v>0</v>
      </c>
      <c r="AF412" s="20">
        <v>0</v>
      </c>
      <c r="AG412" s="20">
        <v>119000</v>
      </c>
      <c r="AH412" s="20">
        <v>82110</v>
      </c>
      <c r="AI412" s="20">
        <v>33536</v>
      </c>
      <c r="AJ412" s="20">
        <v>3354</v>
      </c>
      <c r="AK412" s="20">
        <v>36890</v>
      </c>
    </row>
    <row r="413" spans="1:37" ht="16.5" customHeight="1" x14ac:dyDescent="0.3">
      <c r="A413" s="18" t="s">
        <v>1208</v>
      </c>
      <c r="B413" s="18" t="s">
        <v>107</v>
      </c>
      <c r="C413" s="19" t="s">
        <v>108</v>
      </c>
      <c r="D413" s="18" t="s">
        <v>400</v>
      </c>
      <c r="E413" s="19" t="s">
        <v>401</v>
      </c>
      <c r="F413" s="18" t="s">
        <v>110</v>
      </c>
      <c r="G413" s="18" t="s">
        <v>111</v>
      </c>
      <c r="H413" s="19" t="s">
        <v>112</v>
      </c>
      <c r="I413" s="18" t="s">
        <v>113</v>
      </c>
      <c r="J413" s="19" t="s">
        <v>114</v>
      </c>
      <c r="K413" s="19" t="s">
        <v>115</v>
      </c>
      <c r="L413" s="18" t="s">
        <v>116</v>
      </c>
      <c r="M413" s="18" t="s">
        <v>133</v>
      </c>
      <c r="N413" s="18" t="s">
        <v>118</v>
      </c>
      <c r="O413" s="20">
        <v>119000</v>
      </c>
      <c r="P413" s="20">
        <v>82110</v>
      </c>
      <c r="Q413" s="20">
        <v>1</v>
      </c>
      <c r="R413" s="20">
        <v>0</v>
      </c>
      <c r="S413" s="20">
        <v>0</v>
      </c>
      <c r="T413" s="20">
        <v>0</v>
      </c>
      <c r="U413" s="20">
        <v>0</v>
      </c>
      <c r="V413" s="20">
        <v>0</v>
      </c>
      <c r="W413" s="20">
        <v>31</v>
      </c>
      <c r="X413" s="20">
        <v>0</v>
      </c>
      <c r="Y413" s="20">
        <v>0</v>
      </c>
      <c r="Z413" s="20">
        <v>0</v>
      </c>
      <c r="AA413" s="20">
        <v>0</v>
      </c>
      <c r="AB413" s="20">
        <v>5950</v>
      </c>
      <c r="AC413" s="20">
        <v>119000</v>
      </c>
      <c r="AD413" s="20">
        <v>82110</v>
      </c>
      <c r="AE413" s="20">
        <v>0</v>
      </c>
      <c r="AF413" s="20">
        <v>5950</v>
      </c>
      <c r="AG413" s="20">
        <v>113050</v>
      </c>
      <c r="AH413" s="20">
        <v>82110</v>
      </c>
      <c r="AI413" s="20">
        <v>28127</v>
      </c>
      <c r="AJ413" s="20">
        <v>2813</v>
      </c>
      <c r="AK413" s="20">
        <v>30940</v>
      </c>
    </row>
    <row r="414" spans="1:37" ht="16.5" customHeight="1" x14ac:dyDescent="0.3">
      <c r="A414" s="18" t="s">
        <v>1211</v>
      </c>
      <c r="B414" s="18" t="s">
        <v>107</v>
      </c>
      <c r="C414" s="19" t="s">
        <v>108</v>
      </c>
      <c r="D414" s="18" t="s">
        <v>406</v>
      </c>
      <c r="E414" s="19" t="s">
        <v>169</v>
      </c>
      <c r="F414" s="18" t="s">
        <v>110</v>
      </c>
      <c r="G414" s="18" t="s">
        <v>111</v>
      </c>
      <c r="H414" s="19" t="s">
        <v>112</v>
      </c>
      <c r="I414" s="18" t="s">
        <v>113</v>
      </c>
      <c r="J414" s="19" t="s">
        <v>114</v>
      </c>
      <c r="K414" s="19" t="s">
        <v>115</v>
      </c>
      <c r="L414" s="18" t="s">
        <v>116</v>
      </c>
      <c r="M414" s="18" t="s">
        <v>133</v>
      </c>
      <c r="N414" s="18" t="s">
        <v>118</v>
      </c>
      <c r="O414" s="20">
        <v>119000</v>
      </c>
      <c r="P414" s="20">
        <v>82110</v>
      </c>
      <c r="Q414" s="20">
        <v>1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31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119000</v>
      </c>
      <c r="AD414" s="20">
        <v>82110</v>
      </c>
      <c r="AE414" s="20">
        <v>0</v>
      </c>
      <c r="AF414" s="20">
        <v>0</v>
      </c>
      <c r="AG414" s="20">
        <v>119000</v>
      </c>
      <c r="AH414" s="20">
        <v>82110</v>
      </c>
      <c r="AI414" s="20">
        <v>33536</v>
      </c>
      <c r="AJ414" s="20">
        <v>3354</v>
      </c>
      <c r="AK414" s="20">
        <v>36890</v>
      </c>
    </row>
    <row r="415" spans="1:37" ht="16.5" customHeight="1" x14ac:dyDescent="0.3">
      <c r="A415" s="18" t="s">
        <v>1214</v>
      </c>
      <c r="B415" s="18" t="s">
        <v>107</v>
      </c>
      <c r="C415" s="19" t="s">
        <v>108</v>
      </c>
      <c r="D415" s="18" t="s">
        <v>239</v>
      </c>
      <c r="E415" s="19" t="s">
        <v>240</v>
      </c>
      <c r="F415" s="18" t="s">
        <v>110</v>
      </c>
      <c r="G415" s="18" t="s">
        <v>111</v>
      </c>
      <c r="H415" s="19" t="s">
        <v>112</v>
      </c>
      <c r="I415" s="18" t="s">
        <v>113</v>
      </c>
      <c r="J415" s="19" t="s">
        <v>114</v>
      </c>
      <c r="K415" s="19" t="s">
        <v>115</v>
      </c>
      <c r="L415" s="18" t="s">
        <v>116</v>
      </c>
      <c r="M415" s="18" t="s">
        <v>133</v>
      </c>
      <c r="N415" s="18" t="s">
        <v>118</v>
      </c>
      <c r="O415" s="20">
        <v>119000</v>
      </c>
      <c r="P415" s="20">
        <v>82110</v>
      </c>
      <c r="Q415" s="20">
        <v>1</v>
      </c>
      <c r="R415" s="20">
        <v>0</v>
      </c>
      <c r="S415" s="20">
        <v>0</v>
      </c>
      <c r="T415" s="20">
        <v>0</v>
      </c>
      <c r="U415" s="20">
        <v>0</v>
      </c>
      <c r="V415" s="20">
        <v>0</v>
      </c>
      <c r="W415" s="20">
        <v>31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119000</v>
      </c>
      <c r="AD415" s="20">
        <v>82110</v>
      </c>
      <c r="AE415" s="20">
        <v>0</v>
      </c>
      <c r="AF415" s="20">
        <v>0</v>
      </c>
      <c r="AG415" s="20">
        <v>119000</v>
      </c>
      <c r="AH415" s="20">
        <v>82110</v>
      </c>
      <c r="AI415" s="20">
        <v>33536</v>
      </c>
      <c r="AJ415" s="20">
        <v>3354</v>
      </c>
      <c r="AK415" s="20">
        <v>36890</v>
      </c>
    </row>
    <row r="416" spans="1:37" ht="16.5" customHeight="1" x14ac:dyDescent="0.3">
      <c r="A416" s="18" t="s">
        <v>1216</v>
      </c>
      <c r="B416" s="18" t="s">
        <v>107</v>
      </c>
      <c r="C416" s="19" t="s">
        <v>108</v>
      </c>
      <c r="D416" s="18" t="s">
        <v>436</v>
      </c>
      <c r="E416" s="19" t="s">
        <v>437</v>
      </c>
      <c r="F416" s="18" t="s">
        <v>110</v>
      </c>
      <c r="G416" s="18" t="s">
        <v>111</v>
      </c>
      <c r="H416" s="19" t="s">
        <v>112</v>
      </c>
      <c r="I416" s="18" t="s">
        <v>113</v>
      </c>
      <c r="J416" s="19" t="s">
        <v>114</v>
      </c>
      <c r="K416" s="19" t="s">
        <v>115</v>
      </c>
      <c r="L416" s="18" t="s">
        <v>116</v>
      </c>
      <c r="M416" s="18" t="s">
        <v>133</v>
      </c>
      <c r="N416" s="18" t="s">
        <v>118</v>
      </c>
      <c r="O416" s="20">
        <v>119000</v>
      </c>
      <c r="P416" s="20">
        <v>82110</v>
      </c>
      <c r="Q416" s="20">
        <v>1</v>
      </c>
      <c r="R416" s="20">
        <v>0</v>
      </c>
      <c r="S416" s="20">
        <v>0</v>
      </c>
      <c r="T416" s="20">
        <v>0</v>
      </c>
      <c r="U416" s="20">
        <v>0</v>
      </c>
      <c r="V416" s="20">
        <v>0</v>
      </c>
      <c r="W416" s="20">
        <v>31</v>
      </c>
      <c r="X416" s="20">
        <v>0</v>
      </c>
      <c r="Y416" s="20">
        <v>5000</v>
      </c>
      <c r="Z416" s="20">
        <v>0</v>
      </c>
      <c r="AA416" s="20">
        <v>0</v>
      </c>
      <c r="AB416" s="20">
        <v>0</v>
      </c>
      <c r="AC416" s="20">
        <v>119000</v>
      </c>
      <c r="AD416" s="20">
        <v>82110</v>
      </c>
      <c r="AE416" s="20">
        <v>0</v>
      </c>
      <c r="AF416" s="20">
        <v>5000</v>
      </c>
      <c r="AG416" s="20">
        <v>114000</v>
      </c>
      <c r="AH416" s="20">
        <v>82110</v>
      </c>
      <c r="AI416" s="20">
        <v>28991</v>
      </c>
      <c r="AJ416" s="20">
        <v>2899</v>
      </c>
      <c r="AK416" s="20">
        <v>31890</v>
      </c>
    </row>
    <row r="417" spans="1:37" ht="16.5" customHeight="1" x14ac:dyDescent="0.3">
      <c r="A417" s="18" t="s">
        <v>1219</v>
      </c>
      <c r="B417" s="18" t="s">
        <v>107</v>
      </c>
      <c r="C417" s="19" t="s">
        <v>108</v>
      </c>
      <c r="D417" s="18" t="s">
        <v>242</v>
      </c>
      <c r="E417" s="19" t="s">
        <v>243</v>
      </c>
      <c r="F417" s="18" t="s">
        <v>110</v>
      </c>
      <c r="G417" s="18" t="s">
        <v>111</v>
      </c>
      <c r="H417" s="19" t="s">
        <v>112</v>
      </c>
      <c r="I417" s="18" t="s">
        <v>113</v>
      </c>
      <c r="J417" s="19" t="s">
        <v>114</v>
      </c>
      <c r="K417" s="19" t="s">
        <v>115</v>
      </c>
      <c r="L417" s="18" t="s">
        <v>116</v>
      </c>
      <c r="M417" s="18" t="s">
        <v>133</v>
      </c>
      <c r="N417" s="18" t="s">
        <v>118</v>
      </c>
      <c r="O417" s="20">
        <v>119000</v>
      </c>
      <c r="P417" s="20">
        <v>82110</v>
      </c>
      <c r="Q417" s="20">
        <v>1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31</v>
      </c>
      <c r="X417" s="20">
        <v>0</v>
      </c>
      <c r="Y417" s="20">
        <v>10000</v>
      </c>
      <c r="Z417" s="20">
        <v>0</v>
      </c>
      <c r="AA417" s="20">
        <v>0</v>
      </c>
      <c r="AB417" s="20">
        <v>0</v>
      </c>
      <c r="AC417" s="20">
        <v>119000</v>
      </c>
      <c r="AD417" s="20">
        <v>82110</v>
      </c>
      <c r="AE417" s="20">
        <v>0</v>
      </c>
      <c r="AF417" s="20">
        <v>10000</v>
      </c>
      <c r="AG417" s="20">
        <v>109000</v>
      </c>
      <c r="AH417" s="20">
        <v>82110</v>
      </c>
      <c r="AI417" s="20">
        <v>24445</v>
      </c>
      <c r="AJ417" s="20">
        <v>2445</v>
      </c>
      <c r="AK417" s="20">
        <v>26890</v>
      </c>
    </row>
    <row r="418" spans="1:37" ht="16.5" customHeight="1" x14ac:dyDescent="0.3">
      <c r="A418" s="18" t="s">
        <v>1221</v>
      </c>
      <c r="B418" s="18" t="s">
        <v>107</v>
      </c>
      <c r="C418" s="19" t="s">
        <v>108</v>
      </c>
      <c r="D418" s="18" t="s">
        <v>248</v>
      </c>
      <c r="E418" s="19" t="s">
        <v>249</v>
      </c>
      <c r="F418" s="18" t="s">
        <v>110</v>
      </c>
      <c r="G418" s="18" t="s">
        <v>111</v>
      </c>
      <c r="H418" s="19" t="s">
        <v>112</v>
      </c>
      <c r="I418" s="18" t="s">
        <v>113</v>
      </c>
      <c r="J418" s="19" t="s">
        <v>114</v>
      </c>
      <c r="K418" s="19" t="s">
        <v>115</v>
      </c>
      <c r="L418" s="18" t="s">
        <v>116</v>
      </c>
      <c r="M418" s="18" t="s">
        <v>133</v>
      </c>
      <c r="N418" s="18" t="s">
        <v>118</v>
      </c>
      <c r="O418" s="20">
        <v>119000</v>
      </c>
      <c r="P418" s="20">
        <v>82110</v>
      </c>
      <c r="Q418" s="20">
        <v>1</v>
      </c>
      <c r="R418" s="20">
        <v>0</v>
      </c>
      <c r="S418" s="20">
        <v>0</v>
      </c>
      <c r="T418" s="20">
        <v>0</v>
      </c>
      <c r="U418" s="20">
        <v>0</v>
      </c>
      <c r="V418" s="20">
        <v>0</v>
      </c>
      <c r="W418" s="20">
        <v>31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119000</v>
      </c>
      <c r="AD418" s="20">
        <v>82110</v>
      </c>
      <c r="AE418" s="20">
        <v>0</v>
      </c>
      <c r="AF418" s="20">
        <v>0</v>
      </c>
      <c r="AG418" s="20">
        <v>119000</v>
      </c>
      <c r="AH418" s="20">
        <v>82110</v>
      </c>
      <c r="AI418" s="20">
        <v>33536</v>
      </c>
      <c r="AJ418" s="20">
        <v>3354</v>
      </c>
      <c r="AK418" s="20">
        <v>36890</v>
      </c>
    </row>
    <row r="419" spans="1:37" ht="16.5" customHeight="1" x14ac:dyDescent="0.3">
      <c r="A419" s="18" t="s">
        <v>1223</v>
      </c>
      <c r="B419" s="18" t="s">
        <v>107</v>
      </c>
      <c r="C419" s="19" t="s">
        <v>108</v>
      </c>
      <c r="D419" s="18" t="s">
        <v>251</v>
      </c>
      <c r="E419" s="19" t="s">
        <v>252</v>
      </c>
      <c r="F419" s="18" t="s">
        <v>110</v>
      </c>
      <c r="G419" s="18" t="s">
        <v>111</v>
      </c>
      <c r="H419" s="19" t="s">
        <v>112</v>
      </c>
      <c r="I419" s="18" t="s">
        <v>113</v>
      </c>
      <c r="J419" s="19" t="s">
        <v>114</v>
      </c>
      <c r="K419" s="19" t="s">
        <v>115</v>
      </c>
      <c r="L419" s="18" t="s">
        <v>116</v>
      </c>
      <c r="M419" s="18" t="s">
        <v>133</v>
      </c>
      <c r="N419" s="18" t="s">
        <v>118</v>
      </c>
      <c r="O419" s="20">
        <v>119000</v>
      </c>
      <c r="P419" s="20">
        <v>82110</v>
      </c>
      <c r="Q419" s="20">
        <v>1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v>31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119000</v>
      </c>
      <c r="AD419" s="20">
        <v>82110</v>
      </c>
      <c r="AE419" s="20">
        <v>0</v>
      </c>
      <c r="AF419" s="20">
        <v>0</v>
      </c>
      <c r="AG419" s="20">
        <v>119000</v>
      </c>
      <c r="AH419" s="20">
        <v>82110</v>
      </c>
      <c r="AI419" s="20">
        <v>33536</v>
      </c>
      <c r="AJ419" s="20">
        <v>3354</v>
      </c>
      <c r="AK419" s="20">
        <v>36890</v>
      </c>
    </row>
    <row r="420" spans="1:37" ht="16.5" customHeight="1" x14ac:dyDescent="0.3">
      <c r="A420" s="18" t="s">
        <v>1226</v>
      </c>
      <c r="B420" s="18" t="s">
        <v>107</v>
      </c>
      <c r="C420" s="19" t="s">
        <v>108</v>
      </c>
      <c r="D420" s="18" t="s">
        <v>254</v>
      </c>
      <c r="E420" s="19" t="s">
        <v>169</v>
      </c>
      <c r="F420" s="18" t="s">
        <v>110</v>
      </c>
      <c r="G420" s="18" t="s">
        <v>111</v>
      </c>
      <c r="H420" s="19" t="s">
        <v>112</v>
      </c>
      <c r="I420" s="18" t="s">
        <v>113</v>
      </c>
      <c r="J420" s="19" t="s">
        <v>114</v>
      </c>
      <c r="K420" s="19" t="s">
        <v>115</v>
      </c>
      <c r="L420" s="18" t="s">
        <v>116</v>
      </c>
      <c r="M420" s="18" t="s">
        <v>133</v>
      </c>
      <c r="N420" s="18" t="s">
        <v>118</v>
      </c>
      <c r="O420" s="20">
        <v>119000</v>
      </c>
      <c r="P420" s="20">
        <v>82110</v>
      </c>
      <c r="Q420" s="20">
        <v>1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31</v>
      </c>
      <c r="X420" s="20">
        <v>0</v>
      </c>
      <c r="Y420" s="20">
        <v>0</v>
      </c>
      <c r="Z420" s="20">
        <v>0</v>
      </c>
      <c r="AA420" s="20">
        <v>0</v>
      </c>
      <c r="AB420" s="20">
        <v>5950</v>
      </c>
      <c r="AC420" s="20">
        <v>119000</v>
      </c>
      <c r="AD420" s="20">
        <v>82110</v>
      </c>
      <c r="AE420" s="20">
        <v>0</v>
      </c>
      <c r="AF420" s="20">
        <v>5950</v>
      </c>
      <c r="AG420" s="20">
        <v>113050</v>
      </c>
      <c r="AH420" s="20">
        <v>82110</v>
      </c>
      <c r="AI420" s="20">
        <v>28127</v>
      </c>
      <c r="AJ420" s="20">
        <v>2813</v>
      </c>
      <c r="AK420" s="20">
        <v>30940</v>
      </c>
    </row>
    <row r="421" spans="1:37" ht="16.5" customHeight="1" x14ac:dyDescent="0.3">
      <c r="A421" s="18" t="s">
        <v>1229</v>
      </c>
      <c r="B421" s="18" t="s">
        <v>107</v>
      </c>
      <c r="C421" s="19" t="s">
        <v>108</v>
      </c>
      <c r="D421" s="18" t="s">
        <v>256</v>
      </c>
      <c r="E421" s="19" t="s">
        <v>169</v>
      </c>
      <c r="F421" s="18" t="s">
        <v>110</v>
      </c>
      <c r="G421" s="18" t="s">
        <v>111</v>
      </c>
      <c r="H421" s="19" t="s">
        <v>112</v>
      </c>
      <c r="I421" s="18" t="s">
        <v>113</v>
      </c>
      <c r="J421" s="19" t="s">
        <v>114</v>
      </c>
      <c r="K421" s="19" t="s">
        <v>115</v>
      </c>
      <c r="L421" s="18" t="s">
        <v>116</v>
      </c>
      <c r="M421" s="18" t="s">
        <v>133</v>
      </c>
      <c r="N421" s="18" t="s">
        <v>118</v>
      </c>
      <c r="O421" s="20">
        <v>119000</v>
      </c>
      <c r="P421" s="20">
        <v>82110</v>
      </c>
      <c r="Q421" s="20">
        <v>1</v>
      </c>
      <c r="R421" s="20">
        <v>0</v>
      </c>
      <c r="S421" s="20">
        <v>0</v>
      </c>
      <c r="T421" s="20">
        <v>0</v>
      </c>
      <c r="U421" s="20">
        <v>0</v>
      </c>
      <c r="V421" s="20">
        <v>0</v>
      </c>
      <c r="W421" s="20">
        <v>31</v>
      </c>
      <c r="X421" s="20">
        <v>0</v>
      </c>
      <c r="Y421" s="20">
        <v>0</v>
      </c>
      <c r="Z421" s="20">
        <v>0</v>
      </c>
      <c r="AA421" s="20">
        <v>0</v>
      </c>
      <c r="AB421" s="20">
        <v>5950</v>
      </c>
      <c r="AC421" s="20">
        <v>119000</v>
      </c>
      <c r="AD421" s="20">
        <v>82110</v>
      </c>
      <c r="AE421" s="20">
        <v>0</v>
      </c>
      <c r="AF421" s="20">
        <v>5950</v>
      </c>
      <c r="AG421" s="20">
        <v>113050</v>
      </c>
      <c r="AH421" s="20">
        <v>82110</v>
      </c>
      <c r="AI421" s="20">
        <v>28127</v>
      </c>
      <c r="AJ421" s="20">
        <v>2813</v>
      </c>
      <c r="AK421" s="20">
        <v>30940</v>
      </c>
    </row>
    <row r="422" spans="1:37" ht="16.5" customHeight="1" x14ac:dyDescent="0.3">
      <c r="A422" s="18" t="s">
        <v>1232</v>
      </c>
      <c r="B422" s="18" t="s">
        <v>107</v>
      </c>
      <c r="C422" s="19" t="s">
        <v>108</v>
      </c>
      <c r="D422" s="18" t="s">
        <v>470</v>
      </c>
      <c r="E422" s="19" t="s">
        <v>325</v>
      </c>
      <c r="F422" s="18" t="s">
        <v>110</v>
      </c>
      <c r="G422" s="18" t="s">
        <v>111</v>
      </c>
      <c r="H422" s="19" t="s">
        <v>112</v>
      </c>
      <c r="I422" s="18" t="s">
        <v>113</v>
      </c>
      <c r="J422" s="19" t="s">
        <v>114</v>
      </c>
      <c r="K422" s="19" t="s">
        <v>115</v>
      </c>
      <c r="L422" s="18" t="s">
        <v>116</v>
      </c>
      <c r="M422" s="18" t="s">
        <v>133</v>
      </c>
      <c r="N422" s="18" t="s">
        <v>118</v>
      </c>
      <c r="O422" s="20">
        <v>119000</v>
      </c>
      <c r="P422" s="20">
        <v>82110</v>
      </c>
      <c r="Q422" s="20">
        <v>1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31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119000</v>
      </c>
      <c r="AD422" s="20">
        <v>82110</v>
      </c>
      <c r="AE422" s="20">
        <v>0</v>
      </c>
      <c r="AF422" s="20">
        <v>0</v>
      </c>
      <c r="AG422" s="20">
        <v>119000</v>
      </c>
      <c r="AH422" s="20">
        <v>82110</v>
      </c>
      <c r="AI422" s="20">
        <v>33536</v>
      </c>
      <c r="AJ422" s="20">
        <v>3354</v>
      </c>
      <c r="AK422" s="20">
        <v>36890</v>
      </c>
    </row>
    <row r="423" spans="1:37" ht="16.5" customHeight="1" x14ac:dyDescent="0.3">
      <c r="A423" s="18" t="s">
        <v>1235</v>
      </c>
      <c r="B423" s="18" t="s">
        <v>107</v>
      </c>
      <c r="C423" s="19" t="s">
        <v>108</v>
      </c>
      <c r="D423" s="18" t="s">
        <v>258</v>
      </c>
      <c r="E423" s="19" t="s">
        <v>259</v>
      </c>
      <c r="F423" s="18" t="s">
        <v>110</v>
      </c>
      <c r="G423" s="18" t="s">
        <v>111</v>
      </c>
      <c r="H423" s="19" t="s">
        <v>112</v>
      </c>
      <c r="I423" s="18" t="s">
        <v>113</v>
      </c>
      <c r="J423" s="19" t="s">
        <v>114</v>
      </c>
      <c r="K423" s="19" t="s">
        <v>115</v>
      </c>
      <c r="L423" s="18" t="s">
        <v>116</v>
      </c>
      <c r="M423" s="18" t="s">
        <v>133</v>
      </c>
      <c r="N423" s="18" t="s">
        <v>118</v>
      </c>
      <c r="O423" s="20">
        <v>119000</v>
      </c>
      <c r="P423" s="20">
        <v>82110</v>
      </c>
      <c r="Q423" s="20">
        <v>1</v>
      </c>
      <c r="R423" s="20">
        <v>0</v>
      </c>
      <c r="S423" s="20">
        <v>0</v>
      </c>
      <c r="T423" s="20">
        <v>0</v>
      </c>
      <c r="U423" s="20">
        <v>0</v>
      </c>
      <c r="V423" s="20">
        <v>0</v>
      </c>
      <c r="W423" s="20">
        <v>31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119000</v>
      </c>
      <c r="AD423" s="20">
        <v>82110</v>
      </c>
      <c r="AE423" s="20">
        <v>0</v>
      </c>
      <c r="AF423" s="20">
        <v>0</v>
      </c>
      <c r="AG423" s="20">
        <v>119000</v>
      </c>
      <c r="AH423" s="20">
        <v>82110</v>
      </c>
      <c r="AI423" s="20">
        <v>33536</v>
      </c>
      <c r="AJ423" s="20">
        <v>3354</v>
      </c>
      <c r="AK423" s="20">
        <v>36890</v>
      </c>
    </row>
    <row r="424" spans="1:37" ht="16.5" customHeight="1" x14ac:dyDescent="0.3">
      <c r="A424" s="18" t="s">
        <v>1238</v>
      </c>
      <c r="B424" s="18" t="s">
        <v>107</v>
      </c>
      <c r="C424" s="19" t="s">
        <v>108</v>
      </c>
      <c r="D424" s="18" t="s">
        <v>484</v>
      </c>
      <c r="E424" s="19" t="s">
        <v>485</v>
      </c>
      <c r="F424" s="18" t="s">
        <v>110</v>
      </c>
      <c r="G424" s="18" t="s">
        <v>111</v>
      </c>
      <c r="H424" s="19" t="s">
        <v>112</v>
      </c>
      <c r="I424" s="18" t="s">
        <v>113</v>
      </c>
      <c r="J424" s="19" t="s">
        <v>114</v>
      </c>
      <c r="K424" s="19" t="s">
        <v>115</v>
      </c>
      <c r="L424" s="18" t="s">
        <v>116</v>
      </c>
      <c r="M424" s="18" t="s">
        <v>133</v>
      </c>
      <c r="N424" s="18" t="s">
        <v>118</v>
      </c>
      <c r="O424" s="20">
        <v>119000</v>
      </c>
      <c r="P424" s="20">
        <v>82110</v>
      </c>
      <c r="Q424" s="20">
        <v>1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31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119000</v>
      </c>
      <c r="AD424" s="20">
        <v>82110</v>
      </c>
      <c r="AE424" s="20">
        <v>0</v>
      </c>
      <c r="AF424" s="20">
        <v>0</v>
      </c>
      <c r="AG424" s="20">
        <v>119000</v>
      </c>
      <c r="AH424" s="20">
        <v>82110</v>
      </c>
      <c r="AI424" s="20">
        <v>33536</v>
      </c>
      <c r="AJ424" s="20">
        <v>3354</v>
      </c>
      <c r="AK424" s="20">
        <v>36890</v>
      </c>
    </row>
    <row r="425" spans="1:37" ht="16.5" customHeight="1" x14ac:dyDescent="0.3">
      <c r="A425" s="18" t="s">
        <v>1240</v>
      </c>
      <c r="B425" s="18" t="s">
        <v>107</v>
      </c>
      <c r="C425" s="19" t="s">
        <v>108</v>
      </c>
      <c r="D425" s="18" t="s">
        <v>264</v>
      </c>
      <c r="E425" s="19" t="s">
        <v>265</v>
      </c>
      <c r="F425" s="18" t="s">
        <v>110</v>
      </c>
      <c r="G425" s="18" t="s">
        <v>111</v>
      </c>
      <c r="H425" s="19" t="s">
        <v>112</v>
      </c>
      <c r="I425" s="18" t="s">
        <v>113</v>
      </c>
      <c r="J425" s="19" t="s">
        <v>114</v>
      </c>
      <c r="K425" s="19" t="s">
        <v>115</v>
      </c>
      <c r="L425" s="18" t="s">
        <v>116</v>
      </c>
      <c r="M425" s="18" t="s">
        <v>133</v>
      </c>
      <c r="N425" s="18" t="s">
        <v>118</v>
      </c>
      <c r="O425" s="20">
        <v>119000</v>
      </c>
      <c r="P425" s="20">
        <v>82110</v>
      </c>
      <c r="Q425" s="20">
        <v>1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31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119000</v>
      </c>
      <c r="AD425" s="20">
        <v>82110</v>
      </c>
      <c r="AE425" s="20">
        <v>0</v>
      </c>
      <c r="AF425" s="20">
        <v>0</v>
      </c>
      <c r="AG425" s="20">
        <v>119000</v>
      </c>
      <c r="AH425" s="20">
        <v>82110</v>
      </c>
      <c r="AI425" s="20">
        <v>33536</v>
      </c>
      <c r="AJ425" s="20">
        <v>3354</v>
      </c>
      <c r="AK425" s="20">
        <v>36890</v>
      </c>
    </row>
    <row r="426" spans="1:37" ht="16.5" customHeight="1" x14ac:dyDescent="0.3">
      <c r="A426" s="18" t="s">
        <v>1243</v>
      </c>
      <c r="B426" s="18" t="s">
        <v>107</v>
      </c>
      <c r="C426" s="19" t="s">
        <v>108</v>
      </c>
      <c r="D426" s="18" t="s">
        <v>267</v>
      </c>
      <c r="E426" s="19" t="s">
        <v>268</v>
      </c>
      <c r="F426" s="18" t="s">
        <v>110</v>
      </c>
      <c r="G426" s="18" t="s">
        <v>111</v>
      </c>
      <c r="H426" s="19" t="s">
        <v>112</v>
      </c>
      <c r="I426" s="18" t="s">
        <v>113</v>
      </c>
      <c r="J426" s="19" t="s">
        <v>114</v>
      </c>
      <c r="K426" s="19" t="s">
        <v>115</v>
      </c>
      <c r="L426" s="18" t="s">
        <v>116</v>
      </c>
      <c r="M426" s="18" t="s">
        <v>133</v>
      </c>
      <c r="N426" s="18" t="s">
        <v>118</v>
      </c>
      <c r="O426" s="20">
        <v>119000</v>
      </c>
      <c r="P426" s="20">
        <v>82110</v>
      </c>
      <c r="Q426" s="20">
        <v>1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31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119000</v>
      </c>
      <c r="AD426" s="20">
        <v>82110</v>
      </c>
      <c r="AE426" s="20">
        <v>0</v>
      </c>
      <c r="AF426" s="20">
        <v>0</v>
      </c>
      <c r="AG426" s="20">
        <v>119000</v>
      </c>
      <c r="AH426" s="20">
        <v>82110</v>
      </c>
      <c r="AI426" s="20">
        <v>33536</v>
      </c>
      <c r="AJ426" s="20">
        <v>3354</v>
      </c>
      <c r="AK426" s="20">
        <v>36890</v>
      </c>
    </row>
    <row r="427" spans="1:37" ht="16.5" customHeight="1" x14ac:dyDescent="0.3">
      <c r="A427" s="18" t="s">
        <v>1246</v>
      </c>
      <c r="B427" s="18" t="s">
        <v>107</v>
      </c>
      <c r="C427" s="19" t="s">
        <v>108</v>
      </c>
      <c r="D427" s="18" t="s">
        <v>270</v>
      </c>
      <c r="E427" s="19" t="s">
        <v>271</v>
      </c>
      <c r="F427" s="18" t="s">
        <v>110</v>
      </c>
      <c r="G427" s="18" t="s">
        <v>111</v>
      </c>
      <c r="H427" s="19" t="s">
        <v>112</v>
      </c>
      <c r="I427" s="18" t="s">
        <v>113</v>
      </c>
      <c r="J427" s="19" t="s">
        <v>114</v>
      </c>
      <c r="K427" s="19" t="s">
        <v>151</v>
      </c>
      <c r="L427" s="18" t="s">
        <v>116</v>
      </c>
      <c r="M427" s="18" t="s">
        <v>133</v>
      </c>
      <c r="N427" s="18" t="s">
        <v>118</v>
      </c>
      <c r="O427" s="20">
        <v>119000</v>
      </c>
      <c r="P427" s="20">
        <v>82110</v>
      </c>
      <c r="Q427" s="20">
        <v>1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31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119000</v>
      </c>
      <c r="AD427" s="20">
        <v>82110</v>
      </c>
      <c r="AE427" s="20">
        <v>0</v>
      </c>
      <c r="AF427" s="20">
        <v>0</v>
      </c>
      <c r="AG427" s="20">
        <v>119000</v>
      </c>
      <c r="AH427" s="20">
        <v>82110</v>
      </c>
      <c r="AI427" s="20">
        <v>33536</v>
      </c>
      <c r="AJ427" s="20">
        <v>3354</v>
      </c>
      <c r="AK427" s="20">
        <v>36890</v>
      </c>
    </row>
    <row r="428" spans="1:37" ht="16.5" customHeight="1" x14ac:dyDescent="0.3">
      <c r="A428" s="18" t="s">
        <v>1248</v>
      </c>
      <c r="B428" s="18" t="s">
        <v>107</v>
      </c>
      <c r="C428" s="19" t="s">
        <v>108</v>
      </c>
      <c r="D428" s="18" t="s">
        <v>487</v>
      </c>
      <c r="E428" s="19" t="s">
        <v>488</v>
      </c>
      <c r="F428" s="18" t="s">
        <v>110</v>
      </c>
      <c r="G428" s="18" t="s">
        <v>111</v>
      </c>
      <c r="H428" s="19" t="s">
        <v>112</v>
      </c>
      <c r="I428" s="18" t="s">
        <v>113</v>
      </c>
      <c r="J428" s="19" t="s">
        <v>114</v>
      </c>
      <c r="K428" s="19" t="s">
        <v>151</v>
      </c>
      <c r="L428" s="18" t="s">
        <v>116</v>
      </c>
      <c r="M428" s="18" t="s">
        <v>133</v>
      </c>
      <c r="N428" s="18" t="s">
        <v>118</v>
      </c>
      <c r="O428" s="20">
        <v>119000</v>
      </c>
      <c r="P428" s="20">
        <v>82110</v>
      </c>
      <c r="Q428" s="20">
        <v>1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31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119000</v>
      </c>
      <c r="AD428" s="20">
        <v>82110</v>
      </c>
      <c r="AE428" s="20">
        <v>0</v>
      </c>
      <c r="AF428" s="20">
        <v>0</v>
      </c>
      <c r="AG428" s="20">
        <v>119000</v>
      </c>
      <c r="AH428" s="20">
        <v>82110</v>
      </c>
      <c r="AI428" s="20">
        <v>33536</v>
      </c>
      <c r="AJ428" s="20">
        <v>3354</v>
      </c>
      <c r="AK428" s="20">
        <v>36890</v>
      </c>
    </row>
    <row r="429" spans="1:37" ht="16.5" customHeight="1" x14ac:dyDescent="0.3">
      <c r="A429" s="18" t="s">
        <v>1251</v>
      </c>
      <c r="B429" s="18" t="s">
        <v>107</v>
      </c>
      <c r="C429" s="19" t="s">
        <v>108</v>
      </c>
      <c r="D429" s="18" t="s">
        <v>273</v>
      </c>
      <c r="E429" s="19" t="s">
        <v>274</v>
      </c>
      <c r="F429" s="18" t="s">
        <v>110</v>
      </c>
      <c r="G429" s="18" t="s">
        <v>111</v>
      </c>
      <c r="H429" s="19" t="s">
        <v>112</v>
      </c>
      <c r="I429" s="18" t="s">
        <v>113</v>
      </c>
      <c r="J429" s="19" t="s">
        <v>114</v>
      </c>
      <c r="K429" s="19" t="s">
        <v>151</v>
      </c>
      <c r="L429" s="18" t="s">
        <v>116</v>
      </c>
      <c r="M429" s="18" t="s">
        <v>133</v>
      </c>
      <c r="N429" s="18" t="s">
        <v>118</v>
      </c>
      <c r="O429" s="20">
        <v>119000</v>
      </c>
      <c r="P429" s="20">
        <v>82110</v>
      </c>
      <c r="Q429" s="20">
        <v>1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31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119000</v>
      </c>
      <c r="AD429" s="20">
        <v>82110</v>
      </c>
      <c r="AE429" s="20">
        <v>0</v>
      </c>
      <c r="AF429" s="20">
        <v>0</v>
      </c>
      <c r="AG429" s="20">
        <v>119000</v>
      </c>
      <c r="AH429" s="20">
        <v>82110</v>
      </c>
      <c r="AI429" s="20">
        <v>33536</v>
      </c>
      <c r="AJ429" s="20">
        <v>3354</v>
      </c>
      <c r="AK429" s="20">
        <v>36890</v>
      </c>
    </row>
    <row r="430" spans="1:37" ht="16.5" customHeight="1" x14ac:dyDescent="0.3">
      <c r="A430" s="18" t="s">
        <v>1254</v>
      </c>
      <c r="B430" s="18" t="s">
        <v>107</v>
      </c>
      <c r="C430" s="19" t="s">
        <v>108</v>
      </c>
      <c r="D430" s="18" t="s">
        <v>504</v>
      </c>
      <c r="E430" s="19" t="s">
        <v>505</v>
      </c>
      <c r="F430" s="18" t="s">
        <v>110</v>
      </c>
      <c r="G430" s="18" t="s">
        <v>111</v>
      </c>
      <c r="H430" s="19" t="s">
        <v>112</v>
      </c>
      <c r="I430" s="18" t="s">
        <v>113</v>
      </c>
      <c r="J430" s="19" t="s">
        <v>114</v>
      </c>
      <c r="K430" s="19" t="s">
        <v>115</v>
      </c>
      <c r="L430" s="18" t="s">
        <v>116</v>
      </c>
      <c r="M430" s="18" t="s">
        <v>133</v>
      </c>
      <c r="N430" s="18" t="s">
        <v>118</v>
      </c>
      <c r="O430" s="20">
        <v>119000</v>
      </c>
      <c r="P430" s="20">
        <v>82110</v>
      </c>
      <c r="Q430" s="20">
        <v>1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31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119000</v>
      </c>
      <c r="AD430" s="20">
        <v>82110</v>
      </c>
      <c r="AE430" s="20">
        <v>0</v>
      </c>
      <c r="AF430" s="20">
        <v>0</v>
      </c>
      <c r="AG430" s="20">
        <v>119000</v>
      </c>
      <c r="AH430" s="20">
        <v>82110</v>
      </c>
      <c r="AI430" s="20">
        <v>33536</v>
      </c>
      <c r="AJ430" s="20">
        <v>3354</v>
      </c>
      <c r="AK430" s="20">
        <v>36890</v>
      </c>
    </row>
    <row r="431" spans="1:37" ht="16.5" customHeight="1" x14ac:dyDescent="0.3">
      <c r="A431" s="18" t="s">
        <v>1257</v>
      </c>
      <c r="B431" s="18" t="s">
        <v>107</v>
      </c>
      <c r="C431" s="19" t="s">
        <v>108</v>
      </c>
      <c r="D431" s="18" t="s">
        <v>519</v>
      </c>
      <c r="E431" s="19" t="s">
        <v>520</v>
      </c>
      <c r="F431" s="18" t="s">
        <v>110</v>
      </c>
      <c r="G431" s="18" t="s">
        <v>111</v>
      </c>
      <c r="H431" s="19" t="s">
        <v>112</v>
      </c>
      <c r="I431" s="18" t="s">
        <v>113</v>
      </c>
      <c r="J431" s="19" t="s">
        <v>114</v>
      </c>
      <c r="K431" s="19" t="s">
        <v>115</v>
      </c>
      <c r="L431" s="18" t="s">
        <v>116</v>
      </c>
      <c r="M431" s="18" t="s">
        <v>133</v>
      </c>
      <c r="N431" s="18" t="s">
        <v>118</v>
      </c>
      <c r="O431" s="20">
        <v>119000</v>
      </c>
      <c r="P431" s="20">
        <v>82110</v>
      </c>
      <c r="Q431" s="20">
        <v>1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31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119000</v>
      </c>
      <c r="AD431" s="20">
        <v>82110</v>
      </c>
      <c r="AE431" s="20">
        <v>0</v>
      </c>
      <c r="AF431" s="20">
        <v>0</v>
      </c>
      <c r="AG431" s="20">
        <v>119000</v>
      </c>
      <c r="AH431" s="20">
        <v>82110</v>
      </c>
      <c r="AI431" s="20">
        <v>33536</v>
      </c>
      <c r="AJ431" s="20">
        <v>3354</v>
      </c>
      <c r="AK431" s="20">
        <v>36890</v>
      </c>
    </row>
    <row r="432" spans="1:37" ht="16.5" customHeight="1" x14ac:dyDescent="0.3">
      <c r="A432" s="18" t="s">
        <v>1259</v>
      </c>
      <c r="B432" s="18" t="s">
        <v>107</v>
      </c>
      <c r="C432" s="19" t="s">
        <v>108</v>
      </c>
      <c r="D432" s="18" t="s">
        <v>288</v>
      </c>
      <c r="E432" s="19" t="s">
        <v>289</v>
      </c>
      <c r="F432" s="18" t="s">
        <v>110</v>
      </c>
      <c r="G432" s="18" t="s">
        <v>111</v>
      </c>
      <c r="H432" s="19" t="s">
        <v>112</v>
      </c>
      <c r="I432" s="18" t="s">
        <v>113</v>
      </c>
      <c r="J432" s="19" t="s">
        <v>114</v>
      </c>
      <c r="K432" s="19" t="s">
        <v>115</v>
      </c>
      <c r="L432" s="18" t="s">
        <v>116</v>
      </c>
      <c r="M432" s="18" t="s">
        <v>133</v>
      </c>
      <c r="N432" s="18" t="s">
        <v>118</v>
      </c>
      <c r="O432" s="20">
        <v>119000</v>
      </c>
      <c r="P432" s="20">
        <v>82110</v>
      </c>
      <c r="Q432" s="20">
        <v>1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31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119000</v>
      </c>
      <c r="AD432" s="20">
        <v>82110</v>
      </c>
      <c r="AE432" s="20">
        <v>0</v>
      </c>
      <c r="AF432" s="20">
        <v>0</v>
      </c>
      <c r="AG432" s="20">
        <v>119000</v>
      </c>
      <c r="AH432" s="20">
        <v>82110</v>
      </c>
      <c r="AI432" s="20">
        <v>33536</v>
      </c>
      <c r="AJ432" s="20">
        <v>3354</v>
      </c>
      <c r="AK432" s="20">
        <v>36890</v>
      </c>
    </row>
    <row r="433" spans="1:37" ht="16.5" customHeight="1" x14ac:dyDescent="0.3">
      <c r="A433" s="18" t="s">
        <v>1262</v>
      </c>
      <c r="B433" s="18" t="s">
        <v>107</v>
      </c>
      <c r="C433" s="19" t="s">
        <v>108</v>
      </c>
      <c r="D433" s="18" t="s">
        <v>522</v>
      </c>
      <c r="E433" s="19" t="s">
        <v>217</v>
      </c>
      <c r="F433" s="18" t="s">
        <v>110</v>
      </c>
      <c r="G433" s="18" t="s">
        <v>111</v>
      </c>
      <c r="H433" s="19" t="s">
        <v>112</v>
      </c>
      <c r="I433" s="18" t="s">
        <v>113</v>
      </c>
      <c r="J433" s="19" t="s">
        <v>114</v>
      </c>
      <c r="K433" s="19" t="s">
        <v>115</v>
      </c>
      <c r="L433" s="18" t="s">
        <v>116</v>
      </c>
      <c r="M433" s="18" t="s">
        <v>133</v>
      </c>
      <c r="N433" s="18" t="s">
        <v>118</v>
      </c>
      <c r="O433" s="20">
        <v>119000</v>
      </c>
      <c r="P433" s="20">
        <v>82110</v>
      </c>
      <c r="Q433" s="20">
        <v>1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v>31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119000</v>
      </c>
      <c r="AD433" s="20">
        <v>82110</v>
      </c>
      <c r="AE433" s="20">
        <v>0</v>
      </c>
      <c r="AF433" s="20">
        <v>0</v>
      </c>
      <c r="AG433" s="20">
        <v>119000</v>
      </c>
      <c r="AH433" s="20">
        <v>82110</v>
      </c>
      <c r="AI433" s="20">
        <v>33536</v>
      </c>
      <c r="AJ433" s="20">
        <v>3354</v>
      </c>
      <c r="AK433" s="20">
        <v>36890</v>
      </c>
    </row>
    <row r="434" spans="1:37" ht="16.5" customHeight="1" x14ac:dyDescent="0.3">
      <c r="A434" s="18" t="s">
        <v>1264</v>
      </c>
      <c r="B434" s="18" t="s">
        <v>107</v>
      </c>
      <c r="C434" s="19" t="s">
        <v>108</v>
      </c>
      <c r="D434" s="18" t="s">
        <v>294</v>
      </c>
      <c r="E434" s="19" t="s">
        <v>202</v>
      </c>
      <c r="F434" s="18" t="s">
        <v>110</v>
      </c>
      <c r="G434" s="18" t="s">
        <v>111</v>
      </c>
      <c r="H434" s="19" t="s">
        <v>112</v>
      </c>
      <c r="I434" s="18" t="s">
        <v>113</v>
      </c>
      <c r="J434" s="19" t="s">
        <v>114</v>
      </c>
      <c r="K434" s="19" t="s">
        <v>115</v>
      </c>
      <c r="L434" s="18" t="s">
        <v>116</v>
      </c>
      <c r="M434" s="18" t="s">
        <v>133</v>
      </c>
      <c r="N434" s="18" t="s">
        <v>118</v>
      </c>
      <c r="O434" s="20">
        <v>119000</v>
      </c>
      <c r="P434" s="20">
        <v>82110</v>
      </c>
      <c r="Q434" s="20">
        <v>1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31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119000</v>
      </c>
      <c r="AD434" s="20">
        <v>82110</v>
      </c>
      <c r="AE434" s="20">
        <v>0</v>
      </c>
      <c r="AF434" s="20">
        <v>0</v>
      </c>
      <c r="AG434" s="20">
        <v>119000</v>
      </c>
      <c r="AH434" s="20">
        <v>82110</v>
      </c>
      <c r="AI434" s="20">
        <v>33536</v>
      </c>
      <c r="AJ434" s="20">
        <v>3354</v>
      </c>
      <c r="AK434" s="20">
        <v>36890</v>
      </c>
    </row>
    <row r="435" spans="1:37" ht="16.5" customHeight="1" x14ac:dyDescent="0.3">
      <c r="A435" s="18" t="s">
        <v>1266</v>
      </c>
      <c r="B435" s="18" t="s">
        <v>107</v>
      </c>
      <c r="C435" s="19" t="s">
        <v>108</v>
      </c>
      <c r="D435" s="18" t="s">
        <v>1270</v>
      </c>
      <c r="E435" s="19" t="s">
        <v>1271</v>
      </c>
      <c r="F435" s="18" t="s">
        <v>122</v>
      </c>
      <c r="G435" s="18" t="s">
        <v>111</v>
      </c>
      <c r="H435" s="19" t="s">
        <v>112</v>
      </c>
      <c r="I435" s="18" t="s">
        <v>113</v>
      </c>
      <c r="J435" s="19" t="s">
        <v>114</v>
      </c>
      <c r="K435" s="19" t="s">
        <v>115</v>
      </c>
      <c r="L435" s="18" t="s">
        <v>116</v>
      </c>
      <c r="M435" s="18" t="s">
        <v>133</v>
      </c>
      <c r="N435" s="18" t="s">
        <v>118</v>
      </c>
      <c r="O435" s="20">
        <v>119000</v>
      </c>
      <c r="P435" s="20">
        <v>82110</v>
      </c>
      <c r="Q435" s="20">
        <v>1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31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119000</v>
      </c>
      <c r="AD435" s="20">
        <v>82110</v>
      </c>
      <c r="AE435" s="20">
        <v>0</v>
      </c>
      <c r="AF435" s="20">
        <v>0</v>
      </c>
      <c r="AG435" s="20">
        <v>119000</v>
      </c>
      <c r="AH435" s="20">
        <v>82110</v>
      </c>
      <c r="AI435" s="20">
        <v>33536</v>
      </c>
      <c r="AJ435" s="20">
        <v>3354</v>
      </c>
      <c r="AK435" s="20">
        <v>36890</v>
      </c>
    </row>
    <row r="436" spans="1:37" ht="16.5" customHeight="1" x14ac:dyDescent="0.3">
      <c r="A436" s="18" t="s">
        <v>1269</v>
      </c>
      <c r="B436" s="18" t="s">
        <v>107</v>
      </c>
      <c r="C436" s="19" t="s">
        <v>108</v>
      </c>
      <c r="D436" s="18" t="s">
        <v>1267</v>
      </c>
      <c r="E436" s="19" t="s">
        <v>1268</v>
      </c>
      <c r="F436" s="18" t="s">
        <v>122</v>
      </c>
      <c r="G436" s="18" t="s">
        <v>111</v>
      </c>
      <c r="H436" s="19" t="s">
        <v>112</v>
      </c>
      <c r="I436" s="18" t="s">
        <v>113</v>
      </c>
      <c r="J436" s="19" t="s">
        <v>114</v>
      </c>
      <c r="K436" s="19" t="s">
        <v>123</v>
      </c>
      <c r="L436" s="18" t="s">
        <v>116</v>
      </c>
      <c r="M436" s="18" t="s">
        <v>133</v>
      </c>
      <c r="N436" s="18" t="s">
        <v>118</v>
      </c>
      <c r="O436" s="20">
        <v>119000</v>
      </c>
      <c r="P436" s="20">
        <v>82110</v>
      </c>
      <c r="Q436" s="20">
        <v>1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31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119000</v>
      </c>
      <c r="AD436" s="20">
        <v>82110</v>
      </c>
      <c r="AE436" s="20">
        <v>0</v>
      </c>
      <c r="AF436" s="20">
        <v>0</v>
      </c>
      <c r="AG436" s="20">
        <v>119000</v>
      </c>
      <c r="AH436" s="20">
        <v>82110</v>
      </c>
      <c r="AI436" s="20">
        <v>33536</v>
      </c>
      <c r="AJ436" s="20">
        <v>3354</v>
      </c>
      <c r="AK436" s="20">
        <v>36890</v>
      </c>
    </row>
    <row r="437" spans="1:37" ht="16.5" customHeight="1" x14ac:dyDescent="0.3">
      <c r="A437" s="18" t="s">
        <v>1272</v>
      </c>
      <c r="B437" s="18" t="s">
        <v>107</v>
      </c>
      <c r="C437" s="19" t="s">
        <v>108</v>
      </c>
      <c r="D437" s="18" t="s">
        <v>1273</v>
      </c>
      <c r="E437" s="19" t="s">
        <v>1274</v>
      </c>
      <c r="F437" s="18" t="s">
        <v>1275</v>
      </c>
      <c r="G437" s="18" t="s">
        <v>111</v>
      </c>
      <c r="H437" s="19" t="s">
        <v>1276</v>
      </c>
      <c r="I437" s="18" t="s">
        <v>113</v>
      </c>
      <c r="J437" s="19" t="s">
        <v>114</v>
      </c>
      <c r="K437" s="19" t="s">
        <v>115</v>
      </c>
      <c r="L437" s="18" t="s">
        <v>116</v>
      </c>
      <c r="M437" s="18" t="s">
        <v>133</v>
      </c>
      <c r="N437" s="18" t="s">
        <v>118</v>
      </c>
      <c r="O437" s="20">
        <v>78000</v>
      </c>
      <c r="P437" s="20">
        <v>53820</v>
      </c>
      <c r="Q437" s="20">
        <v>1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31</v>
      </c>
      <c r="X437" s="20">
        <v>11700</v>
      </c>
      <c r="Y437" s="20">
        <v>0</v>
      </c>
      <c r="Z437" s="20">
        <v>0</v>
      </c>
      <c r="AA437" s="20">
        <v>0</v>
      </c>
      <c r="AB437" s="20">
        <v>0</v>
      </c>
      <c r="AC437" s="20">
        <v>78000</v>
      </c>
      <c r="AD437" s="20">
        <v>53820</v>
      </c>
      <c r="AE437" s="20">
        <v>0</v>
      </c>
      <c r="AF437" s="20">
        <v>11700</v>
      </c>
      <c r="AG437" s="20">
        <v>66300</v>
      </c>
      <c r="AH437" s="20">
        <v>53820</v>
      </c>
      <c r="AI437" s="20">
        <v>11345</v>
      </c>
      <c r="AJ437" s="20">
        <v>1135</v>
      </c>
      <c r="AK437" s="20">
        <v>12480</v>
      </c>
    </row>
    <row r="438" spans="1:37" ht="16.5" customHeight="1" x14ac:dyDescent="0.3">
      <c r="A438" s="18" t="s">
        <v>1277</v>
      </c>
      <c r="B438" s="18" t="s">
        <v>107</v>
      </c>
      <c r="C438" s="19" t="s">
        <v>108</v>
      </c>
      <c r="D438" s="18" t="s">
        <v>1278</v>
      </c>
      <c r="E438" s="19" t="s">
        <v>1279</v>
      </c>
      <c r="F438" s="18" t="s">
        <v>110</v>
      </c>
      <c r="G438" s="18" t="s">
        <v>111</v>
      </c>
      <c r="H438" s="19" t="s">
        <v>112</v>
      </c>
      <c r="I438" s="18" t="s">
        <v>113</v>
      </c>
      <c r="J438" s="19" t="s">
        <v>114</v>
      </c>
      <c r="K438" s="19" t="s">
        <v>115</v>
      </c>
      <c r="L438" s="18" t="s">
        <v>116</v>
      </c>
      <c r="M438" s="18" t="s">
        <v>1280</v>
      </c>
      <c r="N438" s="18" t="s">
        <v>118</v>
      </c>
      <c r="O438" s="20">
        <v>119000</v>
      </c>
      <c r="P438" s="20">
        <v>82110</v>
      </c>
      <c r="Q438" s="20">
        <v>1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31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119000</v>
      </c>
      <c r="AD438" s="20">
        <v>82110</v>
      </c>
      <c r="AE438" s="20">
        <v>0</v>
      </c>
      <c r="AF438" s="20">
        <v>0</v>
      </c>
      <c r="AG438" s="20">
        <v>119000</v>
      </c>
      <c r="AH438" s="20">
        <v>82110</v>
      </c>
      <c r="AI438" s="20">
        <v>33536</v>
      </c>
      <c r="AJ438" s="20">
        <v>3354</v>
      </c>
      <c r="AK438" s="20">
        <v>36890</v>
      </c>
    </row>
    <row r="439" spans="1:37" ht="16.5" customHeight="1" x14ac:dyDescent="0.3">
      <c r="A439" s="18" t="s">
        <v>1281</v>
      </c>
      <c r="B439" s="18" t="s">
        <v>107</v>
      </c>
      <c r="C439" s="19" t="s">
        <v>108</v>
      </c>
      <c r="D439" s="18" t="s">
        <v>1282</v>
      </c>
      <c r="E439" s="19" t="s">
        <v>1283</v>
      </c>
      <c r="F439" s="18" t="s">
        <v>110</v>
      </c>
      <c r="G439" s="18" t="s">
        <v>111</v>
      </c>
      <c r="H439" s="19" t="s">
        <v>112</v>
      </c>
      <c r="I439" s="18" t="s">
        <v>113</v>
      </c>
      <c r="J439" s="19" t="s">
        <v>114</v>
      </c>
      <c r="K439" s="19" t="s">
        <v>115</v>
      </c>
      <c r="L439" s="18" t="s">
        <v>116</v>
      </c>
      <c r="M439" s="18" t="s">
        <v>1280</v>
      </c>
      <c r="N439" s="18" t="s">
        <v>118</v>
      </c>
      <c r="O439" s="20">
        <v>119000</v>
      </c>
      <c r="P439" s="20">
        <v>82110</v>
      </c>
      <c r="Q439" s="20">
        <v>1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31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119000</v>
      </c>
      <c r="AD439" s="20">
        <v>82110</v>
      </c>
      <c r="AE439" s="20">
        <v>0</v>
      </c>
      <c r="AF439" s="20">
        <v>0</v>
      </c>
      <c r="AG439" s="20">
        <v>119000</v>
      </c>
      <c r="AH439" s="20">
        <v>82110</v>
      </c>
      <c r="AI439" s="20">
        <v>33536</v>
      </c>
      <c r="AJ439" s="20">
        <v>3354</v>
      </c>
      <c r="AK439" s="20">
        <v>36890</v>
      </c>
    </row>
    <row r="440" spans="1:37" ht="16.5" customHeight="1" x14ac:dyDescent="0.3">
      <c r="A440" s="18" t="s">
        <v>1284</v>
      </c>
      <c r="B440" s="18" t="s">
        <v>107</v>
      </c>
      <c r="C440" s="19" t="s">
        <v>108</v>
      </c>
      <c r="D440" s="18" t="s">
        <v>1326</v>
      </c>
      <c r="E440" s="19" t="s">
        <v>955</v>
      </c>
      <c r="F440" s="18" t="s">
        <v>110</v>
      </c>
      <c r="G440" s="18" t="s">
        <v>111</v>
      </c>
      <c r="H440" s="19" t="s">
        <v>112</v>
      </c>
      <c r="I440" s="18" t="s">
        <v>113</v>
      </c>
      <c r="J440" s="19" t="s">
        <v>114</v>
      </c>
      <c r="K440" s="19" t="s">
        <v>123</v>
      </c>
      <c r="L440" s="18" t="s">
        <v>116</v>
      </c>
      <c r="M440" s="18" t="s">
        <v>1286</v>
      </c>
      <c r="N440" s="18" t="s">
        <v>118</v>
      </c>
      <c r="O440" s="20">
        <v>119000</v>
      </c>
      <c r="P440" s="20">
        <v>82110</v>
      </c>
      <c r="Q440" s="20">
        <v>1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31</v>
      </c>
      <c r="X440" s="20">
        <v>0</v>
      </c>
      <c r="Y440" s="20">
        <v>5950</v>
      </c>
      <c r="Z440" s="20">
        <v>0</v>
      </c>
      <c r="AA440" s="20">
        <v>0</v>
      </c>
      <c r="AB440" s="20">
        <v>0</v>
      </c>
      <c r="AC440" s="20">
        <v>119000</v>
      </c>
      <c r="AD440" s="20">
        <v>82110</v>
      </c>
      <c r="AE440" s="20">
        <v>0</v>
      </c>
      <c r="AF440" s="20">
        <v>5950</v>
      </c>
      <c r="AG440" s="20">
        <v>113050</v>
      </c>
      <c r="AH440" s="20">
        <v>82110</v>
      </c>
      <c r="AI440" s="20">
        <v>28127</v>
      </c>
      <c r="AJ440" s="20">
        <v>2813</v>
      </c>
      <c r="AK440" s="20">
        <v>30940</v>
      </c>
    </row>
    <row r="441" spans="1:37" ht="16.5" customHeight="1" x14ac:dyDescent="0.3">
      <c r="A441" s="18" t="s">
        <v>1287</v>
      </c>
      <c r="B441" s="18" t="s">
        <v>107</v>
      </c>
      <c r="C441" s="19" t="s">
        <v>108</v>
      </c>
      <c r="D441" s="18" t="s">
        <v>1290</v>
      </c>
      <c r="E441" s="19" t="s">
        <v>955</v>
      </c>
      <c r="F441" s="18" t="s">
        <v>110</v>
      </c>
      <c r="G441" s="18" t="s">
        <v>111</v>
      </c>
      <c r="H441" s="19" t="s">
        <v>112</v>
      </c>
      <c r="I441" s="18" t="s">
        <v>113</v>
      </c>
      <c r="J441" s="19" t="s">
        <v>114</v>
      </c>
      <c r="K441" s="19" t="s">
        <v>123</v>
      </c>
      <c r="L441" s="18" t="s">
        <v>116</v>
      </c>
      <c r="M441" s="18" t="s">
        <v>1286</v>
      </c>
      <c r="N441" s="18" t="s">
        <v>118</v>
      </c>
      <c r="O441" s="20">
        <v>119000</v>
      </c>
      <c r="P441" s="20">
        <v>82110</v>
      </c>
      <c r="Q441" s="20">
        <v>1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31</v>
      </c>
      <c r="X441" s="20">
        <v>0</v>
      </c>
      <c r="Y441" s="20">
        <v>5950</v>
      </c>
      <c r="Z441" s="20">
        <v>0</v>
      </c>
      <c r="AA441" s="20">
        <v>0</v>
      </c>
      <c r="AB441" s="20">
        <v>0</v>
      </c>
      <c r="AC441" s="20">
        <v>119000</v>
      </c>
      <c r="AD441" s="20">
        <v>82110</v>
      </c>
      <c r="AE441" s="20">
        <v>0</v>
      </c>
      <c r="AF441" s="20">
        <v>5950</v>
      </c>
      <c r="AG441" s="20">
        <v>113050</v>
      </c>
      <c r="AH441" s="20">
        <v>82110</v>
      </c>
      <c r="AI441" s="20">
        <v>28127</v>
      </c>
      <c r="AJ441" s="20">
        <v>2813</v>
      </c>
      <c r="AK441" s="20">
        <v>30940</v>
      </c>
    </row>
    <row r="442" spans="1:37" ht="16.5" customHeight="1" x14ac:dyDescent="0.3">
      <c r="A442" s="18" t="s">
        <v>1289</v>
      </c>
      <c r="B442" s="18" t="s">
        <v>107</v>
      </c>
      <c r="C442" s="19" t="s">
        <v>108</v>
      </c>
      <c r="D442" s="18" t="s">
        <v>1292</v>
      </c>
      <c r="E442" s="19" t="s">
        <v>129</v>
      </c>
      <c r="F442" s="18" t="s">
        <v>110</v>
      </c>
      <c r="G442" s="18" t="s">
        <v>111</v>
      </c>
      <c r="H442" s="19" t="s">
        <v>112</v>
      </c>
      <c r="I442" s="18" t="s">
        <v>113</v>
      </c>
      <c r="J442" s="19" t="s">
        <v>114</v>
      </c>
      <c r="K442" s="19" t="s">
        <v>123</v>
      </c>
      <c r="L442" s="18" t="s">
        <v>116</v>
      </c>
      <c r="M442" s="18" t="s">
        <v>1286</v>
      </c>
      <c r="N442" s="18" t="s">
        <v>118</v>
      </c>
      <c r="O442" s="20">
        <v>119000</v>
      </c>
      <c r="P442" s="20">
        <v>82110</v>
      </c>
      <c r="Q442" s="20">
        <v>1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31</v>
      </c>
      <c r="X442" s="20">
        <v>0</v>
      </c>
      <c r="Y442" s="20">
        <v>5950</v>
      </c>
      <c r="Z442" s="20">
        <v>0</v>
      </c>
      <c r="AA442" s="20">
        <v>0</v>
      </c>
      <c r="AB442" s="20">
        <v>0</v>
      </c>
      <c r="AC442" s="20">
        <v>119000</v>
      </c>
      <c r="AD442" s="20">
        <v>82110</v>
      </c>
      <c r="AE442" s="20">
        <v>0</v>
      </c>
      <c r="AF442" s="20">
        <v>5950</v>
      </c>
      <c r="AG442" s="20">
        <v>113050</v>
      </c>
      <c r="AH442" s="20">
        <v>82110</v>
      </c>
      <c r="AI442" s="20">
        <v>28127</v>
      </c>
      <c r="AJ442" s="20">
        <v>2813</v>
      </c>
      <c r="AK442" s="20">
        <v>30940</v>
      </c>
    </row>
    <row r="443" spans="1:37" ht="16.5" customHeight="1" x14ac:dyDescent="0.3">
      <c r="A443" s="18" t="s">
        <v>1291</v>
      </c>
      <c r="B443" s="18" t="s">
        <v>107</v>
      </c>
      <c r="C443" s="19" t="s">
        <v>108</v>
      </c>
      <c r="D443" s="18" t="s">
        <v>1294</v>
      </c>
      <c r="E443" s="19" t="s">
        <v>1295</v>
      </c>
      <c r="F443" s="18" t="s">
        <v>110</v>
      </c>
      <c r="G443" s="18" t="s">
        <v>111</v>
      </c>
      <c r="H443" s="19" t="s">
        <v>112</v>
      </c>
      <c r="I443" s="18" t="s">
        <v>113</v>
      </c>
      <c r="J443" s="19" t="s">
        <v>114</v>
      </c>
      <c r="K443" s="19" t="s">
        <v>123</v>
      </c>
      <c r="L443" s="18" t="s">
        <v>116</v>
      </c>
      <c r="M443" s="18" t="s">
        <v>1286</v>
      </c>
      <c r="N443" s="18" t="s">
        <v>118</v>
      </c>
      <c r="O443" s="20">
        <v>119000</v>
      </c>
      <c r="P443" s="20">
        <v>82110</v>
      </c>
      <c r="Q443" s="20">
        <v>1</v>
      </c>
      <c r="R443" s="20">
        <v>0</v>
      </c>
      <c r="S443" s="20">
        <v>0</v>
      </c>
      <c r="T443" s="20">
        <v>0</v>
      </c>
      <c r="U443" s="20">
        <v>0</v>
      </c>
      <c r="V443" s="20">
        <v>0</v>
      </c>
      <c r="W443" s="20">
        <v>31</v>
      </c>
      <c r="X443" s="20">
        <v>0</v>
      </c>
      <c r="Y443" s="20">
        <v>5950</v>
      </c>
      <c r="Z443" s="20">
        <v>0</v>
      </c>
      <c r="AA443" s="20">
        <v>0</v>
      </c>
      <c r="AB443" s="20">
        <v>0</v>
      </c>
      <c r="AC443" s="20">
        <v>119000</v>
      </c>
      <c r="AD443" s="20">
        <v>82110</v>
      </c>
      <c r="AE443" s="20">
        <v>0</v>
      </c>
      <c r="AF443" s="20">
        <v>5950</v>
      </c>
      <c r="AG443" s="20">
        <v>113050</v>
      </c>
      <c r="AH443" s="20">
        <v>82110</v>
      </c>
      <c r="AI443" s="20">
        <v>28127</v>
      </c>
      <c r="AJ443" s="20">
        <v>2813</v>
      </c>
      <c r="AK443" s="20">
        <v>30940</v>
      </c>
    </row>
    <row r="444" spans="1:37" ht="16.5" customHeight="1" x14ac:dyDescent="0.3">
      <c r="A444" s="18" t="s">
        <v>1293</v>
      </c>
      <c r="B444" s="18" t="s">
        <v>107</v>
      </c>
      <c r="C444" s="19" t="s">
        <v>108</v>
      </c>
      <c r="D444" s="18" t="s">
        <v>1297</v>
      </c>
      <c r="E444" s="19" t="s">
        <v>119</v>
      </c>
      <c r="F444" s="18" t="s">
        <v>110</v>
      </c>
      <c r="G444" s="18" t="s">
        <v>111</v>
      </c>
      <c r="H444" s="19" t="s">
        <v>112</v>
      </c>
      <c r="I444" s="18" t="s">
        <v>113</v>
      </c>
      <c r="J444" s="19" t="s">
        <v>114</v>
      </c>
      <c r="K444" s="19" t="s">
        <v>123</v>
      </c>
      <c r="L444" s="18" t="s">
        <v>116</v>
      </c>
      <c r="M444" s="18" t="s">
        <v>1286</v>
      </c>
      <c r="N444" s="18" t="s">
        <v>118</v>
      </c>
      <c r="O444" s="20">
        <v>119000</v>
      </c>
      <c r="P444" s="20">
        <v>82110</v>
      </c>
      <c r="Q444" s="20">
        <v>1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31</v>
      </c>
      <c r="X444" s="20">
        <v>0</v>
      </c>
      <c r="Y444" s="20">
        <v>5950</v>
      </c>
      <c r="Z444" s="20">
        <v>0</v>
      </c>
      <c r="AA444" s="20">
        <v>0</v>
      </c>
      <c r="AB444" s="20">
        <v>0</v>
      </c>
      <c r="AC444" s="20">
        <v>119000</v>
      </c>
      <c r="AD444" s="20">
        <v>82110</v>
      </c>
      <c r="AE444" s="20">
        <v>0</v>
      </c>
      <c r="AF444" s="20">
        <v>5950</v>
      </c>
      <c r="AG444" s="20">
        <v>113050</v>
      </c>
      <c r="AH444" s="20">
        <v>82110</v>
      </c>
      <c r="AI444" s="20">
        <v>28127</v>
      </c>
      <c r="AJ444" s="20">
        <v>2813</v>
      </c>
      <c r="AK444" s="20">
        <v>30940</v>
      </c>
    </row>
    <row r="445" spans="1:37" ht="16.5" customHeight="1" x14ac:dyDescent="0.3">
      <c r="A445" s="18" t="s">
        <v>1296</v>
      </c>
      <c r="B445" s="18" t="s">
        <v>107</v>
      </c>
      <c r="C445" s="19" t="s">
        <v>108</v>
      </c>
      <c r="D445" s="18" t="s">
        <v>1299</v>
      </c>
      <c r="E445" s="19" t="s">
        <v>970</v>
      </c>
      <c r="F445" s="18" t="s">
        <v>110</v>
      </c>
      <c r="G445" s="18" t="s">
        <v>111</v>
      </c>
      <c r="H445" s="19" t="s">
        <v>112</v>
      </c>
      <c r="I445" s="18" t="s">
        <v>113</v>
      </c>
      <c r="J445" s="19" t="s">
        <v>114</v>
      </c>
      <c r="K445" s="19" t="s">
        <v>123</v>
      </c>
      <c r="L445" s="18" t="s">
        <v>116</v>
      </c>
      <c r="M445" s="18" t="s">
        <v>1286</v>
      </c>
      <c r="N445" s="18" t="s">
        <v>118</v>
      </c>
      <c r="O445" s="20">
        <v>119000</v>
      </c>
      <c r="P445" s="20">
        <v>82110</v>
      </c>
      <c r="Q445" s="20">
        <v>1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31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119000</v>
      </c>
      <c r="AD445" s="20">
        <v>82110</v>
      </c>
      <c r="AE445" s="20">
        <v>0</v>
      </c>
      <c r="AF445" s="20">
        <v>0</v>
      </c>
      <c r="AG445" s="20">
        <v>119000</v>
      </c>
      <c r="AH445" s="20">
        <v>82110</v>
      </c>
      <c r="AI445" s="20">
        <v>33536</v>
      </c>
      <c r="AJ445" s="20">
        <v>3354</v>
      </c>
      <c r="AK445" s="20">
        <v>36890</v>
      </c>
    </row>
    <row r="446" spans="1:37" ht="16.5" customHeight="1" x14ac:dyDescent="0.3">
      <c r="A446" s="18" t="s">
        <v>1298</v>
      </c>
      <c r="B446" s="18" t="s">
        <v>107</v>
      </c>
      <c r="C446" s="19" t="s">
        <v>108</v>
      </c>
      <c r="D446" s="18" t="s">
        <v>1301</v>
      </c>
      <c r="E446" s="19" t="s">
        <v>417</v>
      </c>
      <c r="F446" s="18" t="s">
        <v>110</v>
      </c>
      <c r="G446" s="18" t="s">
        <v>111</v>
      </c>
      <c r="H446" s="19" t="s">
        <v>112</v>
      </c>
      <c r="I446" s="18" t="s">
        <v>113</v>
      </c>
      <c r="J446" s="19" t="s">
        <v>114</v>
      </c>
      <c r="K446" s="19" t="s">
        <v>115</v>
      </c>
      <c r="L446" s="18" t="s">
        <v>116</v>
      </c>
      <c r="M446" s="18" t="s">
        <v>1286</v>
      </c>
      <c r="N446" s="18" t="s">
        <v>118</v>
      </c>
      <c r="O446" s="20">
        <v>119000</v>
      </c>
      <c r="P446" s="20">
        <v>80920</v>
      </c>
      <c r="Q446" s="20">
        <v>1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32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119000</v>
      </c>
      <c r="AD446" s="20">
        <v>80920</v>
      </c>
      <c r="AE446" s="20">
        <v>0</v>
      </c>
      <c r="AF446" s="20">
        <v>0</v>
      </c>
      <c r="AG446" s="20">
        <v>119000</v>
      </c>
      <c r="AH446" s="20">
        <v>80920</v>
      </c>
      <c r="AI446" s="20">
        <v>34618</v>
      </c>
      <c r="AJ446" s="20">
        <v>3462</v>
      </c>
      <c r="AK446" s="20">
        <v>38080</v>
      </c>
    </row>
    <row r="447" spans="1:37" ht="16.5" customHeight="1" x14ac:dyDescent="0.3">
      <c r="A447" s="18" t="s">
        <v>1300</v>
      </c>
      <c r="B447" s="18" t="s">
        <v>107</v>
      </c>
      <c r="C447" s="19" t="s">
        <v>108</v>
      </c>
      <c r="D447" s="18" t="s">
        <v>1303</v>
      </c>
      <c r="E447" s="19" t="s">
        <v>1304</v>
      </c>
      <c r="F447" s="18" t="s">
        <v>110</v>
      </c>
      <c r="G447" s="18" t="s">
        <v>111</v>
      </c>
      <c r="H447" s="19" t="s">
        <v>112</v>
      </c>
      <c r="I447" s="18" t="s">
        <v>113</v>
      </c>
      <c r="J447" s="19" t="s">
        <v>114</v>
      </c>
      <c r="K447" s="19" t="s">
        <v>123</v>
      </c>
      <c r="L447" s="18" t="s">
        <v>116</v>
      </c>
      <c r="M447" s="18" t="s">
        <v>1286</v>
      </c>
      <c r="N447" s="18" t="s">
        <v>118</v>
      </c>
      <c r="O447" s="20">
        <v>119000</v>
      </c>
      <c r="P447" s="20">
        <v>82110</v>
      </c>
      <c r="Q447" s="20">
        <v>1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31</v>
      </c>
      <c r="X447" s="20">
        <v>0</v>
      </c>
      <c r="Y447" s="20">
        <v>5950</v>
      </c>
      <c r="Z447" s="20">
        <v>0</v>
      </c>
      <c r="AA447" s="20">
        <v>0</v>
      </c>
      <c r="AB447" s="20">
        <v>0</v>
      </c>
      <c r="AC447" s="20">
        <v>119000</v>
      </c>
      <c r="AD447" s="20">
        <v>82110</v>
      </c>
      <c r="AE447" s="20">
        <v>0</v>
      </c>
      <c r="AF447" s="20">
        <v>5950</v>
      </c>
      <c r="AG447" s="20">
        <v>113050</v>
      </c>
      <c r="AH447" s="20">
        <v>82110</v>
      </c>
      <c r="AI447" s="20">
        <v>28127</v>
      </c>
      <c r="AJ447" s="20">
        <v>2813</v>
      </c>
      <c r="AK447" s="20">
        <v>30940</v>
      </c>
    </row>
    <row r="448" spans="1:37" ht="16.5" customHeight="1" x14ac:dyDescent="0.3">
      <c r="A448" s="18" t="s">
        <v>1302</v>
      </c>
      <c r="B448" s="18" t="s">
        <v>107</v>
      </c>
      <c r="C448" s="19" t="s">
        <v>108</v>
      </c>
      <c r="D448" s="18" t="s">
        <v>1288</v>
      </c>
      <c r="E448" s="19" t="s">
        <v>1225</v>
      </c>
      <c r="F448" s="18" t="s">
        <v>110</v>
      </c>
      <c r="G448" s="18" t="s">
        <v>111</v>
      </c>
      <c r="H448" s="19" t="s">
        <v>112</v>
      </c>
      <c r="I448" s="18" t="s">
        <v>113</v>
      </c>
      <c r="J448" s="19" t="s">
        <v>114</v>
      </c>
      <c r="K448" s="19" t="s">
        <v>115</v>
      </c>
      <c r="L448" s="18" t="s">
        <v>116</v>
      </c>
      <c r="M448" s="18" t="s">
        <v>1286</v>
      </c>
      <c r="N448" s="18" t="s">
        <v>118</v>
      </c>
      <c r="O448" s="20">
        <v>119000</v>
      </c>
      <c r="P448" s="20">
        <v>82110</v>
      </c>
      <c r="Q448" s="20">
        <v>1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31</v>
      </c>
      <c r="X448" s="20">
        <v>13090</v>
      </c>
      <c r="Y448" s="20">
        <v>0</v>
      </c>
      <c r="Z448" s="20">
        <v>0</v>
      </c>
      <c r="AA448" s="20">
        <v>0</v>
      </c>
      <c r="AB448" s="20">
        <v>0</v>
      </c>
      <c r="AC448" s="20">
        <v>119000</v>
      </c>
      <c r="AD448" s="20">
        <v>82110</v>
      </c>
      <c r="AE448" s="20">
        <v>0</v>
      </c>
      <c r="AF448" s="20">
        <v>13090</v>
      </c>
      <c r="AG448" s="20">
        <v>105910</v>
      </c>
      <c r="AH448" s="20">
        <v>82110</v>
      </c>
      <c r="AI448" s="20">
        <v>21636</v>
      </c>
      <c r="AJ448" s="20">
        <v>2164</v>
      </c>
      <c r="AK448" s="20">
        <v>23800</v>
      </c>
    </row>
    <row r="449" spans="1:37" ht="16.5" customHeight="1" x14ac:dyDescent="0.3">
      <c r="A449" s="18" t="s">
        <v>1305</v>
      </c>
      <c r="B449" s="18" t="s">
        <v>107</v>
      </c>
      <c r="C449" s="19" t="s">
        <v>108</v>
      </c>
      <c r="D449" s="18" t="s">
        <v>1306</v>
      </c>
      <c r="E449" s="19" t="s">
        <v>343</v>
      </c>
      <c r="F449" s="18" t="s">
        <v>110</v>
      </c>
      <c r="G449" s="18" t="s">
        <v>111</v>
      </c>
      <c r="H449" s="19" t="s">
        <v>112</v>
      </c>
      <c r="I449" s="18" t="s">
        <v>113</v>
      </c>
      <c r="J449" s="19" t="s">
        <v>114</v>
      </c>
      <c r="K449" s="19" t="s">
        <v>123</v>
      </c>
      <c r="L449" s="18" t="s">
        <v>116</v>
      </c>
      <c r="M449" s="18" t="s">
        <v>1286</v>
      </c>
      <c r="N449" s="18" t="s">
        <v>118</v>
      </c>
      <c r="O449" s="20">
        <v>119000</v>
      </c>
      <c r="P449" s="20">
        <v>82110</v>
      </c>
      <c r="Q449" s="20">
        <v>1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31</v>
      </c>
      <c r="X449" s="20">
        <v>0</v>
      </c>
      <c r="Y449" s="20">
        <v>5950</v>
      </c>
      <c r="Z449" s="20">
        <v>0</v>
      </c>
      <c r="AA449" s="20">
        <v>0</v>
      </c>
      <c r="AB449" s="20">
        <v>0</v>
      </c>
      <c r="AC449" s="20">
        <v>119000</v>
      </c>
      <c r="AD449" s="20">
        <v>82110</v>
      </c>
      <c r="AE449" s="20">
        <v>0</v>
      </c>
      <c r="AF449" s="20">
        <v>5950</v>
      </c>
      <c r="AG449" s="20">
        <v>113050</v>
      </c>
      <c r="AH449" s="20">
        <v>82110</v>
      </c>
      <c r="AI449" s="20">
        <v>28127</v>
      </c>
      <c r="AJ449" s="20">
        <v>2813</v>
      </c>
      <c r="AK449" s="20">
        <v>30940</v>
      </c>
    </row>
    <row r="450" spans="1:37" ht="16.5" customHeight="1" x14ac:dyDescent="0.3">
      <c r="A450" s="18" t="s">
        <v>1307</v>
      </c>
      <c r="B450" s="18" t="s">
        <v>107</v>
      </c>
      <c r="C450" s="19" t="s">
        <v>108</v>
      </c>
      <c r="D450" s="18" t="s">
        <v>1308</v>
      </c>
      <c r="E450" s="19" t="s">
        <v>1309</v>
      </c>
      <c r="F450" s="18" t="s">
        <v>110</v>
      </c>
      <c r="G450" s="18" t="s">
        <v>111</v>
      </c>
      <c r="H450" s="19" t="s">
        <v>112</v>
      </c>
      <c r="I450" s="18" t="s">
        <v>113</v>
      </c>
      <c r="J450" s="19" t="s">
        <v>114</v>
      </c>
      <c r="K450" s="19" t="s">
        <v>123</v>
      </c>
      <c r="L450" s="18" t="s">
        <v>116</v>
      </c>
      <c r="M450" s="18" t="s">
        <v>1286</v>
      </c>
      <c r="N450" s="18" t="s">
        <v>118</v>
      </c>
      <c r="O450" s="20">
        <v>119000</v>
      </c>
      <c r="P450" s="20">
        <v>82110</v>
      </c>
      <c r="Q450" s="20">
        <v>1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31</v>
      </c>
      <c r="X450" s="20">
        <v>0</v>
      </c>
      <c r="Y450" s="20">
        <v>5950</v>
      </c>
      <c r="Z450" s="20">
        <v>0</v>
      </c>
      <c r="AA450" s="20">
        <v>0</v>
      </c>
      <c r="AB450" s="20">
        <v>0</v>
      </c>
      <c r="AC450" s="20">
        <v>119000</v>
      </c>
      <c r="AD450" s="20">
        <v>82110</v>
      </c>
      <c r="AE450" s="20">
        <v>0</v>
      </c>
      <c r="AF450" s="20">
        <v>5950</v>
      </c>
      <c r="AG450" s="20">
        <v>113050</v>
      </c>
      <c r="AH450" s="20">
        <v>82110</v>
      </c>
      <c r="AI450" s="20">
        <v>28127</v>
      </c>
      <c r="AJ450" s="20">
        <v>2813</v>
      </c>
      <c r="AK450" s="20">
        <v>30940</v>
      </c>
    </row>
    <row r="451" spans="1:37" ht="16.5" customHeight="1" x14ac:dyDescent="0.3">
      <c r="A451" s="18" t="s">
        <v>1310</v>
      </c>
      <c r="B451" s="18" t="s">
        <v>107</v>
      </c>
      <c r="C451" s="19" t="s">
        <v>108</v>
      </c>
      <c r="D451" s="18" t="s">
        <v>1311</v>
      </c>
      <c r="E451" s="19" t="s">
        <v>1312</v>
      </c>
      <c r="F451" s="18" t="s">
        <v>110</v>
      </c>
      <c r="G451" s="18" t="s">
        <v>111</v>
      </c>
      <c r="H451" s="19" t="s">
        <v>112</v>
      </c>
      <c r="I451" s="18" t="s">
        <v>113</v>
      </c>
      <c r="J451" s="19" t="s">
        <v>114</v>
      </c>
      <c r="K451" s="19" t="s">
        <v>123</v>
      </c>
      <c r="L451" s="18" t="s">
        <v>116</v>
      </c>
      <c r="M451" s="18" t="s">
        <v>1286</v>
      </c>
      <c r="N451" s="18" t="s">
        <v>118</v>
      </c>
      <c r="O451" s="20">
        <v>119000</v>
      </c>
      <c r="P451" s="20">
        <v>82110</v>
      </c>
      <c r="Q451" s="20">
        <v>1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31</v>
      </c>
      <c r="X451" s="20">
        <v>0</v>
      </c>
      <c r="Y451" s="20">
        <v>5950</v>
      </c>
      <c r="Z451" s="20">
        <v>0</v>
      </c>
      <c r="AA451" s="20">
        <v>0</v>
      </c>
      <c r="AB451" s="20">
        <v>0</v>
      </c>
      <c r="AC451" s="20">
        <v>119000</v>
      </c>
      <c r="AD451" s="20">
        <v>82110</v>
      </c>
      <c r="AE451" s="20">
        <v>0</v>
      </c>
      <c r="AF451" s="20">
        <v>5950</v>
      </c>
      <c r="AG451" s="20">
        <v>113050</v>
      </c>
      <c r="AH451" s="20">
        <v>82110</v>
      </c>
      <c r="AI451" s="20">
        <v>28127</v>
      </c>
      <c r="AJ451" s="20">
        <v>2813</v>
      </c>
      <c r="AK451" s="20">
        <v>30940</v>
      </c>
    </row>
    <row r="452" spans="1:37" ht="16.5" customHeight="1" x14ac:dyDescent="0.3">
      <c r="A452" s="18" t="s">
        <v>1313</v>
      </c>
      <c r="B452" s="18" t="s">
        <v>107</v>
      </c>
      <c r="C452" s="19" t="s">
        <v>108</v>
      </c>
      <c r="D452" s="18" t="s">
        <v>1314</v>
      </c>
      <c r="E452" s="19" t="s">
        <v>955</v>
      </c>
      <c r="F452" s="18" t="s">
        <v>110</v>
      </c>
      <c r="G452" s="18" t="s">
        <v>111</v>
      </c>
      <c r="H452" s="19" t="s">
        <v>112</v>
      </c>
      <c r="I452" s="18" t="s">
        <v>113</v>
      </c>
      <c r="J452" s="19" t="s">
        <v>114</v>
      </c>
      <c r="K452" s="19" t="s">
        <v>123</v>
      </c>
      <c r="L452" s="18" t="s">
        <v>116</v>
      </c>
      <c r="M452" s="18" t="s">
        <v>1286</v>
      </c>
      <c r="N452" s="18" t="s">
        <v>118</v>
      </c>
      <c r="O452" s="20">
        <v>119000</v>
      </c>
      <c r="P452" s="20">
        <v>82110</v>
      </c>
      <c r="Q452" s="20">
        <v>1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31</v>
      </c>
      <c r="X452" s="20">
        <v>0</v>
      </c>
      <c r="Y452" s="20">
        <v>5950</v>
      </c>
      <c r="Z452" s="20">
        <v>0</v>
      </c>
      <c r="AA452" s="20">
        <v>0</v>
      </c>
      <c r="AB452" s="20">
        <v>0</v>
      </c>
      <c r="AC452" s="20">
        <v>119000</v>
      </c>
      <c r="AD452" s="20">
        <v>82110</v>
      </c>
      <c r="AE452" s="20">
        <v>0</v>
      </c>
      <c r="AF452" s="20">
        <v>5950</v>
      </c>
      <c r="AG452" s="20">
        <v>113050</v>
      </c>
      <c r="AH452" s="20">
        <v>82110</v>
      </c>
      <c r="AI452" s="20">
        <v>28127</v>
      </c>
      <c r="AJ452" s="20">
        <v>2813</v>
      </c>
      <c r="AK452" s="20">
        <v>30940</v>
      </c>
    </row>
    <row r="453" spans="1:37" ht="16.5" customHeight="1" x14ac:dyDescent="0.3">
      <c r="A453" s="18" t="s">
        <v>1315</v>
      </c>
      <c r="B453" s="18" t="s">
        <v>107</v>
      </c>
      <c r="C453" s="19" t="s">
        <v>108</v>
      </c>
      <c r="D453" s="18" t="s">
        <v>1316</v>
      </c>
      <c r="E453" s="19" t="s">
        <v>1304</v>
      </c>
      <c r="F453" s="18" t="s">
        <v>110</v>
      </c>
      <c r="G453" s="18" t="s">
        <v>111</v>
      </c>
      <c r="H453" s="19" t="s">
        <v>112</v>
      </c>
      <c r="I453" s="18" t="s">
        <v>113</v>
      </c>
      <c r="J453" s="19" t="s">
        <v>114</v>
      </c>
      <c r="K453" s="19" t="s">
        <v>123</v>
      </c>
      <c r="L453" s="18" t="s">
        <v>116</v>
      </c>
      <c r="M453" s="18" t="s">
        <v>1286</v>
      </c>
      <c r="N453" s="18" t="s">
        <v>118</v>
      </c>
      <c r="O453" s="20">
        <v>119000</v>
      </c>
      <c r="P453" s="20">
        <v>82110</v>
      </c>
      <c r="Q453" s="20">
        <v>1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>
        <v>31</v>
      </c>
      <c r="X453" s="20">
        <v>0</v>
      </c>
      <c r="Y453" s="20">
        <v>5950</v>
      </c>
      <c r="Z453" s="20">
        <v>0</v>
      </c>
      <c r="AA453" s="20">
        <v>0</v>
      </c>
      <c r="AB453" s="20">
        <v>0</v>
      </c>
      <c r="AC453" s="20">
        <v>119000</v>
      </c>
      <c r="AD453" s="20">
        <v>82110</v>
      </c>
      <c r="AE453" s="20">
        <v>0</v>
      </c>
      <c r="AF453" s="20">
        <v>5950</v>
      </c>
      <c r="AG453" s="20">
        <v>113050</v>
      </c>
      <c r="AH453" s="20">
        <v>82110</v>
      </c>
      <c r="AI453" s="20">
        <v>28127</v>
      </c>
      <c r="AJ453" s="20">
        <v>2813</v>
      </c>
      <c r="AK453" s="20">
        <v>30940</v>
      </c>
    </row>
    <row r="454" spans="1:37" ht="16.5" customHeight="1" x14ac:dyDescent="0.3">
      <c r="A454" s="18" t="s">
        <v>1317</v>
      </c>
      <c r="B454" s="18" t="s">
        <v>107</v>
      </c>
      <c r="C454" s="19" t="s">
        <v>108</v>
      </c>
      <c r="D454" s="18" t="s">
        <v>1318</v>
      </c>
      <c r="E454" s="19" t="s">
        <v>1304</v>
      </c>
      <c r="F454" s="18" t="s">
        <v>110</v>
      </c>
      <c r="G454" s="18" t="s">
        <v>111</v>
      </c>
      <c r="H454" s="19" t="s">
        <v>112</v>
      </c>
      <c r="I454" s="18" t="s">
        <v>113</v>
      </c>
      <c r="J454" s="19" t="s">
        <v>114</v>
      </c>
      <c r="K454" s="19" t="s">
        <v>123</v>
      </c>
      <c r="L454" s="18" t="s">
        <v>116</v>
      </c>
      <c r="M454" s="18" t="s">
        <v>1286</v>
      </c>
      <c r="N454" s="18" t="s">
        <v>118</v>
      </c>
      <c r="O454" s="20">
        <v>119000</v>
      </c>
      <c r="P454" s="20">
        <v>82110</v>
      </c>
      <c r="Q454" s="20">
        <v>1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31</v>
      </c>
      <c r="X454" s="20">
        <v>0</v>
      </c>
      <c r="Y454" s="20">
        <v>5950</v>
      </c>
      <c r="Z454" s="20">
        <v>0</v>
      </c>
      <c r="AA454" s="20">
        <v>0</v>
      </c>
      <c r="AB454" s="20">
        <v>0</v>
      </c>
      <c r="AC454" s="20">
        <v>119000</v>
      </c>
      <c r="AD454" s="20">
        <v>82110</v>
      </c>
      <c r="AE454" s="20">
        <v>0</v>
      </c>
      <c r="AF454" s="20">
        <v>5950</v>
      </c>
      <c r="AG454" s="20">
        <v>113050</v>
      </c>
      <c r="AH454" s="20">
        <v>82110</v>
      </c>
      <c r="AI454" s="20">
        <v>28127</v>
      </c>
      <c r="AJ454" s="20">
        <v>2813</v>
      </c>
      <c r="AK454" s="20">
        <v>30940</v>
      </c>
    </row>
    <row r="455" spans="1:37" ht="16.5" customHeight="1" x14ac:dyDescent="0.3">
      <c r="A455" s="18" t="s">
        <v>1319</v>
      </c>
      <c r="B455" s="18" t="s">
        <v>107</v>
      </c>
      <c r="C455" s="19" t="s">
        <v>108</v>
      </c>
      <c r="D455" s="18" t="s">
        <v>1320</v>
      </c>
      <c r="E455" s="19" t="s">
        <v>1304</v>
      </c>
      <c r="F455" s="18" t="s">
        <v>110</v>
      </c>
      <c r="G455" s="18" t="s">
        <v>111</v>
      </c>
      <c r="H455" s="19" t="s">
        <v>112</v>
      </c>
      <c r="I455" s="18" t="s">
        <v>113</v>
      </c>
      <c r="J455" s="19" t="s">
        <v>114</v>
      </c>
      <c r="K455" s="19" t="s">
        <v>123</v>
      </c>
      <c r="L455" s="18" t="s">
        <v>116</v>
      </c>
      <c r="M455" s="18" t="s">
        <v>1286</v>
      </c>
      <c r="N455" s="18" t="s">
        <v>118</v>
      </c>
      <c r="O455" s="20">
        <v>119000</v>
      </c>
      <c r="P455" s="20">
        <v>82110</v>
      </c>
      <c r="Q455" s="20">
        <v>1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31</v>
      </c>
      <c r="X455" s="20">
        <v>0</v>
      </c>
      <c r="Y455" s="20">
        <v>5950</v>
      </c>
      <c r="Z455" s="20">
        <v>0</v>
      </c>
      <c r="AA455" s="20">
        <v>0</v>
      </c>
      <c r="AB455" s="20">
        <v>0</v>
      </c>
      <c r="AC455" s="20">
        <v>119000</v>
      </c>
      <c r="AD455" s="20">
        <v>82110</v>
      </c>
      <c r="AE455" s="20">
        <v>0</v>
      </c>
      <c r="AF455" s="20">
        <v>5950</v>
      </c>
      <c r="AG455" s="20">
        <v>113050</v>
      </c>
      <c r="AH455" s="20">
        <v>82110</v>
      </c>
      <c r="AI455" s="20">
        <v>28127</v>
      </c>
      <c r="AJ455" s="20">
        <v>2813</v>
      </c>
      <c r="AK455" s="20">
        <v>30940</v>
      </c>
    </row>
    <row r="456" spans="1:37" ht="16.5" customHeight="1" x14ac:dyDescent="0.3">
      <c r="A456" s="18" t="s">
        <v>1321</v>
      </c>
      <c r="B456" s="18" t="s">
        <v>107</v>
      </c>
      <c r="C456" s="19" t="s">
        <v>108</v>
      </c>
      <c r="D456" s="18" t="s">
        <v>1322</v>
      </c>
      <c r="E456" s="19" t="s">
        <v>955</v>
      </c>
      <c r="F456" s="18" t="s">
        <v>110</v>
      </c>
      <c r="G456" s="18" t="s">
        <v>111</v>
      </c>
      <c r="H456" s="19" t="s">
        <v>112</v>
      </c>
      <c r="I456" s="18" t="s">
        <v>113</v>
      </c>
      <c r="J456" s="19" t="s">
        <v>114</v>
      </c>
      <c r="K456" s="19" t="s">
        <v>123</v>
      </c>
      <c r="L456" s="18" t="s">
        <v>116</v>
      </c>
      <c r="M456" s="18" t="s">
        <v>1286</v>
      </c>
      <c r="N456" s="18" t="s">
        <v>118</v>
      </c>
      <c r="O456" s="20">
        <v>119000</v>
      </c>
      <c r="P456" s="20">
        <v>82110</v>
      </c>
      <c r="Q456" s="20">
        <v>1</v>
      </c>
      <c r="R456" s="20">
        <v>0</v>
      </c>
      <c r="S456" s="20">
        <v>0</v>
      </c>
      <c r="T456" s="20">
        <v>0</v>
      </c>
      <c r="U456" s="20">
        <v>0</v>
      </c>
      <c r="V456" s="20">
        <v>0</v>
      </c>
      <c r="W456" s="20">
        <v>31</v>
      </c>
      <c r="X456" s="20">
        <v>0</v>
      </c>
      <c r="Y456" s="20">
        <v>5950</v>
      </c>
      <c r="Z456" s="20">
        <v>0</v>
      </c>
      <c r="AA456" s="20">
        <v>0</v>
      </c>
      <c r="AB456" s="20">
        <v>0</v>
      </c>
      <c r="AC456" s="20">
        <v>119000</v>
      </c>
      <c r="AD456" s="20">
        <v>82110</v>
      </c>
      <c r="AE456" s="20">
        <v>0</v>
      </c>
      <c r="AF456" s="20">
        <v>5950</v>
      </c>
      <c r="AG456" s="20">
        <v>113050</v>
      </c>
      <c r="AH456" s="20">
        <v>82110</v>
      </c>
      <c r="AI456" s="20">
        <v>28127</v>
      </c>
      <c r="AJ456" s="20">
        <v>2813</v>
      </c>
      <c r="AK456" s="20">
        <v>30940</v>
      </c>
    </row>
    <row r="457" spans="1:37" ht="16.5" customHeight="1" x14ac:dyDescent="0.3">
      <c r="A457" s="18" t="s">
        <v>1323</v>
      </c>
      <c r="B457" s="18" t="s">
        <v>107</v>
      </c>
      <c r="C457" s="19" t="s">
        <v>108</v>
      </c>
      <c r="D457" s="18" t="s">
        <v>1324</v>
      </c>
      <c r="E457" s="19" t="s">
        <v>845</v>
      </c>
      <c r="F457" s="18" t="s">
        <v>110</v>
      </c>
      <c r="G457" s="18" t="s">
        <v>111</v>
      </c>
      <c r="H457" s="19" t="s">
        <v>112</v>
      </c>
      <c r="I457" s="18" t="s">
        <v>113</v>
      </c>
      <c r="J457" s="19" t="s">
        <v>114</v>
      </c>
      <c r="K457" s="19" t="s">
        <v>115</v>
      </c>
      <c r="L457" s="18" t="s">
        <v>116</v>
      </c>
      <c r="M457" s="18" t="s">
        <v>1286</v>
      </c>
      <c r="N457" s="18" t="s">
        <v>118</v>
      </c>
      <c r="O457" s="20">
        <v>119000</v>
      </c>
      <c r="P457" s="20">
        <v>82110</v>
      </c>
      <c r="Q457" s="20">
        <v>1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31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119000</v>
      </c>
      <c r="AD457" s="20">
        <v>82110</v>
      </c>
      <c r="AE457" s="20">
        <v>0</v>
      </c>
      <c r="AF457" s="20">
        <v>0</v>
      </c>
      <c r="AG457" s="20">
        <v>119000</v>
      </c>
      <c r="AH457" s="20">
        <v>82110</v>
      </c>
      <c r="AI457" s="20">
        <v>33536</v>
      </c>
      <c r="AJ457" s="20">
        <v>3354</v>
      </c>
      <c r="AK457" s="20">
        <v>36890</v>
      </c>
    </row>
    <row r="458" spans="1:37" ht="16.5" customHeight="1" x14ac:dyDescent="0.3">
      <c r="A458" s="18" t="s">
        <v>1325</v>
      </c>
      <c r="B458" s="18" t="s">
        <v>107</v>
      </c>
      <c r="C458" s="19" t="s">
        <v>108</v>
      </c>
      <c r="D458" s="18" t="s">
        <v>1343</v>
      </c>
      <c r="E458" s="19" t="s">
        <v>1344</v>
      </c>
      <c r="F458" s="18" t="s">
        <v>110</v>
      </c>
      <c r="G458" s="18" t="s">
        <v>111</v>
      </c>
      <c r="H458" s="19" t="s">
        <v>112</v>
      </c>
      <c r="I458" s="18" t="s">
        <v>113</v>
      </c>
      <c r="J458" s="19" t="s">
        <v>114</v>
      </c>
      <c r="K458" s="19" t="s">
        <v>151</v>
      </c>
      <c r="L458" s="18" t="s">
        <v>116</v>
      </c>
      <c r="M458" s="18" t="s">
        <v>1286</v>
      </c>
      <c r="N458" s="18" t="s">
        <v>118</v>
      </c>
      <c r="O458" s="20">
        <v>119000</v>
      </c>
      <c r="P458" s="20">
        <v>82110</v>
      </c>
      <c r="Q458" s="20">
        <v>1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31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119000</v>
      </c>
      <c r="AD458" s="20">
        <v>82110</v>
      </c>
      <c r="AE458" s="20">
        <v>0</v>
      </c>
      <c r="AF458" s="20">
        <v>0</v>
      </c>
      <c r="AG458" s="20">
        <v>119000</v>
      </c>
      <c r="AH458" s="20">
        <v>82110</v>
      </c>
      <c r="AI458" s="20">
        <v>33536</v>
      </c>
      <c r="AJ458" s="20">
        <v>3354</v>
      </c>
      <c r="AK458" s="20">
        <v>36890</v>
      </c>
    </row>
    <row r="459" spans="1:37" ht="16.5" customHeight="1" x14ac:dyDescent="0.3">
      <c r="A459" s="18" t="s">
        <v>1327</v>
      </c>
      <c r="B459" s="18" t="s">
        <v>107</v>
      </c>
      <c r="C459" s="19" t="s">
        <v>108</v>
      </c>
      <c r="D459" s="18" t="s">
        <v>1333</v>
      </c>
      <c r="E459" s="19" t="s">
        <v>1334</v>
      </c>
      <c r="F459" s="18" t="s">
        <v>110</v>
      </c>
      <c r="G459" s="18" t="s">
        <v>111</v>
      </c>
      <c r="H459" s="19" t="s">
        <v>112</v>
      </c>
      <c r="I459" s="18" t="s">
        <v>113</v>
      </c>
      <c r="J459" s="19" t="s">
        <v>114</v>
      </c>
      <c r="K459" s="19" t="s">
        <v>151</v>
      </c>
      <c r="L459" s="18" t="s">
        <v>116</v>
      </c>
      <c r="M459" s="18" t="s">
        <v>1286</v>
      </c>
      <c r="N459" s="18" t="s">
        <v>118</v>
      </c>
      <c r="O459" s="20">
        <v>119000</v>
      </c>
      <c r="P459" s="20">
        <v>82110</v>
      </c>
      <c r="Q459" s="20">
        <v>1</v>
      </c>
      <c r="R459" s="20">
        <v>0</v>
      </c>
      <c r="S459" s="20">
        <v>0</v>
      </c>
      <c r="T459" s="20">
        <v>0</v>
      </c>
      <c r="U459" s="20">
        <v>0</v>
      </c>
      <c r="V459" s="20">
        <v>0</v>
      </c>
      <c r="W459" s="20">
        <v>31</v>
      </c>
      <c r="X459" s="20">
        <v>0</v>
      </c>
      <c r="Y459" s="20">
        <v>10000</v>
      </c>
      <c r="Z459" s="20">
        <v>0</v>
      </c>
      <c r="AA459" s="20">
        <v>0</v>
      </c>
      <c r="AB459" s="20">
        <v>0</v>
      </c>
      <c r="AC459" s="20">
        <v>119000</v>
      </c>
      <c r="AD459" s="20">
        <v>82110</v>
      </c>
      <c r="AE459" s="20">
        <v>0</v>
      </c>
      <c r="AF459" s="20">
        <v>10000</v>
      </c>
      <c r="AG459" s="20">
        <v>109000</v>
      </c>
      <c r="AH459" s="20">
        <v>82110</v>
      </c>
      <c r="AI459" s="20">
        <v>24445</v>
      </c>
      <c r="AJ459" s="20">
        <v>2445</v>
      </c>
      <c r="AK459" s="20">
        <v>26890</v>
      </c>
    </row>
    <row r="460" spans="1:37" ht="16.5" customHeight="1" x14ac:dyDescent="0.3">
      <c r="A460" s="18" t="s">
        <v>1328</v>
      </c>
      <c r="B460" s="18" t="s">
        <v>107</v>
      </c>
      <c r="C460" s="19" t="s">
        <v>108</v>
      </c>
      <c r="D460" s="18" t="s">
        <v>1340</v>
      </c>
      <c r="E460" s="19" t="s">
        <v>1341</v>
      </c>
      <c r="F460" s="18" t="s">
        <v>110</v>
      </c>
      <c r="G460" s="18" t="s">
        <v>111</v>
      </c>
      <c r="H460" s="19" t="s">
        <v>112</v>
      </c>
      <c r="I460" s="18" t="s">
        <v>113</v>
      </c>
      <c r="J460" s="19" t="s">
        <v>114</v>
      </c>
      <c r="K460" s="19" t="s">
        <v>115</v>
      </c>
      <c r="L460" s="18" t="s">
        <v>116</v>
      </c>
      <c r="M460" s="18" t="s">
        <v>1286</v>
      </c>
      <c r="N460" s="18" t="s">
        <v>118</v>
      </c>
      <c r="O460" s="20">
        <v>119000</v>
      </c>
      <c r="P460" s="20">
        <v>82110</v>
      </c>
      <c r="Q460" s="20">
        <v>1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31</v>
      </c>
      <c r="X460" s="20">
        <v>0</v>
      </c>
      <c r="Y460" s="20">
        <v>10000</v>
      </c>
      <c r="Z460" s="20">
        <v>0</v>
      </c>
      <c r="AA460" s="20">
        <v>0</v>
      </c>
      <c r="AB460" s="20">
        <v>0</v>
      </c>
      <c r="AC460" s="20">
        <v>119000</v>
      </c>
      <c r="AD460" s="20">
        <v>82110</v>
      </c>
      <c r="AE460" s="20">
        <v>0</v>
      </c>
      <c r="AF460" s="20">
        <v>10000</v>
      </c>
      <c r="AG460" s="20">
        <v>109000</v>
      </c>
      <c r="AH460" s="20">
        <v>82110</v>
      </c>
      <c r="AI460" s="20">
        <v>24445</v>
      </c>
      <c r="AJ460" s="20">
        <v>2445</v>
      </c>
      <c r="AK460" s="20">
        <v>26890</v>
      </c>
    </row>
    <row r="461" spans="1:37" ht="16.5" customHeight="1" x14ac:dyDescent="0.3">
      <c r="A461" s="18" t="s">
        <v>1330</v>
      </c>
      <c r="B461" s="18" t="s">
        <v>107</v>
      </c>
      <c r="C461" s="19" t="s">
        <v>108</v>
      </c>
      <c r="D461" s="18" t="s">
        <v>1346</v>
      </c>
      <c r="E461" s="19" t="s">
        <v>169</v>
      </c>
      <c r="F461" s="18" t="s">
        <v>110</v>
      </c>
      <c r="G461" s="18" t="s">
        <v>111</v>
      </c>
      <c r="H461" s="19" t="s">
        <v>112</v>
      </c>
      <c r="I461" s="18" t="s">
        <v>113</v>
      </c>
      <c r="J461" s="19" t="s">
        <v>114</v>
      </c>
      <c r="K461" s="19" t="s">
        <v>151</v>
      </c>
      <c r="L461" s="18" t="s">
        <v>116</v>
      </c>
      <c r="M461" s="18" t="s">
        <v>1286</v>
      </c>
      <c r="N461" s="18" t="s">
        <v>118</v>
      </c>
      <c r="O461" s="20">
        <v>119000</v>
      </c>
      <c r="P461" s="20">
        <v>82110</v>
      </c>
      <c r="Q461" s="20">
        <v>1</v>
      </c>
      <c r="R461" s="20">
        <v>0</v>
      </c>
      <c r="S461" s="20">
        <v>0</v>
      </c>
      <c r="T461" s="20">
        <v>0</v>
      </c>
      <c r="U461" s="20">
        <v>0</v>
      </c>
      <c r="V461" s="20">
        <v>0</v>
      </c>
      <c r="W461" s="20">
        <v>31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119000</v>
      </c>
      <c r="AD461" s="20">
        <v>82110</v>
      </c>
      <c r="AE461" s="20">
        <v>0</v>
      </c>
      <c r="AF461" s="20">
        <v>0</v>
      </c>
      <c r="AG461" s="20">
        <v>119000</v>
      </c>
      <c r="AH461" s="20">
        <v>82110</v>
      </c>
      <c r="AI461" s="20">
        <v>33536</v>
      </c>
      <c r="AJ461" s="20">
        <v>3354</v>
      </c>
      <c r="AK461" s="20">
        <v>36890</v>
      </c>
    </row>
    <row r="462" spans="1:37" ht="16.5" customHeight="1" x14ac:dyDescent="0.3">
      <c r="A462" s="18" t="s">
        <v>1332</v>
      </c>
      <c r="B462" s="18" t="s">
        <v>107</v>
      </c>
      <c r="C462" s="19" t="s">
        <v>108</v>
      </c>
      <c r="D462" s="18" t="s">
        <v>1329</v>
      </c>
      <c r="E462" s="19" t="s">
        <v>119</v>
      </c>
      <c r="F462" s="18" t="s">
        <v>110</v>
      </c>
      <c r="G462" s="18" t="s">
        <v>111</v>
      </c>
      <c r="H462" s="19" t="s">
        <v>112</v>
      </c>
      <c r="I462" s="18" t="s">
        <v>113</v>
      </c>
      <c r="J462" s="19" t="s">
        <v>114</v>
      </c>
      <c r="K462" s="19" t="s">
        <v>151</v>
      </c>
      <c r="L462" s="18" t="s">
        <v>116</v>
      </c>
      <c r="M462" s="18" t="s">
        <v>1286</v>
      </c>
      <c r="N462" s="18" t="s">
        <v>118</v>
      </c>
      <c r="O462" s="20">
        <v>119000</v>
      </c>
      <c r="P462" s="20">
        <v>82110</v>
      </c>
      <c r="Q462" s="20">
        <v>3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31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357000</v>
      </c>
      <c r="AD462" s="20">
        <v>246330</v>
      </c>
      <c r="AE462" s="20">
        <v>0</v>
      </c>
      <c r="AF462" s="20">
        <v>0</v>
      </c>
      <c r="AG462" s="20">
        <v>357000</v>
      </c>
      <c r="AH462" s="20">
        <v>246330</v>
      </c>
      <c r="AI462" s="20">
        <v>100609</v>
      </c>
      <c r="AJ462" s="20">
        <v>10061</v>
      </c>
      <c r="AK462" s="20">
        <v>110670</v>
      </c>
    </row>
    <row r="463" spans="1:37" ht="16.5" customHeight="1" x14ac:dyDescent="0.3">
      <c r="A463" s="18" t="s">
        <v>1335</v>
      </c>
      <c r="B463" s="18" t="s">
        <v>107</v>
      </c>
      <c r="C463" s="19" t="s">
        <v>108</v>
      </c>
      <c r="D463" s="18" t="s">
        <v>1331</v>
      </c>
      <c r="E463" s="19" t="s">
        <v>229</v>
      </c>
      <c r="F463" s="18" t="s">
        <v>110</v>
      </c>
      <c r="G463" s="18" t="s">
        <v>111</v>
      </c>
      <c r="H463" s="19" t="s">
        <v>112</v>
      </c>
      <c r="I463" s="18" t="s">
        <v>113</v>
      </c>
      <c r="J463" s="19" t="s">
        <v>114</v>
      </c>
      <c r="K463" s="19" t="s">
        <v>151</v>
      </c>
      <c r="L463" s="18" t="s">
        <v>116</v>
      </c>
      <c r="M463" s="18" t="s">
        <v>1286</v>
      </c>
      <c r="N463" s="18" t="s">
        <v>118</v>
      </c>
      <c r="O463" s="20">
        <v>119000</v>
      </c>
      <c r="P463" s="20">
        <v>82110</v>
      </c>
      <c r="Q463" s="20">
        <v>1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31</v>
      </c>
      <c r="X463" s="20">
        <v>0</v>
      </c>
      <c r="Y463" s="20">
        <v>0</v>
      </c>
      <c r="Z463" s="20">
        <v>0</v>
      </c>
      <c r="AA463" s="20">
        <v>0</v>
      </c>
      <c r="AB463" s="20">
        <v>5950</v>
      </c>
      <c r="AC463" s="20">
        <v>119000</v>
      </c>
      <c r="AD463" s="20">
        <v>82110</v>
      </c>
      <c r="AE463" s="20">
        <v>0</v>
      </c>
      <c r="AF463" s="20">
        <v>5950</v>
      </c>
      <c r="AG463" s="20">
        <v>113050</v>
      </c>
      <c r="AH463" s="20">
        <v>82110</v>
      </c>
      <c r="AI463" s="20">
        <v>28127</v>
      </c>
      <c r="AJ463" s="20">
        <v>2813</v>
      </c>
      <c r="AK463" s="20">
        <v>30940</v>
      </c>
    </row>
    <row r="464" spans="1:37" ht="16.5" customHeight="1" x14ac:dyDescent="0.3">
      <c r="A464" s="18" t="s">
        <v>1337</v>
      </c>
      <c r="B464" s="18" t="s">
        <v>107</v>
      </c>
      <c r="C464" s="19" t="s">
        <v>108</v>
      </c>
      <c r="D464" s="18" t="s">
        <v>1348</v>
      </c>
      <c r="E464" s="19" t="s">
        <v>970</v>
      </c>
      <c r="F464" s="18" t="s">
        <v>110</v>
      </c>
      <c r="G464" s="18" t="s">
        <v>111</v>
      </c>
      <c r="H464" s="19" t="s">
        <v>112</v>
      </c>
      <c r="I464" s="18" t="s">
        <v>113</v>
      </c>
      <c r="J464" s="19" t="s">
        <v>114</v>
      </c>
      <c r="K464" s="19" t="s">
        <v>151</v>
      </c>
      <c r="L464" s="18" t="s">
        <v>116</v>
      </c>
      <c r="M464" s="18" t="s">
        <v>1286</v>
      </c>
      <c r="N464" s="18" t="s">
        <v>118</v>
      </c>
      <c r="O464" s="20">
        <v>119000</v>
      </c>
      <c r="P464" s="20">
        <v>82110</v>
      </c>
      <c r="Q464" s="20">
        <v>1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31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119000</v>
      </c>
      <c r="AD464" s="20">
        <v>82110</v>
      </c>
      <c r="AE464" s="20">
        <v>0</v>
      </c>
      <c r="AF464" s="20">
        <v>0</v>
      </c>
      <c r="AG464" s="20">
        <v>119000</v>
      </c>
      <c r="AH464" s="20">
        <v>82110</v>
      </c>
      <c r="AI464" s="20">
        <v>33536</v>
      </c>
      <c r="AJ464" s="20">
        <v>3354</v>
      </c>
      <c r="AK464" s="20">
        <v>36890</v>
      </c>
    </row>
    <row r="465" spans="1:37" ht="16.5" customHeight="1" x14ac:dyDescent="0.3">
      <c r="A465" s="18" t="s">
        <v>1339</v>
      </c>
      <c r="B465" s="18" t="s">
        <v>107</v>
      </c>
      <c r="C465" s="19" t="s">
        <v>108</v>
      </c>
      <c r="D465" s="18" t="s">
        <v>1350</v>
      </c>
      <c r="E465" s="19" t="s">
        <v>1351</v>
      </c>
      <c r="F465" s="18" t="s">
        <v>110</v>
      </c>
      <c r="G465" s="18" t="s">
        <v>111</v>
      </c>
      <c r="H465" s="19" t="s">
        <v>112</v>
      </c>
      <c r="I465" s="18" t="s">
        <v>113</v>
      </c>
      <c r="J465" s="19" t="s">
        <v>114</v>
      </c>
      <c r="K465" s="19" t="s">
        <v>151</v>
      </c>
      <c r="L465" s="18" t="s">
        <v>116</v>
      </c>
      <c r="M465" s="18" t="s">
        <v>1286</v>
      </c>
      <c r="N465" s="18" t="s">
        <v>118</v>
      </c>
      <c r="O465" s="20">
        <v>119000</v>
      </c>
      <c r="P465" s="20">
        <v>82110</v>
      </c>
      <c r="Q465" s="20">
        <v>1</v>
      </c>
      <c r="R465" s="20">
        <v>0</v>
      </c>
      <c r="S465" s="20">
        <v>0</v>
      </c>
      <c r="T465" s="20">
        <v>0</v>
      </c>
      <c r="U465" s="20">
        <v>0</v>
      </c>
      <c r="V465" s="20">
        <v>0</v>
      </c>
      <c r="W465" s="20">
        <v>31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119000</v>
      </c>
      <c r="AD465" s="20">
        <v>82110</v>
      </c>
      <c r="AE465" s="20">
        <v>0</v>
      </c>
      <c r="AF465" s="20">
        <v>0</v>
      </c>
      <c r="AG465" s="20">
        <v>119000</v>
      </c>
      <c r="AH465" s="20">
        <v>82110</v>
      </c>
      <c r="AI465" s="20">
        <v>33536</v>
      </c>
      <c r="AJ465" s="20">
        <v>3354</v>
      </c>
      <c r="AK465" s="20">
        <v>36890</v>
      </c>
    </row>
    <row r="466" spans="1:37" ht="16.5" customHeight="1" x14ac:dyDescent="0.3">
      <c r="A466" s="18" t="s">
        <v>1342</v>
      </c>
      <c r="B466" s="18" t="s">
        <v>107</v>
      </c>
      <c r="C466" s="19" t="s">
        <v>108</v>
      </c>
      <c r="D466" s="18" t="s">
        <v>1353</v>
      </c>
      <c r="E466" s="19" t="s">
        <v>1354</v>
      </c>
      <c r="F466" s="18" t="s">
        <v>110</v>
      </c>
      <c r="G466" s="18" t="s">
        <v>111</v>
      </c>
      <c r="H466" s="19" t="s">
        <v>112</v>
      </c>
      <c r="I466" s="18" t="s">
        <v>113</v>
      </c>
      <c r="J466" s="19" t="s">
        <v>114</v>
      </c>
      <c r="K466" s="19" t="s">
        <v>151</v>
      </c>
      <c r="L466" s="18" t="s">
        <v>116</v>
      </c>
      <c r="M466" s="18" t="s">
        <v>1286</v>
      </c>
      <c r="N466" s="18" t="s">
        <v>118</v>
      </c>
      <c r="O466" s="20">
        <v>119000</v>
      </c>
      <c r="P466" s="20">
        <v>82110</v>
      </c>
      <c r="Q466" s="20">
        <v>1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31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119000</v>
      </c>
      <c r="AD466" s="20">
        <v>82110</v>
      </c>
      <c r="AE466" s="20">
        <v>0</v>
      </c>
      <c r="AF466" s="20">
        <v>0</v>
      </c>
      <c r="AG466" s="20">
        <v>119000</v>
      </c>
      <c r="AH466" s="20">
        <v>82110</v>
      </c>
      <c r="AI466" s="20">
        <v>33536</v>
      </c>
      <c r="AJ466" s="20">
        <v>3354</v>
      </c>
      <c r="AK466" s="20">
        <v>36890</v>
      </c>
    </row>
    <row r="467" spans="1:37" ht="16.5" customHeight="1" x14ac:dyDescent="0.3">
      <c r="A467" s="18" t="s">
        <v>1345</v>
      </c>
      <c r="B467" s="18" t="s">
        <v>107</v>
      </c>
      <c r="C467" s="19" t="s">
        <v>108</v>
      </c>
      <c r="D467" s="18" t="s">
        <v>1356</v>
      </c>
      <c r="E467" s="19" t="s">
        <v>1357</v>
      </c>
      <c r="F467" s="18" t="s">
        <v>110</v>
      </c>
      <c r="G467" s="18" t="s">
        <v>111</v>
      </c>
      <c r="H467" s="19" t="s">
        <v>112</v>
      </c>
      <c r="I467" s="18" t="s">
        <v>113</v>
      </c>
      <c r="J467" s="19" t="s">
        <v>114</v>
      </c>
      <c r="K467" s="19" t="s">
        <v>115</v>
      </c>
      <c r="L467" s="18" t="s">
        <v>116</v>
      </c>
      <c r="M467" s="18" t="s">
        <v>1286</v>
      </c>
      <c r="N467" s="18" t="s">
        <v>118</v>
      </c>
      <c r="O467" s="20">
        <v>119000</v>
      </c>
      <c r="P467" s="20">
        <v>82110</v>
      </c>
      <c r="Q467" s="20">
        <v>1</v>
      </c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>
        <v>31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119000</v>
      </c>
      <c r="AD467" s="20">
        <v>82110</v>
      </c>
      <c r="AE467" s="20">
        <v>0</v>
      </c>
      <c r="AF467" s="20">
        <v>0</v>
      </c>
      <c r="AG467" s="20">
        <v>119000</v>
      </c>
      <c r="AH467" s="20">
        <v>82110</v>
      </c>
      <c r="AI467" s="20">
        <v>33536</v>
      </c>
      <c r="AJ467" s="20">
        <v>3354</v>
      </c>
      <c r="AK467" s="20">
        <v>36890</v>
      </c>
    </row>
    <row r="468" spans="1:37" ht="16.5" customHeight="1" x14ac:dyDescent="0.3">
      <c r="A468" s="18" t="s">
        <v>1347</v>
      </c>
      <c r="B468" s="18" t="s">
        <v>107</v>
      </c>
      <c r="C468" s="19" t="s">
        <v>108</v>
      </c>
      <c r="D468" s="18" t="s">
        <v>1359</v>
      </c>
      <c r="E468" s="19" t="s">
        <v>1360</v>
      </c>
      <c r="F468" s="18" t="s">
        <v>110</v>
      </c>
      <c r="G468" s="18" t="s">
        <v>111</v>
      </c>
      <c r="H468" s="19" t="s">
        <v>112</v>
      </c>
      <c r="I468" s="18" t="s">
        <v>113</v>
      </c>
      <c r="J468" s="19" t="s">
        <v>114</v>
      </c>
      <c r="K468" s="19" t="s">
        <v>151</v>
      </c>
      <c r="L468" s="18" t="s">
        <v>116</v>
      </c>
      <c r="M468" s="18" t="s">
        <v>1286</v>
      </c>
      <c r="N468" s="18" t="s">
        <v>118</v>
      </c>
      <c r="O468" s="20">
        <v>119000</v>
      </c>
      <c r="P468" s="20">
        <v>82110</v>
      </c>
      <c r="Q468" s="20">
        <v>1</v>
      </c>
      <c r="R468" s="20">
        <v>0</v>
      </c>
      <c r="S468" s="20">
        <v>0</v>
      </c>
      <c r="T468" s="20">
        <v>0</v>
      </c>
      <c r="U468" s="20">
        <v>0</v>
      </c>
      <c r="V468" s="20">
        <v>0</v>
      </c>
      <c r="W468" s="20">
        <v>31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119000</v>
      </c>
      <c r="AD468" s="20">
        <v>82110</v>
      </c>
      <c r="AE468" s="20">
        <v>0</v>
      </c>
      <c r="AF468" s="20">
        <v>0</v>
      </c>
      <c r="AG468" s="20">
        <v>119000</v>
      </c>
      <c r="AH468" s="20">
        <v>82110</v>
      </c>
      <c r="AI468" s="20">
        <v>33536</v>
      </c>
      <c r="AJ468" s="20">
        <v>3354</v>
      </c>
      <c r="AK468" s="20">
        <v>36890</v>
      </c>
    </row>
    <row r="469" spans="1:37" ht="16.5" customHeight="1" x14ac:dyDescent="0.3">
      <c r="A469" s="18" t="s">
        <v>1349</v>
      </c>
      <c r="B469" s="18" t="s">
        <v>107</v>
      </c>
      <c r="C469" s="19" t="s">
        <v>108</v>
      </c>
      <c r="D469" s="18" t="s">
        <v>1362</v>
      </c>
      <c r="E469" s="19" t="s">
        <v>1363</v>
      </c>
      <c r="F469" s="18" t="s">
        <v>110</v>
      </c>
      <c r="G469" s="18" t="s">
        <v>111</v>
      </c>
      <c r="H469" s="19" t="s">
        <v>112</v>
      </c>
      <c r="I469" s="18" t="s">
        <v>113</v>
      </c>
      <c r="J469" s="19" t="s">
        <v>114</v>
      </c>
      <c r="K469" s="19" t="s">
        <v>115</v>
      </c>
      <c r="L469" s="18" t="s">
        <v>116</v>
      </c>
      <c r="M469" s="18" t="s">
        <v>1286</v>
      </c>
      <c r="N469" s="18" t="s">
        <v>118</v>
      </c>
      <c r="O469" s="20">
        <v>119000</v>
      </c>
      <c r="P469" s="20">
        <v>82110</v>
      </c>
      <c r="Q469" s="20">
        <v>1</v>
      </c>
      <c r="R469" s="20">
        <v>0</v>
      </c>
      <c r="S469" s="20">
        <v>0</v>
      </c>
      <c r="T469" s="20">
        <v>0</v>
      </c>
      <c r="U469" s="20">
        <v>0</v>
      </c>
      <c r="V469" s="20">
        <v>0</v>
      </c>
      <c r="W469" s="20">
        <v>31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119000</v>
      </c>
      <c r="AD469" s="20">
        <v>82110</v>
      </c>
      <c r="AE469" s="20">
        <v>0</v>
      </c>
      <c r="AF469" s="20">
        <v>0</v>
      </c>
      <c r="AG469" s="20">
        <v>119000</v>
      </c>
      <c r="AH469" s="20">
        <v>82110</v>
      </c>
      <c r="AI469" s="20">
        <v>33536</v>
      </c>
      <c r="AJ469" s="20">
        <v>3354</v>
      </c>
      <c r="AK469" s="20">
        <v>36890</v>
      </c>
    </row>
    <row r="470" spans="1:37" ht="16.5" customHeight="1" x14ac:dyDescent="0.3">
      <c r="A470" s="18" t="s">
        <v>1352</v>
      </c>
      <c r="B470" s="18" t="s">
        <v>107</v>
      </c>
      <c r="C470" s="19" t="s">
        <v>108</v>
      </c>
      <c r="D470" s="18" t="s">
        <v>1365</v>
      </c>
      <c r="E470" s="19" t="s">
        <v>773</v>
      </c>
      <c r="F470" s="18" t="s">
        <v>110</v>
      </c>
      <c r="G470" s="18" t="s">
        <v>111</v>
      </c>
      <c r="H470" s="19" t="s">
        <v>112</v>
      </c>
      <c r="I470" s="18" t="s">
        <v>113</v>
      </c>
      <c r="J470" s="19" t="s">
        <v>114</v>
      </c>
      <c r="K470" s="19" t="s">
        <v>151</v>
      </c>
      <c r="L470" s="18" t="s">
        <v>116</v>
      </c>
      <c r="M470" s="18" t="s">
        <v>1286</v>
      </c>
      <c r="N470" s="18" t="s">
        <v>118</v>
      </c>
      <c r="O470" s="20">
        <v>119000</v>
      </c>
      <c r="P470" s="20">
        <v>82110</v>
      </c>
      <c r="Q470" s="20">
        <v>1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31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119000</v>
      </c>
      <c r="AD470" s="20">
        <v>82110</v>
      </c>
      <c r="AE470" s="20">
        <v>0</v>
      </c>
      <c r="AF470" s="20">
        <v>0</v>
      </c>
      <c r="AG470" s="20">
        <v>119000</v>
      </c>
      <c r="AH470" s="20">
        <v>82110</v>
      </c>
      <c r="AI470" s="20">
        <v>33536</v>
      </c>
      <c r="AJ470" s="20">
        <v>3354</v>
      </c>
      <c r="AK470" s="20">
        <v>36890</v>
      </c>
    </row>
    <row r="471" spans="1:37" ht="16.5" customHeight="1" x14ac:dyDescent="0.3">
      <c r="A471" s="18" t="s">
        <v>1355</v>
      </c>
      <c r="B471" s="18" t="s">
        <v>107</v>
      </c>
      <c r="C471" s="19" t="s">
        <v>108</v>
      </c>
      <c r="D471" s="18" t="s">
        <v>1336</v>
      </c>
      <c r="E471" s="19" t="s">
        <v>891</v>
      </c>
      <c r="F471" s="18" t="s">
        <v>110</v>
      </c>
      <c r="G471" s="18" t="s">
        <v>111</v>
      </c>
      <c r="H471" s="19" t="s">
        <v>112</v>
      </c>
      <c r="I471" s="18" t="s">
        <v>113</v>
      </c>
      <c r="J471" s="19" t="s">
        <v>114</v>
      </c>
      <c r="K471" s="19" t="s">
        <v>151</v>
      </c>
      <c r="L471" s="18" t="s">
        <v>116</v>
      </c>
      <c r="M471" s="18" t="s">
        <v>1286</v>
      </c>
      <c r="N471" s="18" t="s">
        <v>118</v>
      </c>
      <c r="O471" s="20">
        <v>119000</v>
      </c>
      <c r="P471" s="20">
        <v>82110</v>
      </c>
      <c r="Q471" s="20">
        <v>1</v>
      </c>
      <c r="R471" s="20">
        <v>0</v>
      </c>
      <c r="S471" s="20">
        <v>0</v>
      </c>
      <c r="T471" s="20">
        <v>0</v>
      </c>
      <c r="U471" s="20">
        <v>0</v>
      </c>
      <c r="V471" s="20">
        <v>0</v>
      </c>
      <c r="W471" s="20">
        <v>31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119000</v>
      </c>
      <c r="AD471" s="20">
        <v>82110</v>
      </c>
      <c r="AE471" s="20">
        <v>0</v>
      </c>
      <c r="AF471" s="20">
        <v>0</v>
      </c>
      <c r="AG471" s="20">
        <v>119000</v>
      </c>
      <c r="AH471" s="20">
        <v>82110</v>
      </c>
      <c r="AI471" s="20">
        <v>33536</v>
      </c>
      <c r="AJ471" s="20">
        <v>3354</v>
      </c>
      <c r="AK471" s="20">
        <v>36890</v>
      </c>
    </row>
    <row r="472" spans="1:37" ht="16.5" customHeight="1" x14ac:dyDescent="0.3">
      <c r="A472" s="18" t="s">
        <v>1358</v>
      </c>
      <c r="B472" s="18" t="s">
        <v>107</v>
      </c>
      <c r="C472" s="19" t="s">
        <v>108</v>
      </c>
      <c r="D472" s="18" t="s">
        <v>1338</v>
      </c>
      <c r="E472" s="19" t="s">
        <v>949</v>
      </c>
      <c r="F472" s="18" t="s">
        <v>110</v>
      </c>
      <c r="G472" s="18" t="s">
        <v>111</v>
      </c>
      <c r="H472" s="19" t="s">
        <v>112</v>
      </c>
      <c r="I472" s="18" t="s">
        <v>113</v>
      </c>
      <c r="J472" s="19" t="s">
        <v>114</v>
      </c>
      <c r="K472" s="19" t="s">
        <v>115</v>
      </c>
      <c r="L472" s="18" t="s">
        <v>116</v>
      </c>
      <c r="M472" s="18" t="s">
        <v>1286</v>
      </c>
      <c r="N472" s="18" t="s">
        <v>118</v>
      </c>
      <c r="O472" s="20">
        <v>119000</v>
      </c>
      <c r="P472" s="20">
        <v>82110</v>
      </c>
      <c r="Q472" s="20">
        <v>1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31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119000</v>
      </c>
      <c r="AD472" s="20">
        <v>82110</v>
      </c>
      <c r="AE472" s="20">
        <v>0</v>
      </c>
      <c r="AF472" s="20">
        <v>0</v>
      </c>
      <c r="AG472" s="20">
        <v>119000</v>
      </c>
      <c r="AH472" s="20">
        <v>82110</v>
      </c>
      <c r="AI472" s="20">
        <v>33536</v>
      </c>
      <c r="AJ472" s="20">
        <v>3354</v>
      </c>
      <c r="AK472" s="20">
        <v>36890</v>
      </c>
    </row>
    <row r="473" spans="1:37" ht="16.5" customHeight="1" x14ac:dyDescent="0.3">
      <c r="A473" s="18" t="s">
        <v>1361</v>
      </c>
      <c r="B473" s="18" t="s">
        <v>107</v>
      </c>
      <c r="C473" s="19" t="s">
        <v>108</v>
      </c>
      <c r="D473" s="18" t="s">
        <v>1367</v>
      </c>
      <c r="E473" s="19" t="s">
        <v>1368</v>
      </c>
      <c r="F473" s="18" t="s">
        <v>110</v>
      </c>
      <c r="G473" s="18" t="s">
        <v>111</v>
      </c>
      <c r="H473" s="19" t="s">
        <v>112</v>
      </c>
      <c r="I473" s="18" t="s">
        <v>113</v>
      </c>
      <c r="J473" s="19" t="s">
        <v>114</v>
      </c>
      <c r="K473" s="19" t="s">
        <v>115</v>
      </c>
      <c r="L473" s="18" t="s">
        <v>116</v>
      </c>
      <c r="M473" s="18" t="s">
        <v>1286</v>
      </c>
      <c r="N473" s="18" t="s">
        <v>118</v>
      </c>
      <c r="O473" s="20">
        <v>119000</v>
      </c>
      <c r="P473" s="20">
        <v>82110</v>
      </c>
      <c r="Q473" s="20">
        <v>1</v>
      </c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>
        <v>31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119000</v>
      </c>
      <c r="AD473" s="20">
        <v>82110</v>
      </c>
      <c r="AE473" s="20">
        <v>0</v>
      </c>
      <c r="AF473" s="20">
        <v>0</v>
      </c>
      <c r="AG473" s="20">
        <v>119000</v>
      </c>
      <c r="AH473" s="20">
        <v>82110</v>
      </c>
      <c r="AI473" s="20">
        <v>33536</v>
      </c>
      <c r="AJ473" s="20">
        <v>3354</v>
      </c>
      <c r="AK473" s="20">
        <v>36890</v>
      </c>
    </row>
    <row r="474" spans="1:37" ht="16.5" customHeight="1" x14ac:dyDescent="0.3">
      <c r="A474" s="18" t="s">
        <v>1364</v>
      </c>
      <c r="B474" s="18" t="s">
        <v>107</v>
      </c>
      <c r="C474" s="19" t="s">
        <v>108</v>
      </c>
      <c r="D474" s="18" t="s">
        <v>1285</v>
      </c>
      <c r="E474" s="19" t="s">
        <v>496</v>
      </c>
      <c r="F474" s="18" t="s">
        <v>110</v>
      </c>
      <c r="G474" s="18" t="s">
        <v>111</v>
      </c>
      <c r="H474" s="19" t="s">
        <v>112</v>
      </c>
      <c r="I474" s="18" t="s">
        <v>113</v>
      </c>
      <c r="J474" s="19" t="s">
        <v>114</v>
      </c>
      <c r="K474" s="19" t="s">
        <v>151</v>
      </c>
      <c r="L474" s="18" t="s">
        <v>116</v>
      </c>
      <c r="M474" s="18" t="s">
        <v>1286</v>
      </c>
      <c r="N474" s="18" t="s">
        <v>118</v>
      </c>
      <c r="O474" s="20">
        <v>119000</v>
      </c>
      <c r="P474" s="20">
        <v>82110</v>
      </c>
      <c r="Q474" s="20">
        <v>1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31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119000</v>
      </c>
      <c r="AD474" s="20">
        <v>82110</v>
      </c>
      <c r="AE474" s="20">
        <v>0</v>
      </c>
      <c r="AF474" s="20">
        <v>0</v>
      </c>
      <c r="AG474" s="20">
        <v>119000</v>
      </c>
      <c r="AH474" s="20">
        <v>82110</v>
      </c>
      <c r="AI474" s="20">
        <v>33536</v>
      </c>
      <c r="AJ474" s="20">
        <v>3354</v>
      </c>
      <c r="AK474" s="20">
        <v>36890</v>
      </c>
    </row>
    <row r="475" spans="1:37" ht="16.5" customHeight="1" x14ac:dyDescent="0.3">
      <c r="A475" s="18" t="s">
        <v>1366</v>
      </c>
      <c r="B475" s="18" t="s">
        <v>107</v>
      </c>
      <c r="C475" s="19" t="s">
        <v>108</v>
      </c>
      <c r="D475" s="18" t="s">
        <v>1301</v>
      </c>
      <c r="E475" s="19" t="s">
        <v>417</v>
      </c>
      <c r="F475" s="18" t="s">
        <v>110</v>
      </c>
      <c r="G475" s="18" t="s">
        <v>111</v>
      </c>
      <c r="H475" s="19" t="s">
        <v>112</v>
      </c>
      <c r="I475" s="18" t="s">
        <v>113</v>
      </c>
      <c r="J475" s="19" t="s">
        <v>114</v>
      </c>
      <c r="K475" s="19" t="s">
        <v>115</v>
      </c>
      <c r="L475" s="18" t="s">
        <v>116</v>
      </c>
      <c r="M475" s="18" t="s">
        <v>1286</v>
      </c>
      <c r="N475" s="18" t="s">
        <v>121</v>
      </c>
      <c r="O475" s="20">
        <v>119000</v>
      </c>
      <c r="P475" s="20">
        <v>80920</v>
      </c>
      <c r="Q475" s="20">
        <v>-1</v>
      </c>
      <c r="R475" s="20">
        <v>0</v>
      </c>
      <c r="S475" s="20">
        <v>0</v>
      </c>
      <c r="T475" s="20">
        <v>0</v>
      </c>
      <c r="U475" s="20">
        <v>0</v>
      </c>
      <c r="V475" s="20">
        <v>0</v>
      </c>
      <c r="W475" s="20">
        <v>32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-119000</v>
      </c>
      <c r="AD475" s="20">
        <v>-80920</v>
      </c>
      <c r="AE475" s="20">
        <v>0</v>
      </c>
      <c r="AF475" s="20">
        <v>0</v>
      </c>
      <c r="AG475" s="20">
        <v>-119000</v>
      </c>
      <c r="AH475" s="20">
        <v>-80920</v>
      </c>
      <c r="AI475" s="20">
        <v>-34618</v>
      </c>
      <c r="AJ475" s="20">
        <v>-3462</v>
      </c>
      <c r="AK475" s="20">
        <v>-38080</v>
      </c>
    </row>
    <row r="476" spans="1:37" ht="16.5" customHeight="1" x14ac:dyDescent="0.3">
      <c r="A476" s="18" t="s">
        <v>1369</v>
      </c>
      <c r="B476" s="18" t="s">
        <v>107</v>
      </c>
      <c r="C476" s="19" t="s">
        <v>108</v>
      </c>
      <c r="D476" s="18" t="s">
        <v>1372</v>
      </c>
      <c r="E476" s="19" t="s">
        <v>169</v>
      </c>
      <c r="F476" s="18" t="s">
        <v>1275</v>
      </c>
      <c r="G476" s="18" t="s">
        <v>111</v>
      </c>
      <c r="H476" s="19" t="s">
        <v>1276</v>
      </c>
      <c r="I476" s="18" t="s">
        <v>113</v>
      </c>
      <c r="J476" s="19" t="s">
        <v>114</v>
      </c>
      <c r="K476" s="19" t="s">
        <v>123</v>
      </c>
      <c r="L476" s="18" t="s">
        <v>116</v>
      </c>
      <c r="M476" s="18" t="s">
        <v>1286</v>
      </c>
      <c r="N476" s="18" t="s">
        <v>118</v>
      </c>
      <c r="O476" s="20">
        <v>78000</v>
      </c>
      <c r="P476" s="20">
        <v>53820</v>
      </c>
      <c r="Q476" s="20">
        <v>1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31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78000</v>
      </c>
      <c r="AD476" s="20">
        <v>53820</v>
      </c>
      <c r="AE476" s="20">
        <v>0</v>
      </c>
      <c r="AF476" s="20">
        <v>0</v>
      </c>
      <c r="AG476" s="20">
        <v>78000</v>
      </c>
      <c r="AH476" s="20">
        <v>53820</v>
      </c>
      <c r="AI476" s="20">
        <v>21982</v>
      </c>
      <c r="AJ476" s="20">
        <v>2198</v>
      </c>
      <c r="AK476" s="20">
        <v>24180</v>
      </c>
    </row>
    <row r="477" spans="1:37" ht="16.5" customHeight="1" x14ac:dyDescent="0.3">
      <c r="A477" s="18" t="s">
        <v>1371</v>
      </c>
      <c r="B477" s="18" t="s">
        <v>107</v>
      </c>
      <c r="C477" s="19" t="s">
        <v>108</v>
      </c>
      <c r="D477" s="18" t="s">
        <v>1374</v>
      </c>
      <c r="E477" s="19" t="s">
        <v>1375</v>
      </c>
      <c r="F477" s="18" t="s">
        <v>1275</v>
      </c>
      <c r="G477" s="18" t="s">
        <v>111</v>
      </c>
      <c r="H477" s="19" t="s">
        <v>1276</v>
      </c>
      <c r="I477" s="18" t="s">
        <v>113</v>
      </c>
      <c r="J477" s="19" t="s">
        <v>114</v>
      </c>
      <c r="K477" s="19" t="s">
        <v>115</v>
      </c>
      <c r="L477" s="18" t="s">
        <v>116</v>
      </c>
      <c r="M477" s="18" t="s">
        <v>1286</v>
      </c>
      <c r="N477" s="18" t="s">
        <v>118</v>
      </c>
      <c r="O477" s="20">
        <v>78000</v>
      </c>
      <c r="P477" s="20">
        <v>53820</v>
      </c>
      <c r="Q477" s="20">
        <v>1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31</v>
      </c>
      <c r="X477" s="20">
        <v>12480</v>
      </c>
      <c r="Y477" s="20">
        <v>0</v>
      </c>
      <c r="Z477" s="20">
        <v>0</v>
      </c>
      <c r="AA477" s="20">
        <v>0</v>
      </c>
      <c r="AB477" s="20">
        <v>0</v>
      </c>
      <c r="AC477" s="20">
        <v>78000</v>
      </c>
      <c r="AD477" s="20">
        <v>53820</v>
      </c>
      <c r="AE477" s="20">
        <v>0</v>
      </c>
      <c r="AF477" s="20">
        <v>12480</v>
      </c>
      <c r="AG477" s="20">
        <v>65520</v>
      </c>
      <c r="AH477" s="20">
        <v>53820</v>
      </c>
      <c r="AI477" s="20">
        <v>10636</v>
      </c>
      <c r="AJ477" s="20">
        <v>1064</v>
      </c>
      <c r="AK477" s="20">
        <v>11700</v>
      </c>
    </row>
    <row r="478" spans="1:37" ht="16.5" customHeight="1" x14ac:dyDescent="0.3">
      <c r="A478" s="18" t="s">
        <v>1373</v>
      </c>
      <c r="B478" s="18" t="s">
        <v>107</v>
      </c>
      <c r="C478" s="19" t="s">
        <v>108</v>
      </c>
      <c r="D478" s="18" t="s">
        <v>1370</v>
      </c>
      <c r="E478" s="19" t="s">
        <v>1274</v>
      </c>
      <c r="F478" s="18" t="s">
        <v>1275</v>
      </c>
      <c r="G478" s="18" t="s">
        <v>111</v>
      </c>
      <c r="H478" s="19" t="s">
        <v>1276</v>
      </c>
      <c r="I478" s="18" t="s">
        <v>113</v>
      </c>
      <c r="J478" s="19" t="s">
        <v>114</v>
      </c>
      <c r="K478" s="19" t="s">
        <v>115</v>
      </c>
      <c r="L478" s="18" t="s">
        <v>116</v>
      </c>
      <c r="M478" s="18" t="s">
        <v>1286</v>
      </c>
      <c r="N478" s="18" t="s">
        <v>118</v>
      </c>
      <c r="O478" s="20">
        <v>78000</v>
      </c>
      <c r="P478" s="20">
        <v>53820</v>
      </c>
      <c r="Q478" s="20">
        <v>1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31</v>
      </c>
      <c r="X478" s="20">
        <v>11700</v>
      </c>
      <c r="Y478" s="20">
        <v>0</v>
      </c>
      <c r="Z478" s="20">
        <v>0</v>
      </c>
      <c r="AA478" s="20">
        <v>0</v>
      </c>
      <c r="AB478" s="20">
        <v>0</v>
      </c>
      <c r="AC478" s="20">
        <v>78000</v>
      </c>
      <c r="AD478" s="20">
        <v>53820</v>
      </c>
      <c r="AE478" s="20">
        <v>0</v>
      </c>
      <c r="AF478" s="20">
        <v>11700</v>
      </c>
      <c r="AG478" s="20">
        <v>66300</v>
      </c>
      <c r="AH478" s="20">
        <v>53820</v>
      </c>
      <c r="AI478" s="20">
        <v>11345</v>
      </c>
      <c r="AJ478" s="20">
        <v>1135</v>
      </c>
      <c r="AK478" s="20">
        <v>12480</v>
      </c>
    </row>
    <row r="479" spans="1:37" ht="16.5" customHeight="1" x14ac:dyDescent="0.3">
      <c r="A479" s="18" t="s">
        <v>1376</v>
      </c>
      <c r="B479" s="18" t="s">
        <v>107</v>
      </c>
      <c r="C479" s="19" t="s">
        <v>108</v>
      </c>
      <c r="D479" s="18" t="s">
        <v>1377</v>
      </c>
      <c r="E479" s="19" t="s">
        <v>1115</v>
      </c>
      <c r="F479" s="18" t="s">
        <v>110</v>
      </c>
      <c r="G479" s="18" t="s">
        <v>111</v>
      </c>
      <c r="H479" s="19" t="s">
        <v>112</v>
      </c>
      <c r="I479" s="18" t="s">
        <v>113</v>
      </c>
      <c r="J479" s="19" t="s">
        <v>114</v>
      </c>
      <c r="K479" s="19" t="s">
        <v>123</v>
      </c>
      <c r="L479" s="18" t="s">
        <v>116</v>
      </c>
      <c r="M479" s="18" t="s">
        <v>1378</v>
      </c>
      <c r="N479" s="18" t="s">
        <v>118</v>
      </c>
      <c r="O479" s="20">
        <v>119000</v>
      </c>
      <c r="P479" s="20">
        <v>82110</v>
      </c>
      <c r="Q479" s="20">
        <v>1</v>
      </c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>
        <v>31</v>
      </c>
      <c r="X479" s="20">
        <v>0</v>
      </c>
      <c r="Y479" s="20">
        <v>5950</v>
      </c>
      <c r="Z479" s="20">
        <v>0</v>
      </c>
      <c r="AA479" s="20">
        <v>0</v>
      </c>
      <c r="AB479" s="20">
        <v>0</v>
      </c>
      <c r="AC479" s="20">
        <v>119000</v>
      </c>
      <c r="AD479" s="20">
        <v>82110</v>
      </c>
      <c r="AE479" s="20">
        <v>0</v>
      </c>
      <c r="AF479" s="20">
        <v>5950</v>
      </c>
      <c r="AG479" s="20">
        <v>113050</v>
      </c>
      <c r="AH479" s="20">
        <v>82110</v>
      </c>
      <c r="AI479" s="20">
        <v>28127</v>
      </c>
      <c r="AJ479" s="20">
        <v>2813</v>
      </c>
      <c r="AK479" s="20">
        <v>30940</v>
      </c>
    </row>
    <row r="480" spans="1:37" ht="16.5" customHeight="1" x14ac:dyDescent="0.3">
      <c r="A480" s="18" t="s">
        <v>1379</v>
      </c>
      <c r="B480" s="18" t="s">
        <v>107</v>
      </c>
      <c r="C480" s="19" t="s">
        <v>108</v>
      </c>
      <c r="D480" s="18" t="s">
        <v>1380</v>
      </c>
      <c r="E480" s="19" t="s">
        <v>1381</v>
      </c>
      <c r="F480" s="18" t="s">
        <v>110</v>
      </c>
      <c r="G480" s="18" t="s">
        <v>111</v>
      </c>
      <c r="H480" s="19" t="s">
        <v>112</v>
      </c>
      <c r="I480" s="18" t="s">
        <v>113</v>
      </c>
      <c r="J480" s="19" t="s">
        <v>114</v>
      </c>
      <c r="K480" s="19" t="s">
        <v>115</v>
      </c>
      <c r="L480" s="18" t="s">
        <v>116</v>
      </c>
      <c r="M480" s="18" t="s">
        <v>1378</v>
      </c>
      <c r="N480" s="18" t="s">
        <v>121</v>
      </c>
      <c r="O480" s="20">
        <v>119000</v>
      </c>
      <c r="P480" s="20">
        <v>80920</v>
      </c>
      <c r="Q480" s="20">
        <v>-1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32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-119000</v>
      </c>
      <c r="AD480" s="20">
        <v>-80920</v>
      </c>
      <c r="AE480" s="20">
        <v>0</v>
      </c>
      <c r="AF480" s="20">
        <v>0</v>
      </c>
      <c r="AG480" s="20">
        <v>-119000</v>
      </c>
      <c r="AH480" s="20">
        <v>-80920</v>
      </c>
      <c r="AI480" s="20">
        <v>-34618</v>
      </c>
      <c r="AJ480" s="20">
        <v>-3462</v>
      </c>
      <c r="AK480" s="20">
        <v>-38080</v>
      </c>
    </row>
    <row r="481" spans="1:37" ht="16.5" customHeight="1" x14ac:dyDescent="0.3">
      <c r="A481" s="18" t="s">
        <v>1382</v>
      </c>
      <c r="B481" s="18" t="s">
        <v>107</v>
      </c>
      <c r="C481" s="19" t="s">
        <v>108</v>
      </c>
      <c r="D481" s="18" t="s">
        <v>1380</v>
      </c>
      <c r="E481" s="19" t="s">
        <v>1381</v>
      </c>
      <c r="F481" s="18" t="s">
        <v>110</v>
      </c>
      <c r="G481" s="18" t="s">
        <v>111</v>
      </c>
      <c r="H481" s="19" t="s">
        <v>112</v>
      </c>
      <c r="I481" s="18" t="s">
        <v>113</v>
      </c>
      <c r="J481" s="19" t="s">
        <v>114</v>
      </c>
      <c r="K481" s="19" t="s">
        <v>115</v>
      </c>
      <c r="L481" s="18" t="s">
        <v>116</v>
      </c>
      <c r="M481" s="18" t="s">
        <v>1378</v>
      </c>
      <c r="N481" s="18" t="s">
        <v>118</v>
      </c>
      <c r="O481" s="20">
        <v>119000</v>
      </c>
      <c r="P481" s="20">
        <v>80920</v>
      </c>
      <c r="Q481" s="20">
        <v>1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32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119000</v>
      </c>
      <c r="AD481" s="20">
        <v>80920</v>
      </c>
      <c r="AE481" s="20">
        <v>0</v>
      </c>
      <c r="AF481" s="20">
        <v>0</v>
      </c>
      <c r="AG481" s="20">
        <v>119000</v>
      </c>
      <c r="AH481" s="20">
        <v>80920</v>
      </c>
      <c r="AI481" s="20">
        <v>34618</v>
      </c>
      <c r="AJ481" s="20">
        <v>3462</v>
      </c>
      <c r="AK481" s="20">
        <v>38080</v>
      </c>
    </row>
    <row r="482" spans="1:37" ht="16.5" customHeight="1" x14ac:dyDescent="0.3">
      <c r="A482" s="18" t="s">
        <v>1384</v>
      </c>
      <c r="B482" s="18" t="s">
        <v>107</v>
      </c>
      <c r="C482" s="19" t="s">
        <v>108</v>
      </c>
      <c r="D482" s="18" t="s">
        <v>1389</v>
      </c>
      <c r="E482" s="19" t="s">
        <v>378</v>
      </c>
      <c r="F482" s="18" t="s">
        <v>110</v>
      </c>
      <c r="G482" s="18" t="s">
        <v>111</v>
      </c>
      <c r="H482" s="19" t="s">
        <v>112</v>
      </c>
      <c r="I482" s="18" t="s">
        <v>113</v>
      </c>
      <c r="J482" s="19" t="s">
        <v>114</v>
      </c>
      <c r="K482" s="19" t="s">
        <v>123</v>
      </c>
      <c r="L482" s="18" t="s">
        <v>116</v>
      </c>
      <c r="M482" s="18" t="s">
        <v>1378</v>
      </c>
      <c r="N482" s="18" t="s">
        <v>118</v>
      </c>
      <c r="O482" s="20">
        <v>119000</v>
      </c>
      <c r="P482" s="20">
        <v>80920</v>
      </c>
      <c r="Q482" s="20">
        <v>1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32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119000</v>
      </c>
      <c r="AD482" s="20">
        <v>80920</v>
      </c>
      <c r="AE482" s="20">
        <v>0</v>
      </c>
      <c r="AF482" s="20">
        <v>0</v>
      </c>
      <c r="AG482" s="20">
        <v>119000</v>
      </c>
      <c r="AH482" s="20">
        <v>80920</v>
      </c>
      <c r="AI482" s="20">
        <v>34618</v>
      </c>
      <c r="AJ482" s="20">
        <v>3462</v>
      </c>
      <c r="AK482" s="20">
        <v>38080</v>
      </c>
    </row>
    <row r="483" spans="1:37" ht="16.5" customHeight="1" x14ac:dyDescent="0.3">
      <c r="A483" s="18" t="s">
        <v>1387</v>
      </c>
      <c r="B483" s="18" t="s">
        <v>107</v>
      </c>
      <c r="C483" s="19" t="s">
        <v>108</v>
      </c>
      <c r="D483" s="18" t="s">
        <v>1391</v>
      </c>
      <c r="E483" s="19" t="s">
        <v>998</v>
      </c>
      <c r="F483" s="18" t="s">
        <v>110</v>
      </c>
      <c r="G483" s="18" t="s">
        <v>111</v>
      </c>
      <c r="H483" s="19" t="s">
        <v>112</v>
      </c>
      <c r="I483" s="18" t="s">
        <v>113</v>
      </c>
      <c r="J483" s="19" t="s">
        <v>114</v>
      </c>
      <c r="K483" s="19" t="s">
        <v>123</v>
      </c>
      <c r="L483" s="18" t="s">
        <v>116</v>
      </c>
      <c r="M483" s="18" t="s">
        <v>1378</v>
      </c>
      <c r="N483" s="18" t="s">
        <v>118</v>
      </c>
      <c r="O483" s="20">
        <v>119000</v>
      </c>
      <c r="P483" s="20">
        <v>82110</v>
      </c>
      <c r="Q483" s="20">
        <v>4</v>
      </c>
      <c r="R483" s="20">
        <v>0</v>
      </c>
      <c r="S483" s="20">
        <v>0</v>
      </c>
      <c r="T483" s="20">
        <v>0</v>
      </c>
      <c r="U483" s="20">
        <v>0</v>
      </c>
      <c r="V483" s="20">
        <v>0</v>
      </c>
      <c r="W483" s="20">
        <v>31</v>
      </c>
      <c r="X483" s="20">
        <v>0</v>
      </c>
      <c r="Y483" s="20">
        <v>23800</v>
      </c>
      <c r="Z483" s="20">
        <v>0</v>
      </c>
      <c r="AA483" s="20">
        <v>0</v>
      </c>
      <c r="AB483" s="20">
        <v>0</v>
      </c>
      <c r="AC483" s="20">
        <v>476000</v>
      </c>
      <c r="AD483" s="20">
        <v>328440</v>
      </c>
      <c r="AE483" s="20">
        <v>0</v>
      </c>
      <c r="AF483" s="20">
        <v>23800</v>
      </c>
      <c r="AG483" s="20">
        <v>452200</v>
      </c>
      <c r="AH483" s="20">
        <v>328440</v>
      </c>
      <c r="AI483" s="20">
        <v>112509</v>
      </c>
      <c r="AJ483" s="20">
        <v>11251</v>
      </c>
      <c r="AK483" s="20">
        <v>123760</v>
      </c>
    </row>
    <row r="484" spans="1:37" ht="16.5" customHeight="1" x14ac:dyDescent="0.3">
      <c r="A484" s="18" t="s">
        <v>1388</v>
      </c>
      <c r="B484" s="18" t="s">
        <v>107</v>
      </c>
      <c r="C484" s="19" t="s">
        <v>108</v>
      </c>
      <c r="D484" s="18" t="s">
        <v>1393</v>
      </c>
      <c r="E484" s="19" t="s">
        <v>1394</v>
      </c>
      <c r="F484" s="18" t="s">
        <v>110</v>
      </c>
      <c r="G484" s="18" t="s">
        <v>111</v>
      </c>
      <c r="H484" s="19" t="s">
        <v>112</v>
      </c>
      <c r="I484" s="18" t="s">
        <v>113</v>
      </c>
      <c r="J484" s="19" t="s">
        <v>114</v>
      </c>
      <c r="K484" s="19" t="s">
        <v>123</v>
      </c>
      <c r="L484" s="18" t="s">
        <v>116</v>
      </c>
      <c r="M484" s="18" t="s">
        <v>1378</v>
      </c>
      <c r="N484" s="18" t="s">
        <v>118</v>
      </c>
      <c r="O484" s="20">
        <v>119000</v>
      </c>
      <c r="P484" s="20">
        <v>82110</v>
      </c>
      <c r="Q484" s="20">
        <v>1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31</v>
      </c>
      <c r="X484" s="20">
        <v>0</v>
      </c>
      <c r="Y484" s="20">
        <v>5950</v>
      </c>
      <c r="Z484" s="20">
        <v>0</v>
      </c>
      <c r="AA484" s="20">
        <v>0</v>
      </c>
      <c r="AB484" s="20">
        <v>0</v>
      </c>
      <c r="AC484" s="20">
        <v>119000</v>
      </c>
      <c r="AD484" s="20">
        <v>82110</v>
      </c>
      <c r="AE484" s="20">
        <v>0</v>
      </c>
      <c r="AF484" s="20">
        <v>5950</v>
      </c>
      <c r="AG484" s="20">
        <v>113050</v>
      </c>
      <c r="AH484" s="20">
        <v>82110</v>
      </c>
      <c r="AI484" s="20">
        <v>28127</v>
      </c>
      <c r="AJ484" s="20">
        <v>2813</v>
      </c>
      <c r="AK484" s="20">
        <v>30940</v>
      </c>
    </row>
    <row r="485" spans="1:37" ht="16.5" customHeight="1" x14ac:dyDescent="0.3">
      <c r="A485" s="18" t="s">
        <v>1390</v>
      </c>
      <c r="B485" s="18" t="s">
        <v>107</v>
      </c>
      <c r="C485" s="19" t="s">
        <v>108</v>
      </c>
      <c r="D485" s="18" t="s">
        <v>1383</v>
      </c>
      <c r="E485" s="19" t="s">
        <v>1341</v>
      </c>
      <c r="F485" s="18" t="s">
        <v>110</v>
      </c>
      <c r="G485" s="18" t="s">
        <v>111</v>
      </c>
      <c r="H485" s="19" t="s">
        <v>112</v>
      </c>
      <c r="I485" s="18" t="s">
        <v>113</v>
      </c>
      <c r="J485" s="19" t="s">
        <v>114</v>
      </c>
      <c r="K485" s="19" t="s">
        <v>115</v>
      </c>
      <c r="L485" s="18" t="s">
        <v>116</v>
      </c>
      <c r="M485" s="18" t="s">
        <v>1378</v>
      </c>
      <c r="N485" s="18" t="s">
        <v>118</v>
      </c>
      <c r="O485" s="20">
        <v>119000</v>
      </c>
      <c r="P485" s="20">
        <v>82110</v>
      </c>
      <c r="Q485" s="20">
        <v>1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31</v>
      </c>
      <c r="X485" s="20">
        <v>0</v>
      </c>
      <c r="Y485" s="20">
        <v>10000</v>
      </c>
      <c r="Z485" s="20">
        <v>0</v>
      </c>
      <c r="AA485" s="20">
        <v>0</v>
      </c>
      <c r="AB485" s="20">
        <v>0</v>
      </c>
      <c r="AC485" s="20">
        <v>119000</v>
      </c>
      <c r="AD485" s="20">
        <v>82110</v>
      </c>
      <c r="AE485" s="20">
        <v>0</v>
      </c>
      <c r="AF485" s="20">
        <v>10000</v>
      </c>
      <c r="AG485" s="20">
        <v>109000</v>
      </c>
      <c r="AH485" s="20">
        <v>82110</v>
      </c>
      <c r="AI485" s="20">
        <v>24445</v>
      </c>
      <c r="AJ485" s="20">
        <v>2445</v>
      </c>
      <c r="AK485" s="20">
        <v>26890</v>
      </c>
    </row>
    <row r="486" spans="1:37" ht="16.5" customHeight="1" x14ac:dyDescent="0.3">
      <c r="A486" s="18" t="s">
        <v>1392</v>
      </c>
      <c r="B486" s="18" t="s">
        <v>107</v>
      </c>
      <c r="C486" s="19" t="s">
        <v>108</v>
      </c>
      <c r="D486" s="18" t="s">
        <v>1385</v>
      </c>
      <c r="E486" s="19" t="s">
        <v>1386</v>
      </c>
      <c r="F486" s="18" t="s">
        <v>110</v>
      </c>
      <c r="G486" s="18" t="s">
        <v>111</v>
      </c>
      <c r="H486" s="19" t="s">
        <v>112</v>
      </c>
      <c r="I486" s="18" t="s">
        <v>113</v>
      </c>
      <c r="J486" s="19" t="s">
        <v>114</v>
      </c>
      <c r="K486" s="19" t="s">
        <v>115</v>
      </c>
      <c r="L486" s="18" t="s">
        <v>116</v>
      </c>
      <c r="M486" s="18" t="s">
        <v>1378</v>
      </c>
      <c r="N486" s="18" t="s">
        <v>118</v>
      </c>
      <c r="O486" s="20">
        <v>119000</v>
      </c>
      <c r="P486" s="20">
        <v>80920</v>
      </c>
      <c r="Q486" s="20">
        <v>1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32</v>
      </c>
      <c r="X486" s="20">
        <v>23800</v>
      </c>
      <c r="Y486" s="20">
        <v>0</v>
      </c>
      <c r="Z486" s="20">
        <v>0</v>
      </c>
      <c r="AA486" s="20">
        <v>0</v>
      </c>
      <c r="AB486" s="20">
        <v>0</v>
      </c>
      <c r="AC486" s="20">
        <v>119000</v>
      </c>
      <c r="AD486" s="20">
        <v>80920</v>
      </c>
      <c r="AE486" s="20">
        <v>0</v>
      </c>
      <c r="AF486" s="20">
        <v>23800</v>
      </c>
      <c r="AG486" s="20">
        <v>95200</v>
      </c>
      <c r="AH486" s="20">
        <v>80920</v>
      </c>
      <c r="AI486" s="20">
        <v>12982</v>
      </c>
      <c r="AJ486" s="20">
        <v>1298</v>
      </c>
      <c r="AK486" s="20">
        <v>14280</v>
      </c>
    </row>
    <row r="487" spans="1:37" ht="16.5" customHeight="1" x14ac:dyDescent="0.3">
      <c r="A487" s="18" t="s">
        <v>1395</v>
      </c>
      <c r="B487" s="18" t="s">
        <v>107</v>
      </c>
      <c r="C487" s="19" t="s">
        <v>108</v>
      </c>
      <c r="D487" s="18" t="s">
        <v>1401</v>
      </c>
      <c r="E487" s="19" t="s">
        <v>328</v>
      </c>
      <c r="F487" s="18" t="s">
        <v>110</v>
      </c>
      <c r="G487" s="18" t="s">
        <v>111</v>
      </c>
      <c r="H487" s="19" t="s">
        <v>112</v>
      </c>
      <c r="I487" s="18" t="s">
        <v>113</v>
      </c>
      <c r="J487" s="19" t="s">
        <v>114</v>
      </c>
      <c r="K487" s="19" t="s">
        <v>115</v>
      </c>
      <c r="L487" s="18" t="s">
        <v>116</v>
      </c>
      <c r="M487" s="18" t="s">
        <v>1378</v>
      </c>
      <c r="N487" s="18" t="s">
        <v>118</v>
      </c>
      <c r="O487" s="20">
        <v>119000</v>
      </c>
      <c r="P487" s="20">
        <v>82110</v>
      </c>
      <c r="Q487" s="20">
        <v>1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31</v>
      </c>
      <c r="X487" s="20">
        <v>0</v>
      </c>
      <c r="Y487" s="20">
        <v>0</v>
      </c>
      <c r="Z487" s="20">
        <v>0</v>
      </c>
      <c r="AA487" s="20">
        <v>0</v>
      </c>
      <c r="AB487" s="20">
        <v>0</v>
      </c>
      <c r="AC487" s="20">
        <v>119000</v>
      </c>
      <c r="AD487" s="20">
        <v>82110</v>
      </c>
      <c r="AE487" s="20">
        <v>0</v>
      </c>
      <c r="AF487" s="20">
        <v>0</v>
      </c>
      <c r="AG487" s="20">
        <v>119000</v>
      </c>
      <c r="AH487" s="20">
        <v>82110</v>
      </c>
      <c r="AI487" s="20">
        <v>33536</v>
      </c>
      <c r="AJ487" s="20">
        <v>3354</v>
      </c>
      <c r="AK487" s="20">
        <v>36890</v>
      </c>
    </row>
    <row r="488" spans="1:37" ht="16.5" customHeight="1" x14ac:dyDescent="0.3">
      <c r="A488" s="18" t="s">
        <v>1398</v>
      </c>
      <c r="B488" s="18" t="s">
        <v>107</v>
      </c>
      <c r="C488" s="19" t="s">
        <v>108</v>
      </c>
      <c r="D488" s="18" t="s">
        <v>1406</v>
      </c>
      <c r="E488" s="19" t="s">
        <v>1407</v>
      </c>
      <c r="F488" s="18" t="s">
        <v>110</v>
      </c>
      <c r="G488" s="18" t="s">
        <v>111</v>
      </c>
      <c r="H488" s="19" t="s">
        <v>112</v>
      </c>
      <c r="I488" s="18" t="s">
        <v>113</v>
      </c>
      <c r="J488" s="19" t="s">
        <v>114</v>
      </c>
      <c r="K488" s="19" t="s">
        <v>115</v>
      </c>
      <c r="L488" s="18" t="s">
        <v>116</v>
      </c>
      <c r="M488" s="18" t="s">
        <v>1378</v>
      </c>
      <c r="N488" s="18" t="s">
        <v>118</v>
      </c>
      <c r="O488" s="20">
        <v>119000</v>
      </c>
      <c r="P488" s="20">
        <v>82110</v>
      </c>
      <c r="Q488" s="20">
        <v>1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31</v>
      </c>
      <c r="X488" s="20">
        <v>0</v>
      </c>
      <c r="Y488" s="20">
        <v>0</v>
      </c>
      <c r="Z488" s="20">
        <v>0</v>
      </c>
      <c r="AA488" s="20">
        <v>0</v>
      </c>
      <c r="AB488" s="20">
        <v>820</v>
      </c>
      <c r="AC488" s="20">
        <v>119000</v>
      </c>
      <c r="AD488" s="20">
        <v>82110</v>
      </c>
      <c r="AE488" s="20">
        <v>0</v>
      </c>
      <c r="AF488" s="20">
        <v>820</v>
      </c>
      <c r="AG488" s="20">
        <v>118180</v>
      </c>
      <c r="AH488" s="20">
        <v>82110</v>
      </c>
      <c r="AI488" s="20">
        <v>32791</v>
      </c>
      <c r="AJ488" s="20">
        <v>3279</v>
      </c>
      <c r="AK488" s="20">
        <v>36070</v>
      </c>
    </row>
    <row r="489" spans="1:37" ht="16.5" customHeight="1" x14ac:dyDescent="0.3">
      <c r="A489" s="18" t="s">
        <v>1400</v>
      </c>
      <c r="B489" s="18" t="s">
        <v>107</v>
      </c>
      <c r="C489" s="19" t="s">
        <v>108</v>
      </c>
      <c r="D489" s="18" t="s">
        <v>1399</v>
      </c>
      <c r="E489" s="19" t="s">
        <v>488</v>
      </c>
      <c r="F489" s="18" t="s">
        <v>110</v>
      </c>
      <c r="G489" s="18" t="s">
        <v>111</v>
      </c>
      <c r="H489" s="19" t="s">
        <v>112</v>
      </c>
      <c r="I489" s="18" t="s">
        <v>113</v>
      </c>
      <c r="J489" s="19" t="s">
        <v>114</v>
      </c>
      <c r="K489" s="19" t="s">
        <v>151</v>
      </c>
      <c r="L489" s="18" t="s">
        <v>116</v>
      </c>
      <c r="M489" s="18" t="s">
        <v>1378</v>
      </c>
      <c r="N489" s="18" t="s">
        <v>118</v>
      </c>
      <c r="O489" s="20">
        <v>119000</v>
      </c>
      <c r="P489" s="20">
        <v>82110</v>
      </c>
      <c r="Q489" s="20">
        <v>1</v>
      </c>
      <c r="R489" s="20">
        <v>0</v>
      </c>
      <c r="S489" s="20">
        <v>0</v>
      </c>
      <c r="T489" s="20">
        <v>0</v>
      </c>
      <c r="U489" s="20">
        <v>0</v>
      </c>
      <c r="V489" s="20">
        <v>0</v>
      </c>
      <c r="W489" s="20">
        <v>31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119000</v>
      </c>
      <c r="AD489" s="20">
        <v>82110</v>
      </c>
      <c r="AE489" s="20">
        <v>0</v>
      </c>
      <c r="AF489" s="20">
        <v>0</v>
      </c>
      <c r="AG489" s="20">
        <v>119000</v>
      </c>
      <c r="AH489" s="20">
        <v>82110</v>
      </c>
      <c r="AI489" s="20">
        <v>33536</v>
      </c>
      <c r="AJ489" s="20">
        <v>3354</v>
      </c>
      <c r="AK489" s="20">
        <v>36890</v>
      </c>
    </row>
    <row r="490" spans="1:37" ht="16.5" customHeight="1" x14ac:dyDescent="0.3">
      <c r="A490" s="18" t="s">
        <v>1402</v>
      </c>
      <c r="B490" s="18" t="s">
        <v>107</v>
      </c>
      <c r="C490" s="19" t="s">
        <v>108</v>
      </c>
      <c r="D490" s="18" t="s">
        <v>1409</v>
      </c>
      <c r="E490" s="19" t="s">
        <v>169</v>
      </c>
      <c r="F490" s="18" t="s">
        <v>110</v>
      </c>
      <c r="G490" s="18" t="s">
        <v>111</v>
      </c>
      <c r="H490" s="19" t="s">
        <v>112</v>
      </c>
      <c r="I490" s="18" t="s">
        <v>113</v>
      </c>
      <c r="J490" s="19" t="s">
        <v>114</v>
      </c>
      <c r="K490" s="19" t="s">
        <v>151</v>
      </c>
      <c r="L490" s="18" t="s">
        <v>116</v>
      </c>
      <c r="M490" s="18" t="s">
        <v>1378</v>
      </c>
      <c r="N490" s="18" t="s">
        <v>118</v>
      </c>
      <c r="O490" s="20">
        <v>119000</v>
      </c>
      <c r="P490" s="20">
        <v>82110</v>
      </c>
      <c r="Q490" s="20">
        <v>1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31</v>
      </c>
      <c r="X490" s="20">
        <v>0</v>
      </c>
      <c r="Y490" s="20">
        <v>0</v>
      </c>
      <c r="Z490" s="20">
        <v>0</v>
      </c>
      <c r="AA490" s="20">
        <v>0</v>
      </c>
      <c r="AB490" s="20">
        <v>0</v>
      </c>
      <c r="AC490" s="20">
        <v>119000</v>
      </c>
      <c r="AD490" s="20">
        <v>82110</v>
      </c>
      <c r="AE490" s="20">
        <v>0</v>
      </c>
      <c r="AF490" s="20">
        <v>0</v>
      </c>
      <c r="AG490" s="20">
        <v>119000</v>
      </c>
      <c r="AH490" s="20">
        <v>82110</v>
      </c>
      <c r="AI490" s="20">
        <v>33536</v>
      </c>
      <c r="AJ490" s="20">
        <v>3354</v>
      </c>
      <c r="AK490" s="20">
        <v>36890</v>
      </c>
    </row>
    <row r="491" spans="1:37" ht="16.5" customHeight="1" x14ac:dyDescent="0.3">
      <c r="A491" s="18" t="s">
        <v>1405</v>
      </c>
      <c r="B491" s="18" t="s">
        <v>107</v>
      </c>
      <c r="C491" s="19" t="s">
        <v>108</v>
      </c>
      <c r="D491" s="18" t="s">
        <v>1396</v>
      </c>
      <c r="E491" s="19" t="s">
        <v>1397</v>
      </c>
      <c r="F491" s="18" t="s">
        <v>110</v>
      </c>
      <c r="G491" s="18" t="s">
        <v>111</v>
      </c>
      <c r="H491" s="19" t="s">
        <v>112</v>
      </c>
      <c r="I491" s="18" t="s">
        <v>113</v>
      </c>
      <c r="J491" s="19" t="s">
        <v>114</v>
      </c>
      <c r="K491" s="19" t="s">
        <v>115</v>
      </c>
      <c r="L491" s="18" t="s">
        <v>116</v>
      </c>
      <c r="M491" s="18" t="s">
        <v>1378</v>
      </c>
      <c r="N491" s="18" t="s">
        <v>118</v>
      </c>
      <c r="O491" s="20">
        <v>119000</v>
      </c>
      <c r="P491" s="20">
        <v>80920</v>
      </c>
      <c r="Q491" s="20">
        <v>1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32</v>
      </c>
      <c r="X491" s="20">
        <v>20230</v>
      </c>
      <c r="Y491" s="20">
        <v>0</v>
      </c>
      <c r="Z491" s="20">
        <v>0</v>
      </c>
      <c r="AA491" s="20">
        <v>0</v>
      </c>
      <c r="AB491" s="20">
        <v>0</v>
      </c>
      <c r="AC491" s="20">
        <v>119000</v>
      </c>
      <c r="AD491" s="20">
        <v>80920</v>
      </c>
      <c r="AE491" s="20">
        <v>0</v>
      </c>
      <c r="AF491" s="20">
        <v>20230</v>
      </c>
      <c r="AG491" s="20">
        <v>98770</v>
      </c>
      <c r="AH491" s="20">
        <v>80920</v>
      </c>
      <c r="AI491" s="20">
        <v>16227</v>
      </c>
      <c r="AJ491" s="20">
        <v>1623</v>
      </c>
      <c r="AK491" s="20">
        <v>17850</v>
      </c>
    </row>
    <row r="492" spans="1:37" ht="16.5" customHeight="1" x14ac:dyDescent="0.3">
      <c r="A492" s="18" t="s">
        <v>1408</v>
      </c>
      <c r="B492" s="18" t="s">
        <v>107</v>
      </c>
      <c r="C492" s="19" t="s">
        <v>108</v>
      </c>
      <c r="D492" s="18" t="s">
        <v>1403</v>
      </c>
      <c r="E492" s="19" t="s">
        <v>1404</v>
      </c>
      <c r="F492" s="18" t="s">
        <v>110</v>
      </c>
      <c r="G492" s="18" t="s">
        <v>111</v>
      </c>
      <c r="H492" s="19" t="s">
        <v>112</v>
      </c>
      <c r="I492" s="18" t="s">
        <v>113</v>
      </c>
      <c r="J492" s="19" t="s">
        <v>114</v>
      </c>
      <c r="K492" s="19" t="s">
        <v>151</v>
      </c>
      <c r="L492" s="18" t="s">
        <v>116</v>
      </c>
      <c r="M492" s="18" t="s">
        <v>1378</v>
      </c>
      <c r="N492" s="18" t="s">
        <v>118</v>
      </c>
      <c r="O492" s="20">
        <v>119000</v>
      </c>
      <c r="P492" s="20">
        <v>82110</v>
      </c>
      <c r="Q492" s="20">
        <v>1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31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119000</v>
      </c>
      <c r="AD492" s="20">
        <v>82110</v>
      </c>
      <c r="AE492" s="20">
        <v>0</v>
      </c>
      <c r="AF492" s="20">
        <v>0</v>
      </c>
      <c r="AG492" s="20">
        <v>119000</v>
      </c>
      <c r="AH492" s="20">
        <v>82110</v>
      </c>
      <c r="AI492" s="20">
        <v>33536</v>
      </c>
      <c r="AJ492" s="20">
        <v>3354</v>
      </c>
      <c r="AK492" s="20">
        <v>36890</v>
      </c>
    </row>
    <row r="493" spans="1:37" ht="16.5" customHeight="1" x14ac:dyDescent="0.3">
      <c r="A493" s="18" t="s">
        <v>1410</v>
      </c>
      <c r="B493" s="18" t="s">
        <v>107</v>
      </c>
      <c r="C493" s="19" t="s">
        <v>108</v>
      </c>
      <c r="D493" s="18" t="s">
        <v>1411</v>
      </c>
      <c r="E493" s="19" t="s">
        <v>1412</v>
      </c>
      <c r="F493" s="18" t="s">
        <v>110</v>
      </c>
      <c r="G493" s="18" t="s">
        <v>111</v>
      </c>
      <c r="H493" s="19" t="s">
        <v>112</v>
      </c>
      <c r="I493" s="18" t="s">
        <v>113</v>
      </c>
      <c r="J493" s="19" t="s">
        <v>114</v>
      </c>
      <c r="K493" s="19" t="s">
        <v>151</v>
      </c>
      <c r="L493" s="18" t="s">
        <v>116</v>
      </c>
      <c r="M493" s="18" t="s">
        <v>1378</v>
      </c>
      <c r="N493" s="18" t="s">
        <v>118</v>
      </c>
      <c r="O493" s="20">
        <v>119000</v>
      </c>
      <c r="P493" s="20">
        <v>82110</v>
      </c>
      <c r="Q493" s="20">
        <v>1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31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119000</v>
      </c>
      <c r="AD493" s="20">
        <v>82110</v>
      </c>
      <c r="AE493" s="20">
        <v>0</v>
      </c>
      <c r="AF493" s="20">
        <v>0</v>
      </c>
      <c r="AG493" s="20">
        <v>119000</v>
      </c>
      <c r="AH493" s="20">
        <v>82110</v>
      </c>
      <c r="AI493" s="20">
        <v>33536</v>
      </c>
      <c r="AJ493" s="20">
        <v>3354</v>
      </c>
      <c r="AK493" s="20">
        <v>36890</v>
      </c>
    </row>
    <row r="494" spans="1:37" ht="16.5" customHeight="1" x14ac:dyDescent="0.3">
      <c r="A494" s="18" t="s">
        <v>1413</v>
      </c>
      <c r="B494" s="18" t="s">
        <v>107</v>
      </c>
      <c r="C494" s="19" t="s">
        <v>108</v>
      </c>
      <c r="D494" s="18" t="s">
        <v>1414</v>
      </c>
      <c r="E494" s="19" t="s">
        <v>1415</v>
      </c>
      <c r="F494" s="18" t="s">
        <v>1275</v>
      </c>
      <c r="G494" s="18" t="s">
        <v>111</v>
      </c>
      <c r="H494" s="19" t="s">
        <v>1276</v>
      </c>
      <c r="I494" s="18" t="s">
        <v>113</v>
      </c>
      <c r="J494" s="19" t="s">
        <v>114</v>
      </c>
      <c r="K494" s="19" t="s">
        <v>115</v>
      </c>
      <c r="L494" s="18" t="s">
        <v>116</v>
      </c>
      <c r="M494" s="18" t="s">
        <v>1378</v>
      </c>
      <c r="N494" s="18" t="s">
        <v>118</v>
      </c>
      <c r="O494" s="20">
        <v>78000</v>
      </c>
      <c r="P494" s="20">
        <v>53820</v>
      </c>
      <c r="Q494" s="20">
        <v>1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31</v>
      </c>
      <c r="X494" s="20">
        <v>3900</v>
      </c>
      <c r="Y494" s="20">
        <v>0</v>
      </c>
      <c r="Z494" s="20">
        <v>0</v>
      </c>
      <c r="AA494" s="20">
        <v>0</v>
      </c>
      <c r="AB494" s="20">
        <v>0</v>
      </c>
      <c r="AC494" s="20">
        <v>78000</v>
      </c>
      <c r="AD494" s="20">
        <v>53820</v>
      </c>
      <c r="AE494" s="20">
        <v>0</v>
      </c>
      <c r="AF494" s="20">
        <v>3900</v>
      </c>
      <c r="AG494" s="20">
        <v>74100</v>
      </c>
      <c r="AH494" s="20">
        <v>53820</v>
      </c>
      <c r="AI494" s="20">
        <v>18436</v>
      </c>
      <c r="AJ494" s="20">
        <v>1844</v>
      </c>
      <c r="AK494" s="20">
        <v>20280</v>
      </c>
    </row>
    <row r="495" spans="1:37" ht="16.5" customHeight="1" x14ac:dyDescent="0.3">
      <c r="A495" s="18" t="s">
        <v>1416</v>
      </c>
      <c r="B495" s="18" t="s">
        <v>107</v>
      </c>
      <c r="C495" s="19" t="s">
        <v>108</v>
      </c>
      <c r="D495" s="18" t="s">
        <v>1819</v>
      </c>
      <c r="E495" s="19" t="s">
        <v>315</v>
      </c>
      <c r="F495" s="18" t="s">
        <v>110</v>
      </c>
      <c r="G495" s="18" t="s">
        <v>111</v>
      </c>
      <c r="H495" s="19" t="s">
        <v>112</v>
      </c>
      <c r="I495" s="18" t="s">
        <v>113</v>
      </c>
      <c r="J495" s="19" t="s">
        <v>114</v>
      </c>
      <c r="K495" s="19" t="s">
        <v>115</v>
      </c>
      <c r="L495" s="18" t="s">
        <v>116</v>
      </c>
      <c r="M495" s="18" t="s">
        <v>1419</v>
      </c>
      <c r="N495" s="18" t="s">
        <v>118</v>
      </c>
      <c r="O495" s="20">
        <v>119000</v>
      </c>
      <c r="P495" s="20">
        <v>80920</v>
      </c>
      <c r="Q495" s="20">
        <v>1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32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119000</v>
      </c>
      <c r="AD495" s="20">
        <v>80920</v>
      </c>
      <c r="AE495" s="20">
        <v>0</v>
      </c>
      <c r="AF495" s="20">
        <v>0</v>
      </c>
      <c r="AG495" s="20">
        <v>119000</v>
      </c>
      <c r="AH495" s="20">
        <v>80920</v>
      </c>
      <c r="AI495" s="20">
        <v>34618</v>
      </c>
      <c r="AJ495" s="20">
        <v>3462</v>
      </c>
      <c r="AK495" s="20">
        <v>38080</v>
      </c>
    </row>
    <row r="496" spans="1:37" ht="16.5" customHeight="1" x14ac:dyDescent="0.3">
      <c r="A496" s="18" t="s">
        <v>1420</v>
      </c>
      <c r="B496" s="18" t="s">
        <v>107</v>
      </c>
      <c r="C496" s="19" t="s">
        <v>108</v>
      </c>
      <c r="D496" s="18" t="s">
        <v>1820</v>
      </c>
      <c r="E496" s="19" t="s">
        <v>1821</v>
      </c>
      <c r="F496" s="18" t="s">
        <v>110</v>
      </c>
      <c r="G496" s="18" t="s">
        <v>111</v>
      </c>
      <c r="H496" s="19" t="s">
        <v>112</v>
      </c>
      <c r="I496" s="18" t="s">
        <v>113</v>
      </c>
      <c r="J496" s="19" t="s">
        <v>114</v>
      </c>
      <c r="K496" s="19" t="s">
        <v>115</v>
      </c>
      <c r="L496" s="18" t="s">
        <v>116</v>
      </c>
      <c r="M496" s="18" t="s">
        <v>1419</v>
      </c>
      <c r="N496" s="18" t="s">
        <v>118</v>
      </c>
      <c r="O496" s="20">
        <v>119000</v>
      </c>
      <c r="P496" s="20">
        <v>80920</v>
      </c>
      <c r="Q496" s="20">
        <v>1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32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119000</v>
      </c>
      <c r="AD496" s="20">
        <v>80920</v>
      </c>
      <c r="AE496" s="20">
        <v>0</v>
      </c>
      <c r="AF496" s="20">
        <v>0</v>
      </c>
      <c r="AG496" s="20">
        <v>119000</v>
      </c>
      <c r="AH496" s="20">
        <v>80920</v>
      </c>
      <c r="AI496" s="20">
        <v>34618</v>
      </c>
      <c r="AJ496" s="20">
        <v>3462</v>
      </c>
      <c r="AK496" s="20">
        <v>38080</v>
      </c>
    </row>
    <row r="497" spans="1:37" ht="16.5" customHeight="1" x14ac:dyDescent="0.3">
      <c r="A497" s="18" t="s">
        <v>1422</v>
      </c>
      <c r="B497" s="18" t="s">
        <v>107</v>
      </c>
      <c r="C497" s="19" t="s">
        <v>108</v>
      </c>
      <c r="D497" s="18" t="s">
        <v>1822</v>
      </c>
      <c r="E497" s="19" t="s">
        <v>259</v>
      </c>
      <c r="F497" s="18" t="s">
        <v>110</v>
      </c>
      <c r="G497" s="18" t="s">
        <v>111</v>
      </c>
      <c r="H497" s="19" t="s">
        <v>112</v>
      </c>
      <c r="I497" s="18" t="s">
        <v>113</v>
      </c>
      <c r="J497" s="19" t="s">
        <v>114</v>
      </c>
      <c r="K497" s="19" t="s">
        <v>115</v>
      </c>
      <c r="L497" s="18" t="s">
        <v>116</v>
      </c>
      <c r="M497" s="18" t="s">
        <v>1419</v>
      </c>
      <c r="N497" s="18" t="s">
        <v>118</v>
      </c>
      <c r="O497" s="20">
        <v>119000</v>
      </c>
      <c r="P497" s="20">
        <v>80920</v>
      </c>
      <c r="Q497" s="20">
        <v>1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32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119000</v>
      </c>
      <c r="AD497" s="20">
        <v>80920</v>
      </c>
      <c r="AE497" s="20">
        <v>0</v>
      </c>
      <c r="AF497" s="20">
        <v>0</v>
      </c>
      <c r="AG497" s="20">
        <v>119000</v>
      </c>
      <c r="AH497" s="20">
        <v>80920</v>
      </c>
      <c r="AI497" s="20">
        <v>34618</v>
      </c>
      <c r="AJ497" s="20">
        <v>3462</v>
      </c>
      <c r="AK497" s="20">
        <v>38080</v>
      </c>
    </row>
    <row r="498" spans="1:37" ht="16.5" customHeight="1" x14ac:dyDescent="0.3">
      <c r="A498" s="18" t="s">
        <v>1425</v>
      </c>
      <c r="B498" s="18" t="s">
        <v>107</v>
      </c>
      <c r="C498" s="19" t="s">
        <v>108</v>
      </c>
      <c r="D498" s="18" t="s">
        <v>1823</v>
      </c>
      <c r="E498" s="19" t="s">
        <v>280</v>
      </c>
      <c r="F498" s="18" t="s">
        <v>110</v>
      </c>
      <c r="G498" s="18" t="s">
        <v>111</v>
      </c>
      <c r="H498" s="19" t="s">
        <v>112</v>
      </c>
      <c r="I498" s="18" t="s">
        <v>113</v>
      </c>
      <c r="J498" s="19" t="s">
        <v>114</v>
      </c>
      <c r="K498" s="19" t="s">
        <v>115</v>
      </c>
      <c r="L498" s="18" t="s">
        <v>116</v>
      </c>
      <c r="M498" s="18" t="s">
        <v>1419</v>
      </c>
      <c r="N498" s="18" t="s">
        <v>118</v>
      </c>
      <c r="O498" s="20">
        <v>119000</v>
      </c>
      <c r="P498" s="20">
        <v>80920</v>
      </c>
      <c r="Q498" s="20">
        <v>1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32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  <c r="AC498" s="20">
        <v>119000</v>
      </c>
      <c r="AD498" s="20">
        <v>80920</v>
      </c>
      <c r="AE498" s="20">
        <v>0</v>
      </c>
      <c r="AF498" s="20">
        <v>0</v>
      </c>
      <c r="AG498" s="20">
        <v>119000</v>
      </c>
      <c r="AH498" s="20">
        <v>80920</v>
      </c>
      <c r="AI498" s="20">
        <v>34618</v>
      </c>
      <c r="AJ498" s="20">
        <v>3462</v>
      </c>
      <c r="AK498" s="20">
        <v>38080</v>
      </c>
    </row>
    <row r="499" spans="1:37" ht="16.5" customHeight="1" x14ac:dyDescent="0.3">
      <c r="A499" s="18" t="s">
        <v>1427</v>
      </c>
      <c r="B499" s="18" t="s">
        <v>107</v>
      </c>
      <c r="C499" s="19" t="s">
        <v>108</v>
      </c>
      <c r="D499" s="18" t="s">
        <v>1824</v>
      </c>
      <c r="E499" s="19" t="s">
        <v>119</v>
      </c>
      <c r="F499" s="18" t="s">
        <v>110</v>
      </c>
      <c r="G499" s="18" t="s">
        <v>111</v>
      </c>
      <c r="H499" s="19" t="s">
        <v>112</v>
      </c>
      <c r="I499" s="18" t="s">
        <v>113</v>
      </c>
      <c r="J499" s="19" t="s">
        <v>114</v>
      </c>
      <c r="K499" s="19" t="s">
        <v>115</v>
      </c>
      <c r="L499" s="18" t="s">
        <v>116</v>
      </c>
      <c r="M499" s="18" t="s">
        <v>1419</v>
      </c>
      <c r="N499" s="18" t="s">
        <v>118</v>
      </c>
      <c r="O499" s="20">
        <v>119000</v>
      </c>
      <c r="P499" s="20">
        <v>80920</v>
      </c>
      <c r="Q499" s="20">
        <v>1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32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119000</v>
      </c>
      <c r="AD499" s="20">
        <v>80920</v>
      </c>
      <c r="AE499" s="20">
        <v>0</v>
      </c>
      <c r="AF499" s="20">
        <v>0</v>
      </c>
      <c r="AG499" s="20">
        <v>119000</v>
      </c>
      <c r="AH499" s="20">
        <v>80920</v>
      </c>
      <c r="AI499" s="20">
        <v>34618</v>
      </c>
      <c r="AJ499" s="20">
        <v>3462</v>
      </c>
      <c r="AK499" s="20">
        <v>38080</v>
      </c>
    </row>
    <row r="500" spans="1:37" ht="16.5" customHeight="1" x14ac:dyDescent="0.3">
      <c r="A500" s="18" t="s">
        <v>1430</v>
      </c>
      <c r="B500" s="18" t="s">
        <v>107</v>
      </c>
      <c r="C500" s="19" t="s">
        <v>108</v>
      </c>
      <c r="D500" s="18" t="s">
        <v>1825</v>
      </c>
      <c r="E500" s="19" t="s">
        <v>196</v>
      </c>
      <c r="F500" s="18" t="s">
        <v>110</v>
      </c>
      <c r="G500" s="18" t="s">
        <v>111</v>
      </c>
      <c r="H500" s="19" t="s">
        <v>112</v>
      </c>
      <c r="I500" s="18" t="s">
        <v>113</v>
      </c>
      <c r="J500" s="19" t="s">
        <v>114</v>
      </c>
      <c r="K500" s="19" t="s">
        <v>115</v>
      </c>
      <c r="L500" s="18" t="s">
        <v>116</v>
      </c>
      <c r="M500" s="18" t="s">
        <v>1419</v>
      </c>
      <c r="N500" s="18" t="s">
        <v>118</v>
      </c>
      <c r="O500" s="20">
        <v>119000</v>
      </c>
      <c r="P500" s="20">
        <v>80920</v>
      </c>
      <c r="Q500" s="20">
        <v>1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32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119000</v>
      </c>
      <c r="AD500" s="20">
        <v>80920</v>
      </c>
      <c r="AE500" s="20">
        <v>0</v>
      </c>
      <c r="AF500" s="20">
        <v>0</v>
      </c>
      <c r="AG500" s="20">
        <v>119000</v>
      </c>
      <c r="AH500" s="20">
        <v>80920</v>
      </c>
      <c r="AI500" s="20">
        <v>34618</v>
      </c>
      <c r="AJ500" s="20">
        <v>3462</v>
      </c>
      <c r="AK500" s="20">
        <v>38080</v>
      </c>
    </row>
    <row r="501" spans="1:37" ht="16.5" customHeight="1" x14ac:dyDescent="0.3">
      <c r="A501" s="18" t="s">
        <v>1433</v>
      </c>
      <c r="B501" s="18" t="s">
        <v>107</v>
      </c>
      <c r="C501" s="19" t="s">
        <v>108</v>
      </c>
      <c r="D501" s="18" t="s">
        <v>1826</v>
      </c>
      <c r="E501" s="19" t="s">
        <v>1069</v>
      </c>
      <c r="F501" s="18" t="s">
        <v>110</v>
      </c>
      <c r="G501" s="18" t="s">
        <v>111</v>
      </c>
      <c r="H501" s="19" t="s">
        <v>112</v>
      </c>
      <c r="I501" s="18" t="s">
        <v>113</v>
      </c>
      <c r="J501" s="19" t="s">
        <v>114</v>
      </c>
      <c r="K501" s="19" t="s">
        <v>115</v>
      </c>
      <c r="L501" s="18" t="s">
        <v>116</v>
      </c>
      <c r="M501" s="18" t="s">
        <v>1419</v>
      </c>
      <c r="N501" s="18" t="s">
        <v>118</v>
      </c>
      <c r="O501" s="20">
        <v>119000</v>
      </c>
      <c r="P501" s="20">
        <v>80920</v>
      </c>
      <c r="Q501" s="20">
        <v>1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32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119000</v>
      </c>
      <c r="AD501" s="20">
        <v>80920</v>
      </c>
      <c r="AE501" s="20">
        <v>0</v>
      </c>
      <c r="AF501" s="20">
        <v>0</v>
      </c>
      <c r="AG501" s="20">
        <v>119000</v>
      </c>
      <c r="AH501" s="20">
        <v>80920</v>
      </c>
      <c r="AI501" s="20">
        <v>34618</v>
      </c>
      <c r="AJ501" s="20">
        <v>3462</v>
      </c>
      <c r="AK501" s="20">
        <v>38080</v>
      </c>
    </row>
    <row r="502" spans="1:37" ht="16.5" customHeight="1" x14ac:dyDescent="0.3">
      <c r="A502" s="18" t="s">
        <v>1436</v>
      </c>
      <c r="B502" s="18" t="s">
        <v>107</v>
      </c>
      <c r="C502" s="19" t="s">
        <v>108</v>
      </c>
      <c r="D502" s="18" t="s">
        <v>1827</v>
      </c>
      <c r="E502" s="19" t="s">
        <v>1828</v>
      </c>
      <c r="F502" s="18" t="s">
        <v>110</v>
      </c>
      <c r="G502" s="18" t="s">
        <v>111</v>
      </c>
      <c r="H502" s="19" t="s">
        <v>112</v>
      </c>
      <c r="I502" s="18" t="s">
        <v>113</v>
      </c>
      <c r="J502" s="19" t="s">
        <v>114</v>
      </c>
      <c r="K502" s="19" t="s">
        <v>115</v>
      </c>
      <c r="L502" s="18" t="s">
        <v>116</v>
      </c>
      <c r="M502" s="18" t="s">
        <v>1419</v>
      </c>
      <c r="N502" s="18" t="s">
        <v>118</v>
      </c>
      <c r="O502" s="20">
        <v>119000</v>
      </c>
      <c r="P502" s="20">
        <v>80920</v>
      </c>
      <c r="Q502" s="20">
        <v>1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32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  <c r="AC502" s="20">
        <v>119000</v>
      </c>
      <c r="AD502" s="20">
        <v>80920</v>
      </c>
      <c r="AE502" s="20">
        <v>0</v>
      </c>
      <c r="AF502" s="20">
        <v>0</v>
      </c>
      <c r="AG502" s="20">
        <v>119000</v>
      </c>
      <c r="AH502" s="20">
        <v>80920</v>
      </c>
      <c r="AI502" s="20">
        <v>34618</v>
      </c>
      <c r="AJ502" s="20">
        <v>3462</v>
      </c>
      <c r="AK502" s="20">
        <v>38080</v>
      </c>
    </row>
    <row r="503" spans="1:37" ht="16.5" customHeight="1" x14ac:dyDescent="0.3">
      <c r="A503" s="18" t="s">
        <v>1439</v>
      </c>
      <c r="B503" s="18" t="s">
        <v>107</v>
      </c>
      <c r="C503" s="19" t="s">
        <v>108</v>
      </c>
      <c r="D503" s="18" t="s">
        <v>1829</v>
      </c>
      <c r="E503" s="19" t="s">
        <v>139</v>
      </c>
      <c r="F503" s="18" t="s">
        <v>110</v>
      </c>
      <c r="G503" s="18" t="s">
        <v>111</v>
      </c>
      <c r="H503" s="19" t="s">
        <v>112</v>
      </c>
      <c r="I503" s="18" t="s">
        <v>113</v>
      </c>
      <c r="J503" s="19" t="s">
        <v>114</v>
      </c>
      <c r="K503" s="19" t="s">
        <v>115</v>
      </c>
      <c r="L503" s="18" t="s">
        <v>116</v>
      </c>
      <c r="M503" s="18" t="s">
        <v>1419</v>
      </c>
      <c r="N503" s="18" t="s">
        <v>118</v>
      </c>
      <c r="O503" s="20">
        <v>119000</v>
      </c>
      <c r="P503" s="20">
        <v>80920</v>
      </c>
      <c r="Q503" s="20">
        <v>1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32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119000</v>
      </c>
      <c r="AD503" s="20">
        <v>80920</v>
      </c>
      <c r="AE503" s="20">
        <v>0</v>
      </c>
      <c r="AF503" s="20">
        <v>0</v>
      </c>
      <c r="AG503" s="20">
        <v>119000</v>
      </c>
      <c r="AH503" s="20">
        <v>80920</v>
      </c>
      <c r="AI503" s="20">
        <v>34618</v>
      </c>
      <c r="AJ503" s="20">
        <v>3462</v>
      </c>
      <c r="AK503" s="20">
        <v>38080</v>
      </c>
    </row>
    <row r="504" spans="1:37" ht="16.5" customHeight="1" x14ac:dyDescent="0.3">
      <c r="A504" s="18" t="s">
        <v>1442</v>
      </c>
      <c r="B504" s="18" t="s">
        <v>107</v>
      </c>
      <c r="C504" s="19" t="s">
        <v>108</v>
      </c>
      <c r="D504" s="18" t="s">
        <v>1830</v>
      </c>
      <c r="E504" s="19" t="s">
        <v>1831</v>
      </c>
      <c r="F504" s="18" t="s">
        <v>110</v>
      </c>
      <c r="G504" s="18" t="s">
        <v>111</v>
      </c>
      <c r="H504" s="19" t="s">
        <v>112</v>
      </c>
      <c r="I504" s="18" t="s">
        <v>113</v>
      </c>
      <c r="J504" s="19" t="s">
        <v>114</v>
      </c>
      <c r="K504" s="19" t="s">
        <v>115</v>
      </c>
      <c r="L504" s="18" t="s">
        <v>116</v>
      </c>
      <c r="M504" s="18" t="s">
        <v>1419</v>
      </c>
      <c r="N504" s="18" t="s">
        <v>118</v>
      </c>
      <c r="O504" s="20">
        <v>119000</v>
      </c>
      <c r="P504" s="20">
        <v>80920</v>
      </c>
      <c r="Q504" s="20">
        <v>1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32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119000</v>
      </c>
      <c r="AD504" s="20">
        <v>80920</v>
      </c>
      <c r="AE504" s="20">
        <v>0</v>
      </c>
      <c r="AF504" s="20">
        <v>0</v>
      </c>
      <c r="AG504" s="20">
        <v>119000</v>
      </c>
      <c r="AH504" s="20">
        <v>80920</v>
      </c>
      <c r="AI504" s="20">
        <v>34618</v>
      </c>
      <c r="AJ504" s="20">
        <v>3462</v>
      </c>
      <c r="AK504" s="20">
        <v>38080</v>
      </c>
    </row>
    <row r="505" spans="1:37" ht="16.5" customHeight="1" x14ac:dyDescent="0.3">
      <c r="A505" s="18" t="s">
        <v>1445</v>
      </c>
      <c r="B505" s="18" t="s">
        <v>107</v>
      </c>
      <c r="C505" s="19" t="s">
        <v>108</v>
      </c>
      <c r="D505" s="18" t="s">
        <v>1832</v>
      </c>
      <c r="E505" s="19" t="s">
        <v>1833</v>
      </c>
      <c r="F505" s="18" t="s">
        <v>110</v>
      </c>
      <c r="G505" s="18" t="s">
        <v>111</v>
      </c>
      <c r="H505" s="19" t="s">
        <v>112</v>
      </c>
      <c r="I505" s="18" t="s">
        <v>113</v>
      </c>
      <c r="J505" s="19" t="s">
        <v>114</v>
      </c>
      <c r="K505" s="19" t="s">
        <v>115</v>
      </c>
      <c r="L505" s="18" t="s">
        <v>116</v>
      </c>
      <c r="M505" s="18" t="s">
        <v>1419</v>
      </c>
      <c r="N505" s="18" t="s">
        <v>118</v>
      </c>
      <c r="O505" s="20">
        <v>119000</v>
      </c>
      <c r="P505" s="20">
        <v>80920</v>
      </c>
      <c r="Q505" s="20">
        <v>1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32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119000</v>
      </c>
      <c r="AD505" s="20">
        <v>80920</v>
      </c>
      <c r="AE505" s="20">
        <v>0</v>
      </c>
      <c r="AF505" s="20">
        <v>0</v>
      </c>
      <c r="AG505" s="20">
        <v>119000</v>
      </c>
      <c r="AH505" s="20">
        <v>80920</v>
      </c>
      <c r="AI505" s="20">
        <v>34618</v>
      </c>
      <c r="AJ505" s="20">
        <v>3462</v>
      </c>
      <c r="AK505" s="20">
        <v>38080</v>
      </c>
    </row>
    <row r="506" spans="1:37" ht="16.5" customHeight="1" x14ac:dyDescent="0.3">
      <c r="A506" s="18" t="s">
        <v>1448</v>
      </c>
      <c r="B506" s="18" t="s">
        <v>107</v>
      </c>
      <c r="C506" s="19" t="s">
        <v>108</v>
      </c>
      <c r="D506" s="18" t="s">
        <v>1834</v>
      </c>
      <c r="E506" s="19" t="s">
        <v>1835</v>
      </c>
      <c r="F506" s="18" t="s">
        <v>110</v>
      </c>
      <c r="G506" s="18" t="s">
        <v>111</v>
      </c>
      <c r="H506" s="19" t="s">
        <v>112</v>
      </c>
      <c r="I506" s="18" t="s">
        <v>113</v>
      </c>
      <c r="J506" s="19" t="s">
        <v>114</v>
      </c>
      <c r="K506" s="19" t="s">
        <v>115</v>
      </c>
      <c r="L506" s="18" t="s">
        <v>116</v>
      </c>
      <c r="M506" s="18" t="s">
        <v>1419</v>
      </c>
      <c r="N506" s="18" t="s">
        <v>118</v>
      </c>
      <c r="O506" s="20">
        <v>119000</v>
      </c>
      <c r="P506" s="20">
        <v>80920</v>
      </c>
      <c r="Q506" s="20">
        <v>1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32</v>
      </c>
      <c r="X506" s="20">
        <v>0</v>
      </c>
      <c r="Y506" s="20">
        <v>0</v>
      </c>
      <c r="Z506" s="20">
        <v>0</v>
      </c>
      <c r="AA506" s="20">
        <v>0</v>
      </c>
      <c r="AB506" s="20">
        <v>5950</v>
      </c>
      <c r="AC506" s="20">
        <v>119000</v>
      </c>
      <c r="AD506" s="20">
        <v>80920</v>
      </c>
      <c r="AE506" s="20">
        <v>0</v>
      </c>
      <c r="AF506" s="20">
        <v>5950</v>
      </c>
      <c r="AG506" s="20">
        <v>113050</v>
      </c>
      <c r="AH506" s="20">
        <v>80920</v>
      </c>
      <c r="AI506" s="20">
        <v>29209</v>
      </c>
      <c r="AJ506" s="20">
        <v>2921</v>
      </c>
      <c r="AK506" s="20">
        <v>32130</v>
      </c>
    </row>
    <row r="507" spans="1:37" ht="16.5" customHeight="1" x14ac:dyDescent="0.3">
      <c r="A507" s="18" t="s">
        <v>1450</v>
      </c>
      <c r="B507" s="18" t="s">
        <v>107</v>
      </c>
      <c r="C507" s="19" t="s">
        <v>108</v>
      </c>
      <c r="D507" s="18" t="s">
        <v>1836</v>
      </c>
      <c r="E507" s="19" t="s">
        <v>1837</v>
      </c>
      <c r="F507" s="18" t="s">
        <v>110</v>
      </c>
      <c r="G507" s="18" t="s">
        <v>111</v>
      </c>
      <c r="H507" s="19" t="s">
        <v>112</v>
      </c>
      <c r="I507" s="18" t="s">
        <v>113</v>
      </c>
      <c r="J507" s="19" t="s">
        <v>114</v>
      </c>
      <c r="K507" s="19" t="s">
        <v>115</v>
      </c>
      <c r="L507" s="18" t="s">
        <v>116</v>
      </c>
      <c r="M507" s="18" t="s">
        <v>1419</v>
      </c>
      <c r="N507" s="18" t="s">
        <v>118</v>
      </c>
      <c r="O507" s="20">
        <v>119000</v>
      </c>
      <c r="P507" s="20">
        <v>80920</v>
      </c>
      <c r="Q507" s="20">
        <v>1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32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119000</v>
      </c>
      <c r="AD507" s="20">
        <v>80920</v>
      </c>
      <c r="AE507" s="20">
        <v>0</v>
      </c>
      <c r="AF507" s="20">
        <v>0</v>
      </c>
      <c r="AG507" s="20">
        <v>119000</v>
      </c>
      <c r="AH507" s="20">
        <v>80920</v>
      </c>
      <c r="AI507" s="20">
        <v>34618</v>
      </c>
      <c r="AJ507" s="20">
        <v>3462</v>
      </c>
      <c r="AK507" s="20">
        <v>38080</v>
      </c>
    </row>
    <row r="508" spans="1:37" ht="16.5" customHeight="1" x14ac:dyDescent="0.3">
      <c r="A508" s="18" t="s">
        <v>1453</v>
      </c>
      <c r="B508" s="18" t="s">
        <v>107</v>
      </c>
      <c r="C508" s="19" t="s">
        <v>108</v>
      </c>
      <c r="D508" s="18" t="s">
        <v>1838</v>
      </c>
      <c r="E508" s="19" t="s">
        <v>169</v>
      </c>
      <c r="F508" s="18" t="s">
        <v>110</v>
      </c>
      <c r="G508" s="18" t="s">
        <v>111</v>
      </c>
      <c r="H508" s="19" t="s">
        <v>112</v>
      </c>
      <c r="I508" s="18" t="s">
        <v>113</v>
      </c>
      <c r="J508" s="19" t="s">
        <v>114</v>
      </c>
      <c r="K508" s="19" t="s">
        <v>115</v>
      </c>
      <c r="L508" s="18" t="s">
        <v>116</v>
      </c>
      <c r="M508" s="18" t="s">
        <v>1419</v>
      </c>
      <c r="N508" s="18" t="s">
        <v>118</v>
      </c>
      <c r="O508" s="20">
        <v>119000</v>
      </c>
      <c r="P508" s="20">
        <v>80920</v>
      </c>
      <c r="Q508" s="20">
        <v>1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32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119000</v>
      </c>
      <c r="AD508" s="20">
        <v>80920</v>
      </c>
      <c r="AE508" s="20">
        <v>0</v>
      </c>
      <c r="AF508" s="20">
        <v>0</v>
      </c>
      <c r="AG508" s="20">
        <v>119000</v>
      </c>
      <c r="AH508" s="20">
        <v>80920</v>
      </c>
      <c r="AI508" s="20">
        <v>34618</v>
      </c>
      <c r="AJ508" s="20">
        <v>3462</v>
      </c>
      <c r="AK508" s="20">
        <v>38080</v>
      </c>
    </row>
    <row r="509" spans="1:37" ht="16.5" customHeight="1" x14ac:dyDescent="0.3">
      <c r="A509" s="18" t="s">
        <v>1455</v>
      </c>
      <c r="B509" s="18" t="s">
        <v>107</v>
      </c>
      <c r="C509" s="19" t="s">
        <v>108</v>
      </c>
      <c r="D509" s="18" t="s">
        <v>1839</v>
      </c>
      <c r="E509" s="19" t="s">
        <v>1184</v>
      </c>
      <c r="F509" s="18" t="s">
        <v>110</v>
      </c>
      <c r="G509" s="18" t="s">
        <v>111</v>
      </c>
      <c r="H509" s="19" t="s">
        <v>112</v>
      </c>
      <c r="I509" s="18" t="s">
        <v>113</v>
      </c>
      <c r="J509" s="19" t="s">
        <v>114</v>
      </c>
      <c r="K509" s="19" t="s">
        <v>115</v>
      </c>
      <c r="L509" s="18" t="s">
        <v>116</v>
      </c>
      <c r="M509" s="18" t="s">
        <v>1419</v>
      </c>
      <c r="N509" s="18" t="s">
        <v>118</v>
      </c>
      <c r="O509" s="20">
        <v>119000</v>
      </c>
      <c r="P509" s="20">
        <v>80920</v>
      </c>
      <c r="Q509" s="20">
        <v>1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32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119000</v>
      </c>
      <c r="AD509" s="20">
        <v>80920</v>
      </c>
      <c r="AE509" s="20">
        <v>0</v>
      </c>
      <c r="AF509" s="20">
        <v>0</v>
      </c>
      <c r="AG509" s="20">
        <v>119000</v>
      </c>
      <c r="AH509" s="20">
        <v>80920</v>
      </c>
      <c r="AI509" s="20">
        <v>34618</v>
      </c>
      <c r="AJ509" s="20">
        <v>3462</v>
      </c>
      <c r="AK509" s="20">
        <v>38080</v>
      </c>
    </row>
    <row r="510" spans="1:37" ht="16.5" customHeight="1" x14ac:dyDescent="0.3">
      <c r="A510" s="18" t="s">
        <v>1457</v>
      </c>
      <c r="B510" s="18" t="s">
        <v>107</v>
      </c>
      <c r="C510" s="19" t="s">
        <v>108</v>
      </c>
      <c r="D510" s="18" t="s">
        <v>1840</v>
      </c>
      <c r="E510" s="19" t="s">
        <v>931</v>
      </c>
      <c r="F510" s="18" t="s">
        <v>110</v>
      </c>
      <c r="G510" s="18" t="s">
        <v>111</v>
      </c>
      <c r="H510" s="19" t="s">
        <v>112</v>
      </c>
      <c r="I510" s="18" t="s">
        <v>113</v>
      </c>
      <c r="J510" s="19" t="s">
        <v>114</v>
      </c>
      <c r="K510" s="19" t="s">
        <v>115</v>
      </c>
      <c r="L510" s="18" t="s">
        <v>116</v>
      </c>
      <c r="M510" s="18" t="s">
        <v>1419</v>
      </c>
      <c r="N510" s="18" t="s">
        <v>118</v>
      </c>
      <c r="O510" s="20">
        <v>119000</v>
      </c>
      <c r="P510" s="20">
        <v>80920</v>
      </c>
      <c r="Q510" s="20">
        <v>1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32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119000</v>
      </c>
      <c r="AD510" s="20">
        <v>80920</v>
      </c>
      <c r="AE510" s="20">
        <v>0</v>
      </c>
      <c r="AF510" s="20">
        <v>0</v>
      </c>
      <c r="AG510" s="20">
        <v>119000</v>
      </c>
      <c r="AH510" s="20">
        <v>80920</v>
      </c>
      <c r="AI510" s="20">
        <v>34618</v>
      </c>
      <c r="AJ510" s="20">
        <v>3462</v>
      </c>
      <c r="AK510" s="20">
        <v>38080</v>
      </c>
    </row>
    <row r="511" spans="1:37" ht="16.5" customHeight="1" x14ac:dyDescent="0.3">
      <c r="A511" s="18" t="s">
        <v>1460</v>
      </c>
      <c r="B511" s="18" t="s">
        <v>107</v>
      </c>
      <c r="C511" s="19" t="s">
        <v>108</v>
      </c>
      <c r="D511" s="18" t="s">
        <v>1841</v>
      </c>
      <c r="E511" s="19" t="s">
        <v>1842</v>
      </c>
      <c r="F511" s="18" t="s">
        <v>110</v>
      </c>
      <c r="G511" s="18" t="s">
        <v>111</v>
      </c>
      <c r="H511" s="19" t="s">
        <v>112</v>
      </c>
      <c r="I511" s="18" t="s">
        <v>113</v>
      </c>
      <c r="J511" s="19" t="s">
        <v>114</v>
      </c>
      <c r="K511" s="19" t="s">
        <v>115</v>
      </c>
      <c r="L511" s="18" t="s">
        <v>116</v>
      </c>
      <c r="M511" s="18" t="s">
        <v>1419</v>
      </c>
      <c r="N511" s="18" t="s">
        <v>118</v>
      </c>
      <c r="O511" s="20">
        <v>119000</v>
      </c>
      <c r="P511" s="20">
        <v>80920</v>
      </c>
      <c r="Q511" s="20">
        <v>1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32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119000</v>
      </c>
      <c r="AD511" s="20">
        <v>80920</v>
      </c>
      <c r="AE511" s="20">
        <v>0</v>
      </c>
      <c r="AF511" s="20">
        <v>0</v>
      </c>
      <c r="AG511" s="20">
        <v>119000</v>
      </c>
      <c r="AH511" s="20">
        <v>80920</v>
      </c>
      <c r="AI511" s="20">
        <v>34618</v>
      </c>
      <c r="AJ511" s="20">
        <v>3462</v>
      </c>
      <c r="AK511" s="20">
        <v>38080</v>
      </c>
    </row>
    <row r="512" spans="1:37" ht="16.5" customHeight="1" x14ac:dyDescent="0.3">
      <c r="A512" s="18" t="s">
        <v>1462</v>
      </c>
      <c r="B512" s="18" t="s">
        <v>107</v>
      </c>
      <c r="C512" s="19" t="s">
        <v>108</v>
      </c>
      <c r="D512" s="18" t="s">
        <v>1843</v>
      </c>
      <c r="E512" s="19" t="s">
        <v>1844</v>
      </c>
      <c r="F512" s="18" t="s">
        <v>110</v>
      </c>
      <c r="G512" s="18" t="s">
        <v>111</v>
      </c>
      <c r="H512" s="19" t="s">
        <v>112</v>
      </c>
      <c r="I512" s="18" t="s">
        <v>113</v>
      </c>
      <c r="J512" s="19" t="s">
        <v>114</v>
      </c>
      <c r="K512" s="19" t="s">
        <v>115</v>
      </c>
      <c r="L512" s="18" t="s">
        <v>116</v>
      </c>
      <c r="M512" s="18" t="s">
        <v>1419</v>
      </c>
      <c r="N512" s="18" t="s">
        <v>118</v>
      </c>
      <c r="O512" s="20">
        <v>119000</v>
      </c>
      <c r="P512" s="20">
        <v>80920</v>
      </c>
      <c r="Q512" s="20">
        <v>1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32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119000</v>
      </c>
      <c r="AD512" s="20">
        <v>80920</v>
      </c>
      <c r="AE512" s="20">
        <v>0</v>
      </c>
      <c r="AF512" s="20">
        <v>0</v>
      </c>
      <c r="AG512" s="20">
        <v>119000</v>
      </c>
      <c r="AH512" s="20">
        <v>80920</v>
      </c>
      <c r="AI512" s="20">
        <v>34618</v>
      </c>
      <c r="AJ512" s="20">
        <v>3462</v>
      </c>
      <c r="AK512" s="20">
        <v>38080</v>
      </c>
    </row>
    <row r="513" spans="1:37" ht="16.5" customHeight="1" x14ac:dyDescent="0.3">
      <c r="A513" s="18" t="s">
        <v>1465</v>
      </c>
      <c r="B513" s="18" t="s">
        <v>107</v>
      </c>
      <c r="C513" s="19" t="s">
        <v>108</v>
      </c>
      <c r="D513" s="18" t="s">
        <v>1845</v>
      </c>
      <c r="E513" s="19" t="s">
        <v>1846</v>
      </c>
      <c r="F513" s="18" t="s">
        <v>110</v>
      </c>
      <c r="G513" s="18" t="s">
        <v>111</v>
      </c>
      <c r="H513" s="19" t="s">
        <v>112</v>
      </c>
      <c r="I513" s="18" t="s">
        <v>113</v>
      </c>
      <c r="J513" s="19" t="s">
        <v>114</v>
      </c>
      <c r="K513" s="19" t="s">
        <v>115</v>
      </c>
      <c r="L513" s="18" t="s">
        <v>116</v>
      </c>
      <c r="M513" s="18" t="s">
        <v>1419</v>
      </c>
      <c r="N513" s="18" t="s">
        <v>118</v>
      </c>
      <c r="O513" s="20">
        <v>119000</v>
      </c>
      <c r="P513" s="20">
        <v>80920</v>
      </c>
      <c r="Q513" s="20">
        <v>1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32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119000</v>
      </c>
      <c r="AD513" s="20">
        <v>80920</v>
      </c>
      <c r="AE513" s="20">
        <v>0</v>
      </c>
      <c r="AF513" s="20">
        <v>0</v>
      </c>
      <c r="AG513" s="20">
        <v>119000</v>
      </c>
      <c r="AH513" s="20">
        <v>80920</v>
      </c>
      <c r="AI513" s="20">
        <v>34618</v>
      </c>
      <c r="AJ513" s="20">
        <v>3462</v>
      </c>
      <c r="AK513" s="20">
        <v>38080</v>
      </c>
    </row>
    <row r="514" spans="1:37" ht="16.5" customHeight="1" x14ac:dyDescent="0.3">
      <c r="A514" s="18" t="s">
        <v>1467</v>
      </c>
      <c r="B514" s="18" t="s">
        <v>107</v>
      </c>
      <c r="C514" s="19" t="s">
        <v>108</v>
      </c>
      <c r="D514" s="18" t="s">
        <v>1847</v>
      </c>
      <c r="E514" s="19" t="s">
        <v>169</v>
      </c>
      <c r="F514" s="18" t="s">
        <v>110</v>
      </c>
      <c r="G514" s="18" t="s">
        <v>111</v>
      </c>
      <c r="H514" s="19" t="s">
        <v>112</v>
      </c>
      <c r="I514" s="18" t="s">
        <v>113</v>
      </c>
      <c r="J514" s="19" t="s">
        <v>114</v>
      </c>
      <c r="K514" s="19" t="s">
        <v>115</v>
      </c>
      <c r="L514" s="18" t="s">
        <v>116</v>
      </c>
      <c r="M514" s="18" t="s">
        <v>1419</v>
      </c>
      <c r="N514" s="18" t="s">
        <v>118</v>
      </c>
      <c r="O514" s="20">
        <v>119000</v>
      </c>
      <c r="P514" s="20">
        <v>80920</v>
      </c>
      <c r="Q514" s="20">
        <v>1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32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119000</v>
      </c>
      <c r="AD514" s="20">
        <v>80920</v>
      </c>
      <c r="AE514" s="20">
        <v>0</v>
      </c>
      <c r="AF514" s="20">
        <v>0</v>
      </c>
      <c r="AG514" s="20">
        <v>119000</v>
      </c>
      <c r="AH514" s="20">
        <v>80920</v>
      </c>
      <c r="AI514" s="20">
        <v>34618</v>
      </c>
      <c r="AJ514" s="20">
        <v>3462</v>
      </c>
      <c r="AK514" s="20">
        <v>38080</v>
      </c>
    </row>
    <row r="515" spans="1:37" ht="16.5" customHeight="1" x14ac:dyDescent="0.3">
      <c r="A515" s="18" t="s">
        <v>1469</v>
      </c>
      <c r="B515" s="18" t="s">
        <v>107</v>
      </c>
      <c r="C515" s="19" t="s">
        <v>108</v>
      </c>
      <c r="D515" s="18" t="s">
        <v>1848</v>
      </c>
      <c r="E515" s="19" t="s">
        <v>232</v>
      </c>
      <c r="F515" s="18" t="s">
        <v>110</v>
      </c>
      <c r="G515" s="18" t="s">
        <v>111</v>
      </c>
      <c r="H515" s="19" t="s">
        <v>112</v>
      </c>
      <c r="I515" s="18" t="s">
        <v>113</v>
      </c>
      <c r="J515" s="19" t="s">
        <v>114</v>
      </c>
      <c r="K515" s="19" t="s">
        <v>115</v>
      </c>
      <c r="L515" s="18" t="s">
        <v>116</v>
      </c>
      <c r="M515" s="18" t="s">
        <v>1419</v>
      </c>
      <c r="N515" s="18" t="s">
        <v>118</v>
      </c>
      <c r="O515" s="20">
        <v>119000</v>
      </c>
      <c r="P515" s="20">
        <v>80920</v>
      </c>
      <c r="Q515" s="20">
        <v>1</v>
      </c>
      <c r="R515" s="20">
        <v>0</v>
      </c>
      <c r="S515" s="20">
        <v>0</v>
      </c>
      <c r="T515" s="20">
        <v>0</v>
      </c>
      <c r="U515" s="20">
        <v>0</v>
      </c>
      <c r="V515" s="20">
        <v>0</v>
      </c>
      <c r="W515" s="20">
        <v>32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119000</v>
      </c>
      <c r="AD515" s="20">
        <v>80920</v>
      </c>
      <c r="AE515" s="20">
        <v>0</v>
      </c>
      <c r="AF515" s="20">
        <v>0</v>
      </c>
      <c r="AG515" s="20">
        <v>119000</v>
      </c>
      <c r="AH515" s="20">
        <v>80920</v>
      </c>
      <c r="AI515" s="20">
        <v>34618</v>
      </c>
      <c r="AJ515" s="20">
        <v>3462</v>
      </c>
      <c r="AK515" s="20">
        <v>38080</v>
      </c>
    </row>
    <row r="516" spans="1:37" ht="16.5" customHeight="1" x14ac:dyDescent="0.3">
      <c r="A516" s="18" t="s">
        <v>1471</v>
      </c>
      <c r="B516" s="18" t="s">
        <v>107</v>
      </c>
      <c r="C516" s="19" t="s">
        <v>108</v>
      </c>
      <c r="D516" s="18" t="s">
        <v>1849</v>
      </c>
      <c r="E516" s="19" t="s">
        <v>1435</v>
      </c>
      <c r="F516" s="18" t="s">
        <v>110</v>
      </c>
      <c r="G516" s="18" t="s">
        <v>111</v>
      </c>
      <c r="H516" s="19" t="s">
        <v>112</v>
      </c>
      <c r="I516" s="18" t="s">
        <v>113</v>
      </c>
      <c r="J516" s="19" t="s">
        <v>114</v>
      </c>
      <c r="K516" s="19" t="s">
        <v>115</v>
      </c>
      <c r="L516" s="18" t="s">
        <v>116</v>
      </c>
      <c r="M516" s="18" t="s">
        <v>1419</v>
      </c>
      <c r="N516" s="18" t="s">
        <v>118</v>
      </c>
      <c r="O516" s="20">
        <v>119000</v>
      </c>
      <c r="P516" s="20">
        <v>80920</v>
      </c>
      <c r="Q516" s="20">
        <v>1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32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119000</v>
      </c>
      <c r="AD516" s="20">
        <v>80920</v>
      </c>
      <c r="AE516" s="20">
        <v>0</v>
      </c>
      <c r="AF516" s="20">
        <v>0</v>
      </c>
      <c r="AG516" s="20">
        <v>119000</v>
      </c>
      <c r="AH516" s="20">
        <v>80920</v>
      </c>
      <c r="AI516" s="20">
        <v>34618</v>
      </c>
      <c r="AJ516" s="20">
        <v>3462</v>
      </c>
      <c r="AK516" s="20">
        <v>38080</v>
      </c>
    </row>
    <row r="517" spans="1:37" ht="16.5" customHeight="1" x14ac:dyDescent="0.3">
      <c r="A517" s="18" t="s">
        <v>1473</v>
      </c>
      <c r="B517" s="18" t="s">
        <v>107</v>
      </c>
      <c r="C517" s="19" t="s">
        <v>108</v>
      </c>
      <c r="D517" s="18" t="s">
        <v>1850</v>
      </c>
      <c r="E517" s="19" t="s">
        <v>721</v>
      </c>
      <c r="F517" s="18" t="s">
        <v>110</v>
      </c>
      <c r="G517" s="18" t="s">
        <v>111</v>
      </c>
      <c r="H517" s="19" t="s">
        <v>112</v>
      </c>
      <c r="I517" s="18" t="s">
        <v>113</v>
      </c>
      <c r="J517" s="19" t="s">
        <v>114</v>
      </c>
      <c r="K517" s="19" t="s">
        <v>115</v>
      </c>
      <c r="L517" s="18" t="s">
        <v>116</v>
      </c>
      <c r="M517" s="18" t="s">
        <v>1419</v>
      </c>
      <c r="N517" s="18" t="s">
        <v>118</v>
      </c>
      <c r="O517" s="20">
        <v>119000</v>
      </c>
      <c r="P517" s="20">
        <v>80920</v>
      </c>
      <c r="Q517" s="20">
        <v>1</v>
      </c>
      <c r="R517" s="20">
        <v>0</v>
      </c>
      <c r="S517" s="20">
        <v>0</v>
      </c>
      <c r="T517" s="20">
        <v>0</v>
      </c>
      <c r="U517" s="20">
        <v>0</v>
      </c>
      <c r="V517" s="20">
        <v>0</v>
      </c>
      <c r="W517" s="20">
        <v>32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119000</v>
      </c>
      <c r="AD517" s="20">
        <v>80920</v>
      </c>
      <c r="AE517" s="20">
        <v>0</v>
      </c>
      <c r="AF517" s="20">
        <v>0</v>
      </c>
      <c r="AG517" s="20">
        <v>119000</v>
      </c>
      <c r="AH517" s="20">
        <v>80920</v>
      </c>
      <c r="AI517" s="20">
        <v>34618</v>
      </c>
      <c r="AJ517" s="20">
        <v>3462</v>
      </c>
      <c r="AK517" s="20">
        <v>38080</v>
      </c>
    </row>
    <row r="518" spans="1:37" ht="16.5" customHeight="1" x14ac:dyDescent="0.3">
      <c r="A518" s="18" t="s">
        <v>1476</v>
      </c>
      <c r="B518" s="18" t="s">
        <v>107</v>
      </c>
      <c r="C518" s="19" t="s">
        <v>108</v>
      </c>
      <c r="D518" s="18" t="s">
        <v>1851</v>
      </c>
      <c r="E518" s="19" t="s">
        <v>315</v>
      </c>
      <c r="F518" s="18" t="s">
        <v>110</v>
      </c>
      <c r="G518" s="18" t="s">
        <v>111</v>
      </c>
      <c r="H518" s="19" t="s">
        <v>112</v>
      </c>
      <c r="I518" s="18" t="s">
        <v>113</v>
      </c>
      <c r="J518" s="19" t="s">
        <v>114</v>
      </c>
      <c r="K518" s="19" t="s">
        <v>115</v>
      </c>
      <c r="L518" s="18" t="s">
        <v>116</v>
      </c>
      <c r="M518" s="18" t="s">
        <v>1419</v>
      </c>
      <c r="N518" s="18" t="s">
        <v>118</v>
      </c>
      <c r="O518" s="20">
        <v>119000</v>
      </c>
      <c r="P518" s="20">
        <v>80920</v>
      </c>
      <c r="Q518" s="20">
        <v>1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32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119000</v>
      </c>
      <c r="AD518" s="20">
        <v>80920</v>
      </c>
      <c r="AE518" s="20">
        <v>0</v>
      </c>
      <c r="AF518" s="20">
        <v>0</v>
      </c>
      <c r="AG518" s="20">
        <v>119000</v>
      </c>
      <c r="AH518" s="20">
        <v>80920</v>
      </c>
      <c r="AI518" s="20">
        <v>34618</v>
      </c>
      <c r="AJ518" s="20">
        <v>3462</v>
      </c>
      <c r="AK518" s="20">
        <v>38080</v>
      </c>
    </row>
    <row r="519" spans="1:37" ht="16.5" customHeight="1" x14ac:dyDescent="0.3">
      <c r="A519" s="18" t="s">
        <v>1479</v>
      </c>
      <c r="B519" s="18" t="s">
        <v>107</v>
      </c>
      <c r="C519" s="19" t="s">
        <v>108</v>
      </c>
      <c r="D519" s="18" t="s">
        <v>1852</v>
      </c>
      <c r="E519" s="19" t="s">
        <v>636</v>
      </c>
      <c r="F519" s="18" t="s">
        <v>110</v>
      </c>
      <c r="G519" s="18" t="s">
        <v>111</v>
      </c>
      <c r="H519" s="19" t="s">
        <v>112</v>
      </c>
      <c r="I519" s="18" t="s">
        <v>113</v>
      </c>
      <c r="J519" s="19" t="s">
        <v>114</v>
      </c>
      <c r="K519" s="19" t="s">
        <v>115</v>
      </c>
      <c r="L519" s="18" t="s">
        <v>116</v>
      </c>
      <c r="M519" s="18" t="s">
        <v>1419</v>
      </c>
      <c r="N519" s="18" t="s">
        <v>118</v>
      </c>
      <c r="O519" s="20">
        <v>119000</v>
      </c>
      <c r="P519" s="20">
        <v>80920</v>
      </c>
      <c r="Q519" s="20">
        <v>1</v>
      </c>
      <c r="R519" s="20">
        <v>0</v>
      </c>
      <c r="S519" s="20">
        <v>0</v>
      </c>
      <c r="T519" s="20">
        <v>0</v>
      </c>
      <c r="U519" s="20">
        <v>0</v>
      </c>
      <c r="V519" s="20">
        <v>0</v>
      </c>
      <c r="W519" s="20">
        <v>32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119000</v>
      </c>
      <c r="AD519" s="20">
        <v>80920</v>
      </c>
      <c r="AE519" s="20">
        <v>0</v>
      </c>
      <c r="AF519" s="20">
        <v>0</v>
      </c>
      <c r="AG519" s="20">
        <v>119000</v>
      </c>
      <c r="AH519" s="20">
        <v>80920</v>
      </c>
      <c r="AI519" s="20">
        <v>34618</v>
      </c>
      <c r="AJ519" s="20">
        <v>3462</v>
      </c>
      <c r="AK519" s="20">
        <v>38080</v>
      </c>
    </row>
    <row r="520" spans="1:37" ht="16.5" customHeight="1" x14ac:dyDescent="0.3">
      <c r="A520" s="18" t="s">
        <v>1481</v>
      </c>
      <c r="B520" s="18" t="s">
        <v>107</v>
      </c>
      <c r="C520" s="19" t="s">
        <v>108</v>
      </c>
      <c r="D520" s="18" t="s">
        <v>1853</v>
      </c>
      <c r="E520" s="19" t="s">
        <v>949</v>
      </c>
      <c r="F520" s="18" t="s">
        <v>110</v>
      </c>
      <c r="G520" s="18" t="s">
        <v>111</v>
      </c>
      <c r="H520" s="19" t="s">
        <v>112</v>
      </c>
      <c r="I520" s="18" t="s">
        <v>113</v>
      </c>
      <c r="J520" s="19" t="s">
        <v>114</v>
      </c>
      <c r="K520" s="19" t="s">
        <v>115</v>
      </c>
      <c r="L520" s="18" t="s">
        <v>116</v>
      </c>
      <c r="M520" s="18" t="s">
        <v>1419</v>
      </c>
      <c r="N520" s="18" t="s">
        <v>118</v>
      </c>
      <c r="O520" s="20">
        <v>119000</v>
      </c>
      <c r="P520" s="20">
        <v>80920</v>
      </c>
      <c r="Q520" s="20">
        <v>1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32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119000</v>
      </c>
      <c r="AD520" s="20">
        <v>80920</v>
      </c>
      <c r="AE520" s="20">
        <v>0</v>
      </c>
      <c r="AF520" s="20">
        <v>0</v>
      </c>
      <c r="AG520" s="20">
        <v>119000</v>
      </c>
      <c r="AH520" s="20">
        <v>80920</v>
      </c>
      <c r="AI520" s="20">
        <v>34618</v>
      </c>
      <c r="AJ520" s="20">
        <v>3462</v>
      </c>
      <c r="AK520" s="20">
        <v>38080</v>
      </c>
    </row>
    <row r="521" spans="1:37" ht="16.5" customHeight="1" x14ac:dyDescent="0.3">
      <c r="A521" s="18" t="s">
        <v>1483</v>
      </c>
      <c r="B521" s="18" t="s">
        <v>107</v>
      </c>
      <c r="C521" s="19" t="s">
        <v>108</v>
      </c>
      <c r="D521" s="18" t="s">
        <v>1854</v>
      </c>
      <c r="E521" s="19" t="s">
        <v>208</v>
      </c>
      <c r="F521" s="18" t="s">
        <v>110</v>
      </c>
      <c r="G521" s="18" t="s">
        <v>111</v>
      </c>
      <c r="H521" s="19" t="s">
        <v>112</v>
      </c>
      <c r="I521" s="18" t="s">
        <v>113</v>
      </c>
      <c r="J521" s="19" t="s">
        <v>114</v>
      </c>
      <c r="K521" s="19" t="s">
        <v>115</v>
      </c>
      <c r="L521" s="18" t="s">
        <v>116</v>
      </c>
      <c r="M521" s="18" t="s">
        <v>1419</v>
      </c>
      <c r="N521" s="18" t="s">
        <v>118</v>
      </c>
      <c r="O521" s="20">
        <v>119000</v>
      </c>
      <c r="P521" s="20">
        <v>80920</v>
      </c>
      <c r="Q521" s="20">
        <v>1</v>
      </c>
      <c r="R521" s="20">
        <v>0</v>
      </c>
      <c r="S521" s="20">
        <v>0</v>
      </c>
      <c r="T521" s="20">
        <v>0</v>
      </c>
      <c r="U521" s="20">
        <v>0</v>
      </c>
      <c r="V521" s="20">
        <v>0</v>
      </c>
      <c r="W521" s="20">
        <v>32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119000</v>
      </c>
      <c r="AD521" s="20">
        <v>80920</v>
      </c>
      <c r="AE521" s="20">
        <v>0</v>
      </c>
      <c r="AF521" s="20">
        <v>0</v>
      </c>
      <c r="AG521" s="20">
        <v>119000</v>
      </c>
      <c r="AH521" s="20">
        <v>80920</v>
      </c>
      <c r="AI521" s="20">
        <v>34618</v>
      </c>
      <c r="AJ521" s="20">
        <v>3462</v>
      </c>
      <c r="AK521" s="20">
        <v>38080</v>
      </c>
    </row>
    <row r="522" spans="1:37" ht="16.5" customHeight="1" x14ac:dyDescent="0.3">
      <c r="A522" s="18" t="s">
        <v>1485</v>
      </c>
      <c r="B522" s="18" t="s">
        <v>107</v>
      </c>
      <c r="C522" s="19" t="s">
        <v>108</v>
      </c>
      <c r="D522" s="18" t="s">
        <v>1855</v>
      </c>
      <c r="E522" s="19" t="s">
        <v>232</v>
      </c>
      <c r="F522" s="18" t="s">
        <v>110</v>
      </c>
      <c r="G522" s="18" t="s">
        <v>111</v>
      </c>
      <c r="H522" s="19" t="s">
        <v>112</v>
      </c>
      <c r="I522" s="18" t="s">
        <v>113</v>
      </c>
      <c r="J522" s="19" t="s">
        <v>114</v>
      </c>
      <c r="K522" s="19" t="s">
        <v>115</v>
      </c>
      <c r="L522" s="18" t="s">
        <v>116</v>
      </c>
      <c r="M522" s="18" t="s">
        <v>1419</v>
      </c>
      <c r="N522" s="18" t="s">
        <v>118</v>
      </c>
      <c r="O522" s="20">
        <v>119000</v>
      </c>
      <c r="P522" s="20">
        <v>80920</v>
      </c>
      <c r="Q522" s="20">
        <v>1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32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119000</v>
      </c>
      <c r="AD522" s="20">
        <v>80920</v>
      </c>
      <c r="AE522" s="20">
        <v>0</v>
      </c>
      <c r="AF522" s="20">
        <v>0</v>
      </c>
      <c r="AG522" s="20">
        <v>119000</v>
      </c>
      <c r="AH522" s="20">
        <v>80920</v>
      </c>
      <c r="AI522" s="20">
        <v>34618</v>
      </c>
      <c r="AJ522" s="20">
        <v>3462</v>
      </c>
      <c r="AK522" s="20">
        <v>38080</v>
      </c>
    </row>
    <row r="523" spans="1:37" ht="16.5" customHeight="1" x14ac:dyDescent="0.3">
      <c r="A523" s="18" t="s">
        <v>1487</v>
      </c>
      <c r="B523" s="18" t="s">
        <v>107</v>
      </c>
      <c r="C523" s="19" t="s">
        <v>108</v>
      </c>
      <c r="D523" s="18" t="s">
        <v>1856</v>
      </c>
      <c r="E523" s="19" t="s">
        <v>328</v>
      </c>
      <c r="F523" s="18" t="s">
        <v>110</v>
      </c>
      <c r="G523" s="18" t="s">
        <v>111</v>
      </c>
      <c r="H523" s="19" t="s">
        <v>112</v>
      </c>
      <c r="I523" s="18" t="s">
        <v>113</v>
      </c>
      <c r="J523" s="19" t="s">
        <v>114</v>
      </c>
      <c r="K523" s="19" t="s">
        <v>115</v>
      </c>
      <c r="L523" s="18" t="s">
        <v>116</v>
      </c>
      <c r="M523" s="18" t="s">
        <v>1419</v>
      </c>
      <c r="N523" s="18" t="s">
        <v>118</v>
      </c>
      <c r="O523" s="20">
        <v>119000</v>
      </c>
      <c r="P523" s="20">
        <v>80920</v>
      </c>
      <c r="Q523" s="20">
        <v>1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32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119000</v>
      </c>
      <c r="AD523" s="20">
        <v>80920</v>
      </c>
      <c r="AE523" s="20">
        <v>0</v>
      </c>
      <c r="AF523" s="20">
        <v>0</v>
      </c>
      <c r="AG523" s="20">
        <v>119000</v>
      </c>
      <c r="AH523" s="20">
        <v>80920</v>
      </c>
      <c r="AI523" s="20">
        <v>34618</v>
      </c>
      <c r="AJ523" s="20">
        <v>3462</v>
      </c>
      <c r="AK523" s="20">
        <v>38080</v>
      </c>
    </row>
    <row r="524" spans="1:37" ht="16.5" customHeight="1" x14ac:dyDescent="0.3">
      <c r="A524" s="18" t="s">
        <v>1490</v>
      </c>
      <c r="B524" s="18" t="s">
        <v>107</v>
      </c>
      <c r="C524" s="19" t="s">
        <v>108</v>
      </c>
      <c r="D524" s="18" t="s">
        <v>1857</v>
      </c>
      <c r="E524" s="19" t="s">
        <v>1858</v>
      </c>
      <c r="F524" s="18" t="s">
        <v>110</v>
      </c>
      <c r="G524" s="18" t="s">
        <v>111</v>
      </c>
      <c r="H524" s="19" t="s">
        <v>112</v>
      </c>
      <c r="I524" s="18" t="s">
        <v>113</v>
      </c>
      <c r="J524" s="19" t="s">
        <v>114</v>
      </c>
      <c r="K524" s="19" t="s">
        <v>115</v>
      </c>
      <c r="L524" s="18" t="s">
        <v>116</v>
      </c>
      <c r="M524" s="18" t="s">
        <v>1419</v>
      </c>
      <c r="N524" s="18" t="s">
        <v>118</v>
      </c>
      <c r="O524" s="20">
        <v>119000</v>
      </c>
      <c r="P524" s="20">
        <v>80920</v>
      </c>
      <c r="Q524" s="20">
        <v>1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32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119000</v>
      </c>
      <c r="AD524" s="20">
        <v>80920</v>
      </c>
      <c r="AE524" s="20">
        <v>0</v>
      </c>
      <c r="AF524" s="20">
        <v>0</v>
      </c>
      <c r="AG524" s="20">
        <v>119000</v>
      </c>
      <c r="AH524" s="20">
        <v>80920</v>
      </c>
      <c r="AI524" s="20">
        <v>34618</v>
      </c>
      <c r="AJ524" s="20">
        <v>3462</v>
      </c>
      <c r="AK524" s="20">
        <v>38080</v>
      </c>
    </row>
    <row r="525" spans="1:37" ht="16.5" customHeight="1" x14ac:dyDescent="0.3">
      <c r="A525" s="18" t="s">
        <v>1492</v>
      </c>
      <c r="B525" s="18" t="s">
        <v>107</v>
      </c>
      <c r="C525" s="19" t="s">
        <v>108</v>
      </c>
      <c r="D525" s="18" t="s">
        <v>1859</v>
      </c>
      <c r="E525" s="19" t="s">
        <v>1860</v>
      </c>
      <c r="F525" s="18" t="s">
        <v>110</v>
      </c>
      <c r="G525" s="18" t="s">
        <v>111</v>
      </c>
      <c r="H525" s="19" t="s">
        <v>112</v>
      </c>
      <c r="I525" s="18" t="s">
        <v>113</v>
      </c>
      <c r="J525" s="19" t="s">
        <v>114</v>
      </c>
      <c r="K525" s="19" t="s">
        <v>115</v>
      </c>
      <c r="L525" s="18" t="s">
        <v>116</v>
      </c>
      <c r="M525" s="18" t="s">
        <v>1419</v>
      </c>
      <c r="N525" s="18" t="s">
        <v>118</v>
      </c>
      <c r="O525" s="20">
        <v>119000</v>
      </c>
      <c r="P525" s="20">
        <v>80920</v>
      </c>
      <c r="Q525" s="20">
        <v>1</v>
      </c>
      <c r="R525" s="20">
        <v>0</v>
      </c>
      <c r="S525" s="20">
        <v>0</v>
      </c>
      <c r="T525" s="20">
        <v>0</v>
      </c>
      <c r="U525" s="20">
        <v>0</v>
      </c>
      <c r="V525" s="20">
        <v>0</v>
      </c>
      <c r="W525" s="20">
        <v>32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119000</v>
      </c>
      <c r="AD525" s="20">
        <v>80920</v>
      </c>
      <c r="AE525" s="20">
        <v>0</v>
      </c>
      <c r="AF525" s="20">
        <v>0</v>
      </c>
      <c r="AG525" s="20">
        <v>119000</v>
      </c>
      <c r="AH525" s="20">
        <v>80920</v>
      </c>
      <c r="AI525" s="20">
        <v>34618</v>
      </c>
      <c r="AJ525" s="20">
        <v>3462</v>
      </c>
      <c r="AK525" s="20">
        <v>38080</v>
      </c>
    </row>
    <row r="526" spans="1:37" ht="16.5" customHeight="1" x14ac:dyDescent="0.3">
      <c r="A526" s="18" t="s">
        <v>1494</v>
      </c>
      <c r="B526" s="18" t="s">
        <v>107</v>
      </c>
      <c r="C526" s="19" t="s">
        <v>108</v>
      </c>
      <c r="D526" s="18" t="s">
        <v>1861</v>
      </c>
      <c r="E526" s="19" t="s">
        <v>181</v>
      </c>
      <c r="F526" s="18" t="s">
        <v>110</v>
      </c>
      <c r="G526" s="18" t="s">
        <v>111</v>
      </c>
      <c r="H526" s="19" t="s">
        <v>112</v>
      </c>
      <c r="I526" s="18" t="s">
        <v>113</v>
      </c>
      <c r="J526" s="19" t="s">
        <v>114</v>
      </c>
      <c r="K526" s="19" t="s">
        <v>115</v>
      </c>
      <c r="L526" s="18" t="s">
        <v>116</v>
      </c>
      <c r="M526" s="18" t="s">
        <v>1419</v>
      </c>
      <c r="N526" s="18" t="s">
        <v>118</v>
      </c>
      <c r="O526" s="20">
        <v>119000</v>
      </c>
      <c r="P526" s="20">
        <v>80920</v>
      </c>
      <c r="Q526" s="20">
        <v>1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32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119000</v>
      </c>
      <c r="AD526" s="20">
        <v>80920</v>
      </c>
      <c r="AE526" s="20">
        <v>0</v>
      </c>
      <c r="AF526" s="20">
        <v>0</v>
      </c>
      <c r="AG526" s="20">
        <v>119000</v>
      </c>
      <c r="AH526" s="20">
        <v>80920</v>
      </c>
      <c r="AI526" s="20">
        <v>34618</v>
      </c>
      <c r="AJ526" s="20">
        <v>3462</v>
      </c>
      <c r="AK526" s="20">
        <v>38080</v>
      </c>
    </row>
    <row r="527" spans="1:37" ht="16.5" customHeight="1" x14ac:dyDescent="0.3">
      <c r="A527" s="18" t="s">
        <v>1497</v>
      </c>
      <c r="B527" s="18" t="s">
        <v>107</v>
      </c>
      <c r="C527" s="19" t="s">
        <v>108</v>
      </c>
      <c r="D527" s="18" t="s">
        <v>1862</v>
      </c>
      <c r="E527" s="19" t="s">
        <v>1863</v>
      </c>
      <c r="F527" s="18" t="s">
        <v>110</v>
      </c>
      <c r="G527" s="18" t="s">
        <v>111</v>
      </c>
      <c r="H527" s="19" t="s">
        <v>112</v>
      </c>
      <c r="I527" s="18" t="s">
        <v>113</v>
      </c>
      <c r="J527" s="19" t="s">
        <v>114</v>
      </c>
      <c r="K527" s="19" t="s">
        <v>115</v>
      </c>
      <c r="L527" s="18" t="s">
        <v>116</v>
      </c>
      <c r="M527" s="18" t="s">
        <v>1419</v>
      </c>
      <c r="N527" s="18" t="s">
        <v>118</v>
      </c>
      <c r="O527" s="20">
        <v>119000</v>
      </c>
      <c r="P527" s="20">
        <v>80920</v>
      </c>
      <c r="Q527" s="20">
        <v>1</v>
      </c>
      <c r="R527" s="20">
        <v>0</v>
      </c>
      <c r="S527" s="20">
        <v>0</v>
      </c>
      <c r="T527" s="20">
        <v>0</v>
      </c>
      <c r="U527" s="20">
        <v>0</v>
      </c>
      <c r="V527" s="20">
        <v>0</v>
      </c>
      <c r="W527" s="20">
        <v>32</v>
      </c>
      <c r="X527" s="20">
        <v>23800</v>
      </c>
      <c r="Y527" s="20">
        <v>0</v>
      </c>
      <c r="Z527" s="20">
        <v>0</v>
      </c>
      <c r="AA527" s="20">
        <v>0</v>
      </c>
      <c r="AB527" s="20">
        <v>0</v>
      </c>
      <c r="AC527" s="20">
        <v>119000</v>
      </c>
      <c r="AD527" s="20">
        <v>80920</v>
      </c>
      <c r="AE527" s="20">
        <v>0</v>
      </c>
      <c r="AF527" s="20">
        <v>23800</v>
      </c>
      <c r="AG527" s="20">
        <v>95200</v>
      </c>
      <c r="AH527" s="20">
        <v>80920</v>
      </c>
      <c r="AI527" s="20">
        <v>12982</v>
      </c>
      <c r="AJ527" s="20">
        <v>1298</v>
      </c>
      <c r="AK527" s="20">
        <v>14280</v>
      </c>
    </row>
    <row r="528" spans="1:37" ht="16.5" customHeight="1" x14ac:dyDescent="0.3">
      <c r="A528" s="18" t="s">
        <v>1499</v>
      </c>
      <c r="B528" s="18" t="s">
        <v>107</v>
      </c>
      <c r="C528" s="19" t="s">
        <v>108</v>
      </c>
      <c r="D528" s="18" t="s">
        <v>1864</v>
      </c>
      <c r="E528" s="19" t="s">
        <v>1865</v>
      </c>
      <c r="F528" s="18" t="s">
        <v>110</v>
      </c>
      <c r="G528" s="18" t="s">
        <v>111</v>
      </c>
      <c r="H528" s="19" t="s">
        <v>112</v>
      </c>
      <c r="I528" s="18" t="s">
        <v>113</v>
      </c>
      <c r="J528" s="19" t="s">
        <v>114</v>
      </c>
      <c r="K528" s="19" t="s">
        <v>115</v>
      </c>
      <c r="L528" s="18" t="s">
        <v>116</v>
      </c>
      <c r="M528" s="18" t="s">
        <v>1419</v>
      </c>
      <c r="N528" s="18" t="s">
        <v>118</v>
      </c>
      <c r="O528" s="20">
        <v>119000</v>
      </c>
      <c r="P528" s="20">
        <v>80920</v>
      </c>
      <c r="Q528" s="20">
        <v>1</v>
      </c>
      <c r="R528" s="20">
        <v>0</v>
      </c>
      <c r="S528" s="20">
        <v>0</v>
      </c>
      <c r="T528" s="20">
        <v>0</v>
      </c>
      <c r="U528" s="20">
        <v>0</v>
      </c>
      <c r="V528" s="20">
        <v>0</v>
      </c>
      <c r="W528" s="20">
        <v>32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119000</v>
      </c>
      <c r="AD528" s="20">
        <v>80920</v>
      </c>
      <c r="AE528" s="20">
        <v>0</v>
      </c>
      <c r="AF528" s="20">
        <v>0</v>
      </c>
      <c r="AG528" s="20">
        <v>119000</v>
      </c>
      <c r="AH528" s="20">
        <v>80920</v>
      </c>
      <c r="AI528" s="20">
        <v>34618</v>
      </c>
      <c r="AJ528" s="20">
        <v>3462</v>
      </c>
      <c r="AK528" s="20">
        <v>38080</v>
      </c>
    </row>
    <row r="529" spans="1:37" ht="16.5" customHeight="1" x14ac:dyDescent="0.3">
      <c r="A529" s="18" t="s">
        <v>1501</v>
      </c>
      <c r="B529" s="18" t="s">
        <v>107</v>
      </c>
      <c r="C529" s="19" t="s">
        <v>108</v>
      </c>
      <c r="D529" s="18" t="s">
        <v>1866</v>
      </c>
      <c r="E529" s="19" t="s">
        <v>320</v>
      </c>
      <c r="F529" s="18" t="s">
        <v>110</v>
      </c>
      <c r="G529" s="18" t="s">
        <v>111</v>
      </c>
      <c r="H529" s="19" t="s">
        <v>112</v>
      </c>
      <c r="I529" s="18" t="s">
        <v>113</v>
      </c>
      <c r="J529" s="19" t="s">
        <v>114</v>
      </c>
      <c r="K529" s="19" t="s">
        <v>115</v>
      </c>
      <c r="L529" s="18" t="s">
        <v>116</v>
      </c>
      <c r="M529" s="18" t="s">
        <v>1419</v>
      </c>
      <c r="N529" s="18" t="s">
        <v>118</v>
      </c>
      <c r="O529" s="20">
        <v>119000</v>
      </c>
      <c r="P529" s="20">
        <v>80920</v>
      </c>
      <c r="Q529" s="20">
        <v>1</v>
      </c>
      <c r="R529" s="20">
        <v>0</v>
      </c>
      <c r="S529" s="20">
        <v>0</v>
      </c>
      <c r="T529" s="20">
        <v>0</v>
      </c>
      <c r="U529" s="20">
        <v>0</v>
      </c>
      <c r="V529" s="20">
        <v>0</v>
      </c>
      <c r="W529" s="20">
        <v>32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119000</v>
      </c>
      <c r="AD529" s="20">
        <v>80920</v>
      </c>
      <c r="AE529" s="20">
        <v>0</v>
      </c>
      <c r="AF529" s="20">
        <v>0</v>
      </c>
      <c r="AG529" s="20">
        <v>119000</v>
      </c>
      <c r="AH529" s="20">
        <v>80920</v>
      </c>
      <c r="AI529" s="20">
        <v>34618</v>
      </c>
      <c r="AJ529" s="20">
        <v>3462</v>
      </c>
      <c r="AK529" s="20">
        <v>38080</v>
      </c>
    </row>
    <row r="530" spans="1:37" ht="16.5" customHeight="1" x14ac:dyDescent="0.3">
      <c r="A530" s="18" t="s">
        <v>1503</v>
      </c>
      <c r="B530" s="18" t="s">
        <v>107</v>
      </c>
      <c r="C530" s="19" t="s">
        <v>108</v>
      </c>
      <c r="D530" s="18" t="s">
        <v>1867</v>
      </c>
      <c r="E530" s="19" t="s">
        <v>390</v>
      </c>
      <c r="F530" s="18" t="s">
        <v>110</v>
      </c>
      <c r="G530" s="18" t="s">
        <v>111</v>
      </c>
      <c r="H530" s="19" t="s">
        <v>112</v>
      </c>
      <c r="I530" s="18" t="s">
        <v>113</v>
      </c>
      <c r="J530" s="19" t="s">
        <v>114</v>
      </c>
      <c r="K530" s="19" t="s">
        <v>115</v>
      </c>
      <c r="L530" s="18" t="s">
        <v>116</v>
      </c>
      <c r="M530" s="18" t="s">
        <v>1419</v>
      </c>
      <c r="N530" s="18" t="s">
        <v>118</v>
      </c>
      <c r="O530" s="20">
        <v>119000</v>
      </c>
      <c r="P530" s="20">
        <v>80920</v>
      </c>
      <c r="Q530" s="20">
        <v>1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32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119000</v>
      </c>
      <c r="AD530" s="20">
        <v>80920</v>
      </c>
      <c r="AE530" s="20">
        <v>0</v>
      </c>
      <c r="AF530" s="20">
        <v>0</v>
      </c>
      <c r="AG530" s="20">
        <v>119000</v>
      </c>
      <c r="AH530" s="20">
        <v>80920</v>
      </c>
      <c r="AI530" s="20">
        <v>34618</v>
      </c>
      <c r="AJ530" s="20">
        <v>3462</v>
      </c>
      <c r="AK530" s="20">
        <v>38080</v>
      </c>
    </row>
    <row r="531" spans="1:37" ht="16.5" customHeight="1" x14ac:dyDescent="0.3">
      <c r="A531" s="18" t="s">
        <v>1505</v>
      </c>
      <c r="B531" s="18" t="s">
        <v>107</v>
      </c>
      <c r="C531" s="19" t="s">
        <v>108</v>
      </c>
      <c r="D531" s="18" t="s">
        <v>1868</v>
      </c>
      <c r="E531" s="19" t="s">
        <v>401</v>
      </c>
      <c r="F531" s="18" t="s">
        <v>110</v>
      </c>
      <c r="G531" s="18" t="s">
        <v>111</v>
      </c>
      <c r="H531" s="19" t="s">
        <v>112</v>
      </c>
      <c r="I531" s="18" t="s">
        <v>113</v>
      </c>
      <c r="J531" s="19" t="s">
        <v>114</v>
      </c>
      <c r="K531" s="19" t="s">
        <v>115</v>
      </c>
      <c r="L531" s="18" t="s">
        <v>116</v>
      </c>
      <c r="M531" s="18" t="s">
        <v>1419</v>
      </c>
      <c r="N531" s="18" t="s">
        <v>118</v>
      </c>
      <c r="O531" s="20">
        <v>119000</v>
      </c>
      <c r="P531" s="20">
        <v>80920</v>
      </c>
      <c r="Q531" s="20">
        <v>1</v>
      </c>
      <c r="R531" s="20">
        <v>0</v>
      </c>
      <c r="S531" s="20">
        <v>0</v>
      </c>
      <c r="T531" s="20">
        <v>0</v>
      </c>
      <c r="U531" s="20">
        <v>0</v>
      </c>
      <c r="V531" s="20">
        <v>0</v>
      </c>
      <c r="W531" s="20">
        <v>32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119000</v>
      </c>
      <c r="AD531" s="20">
        <v>80920</v>
      </c>
      <c r="AE531" s="20">
        <v>0</v>
      </c>
      <c r="AF531" s="20">
        <v>0</v>
      </c>
      <c r="AG531" s="20">
        <v>119000</v>
      </c>
      <c r="AH531" s="20">
        <v>80920</v>
      </c>
      <c r="AI531" s="20">
        <v>34618</v>
      </c>
      <c r="AJ531" s="20">
        <v>3462</v>
      </c>
      <c r="AK531" s="20">
        <v>38080</v>
      </c>
    </row>
    <row r="532" spans="1:37" ht="16.5" customHeight="1" x14ac:dyDescent="0.3">
      <c r="A532" s="18" t="s">
        <v>1508</v>
      </c>
      <c r="B532" s="18" t="s">
        <v>107</v>
      </c>
      <c r="C532" s="19" t="s">
        <v>108</v>
      </c>
      <c r="D532" s="18" t="s">
        <v>1869</v>
      </c>
      <c r="E532" s="19" t="s">
        <v>1870</v>
      </c>
      <c r="F532" s="18" t="s">
        <v>110</v>
      </c>
      <c r="G532" s="18" t="s">
        <v>111</v>
      </c>
      <c r="H532" s="19" t="s">
        <v>112</v>
      </c>
      <c r="I532" s="18" t="s">
        <v>113</v>
      </c>
      <c r="J532" s="19" t="s">
        <v>114</v>
      </c>
      <c r="K532" s="19" t="s">
        <v>115</v>
      </c>
      <c r="L532" s="18" t="s">
        <v>116</v>
      </c>
      <c r="M532" s="18" t="s">
        <v>1419</v>
      </c>
      <c r="N532" s="18" t="s">
        <v>118</v>
      </c>
      <c r="O532" s="20">
        <v>119000</v>
      </c>
      <c r="P532" s="20">
        <v>80920</v>
      </c>
      <c r="Q532" s="20">
        <v>1</v>
      </c>
      <c r="R532" s="20">
        <v>0</v>
      </c>
      <c r="S532" s="20">
        <v>0</v>
      </c>
      <c r="T532" s="20">
        <v>0</v>
      </c>
      <c r="U532" s="20">
        <v>0</v>
      </c>
      <c r="V532" s="20">
        <v>0</v>
      </c>
      <c r="W532" s="20">
        <v>32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119000</v>
      </c>
      <c r="AD532" s="20">
        <v>80920</v>
      </c>
      <c r="AE532" s="20">
        <v>0</v>
      </c>
      <c r="AF532" s="20">
        <v>0</v>
      </c>
      <c r="AG532" s="20">
        <v>119000</v>
      </c>
      <c r="AH532" s="20">
        <v>80920</v>
      </c>
      <c r="AI532" s="20">
        <v>34618</v>
      </c>
      <c r="AJ532" s="20">
        <v>3462</v>
      </c>
      <c r="AK532" s="20">
        <v>38080</v>
      </c>
    </row>
    <row r="533" spans="1:37" ht="16.5" customHeight="1" x14ac:dyDescent="0.3">
      <c r="A533" s="18" t="s">
        <v>1510</v>
      </c>
      <c r="B533" s="18" t="s">
        <v>107</v>
      </c>
      <c r="C533" s="19" t="s">
        <v>108</v>
      </c>
      <c r="D533" s="18" t="s">
        <v>1871</v>
      </c>
      <c r="E533" s="19" t="s">
        <v>378</v>
      </c>
      <c r="F533" s="18" t="s">
        <v>110</v>
      </c>
      <c r="G533" s="18" t="s">
        <v>111</v>
      </c>
      <c r="H533" s="19" t="s">
        <v>112</v>
      </c>
      <c r="I533" s="18" t="s">
        <v>113</v>
      </c>
      <c r="J533" s="19" t="s">
        <v>114</v>
      </c>
      <c r="K533" s="19" t="s">
        <v>151</v>
      </c>
      <c r="L533" s="18" t="s">
        <v>116</v>
      </c>
      <c r="M533" s="18" t="s">
        <v>1419</v>
      </c>
      <c r="N533" s="18" t="s">
        <v>118</v>
      </c>
      <c r="O533" s="20">
        <v>119000</v>
      </c>
      <c r="P533" s="20">
        <v>80920</v>
      </c>
      <c r="Q533" s="20">
        <v>1</v>
      </c>
      <c r="R533" s="20">
        <v>0</v>
      </c>
      <c r="S533" s="20">
        <v>0</v>
      </c>
      <c r="T533" s="20">
        <v>0</v>
      </c>
      <c r="U533" s="20">
        <v>0</v>
      </c>
      <c r="V533" s="20">
        <v>0</v>
      </c>
      <c r="W533" s="20">
        <v>32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119000</v>
      </c>
      <c r="AD533" s="20">
        <v>80920</v>
      </c>
      <c r="AE533" s="20">
        <v>0</v>
      </c>
      <c r="AF533" s="20">
        <v>0</v>
      </c>
      <c r="AG533" s="20">
        <v>119000</v>
      </c>
      <c r="AH533" s="20">
        <v>80920</v>
      </c>
      <c r="AI533" s="20">
        <v>34618</v>
      </c>
      <c r="AJ533" s="20">
        <v>3462</v>
      </c>
      <c r="AK533" s="20">
        <v>38080</v>
      </c>
    </row>
    <row r="534" spans="1:37" ht="16.5" customHeight="1" x14ac:dyDescent="0.3">
      <c r="A534" s="18" t="s">
        <v>1512</v>
      </c>
      <c r="B534" s="18" t="s">
        <v>107</v>
      </c>
      <c r="C534" s="19" t="s">
        <v>108</v>
      </c>
      <c r="D534" s="18" t="s">
        <v>1872</v>
      </c>
      <c r="E534" s="19" t="s">
        <v>1873</v>
      </c>
      <c r="F534" s="18" t="s">
        <v>110</v>
      </c>
      <c r="G534" s="18" t="s">
        <v>111</v>
      </c>
      <c r="H534" s="19" t="s">
        <v>112</v>
      </c>
      <c r="I534" s="18" t="s">
        <v>113</v>
      </c>
      <c r="J534" s="19" t="s">
        <v>114</v>
      </c>
      <c r="K534" s="19" t="s">
        <v>115</v>
      </c>
      <c r="L534" s="18" t="s">
        <v>116</v>
      </c>
      <c r="M534" s="18" t="s">
        <v>1419</v>
      </c>
      <c r="N534" s="18" t="s">
        <v>118</v>
      </c>
      <c r="O534" s="20">
        <v>119000</v>
      </c>
      <c r="P534" s="20">
        <v>80920</v>
      </c>
      <c r="Q534" s="20">
        <v>1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32</v>
      </c>
      <c r="X534" s="20">
        <v>0</v>
      </c>
      <c r="Y534" s="20">
        <v>5000</v>
      </c>
      <c r="Z534" s="20">
        <v>0</v>
      </c>
      <c r="AA534" s="20">
        <v>0</v>
      </c>
      <c r="AB534" s="20">
        <v>0</v>
      </c>
      <c r="AC534" s="20">
        <v>119000</v>
      </c>
      <c r="AD534" s="20">
        <v>80920</v>
      </c>
      <c r="AE534" s="20">
        <v>0</v>
      </c>
      <c r="AF534" s="20">
        <v>5000</v>
      </c>
      <c r="AG534" s="20">
        <v>114000</v>
      </c>
      <c r="AH534" s="20">
        <v>80920</v>
      </c>
      <c r="AI534" s="20">
        <v>30073</v>
      </c>
      <c r="AJ534" s="20">
        <v>3007</v>
      </c>
      <c r="AK534" s="20">
        <v>33080</v>
      </c>
    </row>
    <row r="535" spans="1:37" ht="16.5" customHeight="1" x14ac:dyDescent="0.3">
      <c r="A535" s="18" t="s">
        <v>1514</v>
      </c>
      <c r="B535" s="18" t="s">
        <v>107</v>
      </c>
      <c r="C535" s="19" t="s">
        <v>108</v>
      </c>
      <c r="D535" s="18" t="s">
        <v>1874</v>
      </c>
      <c r="E535" s="19" t="s">
        <v>1567</v>
      </c>
      <c r="F535" s="18" t="s">
        <v>110</v>
      </c>
      <c r="G535" s="18" t="s">
        <v>111</v>
      </c>
      <c r="H535" s="19" t="s">
        <v>112</v>
      </c>
      <c r="I535" s="18" t="s">
        <v>113</v>
      </c>
      <c r="J535" s="19" t="s">
        <v>114</v>
      </c>
      <c r="K535" s="19" t="s">
        <v>115</v>
      </c>
      <c r="L535" s="18" t="s">
        <v>116</v>
      </c>
      <c r="M535" s="18" t="s">
        <v>1419</v>
      </c>
      <c r="N535" s="18" t="s">
        <v>118</v>
      </c>
      <c r="O535" s="20">
        <v>119000</v>
      </c>
      <c r="P535" s="20">
        <v>80920</v>
      </c>
      <c r="Q535" s="20">
        <v>1</v>
      </c>
      <c r="R535" s="20">
        <v>0</v>
      </c>
      <c r="S535" s="20">
        <v>0</v>
      </c>
      <c r="T535" s="20">
        <v>0</v>
      </c>
      <c r="U535" s="20">
        <v>0</v>
      </c>
      <c r="V535" s="20">
        <v>0</v>
      </c>
      <c r="W535" s="20">
        <v>32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119000</v>
      </c>
      <c r="AD535" s="20">
        <v>80920</v>
      </c>
      <c r="AE535" s="20">
        <v>0</v>
      </c>
      <c r="AF535" s="20">
        <v>0</v>
      </c>
      <c r="AG535" s="20">
        <v>119000</v>
      </c>
      <c r="AH535" s="20">
        <v>80920</v>
      </c>
      <c r="AI535" s="20">
        <v>34618</v>
      </c>
      <c r="AJ535" s="20">
        <v>3462</v>
      </c>
      <c r="AK535" s="20">
        <v>38080</v>
      </c>
    </row>
    <row r="536" spans="1:37" ht="16.5" customHeight="1" x14ac:dyDescent="0.3">
      <c r="A536" s="18" t="s">
        <v>1517</v>
      </c>
      <c r="B536" s="18" t="s">
        <v>107</v>
      </c>
      <c r="C536" s="19" t="s">
        <v>108</v>
      </c>
      <c r="D536" s="18" t="s">
        <v>1875</v>
      </c>
      <c r="E536" s="19" t="s">
        <v>1876</v>
      </c>
      <c r="F536" s="18" t="s">
        <v>110</v>
      </c>
      <c r="G536" s="18" t="s">
        <v>111</v>
      </c>
      <c r="H536" s="19" t="s">
        <v>112</v>
      </c>
      <c r="I536" s="18" t="s">
        <v>113</v>
      </c>
      <c r="J536" s="19" t="s">
        <v>114</v>
      </c>
      <c r="K536" s="19" t="s">
        <v>115</v>
      </c>
      <c r="L536" s="18" t="s">
        <v>116</v>
      </c>
      <c r="M536" s="18" t="s">
        <v>1419</v>
      </c>
      <c r="N536" s="18" t="s">
        <v>118</v>
      </c>
      <c r="O536" s="20">
        <v>119000</v>
      </c>
      <c r="P536" s="20">
        <v>80920</v>
      </c>
      <c r="Q536" s="20">
        <v>1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32</v>
      </c>
      <c r="X536" s="20">
        <v>0</v>
      </c>
      <c r="Y536" s="20">
        <v>0</v>
      </c>
      <c r="Z536" s="20">
        <v>0</v>
      </c>
      <c r="AA536" s="20">
        <v>0</v>
      </c>
      <c r="AB536" s="20">
        <v>5950</v>
      </c>
      <c r="AC536" s="20">
        <v>119000</v>
      </c>
      <c r="AD536" s="20">
        <v>80920</v>
      </c>
      <c r="AE536" s="20">
        <v>0</v>
      </c>
      <c r="AF536" s="20">
        <v>5950</v>
      </c>
      <c r="AG536" s="20">
        <v>113050</v>
      </c>
      <c r="AH536" s="20">
        <v>80920</v>
      </c>
      <c r="AI536" s="20">
        <v>29209</v>
      </c>
      <c r="AJ536" s="20">
        <v>2921</v>
      </c>
      <c r="AK536" s="20">
        <v>32130</v>
      </c>
    </row>
    <row r="537" spans="1:37" ht="16.5" customHeight="1" x14ac:dyDescent="0.3">
      <c r="A537" s="18" t="s">
        <v>1519</v>
      </c>
      <c r="B537" s="18" t="s">
        <v>107</v>
      </c>
      <c r="C537" s="19" t="s">
        <v>108</v>
      </c>
      <c r="D537" s="18" t="s">
        <v>1877</v>
      </c>
      <c r="E537" s="19" t="s">
        <v>163</v>
      </c>
      <c r="F537" s="18" t="s">
        <v>110</v>
      </c>
      <c r="G537" s="18" t="s">
        <v>111</v>
      </c>
      <c r="H537" s="19" t="s">
        <v>112</v>
      </c>
      <c r="I537" s="18" t="s">
        <v>113</v>
      </c>
      <c r="J537" s="19" t="s">
        <v>114</v>
      </c>
      <c r="K537" s="19" t="s">
        <v>115</v>
      </c>
      <c r="L537" s="18" t="s">
        <v>116</v>
      </c>
      <c r="M537" s="18" t="s">
        <v>1419</v>
      </c>
      <c r="N537" s="18" t="s">
        <v>118</v>
      </c>
      <c r="O537" s="20">
        <v>119000</v>
      </c>
      <c r="P537" s="20">
        <v>80920</v>
      </c>
      <c r="Q537" s="20">
        <v>1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32</v>
      </c>
      <c r="X537" s="20">
        <v>5950</v>
      </c>
      <c r="Y537" s="20">
        <v>0</v>
      </c>
      <c r="Z537" s="20">
        <v>0</v>
      </c>
      <c r="AA537" s="20">
        <v>0</v>
      </c>
      <c r="AB537" s="20">
        <v>0</v>
      </c>
      <c r="AC537" s="20">
        <v>119000</v>
      </c>
      <c r="AD537" s="20">
        <v>80920</v>
      </c>
      <c r="AE537" s="20">
        <v>0</v>
      </c>
      <c r="AF537" s="20">
        <v>5950</v>
      </c>
      <c r="AG537" s="20">
        <v>113050</v>
      </c>
      <c r="AH537" s="20">
        <v>80920</v>
      </c>
      <c r="AI537" s="20">
        <v>29209</v>
      </c>
      <c r="AJ537" s="20">
        <v>2921</v>
      </c>
      <c r="AK537" s="20">
        <v>32130</v>
      </c>
    </row>
    <row r="538" spans="1:37" ht="16.5" customHeight="1" x14ac:dyDescent="0.3">
      <c r="A538" s="18" t="s">
        <v>1521</v>
      </c>
      <c r="B538" s="18" t="s">
        <v>107</v>
      </c>
      <c r="C538" s="19" t="s">
        <v>108</v>
      </c>
      <c r="D538" s="18" t="s">
        <v>1878</v>
      </c>
      <c r="E538" s="19" t="s">
        <v>1004</v>
      </c>
      <c r="F538" s="18" t="s">
        <v>110</v>
      </c>
      <c r="G538" s="18" t="s">
        <v>111</v>
      </c>
      <c r="H538" s="19" t="s">
        <v>112</v>
      </c>
      <c r="I538" s="18" t="s">
        <v>113</v>
      </c>
      <c r="J538" s="19" t="s">
        <v>114</v>
      </c>
      <c r="K538" s="19" t="s">
        <v>115</v>
      </c>
      <c r="L538" s="18" t="s">
        <v>116</v>
      </c>
      <c r="M538" s="18" t="s">
        <v>1419</v>
      </c>
      <c r="N538" s="18" t="s">
        <v>118</v>
      </c>
      <c r="O538" s="20">
        <v>119000</v>
      </c>
      <c r="P538" s="20">
        <v>80920</v>
      </c>
      <c r="Q538" s="20">
        <v>1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32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119000</v>
      </c>
      <c r="AD538" s="20">
        <v>80920</v>
      </c>
      <c r="AE538" s="20">
        <v>0</v>
      </c>
      <c r="AF538" s="20">
        <v>0</v>
      </c>
      <c r="AG538" s="20">
        <v>119000</v>
      </c>
      <c r="AH538" s="20">
        <v>80920</v>
      </c>
      <c r="AI538" s="20">
        <v>34618</v>
      </c>
      <c r="AJ538" s="20">
        <v>3462</v>
      </c>
      <c r="AK538" s="20">
        <v>38080</v>
      </c>
    </row>
    <row r="539" spans="1:37" ht="16.5" customHeight="1" x14ac:dyDescent="0.3">
      <c r="A539" s="18" t="s">
        <v>1523</v>
      </c>
      <c r="B539" s="18" t="s">
        <v>107</v>
      </c>
      <c r="C539" s="19" t="s">
        <v>108</v>
      </c>
      <c r="D539" s="18" t="s">
        <v>1879</v>
      </c>
      <c r="E539" s="19" t="s">
        <v>1880</v>
      </c>
      <c r="F539" s="18" t="s">
        <v>110</v>
      </c>
      <c r="G539" s="18" t="s">
        <v>111</v>
      </c>
      <c r="H539" s="19" t="s">
        <v>112</v>
      </c>
      <c r="I539" s="18" t="s">
        <v>113</v>
      </c>
      <c r="J539" s="19" t="s">
        <v>114</v>
      </c>
      <c r="K539" s="19" t="s">
        <v>115</v>
      </c>
      <c r="L539" s="18" t="s">
        <v>116</v>
      </c>
      <c r="M539" s="18" t="s">
        <v>1419</v>
      </c>
      <c r="N539" s="18" t="s">
        <v>118</v>
      </c>
      <c r="O539" s="20">
        <v>119000</v>
      </c>
      <c r="P539" s="20">
        <v>80920</v>
      </c>
      <c r="Q539" s="20">
        <v>1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32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119000</v>
      </c>
      <c r="AD539" s="20">
        <v>80920</v>
      </c>
      <c r="AE539" s="20">
        <v>0</v>
      </c>
      <c r="AF539" s="20">
        <v>0</v>
      </c>
      <c r="AG539" s="20">
        <v>119000</v>
      </c>
      <c r="AH539" s="20">
        <v>80920</v>
      </c>
      <c r="AI539" s="20">
        <v>34618</v>
      </c>
      <c r="AJ539" s="20">
        <v>3462</v>
      </c>
      <c r="AK539" s="20">
        <v>38080</v>
      </c>
    </row>
    <row r="540" spans="1:37" ht="16.5" customHeight="1" x14ac:dyDescent="0.3">
      <c r="A540" s="18" t="s">
        <v>1526</v>
      </c>
      <c r="B540" s="18" t="s">
        <v>107</v>
      </c>
      <c r="C540" s="19" t="s">
        <v>108</v>
      </c>
      <c r="D540" s="18" t="s">
        <v>1881</v>
      </c>
      <c r="E540" s="19" t="s">
        <v>1882</v>
      </c>
      <c r="F540" s="18" t="s">
        <v>110</v>
      </c>
      <c r="G540" s="18" t="s">
        <v>111</v>
      </c>
      <c r="H540" s="19" t="s">
        <v>112</v>
      </c>
      <c r="I540" s="18" t="s">
        <v>113</v>
      </c>
      <c r="J540" s="19" t="s">
        <v>114</v>
      </c>
      <c r="K540" s="19" t="s">
        <v>115</v>
      </c>
      <c r="L540" s="18" t="s">
        <v>116</v>
      </c>
      <c r="M540" s="18" t="s">
        <v>1419</v>
      </c>
      <c r="N540" s="18" t="s">
        <v>118</v>
      </c>
      <c r="O540" s="20">
        <v>119000</v>
      </c>
      <c r="P540" s="20">
        <v>80920</v>
      </c>
      <c r="Q540" s="20">
        <v>1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32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119000</v>
      </c>
      <c r="AD540" s="20">
        <v>80920</v>
      </c>
      <c r="AE540" s="20">
        <v>0</v>
      </c>
      <c r="AF540" s="20">
        <v>0</v>
      </c>
      <c r="AG540" s="20">
        <v>119000</v>
      </c>
      <c r="AH540" s="20">
        <v>80920</v>
      </c>
      <c r="AI540" s="20">
        <v>34618</v>
      </c>
      <c r="AJ540" s="20">
        <v>3462</v>
      </c>
      <c r="AK540" s="20">
        <v>38080</v>
      </c>
    </row>
    <row r="541" spans="1:37" ht="16.5" customHeight="1" x14ac:dyDescent="0.3">
      <c r="A541" s="18" t="s">
        <v>1529</v>
      </c>
      <c r="B541" s="18" t="s">
        <v>107</v>
      </c>
      <c r="C541" s="19" t="s">
        <v>108</v>
      </c>
      <c r="D541" s="18" t="s">
        <v>1883</v>
      </c>
      <c r="E541" s="19" t="s">
        <v>1884</v>
      </c>
      <c r="F541" s="18" t="s">
        <v>110</v>
      </c>
      <c r="G541" s="18" t="s">
        <v>111</v>
      </c>
      <c r="H541" s="19" t="s">
        <v>112</v>
      </c>
      <c r="I541" s="18" t="s">
        <v>113</v>
      </c>
      <c r="J541" s="19" t="s">
        <v>114</v>
      </c>
      <c r="K541" s="19" t="s">
        <v>115</v>
      </c>
      <c r="L541" s="18" t="s">
        <v>116</v>
      </c>
      <c r="M541" s="18" t="s">
        <v>1419</v>
      </c>
      <c r="N541" s="18" t="s">
        <v>118</v>
      </c>
      <c r="O541" s="20">
        <v>119000</v>
      </c>
      <c r="P541" s="20">
        <v>80920</v>
      </c>
      <c r="Q541" s="20">
        <v>1</v>
      </c>
      <c r="R541" s="20">
        <v>0</v>
      </c>
      <c r="S541" s="20">
        <v>0</v>
      </c>
      <c r="T541" s="20">
        <v>0</v>
      </c>
      <c r="U541" s="20">
        <v>0</v>
      </c>
      <c r="V541" s="20">
        <v>0</v>
      </c>
      <c r="W541" s="20">
        <v>32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119000</v>
      </c>
      <c r="AD541" s="20">
        <v>80920</v>
      </c>
      <c r="AE541" s="20">
        <v>0</v>
      </c>
      <c r="AF541" s="20">
        <v>0</v>
      </c>
      <c r="AG541" s="20">
        <v>119000</v>
      </c>
      <c r="AH541" s="20">
        <v>80920</v>
      </c>
      <c r="AI541" s="20">
        <v>34618</v>
      </c>
      <c r="AJ541" s="20">
        <v>3462</v>
      </c>
      <c r="AK541" s="20">
        <v>38080</v>
      </c>
    </row>
    <row r="542" spans="1:37" ht="16.5" customHeight="1" x14ac:dyDescent="0.3">
      <c r="A542" s="18" t="s">
        <v>1532</v>
      </c>
      <c r="B542" s="18" t="s">
        <v>107</v>
      </c>
      <c r="C542" s="19" t="s">
        <v>108</v>
      </c>
      <c r="D542" s="18" t="s">
        <v>1885</v>
      </c>
      <c r="E542" s="19" t="s">
        <v>1886</v>
      </c>
      <c r="F542" s="18" t="s">
        <v>110</v>
      </c>
      <c r="G542" s="18" t="s">
        <v>111</v>
      </c>
      <c r="H542" s="19" t="s">
        <v>112</v>
      </c>
      <c r="I542" s="18" t="s">
        <v>113</v>
      </c>
      <c r="J542" s="19" t="s">
        <v>114</v>
      </c>
      <c r="K542" s="19" t="s">
        <v>115</v>
      </c>
      <c r="L542" s="18" t="s">
        <v>116</v>
      </c>
      <c r="M542" s="18" t="s">
        <v>1419</v>
      </c>
      <c r="N542" s="18" t="s">
        <v>118</v>
      </c>
      <c r="O542" s="20">
        <v>119000</v>
      </c>
      <c r="P542" s="20">
        <v>80920</v>
      </c>
      <c r="Q542" s="20">
        <v>1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32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119000</v>
      </c>
      <c r="AD542" s="20">
        <v>80920</v>
      </c>
      <c r="AE542" s="20">
        <v>0</v>
      </c>
      <c r="AF542" s="20">
        <v>0</v>
      </c>
      <c r="AG542" s="20">
        <v>119000</v>
      </c>
      <c r="AH542" s="20">
        <v>80920</v>
      </c>
      <c r="AI542" s="20">
        <v>34618</v>
      </c>
      <c r="AJ542" s="20">
        <v>3462</v>
      </c>
      <c r="AK542" s="20">
        <v>38080</v>
      </c>
    </row>
    <row r="543" spans="1:37" ht="16.5" customHeight="1" x14ac:dyDescent="0.3">
      <c r="A543" s="18" t="s">
        <v>1535</v>
      </c>
      <c r="B543" s="18" t="s">
        <v>107</v>
      </c>
      <c r="C543" s="19" t="s">
        <v>108</v>
      </c>
      <c r="D543" s="18" t="s">
        <v>1887</v>
      </c>
      <c r="E543" s="19" t="s">
        <v>1659</v>
      </c>
      <c r="F543" s="18" t="s">
        <v>110</v>
      </c>
      <c r="G543" s="18" t="s">
        <v>111</v>
      </c>
      <c r="H543" s="19" t="s">
        <v>112</v>
      </c>
      <c r="I543" s="18" t="s">
        <v>113</v>
      </c>
      <c r="J543" s="19" t="s">
        <v>114</v>
      </c>
      <c r="K543" s="19" t="s">
        <v>115</v>
      </c>
      <c r="L543" s="18" t="s">
        <v>116</v>
      </c>
      <c r="M543" s="18" t="s">
        <v>1419</v>
      </c>
      <c r="N543" s="18" t="s">
        <v>118</v>
      </c>
      <c r="O543" s="20">
        <v>119000</v>
      </c>
      <c r="P543" s="20">
        <v>80920</v>
      </c>
      <c r="Q543" s="20">
        <v>1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32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119000</v>
      </c>
      <c r="AD543" s="20">
        <v>80920</v>
      </c>
      <c r="AE543" s="20">
        <v>0</v>
      </c>
      <c r="AF543" s="20">
        <v>0</v>
      </c>
      <c r="AG543" s="20">
        <v>119000</v>
      </c>
      <c r="AH543" s="20">
        <v>80920</v>
      </c>
      <c r="AI543" s="20">
        <v>34618</v>
      </c>
      <c r="AJ543" s="20">
        <v>3462</v>
      </c>
      <c r="AK543" s="20">
        <v>38080</v>
      </c>
    </row>
    <row r="544" spans="1:37" ht="16.5" customHeight="1" x14ac:dyDescent="0.3">
      <c r="A544" s="18" t="s">
        <v>1537</v>
      </c>
      <c r="B544" s="18" t="s">
        <v>107</v>
      </c>
      <c r="C544" s="19" t="s">
        <v>108</v>
      </c>
      <c r="D544" s="18" t="s">
        <v>1888</v>
      </c>
      <c r="E544" s="19" t="s">
        <v>1256</v>
      </c>
      <c r="F544" s="18" t="s">
        <v>110</v>
      </c>
      <c r="G544" s="18" t="s">
        <v>111</v>
      </c>
      <c r="H544" s="19" t="s">
        <v>112</v>
      </c>
      <c r="I544" s="18" t="s">
        <v>113</v>
      </c>
      <c r="J544" s="19" t="s">
        <v>114</v>
      </c>
      <c r="K544" s="19" t="s">
        <v>151</v>
      </c>
      <c r="L544" s="18" t="s">
        <v>116</v>
      </c>
      <c r="M544" s="18" t="s">
        <v>1419</v>
      </c>
      <c r="N544" s="18" t="s">
        <v>118</v>
      </c>
      <c r="O544" s="20">
        <v>119000</v>
      </c>
      <c r="P544" s="20">
        <v>80920</v>
      </c>
      <c r="Q544" s="20">
        <v>1</v>
      </c>
      <c r="R544" s="20">
        <v>0</v>
      </c>
      <c r="S544" s="20">
        <v>0</v>
      </c>
      <c r="T544" s="20">
        <v>0</v>
      </c>
      <c r="U544" s="20">
        <v>0</v>
      </c>
      <c r="V544" s="20">
        <v>0</v>
      </c>
      <c r="W544" s="20">
        <v>32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119000</v>
      </c>
      <c r="AD544" s="20">
        <v>80920</v>
      </c>
      <c r="AE544" s="20">
        <v>0</v>
      </c>
      <c r="AF544" s="20">
        <v>0</v>
      </c>
      <c r="AG544" s="20">
        <v>119000</v>
      </c>
      <c r="AH544" s="20">
        <v>80920</v>
      </c>
      <c r="AI544" s="20">
        <v>34618</v>
      </c>
      <c r="AJ544" s="20">
        <v>3462</v>
      </c>
      <c r="AK544" s="20">
        <v>38080</v>
      </c>
    </row>
    <row r="545" spans="1:37" ht="16.5" customHeight="1" x14ac:dyDescent="0.3">
      <c r="A545" s="18" t="s">
        <v>1540</v>
      </c>
      <c r="B545" s="18" t="s">
        <v>107</v>
      </c>
      <c r="C545" s="19" t="s">
        <v>108</v>
      </c>
      <c r="D545" s="18" t="s">
        <v>1889</v>
      </c>
      <c r="E545" s="19" t="s">
        <v>1890</v>
      </c>
      <c r="F545" s="18" t="s">
        <v>110</v>
      </c>
      <c r="G545" s="18" t="s">
        <v>111</v>
      </c>
      <c r="H545" s="19" t="s">
        <v>112</v>
      </c>
      <c r="I545" s="18" t="s">
        <v>113</v>
      </c>
      <c r="J545" s="19" t="s">
        <v>114</v>
      </c>
      <c r="K545" s="19" t="s">
        <v>115</v>
      </c>
      <c r="L545" s="18" t="s">
        <v>116</v>
      </c>
      <c r="M545" s="18" t="s">
        <v>1419</v>
      </c>
      <c r="N545" s="18" t="s">
        <v>118</v>
      </c>
      <c r="O545" s="20">
        <v>119000</v>
      </c>
      <c r="P545" s="20">
        <v>80920</v>
      </c>
      <c r="Q545" s="20">
        <v>1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32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119000</v>
      </c>
      <c r="AD545" s="20">
        <v>80920</v>
      </c>
      <c r="AE545" s="20">
        <v>0</v>
      </c>
      <c r="AF545" s="20">
        <v>0</v>
      </c>
      <c r="AG545" s="20">
        <v>119000</v>
      </c>
      <c r="AH545" s="20">
        <v>80920</v>
      </c>
      <c r="AI545" s="20">
        <v>34618</v>
      </c>
      <c r="AJ545" s="20">
        <v>3462</v>
      </c>
      <c r="AK545" s="20">
        <v>38080</v>
      </c>
    </row>
    <row r="546" spans="1:37" ht="16.5" customHeight="1" x14ac:dyDescent="0.3">
      <c r="A546" s="18" t="s">
        <v>1543</v>
      </c>
      <c r="B546" s="18" t="s">
        <v>107</v>
      </c>
      <c r="C546" s="19" t="s">
        <v>108</v>
      </c>
      <c r="D546" s="18" t="s">
        <v>1891</v>
      </c>
      <c r="E546" s="19" t="s">
        <v>721</v>
      </c>
      <c r="F546" s="18" t="s">
        <v>110</v>
      </c>
      <c r="G546" s="18" t="s">
        <v>111</v>
      </c>
      <c r="H546" s="19" t="s">
        <v>112</v>
      </c>
      <c r="I546" s="18" t="s">
        <v>113</v>
      </c>
      <c r="J546" s="19" t="s">
        <v>114</v>
      </c>
      <c r="K546" s="19" t="s">
        <v>115</v>
      </c>
      <c r="L546" s="18" t="s">
        <v>116</v>
      </c>
      <c r="M546" s="18" t="s">
        <v>1419</v>
      </c>
      <c r="N546" s="18" t="s">
        <v>118</v>
      </c>
      <c r="O546" s="20">
        <v>119000</v>
      </c>
      <c r="P546" s="20">
        <v>80920</v>
      </c>
      <c r="Q546" s="20">
        <v>1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32</v>
      </c>
      <c r="X546" s="20">
        <v>0</v>
      </c>
      <c r="Y546" s="20">
        <v>0</v>
      </c>
      <c r="Z546" s="20">
        <v>0</v>
      </c>
      <c r="AA546" s="20">
        <v>0</v>
      </c>
      <c r="AB546" s="20">
        <v>5950</v>
      </c>
      <c r="AC546" s="20">
        <v>119000</v>
      </c>
      <c r="AD546" s="20">
        <v>80920</v>
      </c>
      <c r="AE546" s="20">
        <v>0</v>
      </c>
      <c r="AF546" s="20">
        <v>5950</v>
      </c>
      <c r="AG546" s="20">
        <v>113050</v>
      </c>
      <c r="AH546" s="20">
        <v>80920</v>
      </c>
      <c r="AI546" s="20">
        <v>29209</v>
      </c>
      <c r="AJ546" s="20">
        <v>2921</v>
      </c>
      <c r="AK546" s="20">
        <v>32130</v>
      </c>
    </row>
    <row r="547" spans="1:37" ht="16.5" customHeight="1" x14ac:dyDescent="0.3">
      <c r="A547" s="18" t="s">
        <v>1546</v>
      </c>
      <c r="B547" s="18" t="s">
        <v>107</v>
      </c>
      <c r="C547" s="19" t="s">
        <v>108</v>
      </c>
      <c r="D547" s="18" t="s">
        <v>1892</v>
      </c>
      <c r="E547" s="19" t="s">
        <v>1893</v>
      </c>
      <c r="F547" s="18" t="s">
        <v>110</v>
      </c>
      <c r="G547" s="18" t="s">
        <v>111</v>
      </c>
      <c r="H547" s="19" t="s">
        <v>112</v>
      </c>
      <c r="I547" s="18" t="s">
        <v>113</v>
      </c>
      <c r="J547" s="19" t="s">
        <v>114</v>
      </c>
      <c r="K547" s="19" t="s">
        <v>115</v>
      </c>
      <c r="L547" s="18" t="s">
        <v>116</v>
      </c>
      <c r="M547" s="18" t="s">
        <v>1419</v>
      </c>
      <c r="N547" s="18" t="s">
        <v>118</v>
      </c>
      <c r="O547" s="20">
        <v>119000</v>
      </c>
      <c r="P547" s="20">
        <v>80920</v>
      </c>
      <c r="Q547" s="20">
        <v>1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32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119000</v>
      </c>
      <c r="AD547" s="20">
        <v>80920</v>
      </c>
      <c r="AE547" s="20">
        <v>0</v>
      </c>
      <c r="AF547" s="20">
        <v>0</v>
      </c>
      <c r="AG547" s="20">
        <v>119000</v>
      </c>
      <c r="AH547" s="20">
        <v>80920</v>
      </c>
      <c r="AI547" s="20">
        <v>34618</v>
      </c>
      <c r="AJ547" s="20">
        <v>3462</v>
      </c>
      <c r="AK547" s="20">
        <v>38080</v>
      </c>
    </row>
    <row r="548" spans="1:37" ht="16.5" customHeight="1" x14ac:dyDescent="0.3">
      <c r="A548" s="18" t="s">
        <v>1548</v>
      </c>
      <c r="B548" s="18" t="s">
        <v>107</v>
      </c>
      <c r="C548" s="19" t="s">
        <v>108</v>
      </c>
      <c r="D548" s="18" t="s">
        <v>1894</v>
      </c>
      <c r="E548" s="19" t="s">
        <v>1895</v>
      </c>
      <c r="F548" s="18" t="s">
        <v>110</v>
      </c>
      <c r="G548" s="18" t="s">
        <v>111</v>
      </c>
      <c r="H548" s="19" t="s">
        <v>112</v>
      </c>
      <c r="I548" s="18" t="s">
        <v>113</v>
      </c>
      <c r="J548" s="19" t="s">
        <v>114</v>
      </c>
      <c r="K548" s="19" t="s">
        <v>115</v>
      </c>
      <c r="L548" s="18" t="s">
        <v>116</v>
      </c>
      <c r="M548" s="18" t="s">
        <v>1419</v>
      </c>
      <c r="N548" s="18" t="s">
        <v>118</v>
      </c>
      <c r="O548" s="20">
        <v>119000</v>
      </c>
      <c r="P548" s="20">
        <v>80920</v>
      </c>
      <c r="Q548" s="20">
        <v>1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32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119000</v>
      </c>
      <c r="AD548" s="20">
        <v>80920</v>
      </c>
      <c r="AE548" s="20">
        <v>0</v>
      </c>
      <c r="AF548" s="20">
        <v>0</v>
      </c>
      <c r="AG548" s="20">
        <v>119000</v>
      </c>
      <c r="AH548" s="20">
        <v>80920</v>
      </c>
      <c r="AI548" s="20">
        <v>34618</v>
      </c>
      <c r="AJ548" s="20">
        <v>3462</v>
      </c>
      <c r="AK548" s="20">
        <v>38080</v>
      </c>
    </row>
    <row r="549" spans="1:37" ht="16.5" customHeight="1" x14ac:dyDescent="0.3">
      <c r="A549" s="18" t="s">
        <v>1551</v>
      </c>
      <c r="B549" s="18" t="s">
        <v>107</v>
      </c>
      <c r="C549" s="19" t="s">
        <v>108</v>
      </c>
      <c r="D549" s="18" t="s">
        <v>1896</v>
      </c>
      <c r="E549" s="19" t="s">
        <v>1897</v>
      </c>
      <c r="F549" s="18" t="s">
        <v>110</v>
      </c>
      <c r="G549" s="18" t="s">
        <v>111</v>
      </c>
      <c r="H549" s="19" t="s">
        <v>112</v>
      </c>
      <c r="I549" s="18" t="s">
        <v>113</v>
      </c>
      <c r="J549" s="19" t="s">
        <v>114</v>
      </c>
      <c r="K549" s="19" t="s">
        <v>115</v>
      </c>
      <c r="L549" s="18" t="s">
        <v>116</v>
      </c>
      <c r="M549" s="18" t="s">
        <v>1419</v>
      </c>
      <c r="N549" s="18" t="s">
        <v>118</v>
      </c>
      <c r="O549" s="20">
        <v>119000</v>
      </c>
      <c r="P549" s="20">
        <v>80920</v>
      </c>
      <c r="Q549" s="20">
        <v>1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32</v>
      </c>
      <c r="X549" s="20">
        <v>0</v>
      </c>
      <c r="Y549" s="20">
        <v>0</v>
      </c>
      <c r="Z549" s="20">
        <v>0</v>
      </c>
      <c r="AA549" s="20">
        <v>0</v>
      </c>
      <c r="AB549" s="20">
        <v>5950</v>
      </c>
      <c r="AC549" s="20">
        <v>119000</v>
      </c>
      <c r="AD549" s="20">
        <v>80920</v>
      </c>
      <c r="AE549" s="20">
        <v>0</v>
      </c>
      <c r="AF549" s="20">
        <v>5950</v>
      </c>
      <c r="AG549" s="20">
        <v>113050</v>
      </c>
      <c r="AH549" s="20">
        <v>80920</v>
      </c>
      <c r="AI549" s="20">
        <v>29209</v>
      </c>
      <c r="AJ549" s="20">
        <v>2921</v>
      </c>
      <c r="AK549" s="20">
        <v>32130</v>
      </c>
    </row>
    <row r="550" spans="1:37" ht="16.5" customHeight="1" x14ac:dyDescent="0.3">
      <c r="A550" s="18" t="s">
        <v>1553</v>
      </c>
      <c r="B550" s="18" t="s">
        <v>107</v>
      </c>
      <c r="C550" s="19" t="s">
        <v>108</v>
      </c>
      <c r="D550" s="18" t="s">
        <v>1898</v>
      </c>
      <c r="E550" s="19" t="s">
        <v>1210</v>
      </c>
      <c r="F550" s="18" t="s">
        <v>110</v>
      </c>
      <c r="G550" s="18" t="s">
        <v>111</v>
      </c>
      <c r="H550" s="19" t="s">
        <v>112</v>
      </c>
      <c r="I550" s="18" t="s">
        <v>113</v>
      </c>
      <c r="J550" s="19" t="s">
        <v>114</v>
      </c>
      <c r="K550" s="19" t="s">
        <v>115</v>
      </c>
      <c r="L550" s="18" t="s">
        <v>116</v>
      </c>
      <c r="M550" s="18" t="s">
        <v>1419</v>
      </c>
      <c r="N550" s="18" t="s">
        <v>118</v>
      </c>
      <c r="O550" s="20">
        <v>119000</v>
      </c>
      <c r="P550" s="20">
        <v>80920</v>
      </c>
      <c r="Q550" s="20">
        <v>1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32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119000</v>
      </c>
      <c r="AD550" s="20">
        <v>80920</v>
      </c>
      <c r="AE550" s="20">
        <v>0</v>
      </c>
      <c r="AF550" s="20">
        <v>0</v>
      </c>
      <c r="AG550" s="20">
        <v>119000</v>
      </c>
      <c r="AH550" s="20">
        <v>80920</v>
      </c>
      <c r="AI550" s="20">
        <v>34618</v>
      </c>
      <c r="AJ550" s="20">
        <v>3462</v>
      </c>
      <c r="AK550" s="20">
        <v>38080</v>
      </c>
    </row>
    <row r="551" spans="1:37" ht="16.5" customHeight="1" x14ac:dyDescent="0.3">
      <c r="A551" s="18" t="s">
        <v>1556</v>
      </c>
      <c r="B551" s="18" t="s">
        <v>107</v>
      </c>
      <c r="C551" s="19" t="s">
        <v>108</v>
      </c>
      <c r="D551" s="18" t="s">
        <v>1899</v>
      </c>
      <c r="E551" s="19" t="s">
        <v>1900</v>
      </c>
      <c r="F551" s="18" t="s">
        <v>110</v>
      </c>
      <c r="G551" s="18" t="s">
        <v>111</v>
      </c>
      <c r="H551" s="19" t="s">
        <v>112</v>
      </c>
      <c r="I551" s="18" t="s">
        <v>113</v>
      </c>
      <c r="J551" s="19" t="s">
        <v>114</v>
      </c>
      <c r="K551" s="19" t="s">
        <v>115</v>
      </c>
      <c r="L551" s="18" t="s">
        <v>116</v>
      </c>
      <c r="M551" s="18" t="s">
        <v>1419</v>
      </c>
      <c r="N551" s="18" t="s">
        <v>118</v>
      </c>
      <c r="O551" s="20">
        <v>119000</v>
      </c>
      <c r="P551" s="20">
        <v>80920</v>
      </c>
      <c r="Q551" s="20">
        <v>1</v>
      </c>
      <c r="R551" s="20">
        <v>0</v>
      </c>
      <c r="S551" s="20">
        <v>0</v>
      </c>
      <c r="T551" s="20">
        <v>0</v>
      </c>
      <c r="U551" s="20">
        <v>0</v>
      </c>
      <c r="V551" s="20">
        <v>0</v>
      </c>
      <c r="W551" s="20">
        <v>32</v>
      </c>
      <c r="X551" s="20">
        <v>0</v>
      </c>
      <c r="Y551" s="20">
        <v>0</v>
      </c>
      <c r="Z551" s="20">
        <v>0</v>
      </c>
      <c r="AA551" s="20">
        <v>0</v>
      </c>
      <c r="AB551" s="20">
        <v>5950</v>
      </c>
      <c r="AC551" s="20">
        <v>119000</v>
      </c>
      <c r="AD551" s="20">
        <v>80920</v>
      </c>
      <c r="AE551" s="20">
        <v>0</v>
      </c>
      <c r="AF551" s="20">
        <v>5950</v>
      </c>
      <c r="AG551" s="20">
        <v>113050</v>
      </c>
      <c r="AH551" s="20">
        <v>80920</v>
      </c>
      <c r="AI551" s="20">
        <v>29209</v>
      </c>
      <c r="AJ551" s="20">
        <v>2921</v>
      </c>
      <c r="AK551" s="20">
        <v>32130</v>
      </c>
    </row>
    <row r="552" spans="1:37" ht="16.5" customHeight="1" x14ac:dyDescent="0.3">
      <c r="A552" s="18" t="s">
        <v>1558</v>
      </c>
      <c r="B552" s="18" t="s">
        <v>107</v>
      </c>
      <c r="C552" s="19" t="s">
        <v>108</v>
      </c>
      <c r="D552" s="18" t="s">
        <v>1901</v>
      </c>
      <c r="E552" s="19" t="s">
        <v>139</v>
      </c>
      <c r="F552" s="18" t="s">
        <v>110</v>
      </c>
      <c r="G552" s="18" t="s">
        <v>111</v>
      </c>
      <c r="H552" s="19" t="s">
        <v>112</v>
      </c>
      <c r="I552" s="18" t="s">
        <v>113</v>
      </c>
      <c r="J552" s="19" t="s">
        <v>114</v>
      </c>
      <c r="K552" s="19" t="s">
        <v>115</v>
      </c>
      <c r="L552" s="18" t="s">
        <v>116</v>
      </c>
      <c r="M552" s="18" t="s">
        <v>1419</v>
      </c>
      <c r="N552" s="18" t="s">
        <v>118</v>
      </c>
      <c r="O552" s="20">
        <v>119000</v>
      </c>
      <c r="P552" s="20">
        <v>80920</v>
      </c>
      <c r="Q552" s="20">
        <v>1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32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119000</v>
      </c>
      <c r="AD552" s="20">
        <v>80920</v>
      </c>
      <c r="AE552" s="20">
        <v>0</v>
      </c>
      <c r="AF552" s="20">
        <v>0</v>
      </c>
      <c r="AG552" s="20">
        <v>119000</v>
      </c>
      <c r="AH552" s="20">
        <v>80920</v>
      </c>
      <c r="AI552" s="20">
        <v>34618</v>
      </c>
      <c r="AJ552" s="20">
        <v>3462</v>
      </c>
      <c r="AK552" s="20">
        <v>38080</v>
      </c>
    </row>
    <row r="553" spans="1:37" ht="16.5" customHeight="1" x14ac:dyDescent="0.3">
      <c r="A553" s="18" t="s">
        <v>1561</v>
      </c>
      <c r="B553" s="18" t="s">
        <v>107</v>
      </c>
      <c r="C553" s="19" t="s">
        <v>108</v>
      </c>
      <c r="D553" s="18" t="s">
        <v>1902</v>
      </c>
      <c r="E553" s="19" t="s">
        <v>1903</v>
      </c>
      <c r="F553" s="18" t="s">
        <v>110</v>
      </c>
      <c r="G553" s="18" t="s">
        <v>111</v>
      </c>
      <c r="H553" s="19" t="s">
        <v>112</v>
      </c>
      <c r="I553" s="18" t="s">
        <v>113</v>
      </c>
      <c r="J553" s="19" t="s">
        <v>114</v>
      </c>
      <c r="K553" s="19" t="s">
        <v>115</v>
      </c>
      <c r="L553" s="18" t="s">
        <v>116</v>
      </c>
      <c r="M553" s="18" t="s">
        <v>1419</v>
      </c>
      <c r="N553" s="18" t="s">
        <v>118</v>
      </c>
      <c r="O553" s="20">
        <v>119000</v>
      </c>
      <c r="P553" s="20">
        <v>80920</v>
      </c>
      <c r="Q553" s="20">
        <v>1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32</v>
      </c>
      <c r="X553" s="20">
        <v>5950</v>
      </c>
      <c r="Y553" s="20">
        <v>0</v>
      </c>
      <c r="Z553" s="20">
        <v>0</v>
      </c>
      <c r="AA553" s="20">
        <v>0</v>
      </c>
      <c r="AB553" s="20">
        <v>0</v>
      </c>
      <c r="AC553" s="20">
        <v>119000</v>
      </c>
      <c r="AD553" s="20">
        <v>80920</v>
      </c>
      <c r="AE553" s="20">
        <v>0</v>
      </c>
      <c r="AF553" s="20">
        <v>5950</v>
      </c>
      <c r="AG553" s="20">
        <v>113050</v>
      </c>
      <c r="AH553" s="20">
        <v>80920</v>
      </c>
      <c r="AI553" s="20">
        <v>29209</v>
      </c>
      <c r="AJ553" s="20">
        <v>2921</v>
      </c>
      <c r="AK553" s="20">
        <v>32130</v>
      </c>
    </row>
    <row r="554" spans="1:37" ht="16.5" customHeight="1" x14ac:dyDescent="0.3">
      <c r="A554" s="18" t="s">
        <v>1563</v>
      </c>
      <c r="B554" s="18" t="s">
        <v>107</v>
      </c>
      <c r="C554" s="19" t="s">
        <v>108</v>
      </c>
      <c r="D554" s="18" t="s">
        <v>1904</v>
      </c>
      <c r="E554" s="19" t="s">
        <v>1905</v>
      </c>
      <c r="F554" s="18" t="s">
        <v>110</v>
      </c>
      <c r="G554" s="18" t="s">
        <v>111</v>
      </c>
      <c r="H554" s="19" t="s">
        <v>112</v>
      </c>
      <c r="I554" s="18" t="s">
        <v>113</v>
      </c>
      <c r="J554" s="19" t="s">
        <v>114</v>
      </c>
      <c r="K554" s="19" t="s">
        <v>115</v>
      </c>
      <c r="L554" s="18" t="s">
        <v>116</v>
      </c>
      <c r="M554" s="18" t="s">
        <v>1419</v>
      </c>
      <c r="N554" s="18" t="s">
        <v>118</v>
      </c>
      <c r="O554" s="20">
        <v>119000</v>
      </c>
      <c r="P554" s="20">
        <v>80920</v>
      </c>
      <c r="Q554" s="20">
        <v>1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32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119000</v>
      </c>
      <c r="AD554" s="20">
        <v>80920</v>
      </c>
      <c r="AE554" s="20">
        <v>0</v>
      </c>
      <c r="AF554" s="20">
        <v>0</v>
      </c>
      <c r="AG554" s="20">
        <v>119000</v>
      </c>
      <c r="AH554" s="20">
        <v>80920</v>
      </c>
      <c r="AI554" s="20">
        <v>34618</v>
      </c>
      <c r="AJ554" s="20">
        <v>3462</v>
      </c>
      <c r="AK554" s="20">
        <v>38080</v>
      </c>
    </row>
    <row r="555" spans="1:37" ht="16.5" customHeight="1" x14ac:dyDescent="0.3">
      <c r="A555" s="18" t="s">
        <v>1565</v>
      </c>
      <c r="B555" s="18" t="s">
        <v>107</v>
      </c>
      <c r="C555" s="19" t="s">
        <v>108</v>
      </c>
      <c r="D555" s="18" t="s">
        <v>1906</v>
      </c>
      <c r="E555" s="19" t="s">
        <v>169</v>
      </c>
      <c r="F555" s="18" t="s">
        <v>110</v>
      </c>
      <c r="G555" s="18" t="s">
        <v>111</v>
      </c>
      <c r="H555" s="19" t="s">
        <v>112</v>
      </c>
      <c r="I555" s="18" t="s">
        <v>113</v>
      </c>
      <c r="J555" s="19" t="s">
        <v>114</v>
      </c>
      <c r="K555" s="19" t="s">
        <v>115</v>
      </c>
      <c r="L555" s="18" t="s">
        <v>116</v>
      </c>
      <c r="M555" s="18" t="s">
        <v>1419</v>
      </c>
      <c r="N555" s="18" t="s">
        <v>118</v>
      </c>
      <c r="O555" s="20">
        <v>119000</v>
      </c>
      <c r="P555" s="20">
        <v>80920</v>
      </c>
      <c r="Q555" s="20">
        <v>1</v>
      </c>
      <c r="R555" s="20">
        <v>0</v>
      </c>
      <c r="S555" s="20">
        <v>0</v>
      </c>
      <c r="T555" s="20">
        <v>0</v>
      </c>
      <c r="U555" s="20">
        <v>0</v>
      </c>
      <c r="V555" s="20">
        <v>0</v>
      </c>
      <c r="W555" s="20">
        <v>32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119000</v>
      </c>
      <c r="AD555" s="20">
        <v>80920</v>
      </c>
      <c r="AE555" s="20">
        <v>0</v>
      </c>
      <c r="AF555" s="20">
        <v>0</v>
      </c>
      <c r="AG555" s="20">
        <v>119000</v>
      </c>
      <c r="AH555" s="20">
        <v>80920</v>
      </c>
      <c r="AI555" s="20">
        <v>34618</v>
      </c>
      <c r="AJ555" s="20">
        <v>3462</v>
      </c>
      <c r="AK555" s="20">
        <v>38080</v>
      </c>
    </row>
    <row r="556" spans="1:37" ht="16.5" customHeight="1" x14ac:dyDescent="0.3">
      <c r="A556" s="18" t="s">
        <v>1568</v>
      </c>
      <c r="B556" s="18" t="s">
        <v>107</v>
      </c>
      <c r="C556" s="19" t="s">
        <v>108</v>
      </c>
      <c r="D556" s="18" t="s">
        <v>1907</v>
      </c>
      <c r="E556" s="19" t="s">
        <v>401</v>
      </c>
      <c r="F556" s="18" t="s">
        <v>110</v>
      </c>
      <c r="G556" s="18" t="s">
        <v>111</v>
      </c>
      <c r="H556" s="19" t="s">
        <v>112</v>
      </c>
      <c r="I556" s="18" t="s">
        <v>113</v>
      </c>
      <c r="J556" s="19" t="s">
        <v>114</v>
      </c>
      <c r="K556" s="19" t="s">
        <v>115</v>
      </c>
      <c r="L556" s="18" t="s">
        <v>116</v>
      </c>
      <c r="M556" s="18" t="s">
        <v>1419</v>
      </c>
      <c r="N556" s="18" t="s">
        <v>118</v>
      </c>
      <c r="O556" s="20">
        <v>119000</v>
      </c>
      <c r="P556" s="20">
        <v>80920</v>
      </c>
      <c r="Q556" s="20">
        <v>1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32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119000</v>
      </c>
      <c r="AD556" s="20">
        <v>80920</v>
      </c>
      <c r="AE556" s="20">
        <v>0</v>
      </c>
      <c r="AF556" s="20">
        <v>0</v>
      </c>
      <c r="AG556" s="20">
        <v>119000</v>
      </c>
      <c r="AH556" s="20">
        <v>80920</v>
      </c>
      <c r="AI556" s="20">
        <v>34618</v>
      </c>
      <c r="AJ556" s="20">
        <v>3462</v>
      </c>
      <c r="AK556" s="20">
        <v>38080</v>
      </c>
    </row>
    <row r="557" spans="1:37" ht="16.5" customHeight="1" x14ac:dyDescent="0.3">
      <c r="A557" s="18" t="s">
        <v>1570</v>
      </c>
      <c r="B557" s="18" t="s">
        <v>107</v>
      </c>
      <c r="C557" s="19" t="s">
        <v>108</v>
      </c>
      <c r="D557" s="18" t="s">
        <v>1908</v>
      </c>
      <c r="E557" s="19" t="s">
        <v>232</v>
      </c>
      <c r="F557" s="18" t="s">
        <v>110</v>
      </c>
      <c r="G557" s="18" t="s">
        <v>111</v>
      </c>
      <c r="H557" s="19" t="s">
        <v>112</v>
      </c>
      <c r="I557" s="18" t="s">
        <v>113</v>
      </c>
      <c r="J557" s="19" t="s">
        <v>114</v>
      </c>
      <c r="K557" s="19" t="s">
        <v>115</v>
      </c>
      <c r="L557" s="18" t="s">
        <v>116</v>
      </c>
      <c r="M557" s="18" t="s">
        <v>1419</v>
      </c>
      <c r="N557" s="18" t="s">
        <v>118</v>
      </c>
      <c r="O557" s="20">
        <v>119000</v>
      </c>
      <c r="P557" s="20">
        <v>80920</v>
      </c>
      <c r="Q557" s="20">
        <v>1</v>
      </c>
      <c r="R557" s="20">
        <v>0</v>
      </c>
      <c r="S557" s="20">
        <v>0</v>
      </c>
      <c r="T557" s="20">
        <v>0</v>
      </c>
      <c r="U557" s="20">
        <v>0</v>
      </c>
      <c r="V557" s="20">
        <v>0</v>
      </c>
      <c r="W557" s="20">
        <v>32</v>
      </c>
      <c r="X557" s="20">
        <v>0</v>
      </c>
      <c r="Y557" s="20">
        <v>0</v>
      </c>
      <c r="Z557" s="20">
        <v>0</v>
      </c>
      <c r="AA557" s="20">
        <v>0</v>
      </c>
      <c r="AB557" s="20">
        <v>5950</v>
      </c>
      <c r="AC557" s="20">
        <v>119000</v>
      </c>
      <c r="AD557" s="20">
        <v>80920</v>
      </c>
      <c r="AE557" s="20">
        <v>0</v>
      </c>
      <c r="AF557" s="20">
        <v>5950</v>
      </c>
      <c r="AG557" s="20">
        <v>113050</v>
      </c>
      <c r="AH557" s="20">
        <v>80920</v>
      </c>
      <c r="AI557" s="20">
        <v>29209</v>
      </c>
      <c r="AJ557" s="20">
        <v>2921</v>
      </c>
      <c r="AK557" s="20">
        <v>32130</v>
      </c>
    </row>
    <row r="558" spans="1:37" ht="16.5" customHeight="1" x14ac:dyDescent="0.3">
      <c r="A558" s="18" t="s">
        <v>1573</v>
      </c>
      <c r="B558" s="18" t="s">
        <v>107</v>
      </c>
      <c r="C558" s="19" t="s">
        <v>108</v>
      </c>
      <c r="D558" s="18" t="s">
        <v>1909</v>
      </c>
      <c r="E558" s="19" t="s">
        <v>1910</v>
      </c>
      <c r="F558" s="18" t="s">
        <v>110</v>
      </c>
      <c r="G558" s="18" t="s">
        <v>111</v>
      </c>
      <c r="H558" s="19" t="s">
        <v>112</v>
      </c>
      <c r="I558" s="18" t="s">
        <v>113</v>
      </c>
      <c r="J558" s="19" t="s">
        <v>114</v>
      </c>
      <c r="K558" s="19" t="s">
        <v>115</v>
      </c>
      <c r="L558" s="18" t="s">
        <v>116</v>
      </c>
      <c r="M558" s="18" t="s">
        <v>1419</v>
      </c>
      <c r="N558" s="18" t="s">
        <v>118</v>
      </c>
      <c r="O558" s="20">
        <v>119000</v>
      </c>
      <c r="P558" s="20">
        <v>80920</v>
      </c>
      <c r="Q558" s="20">
        <v>1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32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119000</v>
      </c>
      <c r="AD558" s="20">
        <v>80920</v>
      </c>
      <c r="AE558" s="20">
        <v>0</v>
      </c>
      <c r="AF558" s="20">
        <v>0</v>
      </c>
      <c r="AG558" s="20">
        <v>119000</v>
      </c>
      <c r="AH558" s="20">
        <v>80920</v>
      </c>
      <c r="AI558" s="20">
        <v>34618</v>
      </c>
      <c r="AJ558" s="20">
        <v>3462</v>
      </c>
      <c r="AK558" s="20">
        <v>38080</v>
      </c>
    </row>
    <row r="559" spans="1:37" ht="16.5" customHeight="1" x14ac:dyDescent="0.3">
      <c r="A559" s="18" t="s">
        <v>1575</v>
      </c>
      <c r="B559" s="18" t="s">
        <v>107</v>
      </c>
      <c r="C559" s="19" t="s">
        <v>108</v>
      </c>
      <c r="D559" s="18" t="s">
        <v>1911</v>
      </c>
      <c r="E559" s="19" t="s">
        <v>1890</v>
      </c>
      <c r="F559" s="18" t="s">
        <v>110</v>
      </c>
      <c r="G559" s="18" t="s">
        <v>111</v>
      </c>
      <c r="H559" s="19" t="s">
        <v>112</v>
      </c>
      <c r="I559" s="18" t="s">
        <v>113</v>
      </c>
      <c r="J559" s="19" t="s">
        <v>114</v>
      </c>
      <c r="K559" s="19" t="s">
        <v>115</v>
      </c>
      <c r="L559" s="18" t="s">
        <v>116</v>
      </c>
      <c r="M559" s="18" t="s">
        <v>1419</v>
      </c>
      <c r="N559" s="18" t="s">
        <v>118</v>
      </c>
      <c r="O559" s="20">
        <v>119000</v>
      </c>
      <c r="P559" s="20">
        <v>80920</v>
      </c>
      <c r="Q559" s="20">
        <v>1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32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119000</v>
      </c>
      <c r="AD559" s="20">
        <v>80920</v>
      </c>
      <c r="AE559" s="20">
        <v>0</v>
      </c>
      <c r="AF559" s="20">
        <v>0</v>
      </c>
      <c r="AG559" s="20">
        <v>119000</v>
      </c>
      <c r="AH559" s="20">
        <v>80920</v>
      </c>
      <c r="AI559" s="20">
        <v>34618</v>
      </c>
      <c r="AJ559" s="20">
        <v>3462</v>
      </c>
      <c r="AK559" s="20">
        <v>38080</v>
      </c>
    </row>
    <row r="560" spans="1:37" ht="16.5" customHeight="1" x14ac:dyDescent="0.3">
      <c r="A560" s="18" t="s">
        <v>1577</v>
      </c>
      <c r="B560" s="18" t="s">
        <v>107</v>
      </c>
      <c r="C560" s="19" t="s">
        <v>108</v>
      </c>
      <c r="D560" s="18" t="s">
        <v>1912</v>
      </c>
      <c r="E560" s="19" t="s">
        <v>1913</v>
      </c>
      <c r="F560" s="18" t="s">
        <v>110</v>
      </c>
      <c r="G560" s="18" t="s">
        <v>111</v>
      </c>
      <c r="H560" s="19" t="s">
        <v>112</v>
      </c>
      <c r="I560" s="18" t="s">
        <v>113</v>
      </c>
      <c r="J560" s="19" t="s">
        <v>114</v>
      </c>
      <c r="K560" s="19" t="s">
        <v>115</v>
      </c>
      <c r="L560" s="18" t="s">
        <v>116</v>
      </c>
      <c r="M560" s="18" t="s">
        <v>1419</v>
      </c>
      <c r="N560" s="18" t="s">
        <v>118</v>
      </c>
      <c r="O560" s="20">
        <v>119000</v>
      </c>
      <c r="P560" s="20">
        <v>80920</v>
      </c>
      <c r="Q560" s="20">
        <v>1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32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119000</v>
      </c>
      <c r="AD560" s="20">
        <v>80920</v>
      </c>
      <c r="AE560" s="20">
        <v>0</v>
      </c>
      <c r="AF560" s="20">
        <v>0</v>
      </c>
      <c r="AG560" s="20">
        <v>119000</v>
      </c>
      <c r="AH560" s="20">
        <v>80920</v>
      </c>
      <c r="AI560" s="20">
        <v>34618</v>
      </c>
      <c r="AJ560" s="20">
        <v>3462</v>
      </c>
      <c r="AK560" s="20">
        <v>38080</v>
      </c>
    </row>
    <row r="561" spans="1:37" ht="16.5" customHeight="1" x14ac:dyDescent="0.3">
      <c r="A561" s="18" t="s">
        <v>1579</v>
      </c>
      <c r="B561" s="18" t="s">
        <v>107</v>
      </c>
      <c r="C561" s="19" t="s">
        <v>108</v>
      </c>
      <c r="D561" s="18" t="s">
        <v>1914</v>
      </c>
      <c r="E561" s="19" t="s">
        <v>1915</v>
      </c>
      <c r="F561" s="18" t="s">
        <v>110</v>
      </c>
      <c r="G561" s="18" t="s">
        <v>111</v>
      </c>
      <c r="H561" s="19" t="s">
        <v>112</v>
      </c>
      <c r="I561" s="18" t="s">
        <v>113</v>
      </c>
      <c r="J561" s="19" t="s">
        <v>114</v>
      </c>
      <c r="K561" s="19" t="s">
        <v>115</v>
      </c>
      <c r="L561" s="18" t="s">
        <v>116</v>
      </c>
      <c r="M561" s="18" t="s">
        <v>1419</v>
      </c>
      <c r="N561" s="18" t="s">
        <v>118</v>
      </c>
      <c r="O561" s="20">
        <v>119000</v>
      </c>
      <c r="P561" s="20">
        <v>80920</v>
      </c>
      <c r="Q561" s="20">
        <v>1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32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119000</v>
      </c>
      <c r="AD561" s="20">
        <v>80920</v>
      </c>
      <c r="AE561" s="20">
        <v>0</v>
      </c>
      <c r="AF561" s="20">
        <v>0</v>
      </c>
      <c r="AG561" s="20">
        <v>119000</v>
      </c>
      <c r="AH561" s="20">
        <v>80920</v>
      </c>
      <c r="AI561" s="20">
        <v>34618</v>
      </c>
      <c r="AJ561" s="20">
        <v>3462</v>
      </c>
      <c r="AK561" s="20">
        <v>38080</v>
      </c>
    </row>
    <row r="562" spans="1:37" ht="16.5" customHeight="1" x14ac:dyDescent="0.3">
      <c r="A562" s="18" t="s">
        <v>1582</v>
      </c>
      <c r="B562" s="18" t="s">
        <v>107</v>
      </c>
      <c r="C562" s="19" t="s">
        <v>108</v>
      </c>
      <c r="D562" s="18" t="s">
        <v>1916</v>
      </c>
      <c r="E562" s="19" t="s">
        <v>1917</v>
      </c>
      <c r="F562" s="18" t="s">
        <v>110</v>
      </c>
      <c r="G562" s="18" t="s">
        <v>111</v>
      </c>
      <c r="H562" s="19" t="s">
        <v>112</v>
      </c>
      <c r="I562" s="18" t="s">
        <v>113</v>
      </c>
      <c r="J562" s="19" t="s">
        <v>114</v>
      </c>
      <c r="K562" s="19" t="s">
        <v>115</v>
      </c>
      <c r="L562" s="18" t="s">
        <v>116</v>
      </c>
      <c r="M562" s="18" t="s">
        <v>1419</v>
      </c>
      <c r="N562" s="18" t="s">
        <v>118</v>
      </c>
      <c r="O562" s="20">
        <v>119000</v>
      </c>
      <c r="P562" s="20">
        <v>80920</v>
      </c>
      <c r="Q562" s="20">
        <v>1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32</v>
      </c>
      <c r="X562" s="20">
        <v>0</v>
      </c>
      <c r="Y562" s="20">
        <v>0</v>
      </c>
      <c r="Z562" s="20">
        <v>0</v>
      </c>
      <c r="AA562" s="20">
        <v>0</v>
      </c>
      <c r="AB562" s="20">
        <v>5950</v>
      </c>
      <c r="AC562" s="20">
        <v>119000</v>
      </c>
      <c r="AD562" s="20">
        <v>80920</v>
      </c>
      <c r="AE562" s="20">
        <v>0</v>
      </c>
      <c r="AF562" s="20">
        <v>5950</v>
      </c>
      <c r="AG562" s="20">
        <v>113050</v>
      </c>
      <c r="AH562" s="20">
        <v>80920</v>
      </c>
      <c r="AI562" s="20">
        <v>29209</v>
      </c>
      <c r="AJ562" s="20">
        <v>2921</v>
      </c>
      <c r="AK562" s="20">
        <v>32130</v>
      </c>
    </row>
    <row r="563" spans="1:37" ht="16.5" customHeight="1" x14ac:dyDescent="0.3">
      <c r="A563" s="18" t="s">
        <v>1585</v>
      </c>
      <c r="B563" s="18" t="s">
        <v>107</v>
      </c>
      <c r="C563" s="19" t="s">
        <v>108</v>
      </c>
      <c r="D563" s="18" t="s">
        <v>1918</v>
      </c>
      <c r="E563" s="19" t="s">
        <v>1919</v>
      </c>
      <c r="F563" s="18" t="s">
        <v>110</v>
      </c>
      <c r="G563" s="18" t="s">
        <v>111</v>
      </c>
      <c r="H563" s="19" t="s">
        <v>112</v>
      </c>
      <c r="I563" s="18" t="s">
        <v>113</v>
      </c>
      <c r="J563" s="19" t="s">
        <v>114</v>
      </c>
      <c r="K563" s="19" t="s">
        <v>151</v>
      </c>
      <c r="L563" s="18" t="s">
        <v>116</v>
      </c>
      <c r="M563" s="18" t="s">
        <v>1419</v>
      </c>
      <c r="N563" s="18" t="s">
        <v>118</v>
      </c>
      <c r="O563" s="20">
        <v>119000</v>
      </c>
      <c r="P563" s="20">
        <v>80920</v>
      </c>
      <c r="Q563" s="20">
        <v>1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32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119000</v>
      </c>
      <c r="AD563" s="20">
        <v>80920</v>
      </c>
      <c r="AE563" s="20">
        <v>0</v>
      </c>
      <c r="AF563" s="20">
        <v>0</v>
      </c>
      <c r="AG563" s="20">
        <v>119000</v>
      </c>
      <c r="AH563" s="20">
        <v>80920</v>
      </c>
      <c r="AI563" s="20">
        <v>34618</v>
      </c>
      <c r="AJ563" s="20">
        <v>3462</v>
      </c>
      <c r="AK563" s="20">
        <v>38080</v>
      </c>
    </row>
    <row r="564" spans="1:37" ht="16.5" customHeight="1" x14ac:dyDescent="0.3">
      <c r="A564" s="18" t="s">
        <v>1588</v>
      </c>
      <c r="B564" s="18" t="s">
        <v>107</v>
      </c>
      <c r="C564" s="19" t="s">
        <v>108</v>
      </c>
      <c r="D564" s="18" t="s">
        <v>1920</v>
      </c>
      <c r="E564" s="19" t="s">
        <v>1921</v>
      </c>
      <c r="F564" s="18" t="s">
        <v>110</v>
      </c>
      <c r="G564" s="18" t="s">
        <v>111</v>
      </c>
      <c r="H564" s="19" t="s">
        <v>112</v>
      </c>
      <c r="I564" s="18" t="s">
        <v>113</v>
      </c>
      <c r="J564" s="19" t="s">
        <v>114</v>
      </c>
      <c r="K564" s="19" t="s">
        <v>115</v>
      </c>
      <c r="L564" s="18" t="s">
        <v>116</v>
      </c>
      <c r="M564" s="18" t="s">
        <v>1419</v>
      </c>
      <c r="N564" s="18" t="s">
        <v>118</v>
      </c>
      <c r="O564" s="20">
        <v>119000</v>
      </c>
      <c r="P564" s="20">
        <v>80920</v>
      </c>
      <c r="Q564" s="20">
        <v>1</v>
      </c>
      <c r="R564" s="20">
        <v>0</v>
      </c>
      <c r="S564" s="20">
        <v>0</v>
      </c>
      <c r="T564" s="20">
        <v>0</v>
      </c>
      <c r="U564" s="20">
        <v>0</v>
      </c>
      <c r="V564" s="20">
        <v>0</v>
      </c>
      <c r="W564" s="20">
        <v>32</v>
      </c>
      <c r="X564" s="20">
        <v>0</v>
      </c>
      <c r="Y564" s="20">
        <v>0</v>
      </c>
      <c r="Z564" s="20">
        <v>0</v>
      </c>
      <c r="AA564" s="20">
        <v>0</v>
      </c>
      <c r="AB564" s="20">
        <v>0</v>
      </c>
      <c r="AC564" s="20">
        <v>119000</v>
      </c>
      <c r="AD564" s="20">
        <v>80920</v>
      </c>
      <c r="AE564" s="20">
        <v>0</v>
      </c>
      <c r="AF564" s="20">
        <v>0</v>
      </c>
      <c r="AG564" s="20">
        <v>119000</v>
      </c>
      <c r="AH564" s="20">
        <v>80920</v>
      </c>
      <c r="AI564" s="20">
        <v>34618</v>
      </c>
      <c r="AJ564" s="20">
        <v>3462</v>
      </c>
      <c r="AK564" s="20">
        <v>38080</v>
      </c>
    </row>
    <row r="565" spans="1:37" ht="16.5" customHeight="1" x14ac:dyDescent="0.3">
      <c r="A565" s="18" t="s">
        <v>1590</v>
      </c>
      <c r="B565" s="18" t="s">
        <v>107</v>
      </c>
      <c r="C565" s="19" t="s">
        <v>108</v>
      </c>
      <c r="D565" s="18" t="s">
        <v>1922</v>
      </c>
      <c r="E565" s="19" t="s">
        <v>1651</v>
      </c>
      <c r="F565" s="18" t="s">
        <v>110</v>
      </c>
      <c r="G565" s="18" t="s">
        <v>111</v>
      </c>
      <c r="H565" s="19" t="s">
        <v>112</v>
      </c>
      <c r="I565" s="18" t="s">
        <v>113</v>
      </c>
      <c r="J565" s="19" t="s">
        <v>114</v>
      </c>
      <c r="K565" s="19" t="s">
        <v>115</v>
      </c>
      <c r="L565" s="18" t="s">
        <v>116</v>
      </c>
      <c r="M565" s="18" t="s">
        <v>1419</v>
      </c>
      <c r="N565" s="18" t="s">
        <v>118</v>
      </c>
      <c r="O565" s="20">
        <v>119000</v>
      </c>
      <c r="P565" s="20">
        <v>80920</v>
      </c>
      <c r="Q565" s="20">
        <v>1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32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119000</v>
      </c>
      <c r="AD565" s="20">
        <v>80920</v>
      </c>
      <c r="AE565" s="20">
        <v>0</v>
      </c>
      <c r="AF565" s="20">
        <v>0</v>
      </c>
      <c r="AG565" s="20">
        <v>119000</v>
      </c>
      <c r="AH565" s="20">
        <v>80920</v>
      </c>
      <c r="AI565" s="20">
        <v>34618</v>
      </c>
      <c r="AJ565" s="20">
        <v>3462</v>
      </c>
      <c r="AK565" s="20">
        <v>38080</v>
      </c>
    </row>
    <row r="566" spans="1:37" ht="16.5" customHeight="1" x14ac:dyDescent="0.3">
      <c r="A566" s="18" t="s">
        <v>1593</v>
      </c>
      <c r="B566" s="18" t="s">
        <v>107</v>
      </c>
      <c r="C566" s="19" t="s">
        <v>108</v>
      </c>
      <c r="D566" s="18" t="s">
        <v>1923</v>
      </c>
      <c r="E566" s="19" t="s">
        <v>931</v>
      </c>
      <c r="F566" s="18" t="s">
        <v>110</v>
      </c>
      <c r="G566" s="18" t="s">
        <v>111</v>
      </c>
      <c r="H566" s="19" t="s">
        <v>112</v>
      </c>
      <c r="I566" s="18" t="s">
        <v>113</v>
      </c>
      <c r="J566" s="19" t="s">
        <v>114</v>
      </c>
      <c r="K566" s="19" t="s">
        <v>115</v>
      </c>
      <c r="L566" s="18" t="s">
        <v>116</v>
      </c>
      <c r="M566" s="18" t="s">
        <v>1419</v>
      </c>
      <c r="N566" s="18" t="s">
        <v>118</v>
      </c>
      <c r="O566" s="20">
        <v>119000</v>
      </c>
      <c r="P566" s="20">
        <v>80920</v>
      </c>
      <c r="Q566" s="20">
        <v>1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32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119000</v>
      </c>
      <c r="AD566" s="20">
        <v>80920</v>
      </c>
      <c r="AE566" s="20">
        <v>0</v>
      </c>
      <c r="AF566" s="20">
        <v>0</v>
      </c>
      <c r="AG566" s="20">
        <v>119000</v>
      </c>
      <c r="AH566" s="20">
        <v>80920</v>
      </c>
      <c r="AI566" s="20">
        <v>34618</v>
      </c>
      <c r="AJ566" s="20">
        <v>3462</v>
      </c>
      <c r="AK566" s="20">
        <v>38080</v>
      </c>
    </row>
    <row r="567" spans="1:37" ht="16.5" customHeight="1" x14ac:dyDescent="0.3">
      <c r="A567" s="18" t="s">
        <v>1595</v>
      </c>
      <c r="B567" s="18" t="s">
        <v>107</v>
      </c>
      <c r="C567" s="19" t="s">
        <v>108</v>
      </c>
      <c r="D567" s="18" t="s">
        <v>1924</v>
      </c>
      <c r="E567" s="19" t="s">
        <v>1925</v>
      </c>
      <c r="F567" s="18" t="s">
        <v>110</v>
      </c>
      <c r="G567" s="18" t="s">
        <v>111</v>
      </c>
      <c r="H567" s="19" t="s">
        <v>112</v>
      </c>
      <c r="I567" s="18" t="s">
        <v>113</v>
      </c>
      <c r="J567" s="19" t="s">
        <v>114</v>
      </c>
      <c r="K567" s="19" t="s">
        <v>115</v>
      </c>
      <c r="L567" s="18" t="s">
        <v>116</v>
      </c>
      <c r="M567" s="18" t="s">
        <v>1419</v>
      </c>
      <c r="N567" s="18" t="s">
        <v>118</v>
      </c>
      <c r="O567" s="20">
        <v>119000</v>
      </c>
      <c r="P567" s="20">
        <v>80920</v>
      </c>
      <c r="Q567" s="20">
        <v>1</v>
      </c>
      <c r="R567" s="20">
        <v>0</v>
      </c>
      <c r="S567" s="20">
        <v>0</v>
      </c>
      <c r="T567" s="20">
        <v>0</v>
      </c>
      <c r="U567" s="20">
        <v>0</v>
      </c>
      <c r="V567" s="20">
        <v>0</v>
      </c>
      <c r="W567" s="20">
        <v>32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119000</v>
      </c>
      <c r="AD567" s="20">
        <v>80920</v>
      </c>
      <c r="AE567" s="20">
        <v>0</v>
      </c>
      <c r="AF567" s="20">
        <v>0</v>
      </c>
      <c r="AG567" s="20">
        <v>119000</v>
      </c>
      <c r="AH567" s="20">
        <v>80920</v>
      </c>
      <c r="AI567" s="20">
        <v>34618</v>
      </c>
      <c r="AJ567" s="20">
        <v>3462</v>
      </c>
      <c r="AK567" s="20">
        <v>38080</v>
      </c>
    </row>
    <row r="568" spans="1:37" ht="16.5" customHeight="1" x14ac:dyDescent="0.3">
      <c r="A568" s="18" t="s">
        <v>1597</v>
      </c>
      <c r="B568" s="18" t="s">
        <v>107</v>
      </c>
      <c r="C568" s="19" t="s">
        <v>108</v>
      </c>
      <c r="D568" s="18" t="s">
        <v>1926</v>
      </c>
      <c r="E568" s="19" t="s">
        <v>636</v>
      </c>
      <c r="F568" s="18" t="s">
        <v>110</v>
      </c>
      <c r="G568" s="18" t="s">
        <v>111</v>
      </c>
      <c r="H568" s="19" t="s">
        <v>112</v>
      </c>
      <c r="I568" s="18" t="s">
        <v>113</v>
      </c>
      <c r="J568" s="19" t="s">
        <v>114</v>
      </c>
      <c r="K568" s="19" t="s">
        <v>115</v>
      </c>
      <c r="L568" s="18" t="s">
        <v>116</v>
      </c>
      <c r="M568" s="18" t="s">
        <v>1419</v>
      </c>
      <c r="N568" s="18" t="s">
        <v>118</v>
      </c>
      <c r="O568" s="20">
        <v>119000</v>
      </c>
      <c r="P568" s="20">
        <v>80920</v>
      </c>
      <c r="Q568" s="20">
        <v>1</v>
      </c>
      <c r="R568" s="20">
        <v>0</v>
      </c>
      <c r="S568" s="20">
        <v>0</v>
      </c>
      <c r="T568" s="20">
        <v>0</v>
      </c>
      <c r="U568" s="20">
        <v>0</v>
      </c>
      <c r="V568" s="20">
        <v>0</v>
      </c>
      <c r="W568" s="20">
        <v>32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119000</v>
      </c>
      <c r="AD568" s="20">
        <v>80920</v>
      </c>
      <c r="AE568" s="20">
        <v>0</v>
      </c>
      <c r="AF568" s="20">
        <v>0</v>
      </c>
      <c r="AG568" s="20">
        <v>119000</v>
      </c>
      <c r="AH568" s="20">
        <v>80920</v>
      </c>
      <c r="AI568" s="20">
        <v>34618</v>
      </c>
      <c r="AJ568" s="20">
        <v>3462</v>
      </c>
      <c r="AK568" s="20">
        <v>38080</v>
      </c>
    </row>
    <row r="569" spans="1:37" ht="16.5" customHeight="1" x14ac:dyDescent="0.3">
      <c r="A569" s="18" t="s">
        <v>1600</v>
      </c>
      <c r="B569" s="18" t="s">
        <v>107</v>
      </c>
      <c r="C569" s="19" t="s">
        <v>108</v>
      </c>
      <c r="D569" s="18" t="s">
        <v>1927</v>
      </c>
      <c r="E569" s="19" t="s">
        <v>1928</v>
      </c>
      <c r="F569" s="18" t="s">
        <v>110</v>
      </c>
      <c r="G569" s="18" t="s">
        <v>111</v>
      </c>
      <c r="H569" s="19" t="s">
        <v>112</v>
      </c>
      <c r="I569" s="18" t="s">
        <v>113</v>
      </c>
      <c r="J569" s="19" t="s">
        <v>114</v>
      </c>
      <c r="K569" s="19" t="s">
        <v>115</v>
      </c>
      <c r="L569" s="18" t="s">
        <v>116</v>
      </c>
      <c r="M569" s="18" t="s">
        <v>1419</v>
      </c>
      <c r="N569" s="18" t="s">
        <v>118</v>
      </c>
      <c r="O569" s="20">
        <v>119000</v>
      </c>
      <c r="P569" s="20">
        <v>80920</v>
      </c>
      <c r="Q569" s="20">
        <v>1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32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119000</v>
      </c>
      <c r="AD569" s="20">
        <v>80920</v>
      </c>
      <c r="AE569" s="20">
        <v>0</v>
      </c>
      <c r="AF569" s="20">
        <v>0</v>
      </c>
      <c r="AG569" s="20">
        <v>119000</v>
      </c>
      <c r="AH569" s="20">
        <v>80920</v>
      </c>
      <c r="AI569" s="20">
        <v>34618</v>
      </c>
      <c r="AJ569" s="20">
        <v>3462</v>
      </c>
      <c r="AK569" s="20">
        <v>38080</v>
      </c>
    </row>
    <row r="570" spans="1:37" ht="16.5" customHeight="1" x14ac:dyDescent="0.3">
      <c r="A570" s="18" t="s">
        <v>1603</v>
      </c>
      <c r="B570" s="18" t="s">
        <v>107</v>
      </c>
      <c r="C570" s="19" t="s">
        <v>108</v>
      </c>
      <c r="D570" s="18" t="s">
        <v>1929</v>
      </c>
      <c r="E570" s="19" t="s">
        <v>1015</v>
      </c>
      <c r="F570" s="18" t="s">
        <v>110</v>
      </c>
      <c r="G570" s="18" t="s">
        <v>111</v>
      </c>
      <c r="H570" s="19" t="s">
        <v>112</v>
      </c>
      <c r="I570" s="18" t="s">
        <v>113</v>
      </c>
      <c r="J570" s="19" t="s">
        <v>114</v>
      </c>
      <c r="K570" s="19" t="s">
        <v>151</v>
      </c>
      <c r="L570" s="18" t="s">
        <v>116</v>
      </c>
      <c r="M570" s="18" t="s">
        <v>1419</v>
      </c>
      <c r="N570" s="18" t="s">
        <v>118</v>
      </c>
      <c r="O570" s="20">
        <v>119000</v>
      </c>
      <c r="P570" s="20">
        <v>80920</v>
      </c>
      <c r="Q570" s="20">
        <v>1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32</v>
      </c>
      <c r="X570" s="20">
        <v>0</v>
      </c>
      <c r="Y570" s="20">
        <v>0</v>
      </c>
      <c r="Z570" s="20">
        <v>0</v>
      </c>
      <c r="AA570" s="20">
        <v>0</v>
      </c>
      <c r="AB570" s="20">
        <v>0</v>
      </c>
      <c r="AC570" s="20">
        <v>119000</v>
      </c>
      <c r="AD570" s="20">
        <v>80920</v>
      </c>
      <c r="AE570" s="20">
        <v>0</v>
      </c>
      <c r="AF570" s="20">
        <v>0</v>
      </c>
      <c r="AG570" s="20">
        <v>119000</v>
      </c>
      <c r="AH570" s="20">
        <v>80920</v>
      </c>
      <c r="AI570" s="20">
        <v>34618</v>
      </c>
      <c r="AJ570" s="20">
        <v>3462</v>
      </c>
      <c r="AK570" s="20">
        <v>38080</v>
      </c>
    </row>
    <row r="571" spans="1:37" ht="16.5" customHeight="1" x14ac:dyDescent="0.3">
      <c r="A571" s="18" t="s">
        <v>1605</v>
      </c>
      <c r="B571" s="18" t="s">
        <v>107</v>
      </c>
      <c r="C571" s="19" t="s">
        <v>108</v>
      </c>
      <c r="D571" s="18" t="s">
        <v>1930</v>
      </c>
      <c r="E571" s="19" t="s">
        <v>538</v>
      </c>
      <c r="F571" s="18" t="s">
        <v>110</v>
      </c>
      <c r="G571" s="18" t="s">
        <v>111</v>
      </c>
      <c r="H571" s="19" t="s">
        <v>112</v>
      </c>
      <c r="I571" s="18" t="s">
        <v>113</v>
      </c>
      <c r="J571" s="19" t="s">
        <v>114</v>
      </c>
      <c r="K571" s="19" t="s">
        <v>115</v>
      </c>
      <c r="L571" s="18" t="s">
        <v>116</v>
      </c>
      <c r="M571" s="18" t="s">
        <v>1419</v>
      </c>
      <c r="N571" s="18" t="s">
        <v>118</v>
      </c>
      <c r="O571" s="20">
        <v>119000</v>
      </c>
      <c r="P571" s="20">
        <v>80920</v>
      </c>
      <c r="Q571" s="20">
        <v>1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32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119000</v>
      </c>
      <c r="AD571" s="20">
        <v>80920</v>
      </c>
      <c r="AE571" s="20">
        <v>0</v>
      </c>
      <c r="AF571" s="20">
        <v>0</v>
      </c>
      <c r="AG571" s="20">
        <v>119000</v>
      </c>
      <c r="AH571" s="20">
        <v>80920</v>
      </c>
      <c r="AI571" s="20">
        <v>34618</v>
      </c>
      <c r="AJ571" s="20">
        <v>3462</v>
      </c>
      <c r="AK571" s="20">
        <v>38080</v>
      </c>
    </row>
    <row r="572" spans="1:37" ht="16.5" customHeight="1" x14ac:dyDescent="0.3">
      <c r="A572" s="18" t="s">
        <v>1608</v>
      </c>
      <c r="B572" s="18" t="s">
        <v>107</v>
      </c>
      <c r="C572" s="19" t="s">
        <v>108</v>
      </c>
      <c r="D572" s="18" t="s">
        <v>1931</v>
      </c>
      <c r="E572" s="19" t="s">
        <v>1932</v>
      </c>
      <c r="F572" s="18" t="s">
        <v>110</v>
      </c>
      <c r="G572" s="18" t="s">
        <v>111</v>
      </c>
      <c r="H572" s="19" t="s">
        <v>112</v>
      </c>
      <c r="I572" s="18" t="s">
        <v>113</v>
      </c>
      <c r="J572" s="19" t="s">
        <v>114</v>
      </c>
      <c r="K572" s="19" t="s">
        <v>115</v>
      </c>
      <c r="L572" s="18" t="s">
        <v>116</v>
      </c>
      <c r="M572" s="18" t="s">
        <v>1419</v>
      </c>
      <c r="N572" s="18" t="s">
        <v>118</v>
      </c>
      <c r="O572" s="20">
        <v>119000</v>
      </c>
      <c r="P572" s="20">
        <v>80920</v>
      </c>
      <c r="Q572" s="20">
        <v>1</v>
      </c>
      <c r="R572" s="20">
        <v>0</v>
      </c>
      <c r="S572" s="20">
        <v>0</v>
      </c>
      <c r="T572" s="20">
        <v>0</v>
      </c>
      <c r="U572" s="20">
        <v>0</v>
      </c>
      <c r="V572" s="20">
        <v>0</v>
      </c>
      <c r="W572" s="20">
        <v>32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119000</v>
      </c>
      <c r="AD572" s="20">
        <v>80920</v>
      </c>
      <c r="AE572" s="20">
        <v>0</v>
      </c>
      <c r="AF572" s="20">
        <v>0</v>
      </c>
      <c r="AG572" s="20">
        <v>119000</v>
      </c>
      <c r="AH572" s="20">
        <v>80920</v>
      </c>
      <c r="AI572" s="20">
        <v>34618</v>
      </c>
      <c r="AJ572" s="20">
        <v>3462</v>
      </c>
      <c r="AK572" s="20">
        <v>38080</v>
      </c>
    </row>
    <row r="573" spans="1:37" ht="16.5" customHeight="1" x14ac:dyDescent="0.3">
      <c r="A573" s="18" t="s">
        <v>1611</v>
      </c>
      <c r="B573" s="18" t="s">
        <v>107</v>
      </c>
      <c r="C573" s="19" t="s">
        <v>108</v>
      </c>
      <c r="D573" s="18" t="s">
        <v>1933</v>
      </c>
      <c r="E573" s="19" t="s">
        <v>1934</v>
      </c>
      <c r="F573" s="18" t="s">
        <v>110</v>
      </c>
      <c r="G573" s="18" t="s">
        <v>111</v>
      </c>
      <c r="H573" s="19" t="s">
        <v>112</v>
      </c>
      <c r="I573" s="18" t="s">
        <v>113</v>
      </c>
      <c r="J573" s="19" t="s">
        <v>114</v>
      </c>
      <c r="K573" s="19" t="s">
        <v>115</v>
      </c>
      <c r="L573" s="18" t="s">
        <v>116</v>
      </c>
      <c r="M573" s="18" t="s">
        <v>1419</v>
      </c>
      <c r="N573" s="18" t="s">
        <v>118</v>
      </c>
      <c r="O573" s="20">
        <v>119000</v>
      </c>
      <c r="P573" s="20">
        <v>80920</v>
      </c>
      <c r="Q573" s="20">
        <v>1</v>
      </c>
      <c r="R573" s="20">
        <v>0</v>
      </c>
      <c r="S573" s="20">
        <v>0</v>
      </c>
      <c r="T573" s="20">
        <v>0</v>
      </c>
      <c r="U573" s="20">
        <v>0</v>
      </c>
      <c r="V573" s="20">
        <v>0</v>
      </c>
      <c r="W573" s="20">
        <v>32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119000</v>
      </c>
      <c r="AD573" s="20">
        <v>80920</v>
      </c>
      <c r="AE573" s="20">
        <v>0</v>
      </c>
      <c r="AF573" s="20">
        <v>0</v>
      </c>
      <c r="AG573" s="20">
        <v>119000</v>
      </c>
      <c r="AH573" s="20">
        <v>80920</v>
      </c>
      <c r="AI573" s="20">
        <v>34618</v>
      </c>
      <c r="AJ573" s="20">
        <v>3462</v>
      </c>
      <c r="AK573" s="20">
        <v>38080</v>
      </c>
    </row>
    <row r="574" spans="1:37" ht="16.5" customHeight="1" x14ac:dyDescent="0.3">
      <c r="A574" s="18" t="s">
        <v>1613</v>
      </c>
      <c r="B574" s="18" t="s">
        <v>107</v>
      </c>
      <c r="C574" s="19" t="s">
        <v>108</v>
      </c>
      <c r="D574" s="18" t="s">
        <v>1935</v>
      </c>
      <c r="E574" s="19" t="s">
        <v>205</v>
      </c>
      <c r="F574" s="18" t="s">
        <v>110</v>
      </c>
      <c r="G574" s="18" t="s">
        <v>111</v>
      </c>
      <c r="H574" s="19" t="s">
        <v>112</v>
      </c>
      <c r="I574" s="18" t="s">
        <v>113</v>
      </c>
      <c r="J574" s="19" t="s">
        <v>114</v>
      </c>
      <c r="K574" s="19" t="s">
        <v>115</v>
      </c>
      <c r="L574" s="18" t="s">
        <v>116</v>
      </c>
      <c r="M574" s="18" t="s">
        <v>1419</v>
      </c>
      <c r="N574" s="18" t="s">
        <v>118</v>
      </c>
      <c r="O574" s="20">
        <v>119000</v>
      </c>
      <c r="P574" s="20">
        <v>80920</v>
      </c>
      <c r="Q574" s="20">
        <v>1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32</v>
      </c>
      <c r="X574" s="20">
        <v>0</v>
      </c>
      <c r="Y574" s="20">
        <v>5000</v>
      </c>
      <c r="Z574" s="20">
        <v>0</v>
      </c>
      <c r="AA574" s="20">
        <v>0</v>
      </c>
      <c r="AB574" s="20">
        <v>5700</v>
      </c>
      <c r="AC574" s="20">
        <v>119000</v>
      </c>
      <c r="AD574" s="20">
        <v>80920</v>
      </c>
      <c r="AE574" s="20">
        <v>0</v>
      </c>
      <c r="AF574" s="20">
        <v>10700</v>
      </c>
      <c r="AG574" s="20">
        <v>108300</v>
      </c>
      <c r="AH574" s="20">
        <v>80920</v>
      </c>
      <c r="AI574" s="20">
        <v>24891</v>
      </c>
      <c r="AJ574" s="20">
        <v>2489</v>
      </c>
      <c r="AK574" s="20">
        <v>27380</v>
      </c>
    </row>
    <row r="575" spans="1:37" ht="16.5" customHeight="1" x14ac:dyDescent="0.3">
      <c r="A575" s="18" t="s">
        <v>1615</v>
      </c>
      <c r="B575" s="18" t="s">
        <v>107</v>
      </c>
      <c r="C575" s="19" t="s">
        <v>108</v>
      </c>
      <c r="D575" s="18" t="s">
        <v>1936</v>
      </c>
      <c r="E575" s="19" t="s">
        <v>259</v>
      </c>
      <c r="F575" s="18" t="s">
        <v>110</v>
      </c>
      <c r="G575" s="18" t="s">
        <v>111</v>
      </c>
      <c r="H575" s="19" t="s">
        <v>112</v>
      </c>
      <c r="I575" s="18" t="s">
        <v>113</v>
      </c>
      <c r="J575" s="19" t="s">
        <v>114</v>
      </c>
      <c r="K575" s="19" t="s">
        <v>115</v>
      </c>
      <c r="L575" s="18" t="s">
        <v>116</v>
      </c>
      <c r="M575" s="18" t="s">
        <v>1419</v>
      </c>
      <c r="N575" s="18" t="s">
        <v>118</v>
      </c>
      <c r="O575" s="20">
        <v>119000</v>
      </c>
      <c r="P575" s="20">
        <v>80920</v>
      </c>
      <c r="Q575" s="20">
        <v>1</v>
      </c>
      <c r="R575" s="20">
        <v>0</v>
      </c>
      <c r="S575" s="20">
        <v>0</v>
      </c>
      <c r="T575" s="20">
        <v>0</v>
      </c>
      <c r="U575" s="20">
        <v>0</v>
      </c>
      <c r="V575" s="20">
        <v>0</v>
      </c>
      <c r="W575" s="20">
        <v>32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20">
        <v>119000</v>
      </c>
      <c r="AD575" s="20">
        <v>80920</v>
      </c>
      <c r="AE575" s="20">
        <v>0</v>
      </c>
      <c r="AF575" s="20">
        <v>0</v>
      </c>
      <c r="AG575" s="20">
        <v>119000</v>
      </c>
      <c r="AH575" s="20">
        <v>80920</v>
      </c>
      <c r="AI575" s="20">
        <v>34618</v>
      </c>
      <c r="AJ575" s="20">
        <v>3462</v>
      </c>
      <c r="AK575" s="20">
        <v>38080</v>
      </c>
    </row>
    <row r="576" spans="1:37" ht="16.5" customHeight="1" x14ac:dyDescent="0.3">
      <c r="A576" s="18" t="s">
        <v>1618</v>
      </c>
      <c r="B576" s="18" t="s">
        <v>107</v>
      </c>
      <c r="C576" s="19" t="s">
        <v>108</v>
      </c>
      <c r="D576" s="18" t="s">
        <v>1937</v>
      </c>
      <c r="E576" s="19" t="s">
        <v>217</v>
      </c>
      <c r="F576" s="18" t="s">
        <v>110</v>
      </c>
      <c r="G576" s="18" t="s">
        <v>111</v>
      </c>
      <c r="H576" s="19" t="s">
        <v>112</v>
      </c>
      <c r="I576" s="18" t="s">
        <v>113</v>
      </c>
      <c r="J576" s="19" t="s">
        <v>114</v>
      </c>
      <c r="K576" s="19" t="s">
        <v>115</v>
      </c>
      <c r="L576" s="18" t="s">
        <v>116</v>
      </c>
      <c r="M576" s="18" t="s">
        <v>1419</v>
      </c>
      <c r="N576" s="18" t="s">
        <v>118</v>
      </c>
      <c r="O576" s="20">
        <v>119000</v>
      </c>
      <c r="P576" s="20">
        <v>80920</v>
      </c>
      <c r="Q576" s="20">
        <v>1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32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119000</v>
      </c>
      <c r="AD576" s="20">
        <v>80920</v>
      </c>
      <c r="AE576" s="20">
        <v>0</v>
      </c>
      <c r="AF576" s="20">
        <v>0</v>
      </c>
      <c r="AG576" s="20">
        <v>119000</v>
      </c>
      <c r="AH576" s="20">
        <v>80920</v>
      </c>
      <c r="AI576" s="20">
        <v>34618</v>
      </c>
      <c r="AJ576" s="20">
        <v>3462</v>
      </c>
      <c r="AK576" s="20">
        <v>38080</v>
      </c>
    </row>
    <row r="577" spans="1:37" ht="16.5" customHeight="1" x14ac:dyDescent="0.3">
      <c r="A577" s="18" t="s">
        <v>1620</v>
      </c>
      <c r="B577" s="18" t="s">
        <v>107</v>
      </c>
      <c r="C577" s="19" t="s">
        <v>108</v>
      </c>
      <c r="D577" s="18" t="s">
        <v>1938</v>
      </c>
      <c r="E577" s="19" t="s">
        <v>1939</v>
      </c>
      <c r="F577" s="18" t="s">
        <v>110</v>
      </c>
      <c r="G577" s="18" t="s">
        <v>111</v>
      </c>
      <c r="H577" s="19" t="s">
        <v>112</v>
      </c>
      <c r="I577" s="18" t="s">
        <v>113</v>
      </c>
      <c r="J577" s="19" t="s">
        <v>114</v>
      </c>
      <c r="K577" s="19" t="s">
        <v>115</v>
      </c>
      <c r="L577" s="18" t="s">
        <v>116</v>
      </c>
      <c r="M577" s="18" t="s">
        <v>1419</v>
      </c>
      <c r="N577" s="18" t="s">
        <v>118</v>
      </c>
      <c r="O577" s="20">
        <v>119000</v>
      </c>
      <c r="P577" s="20">
        <v>80920</v>
      </c>
      <c r="Q577" s="20">
        <v>1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32</v>
      </c>
      <c r="X577" s="20">
        <v>0</v>
      </c>
      <c r="Y577" s="20">
        <v>0</v>
      </c>
      <c r="Z577" s="20">
        <v>0</v>
      </c>
      <c r="AA577" s="20">
        <v>0</v>
      </c>
      <c r="AB577" s="20">
        <v>5950</v>
      </c>
      <c r="AC577" s="20">
        <v>119000</v>
      </c>
      <c r="AD577" s="20">
        <v>80920</v>
      </c>
      <c r="AE577" s="20">
        <v>0</v>
      </c>
      <c r="AF577" s="20">
        <v>5950</v>
      </c>
      <c r="AG577" s="20">
        <v>113050</v>
      </c>
      <c r="AH577" s="20">
        <v>80920</v>
      </c>
      <c r="AI577" s="20">
        <v>29209</v>
      </c>
      <c r="AJ577" s="20">
        <v>2921</v>
      </c>
      <c r="AK577" s="20">
        <v>32130</v>
      </c>
    </row>
    <row r="578" spans="1:37" ht="16.5" customHeight="1" x14ac:dyDescent="0.3">
      <c r="A578" s="18" t="s">
        <v>1622</v>
      </c>
      <c r="B578" s="18" t="s">
        <v>107</v>
      </c>
      <c r="C578" s="19" t="s">
        <v>108</v>
      </c>
      <c r="D578" s="18" t="s">
        <v>1940</v>
      </c>
      <c r="E578" s="19" t="s">
        <v>1941</v>
      </c>
      <c r="F578" s="18" t="s">
        <v>110</v>
      </c>
      <c r="G578" s="18" t="s">
        <v>111</v>
      </c>
      <c r="H578" s="19" t="s">
        <v>112</v>
      </c>
      <c r="I578" s="18" t="s">
        <v>113</v>
      </c>
      <c r="J578" s="19" t="s">
        <v>114</v>
      </c>
      <c r="K578" s="19" t="s">
        <v>151</v>
      </c>
      <c r="L578" s="18" t="s">
        <v>116</v>
      </c>
      <c r="M578" s="18" t="s">
        <v>1419</v>
      </c>
      <c r="N578" s="18" t="s">
        <v>118</v>
      </c>
      <c r="O578" s="20">
        <v>119000</v>
      </c>
      <c r="P578" s="20">
        <v>80920</v>
      </c>
      <c r="Q578" s="20">
        <v>1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32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119000</v>
      </c>
      <c r="AD578" s="20">
        <v>80920</v>
      </c>
      <c r="AE578" s="20">
        <v>0</v>
      </c>
      <c r="AF578" s="20">
        <v>0</v>
      </c>
      <c r="AG578" s="20">
        <v>119000</v>
      </c>
      <c r="AH578" s="20">
        <v>80920</v>
      </c>
      <c r="AI578" s="20">
        <v>34618</v>
      </c>
      <c r="AJ578" s="20">
        <v>3462</v>
      </c>
      <c r="AK578" s="20">
        <v>38080</v>
      </c>
    </row>
    <row r="579" spans="1:37" ht="16.5" customHeight="1" x14ac:dyDescent="0.3">
      <c r="A579" s="18" t="s">
        <v>1624</v>
      </c>
      <c r="B579" s="18" t="s">
        <v>107</v>
      </c>
      <c r="C579" s="19" t="s">
        <v>108</v>
      </c>
      <c r="D579" s="18" t="s">
        <v>1942</v>
      </c>
      <c r="E579" s="19" t="s">
        <v>401</v>
      </c>
      <c r="F579" s="18" t="s">
        <v>110</v>
      </c>
      <c r="G579" s="18" t="s">
        <v>111</v>
      </c>
      <c r="H579" s="19" t="s">
        <v>112</v>
      </c>
      <c r="I579" s="18" t="s">
        <v>113</v>
      </c>
      <c r="J579" s="19" t="s">
        <v>114</v>
      </c>
      <c r="K579" s="19" t="s">
        <v>151</v>
      </c>
      <c r="L579" s="18" t="s">
        <v>116</v>
      </c>
      <c r="M579" s="18" t="s">
        <v>1419</v>
      </c>
      <c r="N579" s="18" t="s">
        <v>118</v>
      </c>
      <c r="O579" s="20">
        <v>119000</v>
      </c>
      <c r="P579" s="20">
        <v>80920</v>
      </c>
      <c r="Q579" s="20">
        <v>1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32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119000</v>
      </c>
      <c r="AD579" s="20">
        <v>80920</v>
      </c>
      <c r="AE579" s="20">
        <v>0</v>
      </c>
      <c r="AF579" s="20">
        <v>0</v>
      </c>
      <c r="AG579" s="20">
        <v>119000</v>
      </c>
      <c r="AH579" s="20">
        <v>80920</v>
      </c>
      <c r="AI579" s="20">
        <v>34618</v>
      </c>
      <c r="AJ579" s="20">
        <v>3462</v>
      </c>
      <c r="AK579" s="20">
        <v>38080</v>
      </c>
    </row>
    <row r="580" spans="1:37" ht="16.5" customHeight="1" x14ac:dyDescent="0.3">
      <c r="A580" s="18" t="s">
        <v>1626</v>
      </c>
      <c r="B580" s="18" t="s">
        <v>107</v>
      </c>
      <c r="C580" s="19" t="s">
        <v>108</v>
      </c>
      <c r="D580" s="18" t="s">
        <v>1943</v>
      </c>
      <c r="E580" s="19" t="s">
        <v>325</v>
      </c>
      <c r="F580" s="18" t="s">
        <v>110</v>
      </c>
      <c r="G580" s="18" t="s">
        <v>111</v>
      </c>
      <c r="H580" s="19" t="s">
        <v>112</v>
      </c>
      <c r="I580" s="18" t="s">
        <v>113</v>
      </c>
      <c r="J580" s="19" t="s">
        <v>114</v>
      </c>
      <c r="K580" s="19" t="s">
        <v>115</v>
      </c>
      <c r="L580" s="18" t="s">
        <v>116</v>
      </c>
      <c r="M580" s="18" t="s">
        <v>1419</v>
      </c>
      <c r="N580" s="18" t="s">
        <v>118</v>
      </c>
      <c r="O580" s="20">
        <v>119000</v>
      </c>
      <c r="P580" s="20">
        <v>80920</v>
      </c>
      <c r="Q580" s="20">
        <v>1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32</v>
      </c>
      <c r="X580" s="20">
        <v>0</v>
      </c>
      <c r="Y580" s="20">
        <v>0</v>
      </c>
      <c r="Z580" s="20">
        <v>0</v>
      </c>
      <c r="AA580" s="20">
        <v>0</v>
      </c>
      <c r="AB580" s="20">
        <v>5950</v>
      </c>
      <c r="AC580" s="20">
        <v>119000</v>
      </c>
      <c r="AD580" s="20">
        <v>80920</v>
      </c>
      <c r="AE580" s="20">
        <v>0</v>
      </c>
      <c r="AF580" s="20">
        <v>5950</v>
      </c>
      <c r="AG580" s="20">
        <v>113050</v>
      </c>
      <c r="AH580" s="20">
        <v>80920</v>
      </c>
      <c r="AI580" s="20">
        <v>29209</v>
      </c>
      <c r="AJ580" s="20">
        <v>2921</v>
      </c>
      <c r="AK580" s="20">
        <v>32130</v>
      </c>
    </row>
    <row r="581" spans="1:37" ht="16.5" customHeight="1" x14ac:dyDescent="0.3">
      <c r="A581" s="18" t="s">
        <v>1628</v>
      </c>
      <c r="B581" s="18" t="s">
        <v>107</v>
      </c>
      <c r="C581" s="19" t="s">
        <v>108</v>
      </c>
      <c r="D581" s="18" t="s">
        <v>1944</v>
      </c>
      <c r="E581" s="19" t="s">
        <v>1945</v>
      </c>
      <c r="F581" s="18" t="s">
        <v>110</v>
      </c>
      <c r="G581" s="18" t="s">
        <v>111</v>
      </c>
      <c r="H581" s="19" t="s">
        <v>112</v>
      </c>
      <c r="I581" s="18" t="s">
        <v>113</v>
      </c>
      <c r="J581" s="19" t="s">
        <v>114</v>
      </c>
      <c r="K581" s="19" t="s">
        <v>115</v>
      </c>
      <c r="L581" s="18" t="s">
        <v>116</v>
      </c>
      <c r="M581" s="18" t="s">
        <v>1419</v>
      </c>
      <c r="N581" s="18" t="s">
        <v>118</v>
      </c>
      <c r="O581" s="20">
        <v>119000</v>
      </c>
      <c r="P581" s="20">
        <v>80920</v>
      </c>
      <c r="Q581" s="20">
        <v>1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32</v>
      </c>
      <c r="X581" s="20">
        <v>20230</v>
      </c>
      <c r="Y581" s="20">
        <v>0</v>
      </c>
      <c r="Z581" s="20">
        <v>0</v>
      </c>
      <c r="AA581" s="20">
        <v>0</v>
      </c>
      <c r="AB581" s="20">
        <v>0</v>
      </c>
      <c r="AC581" s="20">
        <v>119000</v>
      </c>
      <c r="AD581" s="20">
        <v>80920</v>
      </c>
      <c r="AE581" s="20">
        <v>0</v>
      </c>
      <c r="AF581" s="20">
        <v>20230</v>
      </c>
      <c r="AG581" s="20">
        <v>98770</v>
      </c>
      <c r="AH581" s="20">
        <v>80920</v>
      </c>
      <c r="AI581" s="20">
        <v>16227</v>
      </c>
      <c r="AJ581" s="20">
        <v>1623</v>
      </c>
      <c r="AK581" s="20">
        <v>17850</v>
      </c>
    </row>
    <row r="582" spans="1:37" ht="16.5" customHeight="1" x14ac:dyDescent="0.3">
      <c r="A582" s="18" t="s">
        <v>1630</v>
      </c>
      <c r="B582" s="18" t="s">
        <v>107</v>
      </c>
      <c r="C582" s="19" t="s">
        <v>108</v>
      </c>
      <c r="D582" s="18" t="s">
        <v>1946</v>
      </c>
      <c r="E582" s="19" t="s">
        <v>120</v>
      </c>
      <c r="F582" s="18" t="s">
        <v>110</v>
      </c>
      <c r="G582" s="18" t="s">
        <v>111</v>
      </c>
      <c r="H582" s="19" t="s">
        <v>112</v>
      </c>
      <c r="I582" s="18" t="s">
        <v>113</v>
      </c>
      <c r="J582" s="19" t="s">
        <v>114</v>
      </c>
      <c r="K582" s="19" t="s">
        <v>115</v>
      </c>
      <c r="L582" s="18" t="s">
        <v>116</v>
      </c>
      <c r="M582" s="18" t="s">
        <v>1419</v>
      </c>
      <c r="N582" s="18" t="s">
        <v>118</v>
      </c>
      <c r="O582" s="20">
        <v>119000</v>
      </c>
      <c r="P582" s="20">
        <v>80920</v>
      </c>
      <c r="Q582" s="20">
        <v>1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32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119000</v>
      </c>
      <c r="AD582" s="20">
        <v>80920</v>
      </c>
      <c r="AE582" s="20">
        <v>0</v>
      </c>
      <c r="AF582" s="20">
        <v>0</v>
      </c>
      <c r="AG582" s="20">
        <v>119000</v>
      </c>
      <c r="AH582" s="20">
        <v>80920</v>
      </c>
      <c r="AI582" s="20">
        <v>34618</v>
      </c>
      <c r="AJ582" s="20">
        <v>3462</v>
      </c>
      <c r="AK582" s="20">
        <v>38080</v>
      </c>
    </row>
    <row r="583" spans="1:37" ht="16.5" customHeight="1" x14ac:dyDescent="0.3">
      <c r="A583" s="18" t="s">
        <v>1633</v>
      </c>
      <c r="B583" s="18" t="s">
        <v>107</v>
      </c>
      <c r="C583" s="19" t="s">
        <v>108</v>
      </c>
      <c r="D583" s="18" t="s">
        <v>1947</v>
      </c>
      <c r="E583" s="19" t="s">
        <v>1948</v>
      </c>
      <c r="F583" s="18" t="s">
        <v>110</v>
      </c>
      <c r="G583" s="18" t="s">
        <v>111</v>
      </c>
      <c r="H583" s="19" t="s">
        <v>112</v>
      </c>
      <c r="I583" s="18" t="s">
        <v>113</v>
      </c>
      <c r="J583" s="19" t="s">
        <v>114</v>
      </c>
      <c r="K583" s="19" t="s">
        <v>115</v>
      </c>
      <c r="L583" s="18" t="s">
        <v>116</v>
      </c>
      <c r="M583" s="18" t="s">
        <v>1419</v>
      </c>
      <c r="N583" s="18" t="s">
        <v>118</v>
      </c>
      <c r="O583" s="20">
        <v>119000</v>
      </c>
      <c r="P583" s="20">
        <v>80920</v>
      </c>
      <c r="Q583" s="20">
        <v>1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32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119000</v>
      </c>
      <c r="AD583" s="20">
        <v>80920</v>
      </c>
      <c r="AE583" s="20">
        <v>0</v>
      </c>
      <c r="AF583" s="20">
        <v>0</v>
      </c>
      <c r="AG583" s="20">
        <v>119000</v>
      </c>
      <c r="AH583" s="20">
        <v>80920</v>
      </c>
      <c r="AI583" s="20">
        <v>34618</v>
      </c>
      <c r="AJ583" s="20">
        <v>3462</v>
      </c>
      <c r="AK583" s="20">
        <v>38080</v>
      </c>
    </row>
    <row r="584" spans="1:37" ht="16.5" customHeight="1" x14ac:dyDescent="0.3">
      <c r="A584" s="18" t="s">
        <v>1636</v>
      </c>
      <c r="B584" s="18" t="s">
        <v>107</v>
      </c>
      <c r="C584" s="19" t="s">
        <v>108</v>
      </c>
      <c r="D584" s="18" t="s">
        <v>1949</v>
      </c>
      <c r="E584" s="19" t="s">
        <v>1950</v>
      </c>
      <c r="F584" s="18" t="s">
        <v>110</v>
      </c>
      <c r="G584" s="18" t="s">
        <v>111</v>
      </c>
      <c r="H584" s="19" t="s">
        <v>112</v>
      </c>
      <c r="I584" s="18" t="s">
        <v>113</v>
      </c>
      <c r="J584" s="19" t="s">
        <v>114</v>
      </c>
      <c r="K584" s="19" t="s">
        <v>115</v>
      </c>
      <c r="L584" s="18" t="s">
        <v>116</v>
      </c>
      <c r="M584" s="18" t="s">
        <v>1419</v>
      </c>
      <c r="N584" s="18" t="s">
        <v>118</v>
      </c>
      <c r="O584" s="20">
        <v>119000</v>
      </c>
      <c r="P584" s="20">
        <v>80920</v>
      </c>
      <c r="Q584" s="20">
        <v>1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32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119000</v>
      </c>
      <c r="AD584" s="20">
        <v>80920</v>
      </c>
      <c r="AE584" s="20">
        <v>0</v>
      </c>
      <c r="AF584" s="20">
        <v>0</v>
      </c>
      <c r="AG584" s="20">
        <v>119000</v>
      </c>
      <c r="AH584" s="20">
        <v>80920</v>
      </c>
      <c r="AI584" s="20">
        <v>34618</v>
      </c>
      <c r="AJ584" s="20">
        <v>3462</v>
      </c>
      <c r="AK584" s="20">
        <v>38080</v>
      </c>
    </row>
    <row r="585" spans="1:37" ht="16.5" customHeight="1" x14ac:dyDescent="0.3">
      <c r="A585" s="18" t="s">
        <v>1639</v>
      </c>
      <c r="B585" s="18" t="s">
        <v>107</v>
      </c>
      <c r="C585" s="19" t="s">
        <v>108</v>
      </c>
      <c r="D585" s="18" t="s">
        <v>1951</v>
      </c>
      <c r="E585" s="19" t="s">
        <v>1952</v>
      </c>
      <c r="F585" s="18" t="s">
        <v>110</v>
      </c>
      <c r="G585" s="18" t="s">
        <v>111</v>
      </c>
      <c r="H585" s="19" t="s">
        <v>112</v>
      </c>
      <c r="I585" s="18" t="s">
        <v>113</v>
      </c>
      <c r="J585" s="19" t="s">
        <v>114</v>
      </c>
      <c r="K585" s="19" t="s">
        <v>151</v>
      </c>
      <c r="L585" s="18" t="s">
        <v>116</v>
      </c>
      <c r="M585" s="18" t="s">
        <v>1419</v>
      </c>
      <c r="N585" s="18" t="s">
        <v>118</v>
      </c>
      <c r="O585" s="20">
        <v>119000</v>
      </c>
      <c r="P585" s="20">
        <v>80920</v>
      </c>
      <c r="Q585" s="20">
        <v>1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32</v>
      </c>
      <c r="X585" s="20">
        <v>23800</v>
      </c>
      <c r="Y585" s="20">
        <v>0</v>
      </c>
      <c r="Z585" s="20">
        <v>0</v>
      </c>
      <c r="AA585" s="20">
        <v>0</v>
      </c>
      <c r="AB585" s="20">
        <v>0</v>
      </c>
      <c r="AC585" s="20">
        <v>119000</v>
      </c>
      <c r="AD585" s="20">
        <v>80920</v>
      </c>
      <c r="AE585" s="20">
        <v>0</v>
      </c>
      <c r="AF585" s="20">
        <v>23800</v>
      </c>
      <c r="AG585" s="20">
        <v>95200</v>
      </c>
      <c r="AH585" s="20">
        <v>80920</v>
      </c>
      <c r="AI585" s="20">
        <v>12982</v>
      </c>
      <c r="AJ585" s="20">
        <v>1298</v>
      </c>
      <c r="AK585" s="20">
        <v>14280</v>
      </c>
    </row>
    <row r="586" spans="1:37" ht="16.5" customHeight="1" x14ac:dyDescent="0.3">
      <c r="A586" s="18" t="s">
        <v>1641</v>
      </c>
      <c r="B586" s="18" t="s">
        <v>107</v>
      </c>
      <c r="C586" s="19" t="s">
        <v>108</v>
      </c>
      <c r="D586" s="18" t="s">
        <v>1953</v>
      </c>
      <c r="E586" s="19" t="s">
        <v>1954</v>
      </c>
      <c r="F586" s="18" t="s">
        <v>110</v>
      </c>
      <c r="G586" s="18" t="s">
        <v>111</v>
      </c>
      <c r="H586" s="19" t="s">
        <v>112</v>
      </c>
      <c r="I586" s="18" t="s">
        <v>113</v>
      </c>
      <c r="J586" s="19" t="s">
        <v>114</v>
      </c>
      <c r="K586" s="19" t="s">
        <v>151</v>
      </c>
      <c r="L586" s="18" t="s">
        <v>116</v>
      </c>
      <c r="M586" s="18" t="s">
        <v>1419</v>
      </c>
      <c r="N586" s="18" t="s">
        <v>118</v>
      </c>
      <c r="O586" s="20">
        <v>119000</v>
      </c>
      <c r="P586" s="20">
        <v>80920</v>
      </c>
      <c r="Q586" s="20">
        <v>1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32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20">
        <v>119000</v>
      </c>
      <c r="AD586" s="20">
        <v>80920</v>
      </c>
      <c r="AE586" s="20">
        <v>0</v>
      </c>
      <c r="AF586" s="20">
        <v>0</v>
      </c>
      <c r="AG586" s="20">
        <v>119000</v>
      </c>
      <c r="AH586" s="20">
        <v>80920</v>
      </c>
      <c r="AI586" s="20">
        <v>34618</v>
      </c>
      <c r="AJ586" s="20">
        <v>3462</v>
      </c>
      <c r="AK586" s="20">
        <v>38080</v>
      </c>
    </row>
    <row r="587" spans="1:37" ht="16.5" customHeight="1" x14ac:dyDescent="0.3">
      <c r="A587" s="18" t="s">
        <v>1644</v>
      </c>
      <c r="B587" s="18" t="s">
        <v>107</v>
      </c>
      <c r="C587" s="19" t="s">
        <v>108</v>
      </c>
      <c r="D587" s="18" t="s">
        <v>1955</v>
      </c>
      <c r="E587" s="19" t="s">
        <v>1956</v>
      </c>
      <c r="F587" s="18" t="s">
        <v>110</v>
      </c>
      <c r="G587" s="18" t="s">
        <v>111</v>
      </c>
      <c r="H587" s="19" t="s">
        <v>112</v>
      </c>
      <c r="I587" s="18" t="s">
        <v>113</v>
      </c>
      <c r="J587" s="19" t="s">
        <v>114</v>
      </c>
      <c r="K587" s="19" t="s">
        <v>115</v>
      </c>
      <c r="L587" s="18" t="s">
        <v>116</v>
      </c>
      <c r="M587" s="18" t="s">
        <v>1419</v>
      </c>
      <c r="N587" s="18" t="s">
        <v>118</v>
      </c>
      <c r="O587" s="20">
        <v>119000</v>
      </c>
      <c r="P587" s="20">
        <v>80920</v>
      </c>
      <c r="Q587" s="20">
        <v>1</v>
      </c>
      <c r="R587" s="20">
        <v>0</v>
      </c>
      <c r="S587" s="20">
        <v>0</v>
      </c>
      <c r="T587" s="20">
        <v>0</v>
      </c>
      <c r="U587" s="20">
        <v>0</v>
      </c>
      <c r="V587" s="20">
        <v>0</v>
      </c>
      <c r="W587" s="20">
        <v>32</v>
      </c>
      <c r="X587" s="20">
        <v>0</v>
      </c>
      <c r="Y587" s="20">
        <v>0</v>
      </c>
      <c r="Z587" s="20">
        <v>0</v>
      </c>
      <c r="AA587" s="20">
        <v>0</v>
      </c>
      <c r="AB587" s="20">
        <v>0</v>
      </c>
      <c r="AC587" s="20">
        <v>119000</v>
      </c>
      <c r="AD587" s="20">
        <v>80920</v>
      </c>
      <c r="AE587" s="20">
        <v>0</v>
      </c>
      <c r="AF587" s="20">
        <v>0</v>
      </c>
      <c r="AG587" s="20">
        <v>119000</v>
      </c>
      <c r="AH587" s="20">
        <v>80920</v>
      </c>
      <c r="AI587" s="20">
        <v>34618</v>
      </c>
      <c r="AJ587" s="20">
        <v>3462</v>
      </c>
      <c r="AK587" s="20">
        <v>38080</v>
      </c>
    </row>
    <row r="588" spans="1:37" ht="16.5" customHeight="1" x14ac:dyDescent="0.3">
      <c r="A588" s="18" t="s">
        <v>1646</v>
      </c>
      <c r="B588" s="18" t="s">
        <v>107</v>
      </c>
      <c r="C588" s="19" t="s">
        <v>108</v>
      </c>
      <c r="D588" s="18" t="s">
        <v>1957</v>
      </c>
      <c r="E588" s="19" t="s">
        <v>687</v>
      </c>
      <c r="F588" s="18" t="s">
        <v>110</v>
      </c>
      <c r="G588" s="18" t="s">
        <v>111</v>
      </c>
      <c r="H588" s="19" t="s">
        <v>112</v>
      </c>
      <c r="I588" s="18" t="s">
        <v>113</v>
      </c>
      <c r="J588" s="19" t="s">
        <v>114</v>
      </c>
      <c r="K588" s="19" t="s">
        <v>115</v>
      </c>
      <c r="L588" s="18" t="s">
        <v>116</v>
      </c>
      <c r="M588" s="18" t="s">
        <v>1419</v>
      </c>
      <c r="N588" s="18" t="s">
        <v>118</v>
      </c>
      <c r="O588" s="20">
        <v>119000</v>
      </c>
      <c r="P588" s="20">
        <v>80920</v>
      </c>
      <c r="Q588" s="20">
        <v>1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32</v>
      </c>
      <c r="X588" s="20">
        <v>0</v>
      </c>
      <c r="Y588" s="20">
        <v>0</v>
      </c>
      <c r="Z588" s="20">
        <v>0</v>
      </c>
      <c r="AA588" s="20">
        <v>0</v>
      </c>
      <c r="AB588" s="20">
        <v>0</v>
      </c>
      <c r="AC588" s="20">
        <v>119000</v>
      </c>
      <c r="AD588" s="20">
        <v>80920</v>
      </c>
      <c r="AE588" s="20">
        <v>0</v>
      </c>
      <c r="AF588" s="20">
        <v>0</v>
      </c>
      <c r="AG588" s="20">
        <v>119000</v>
      </c>
      <c r="AH588" s="20">
        <v>80920</v>
      </c>
      <c r="AI588" s="20">
        <v>34618</v>
      </c>
      <c r="AJ588" s="20">
        <v>3462</v>
      </c>
      <c r="AK588" s="20">
        <v>38080</v>
      </c>
    </row>
    <row r="589" spans="1:37" ht="16.5" customHeight="1" x14ac:dyDescent="0.3">
      <c r="A589" s="18" t="s">
        <v>1649</v>
      </c>
      <c r="B589" s="18" t="s">
        <v>107</v>
      </c>
      <c r="C589" s="19" t="s">
        <v>108</v>
      </c>
      <c r="D589" s="18" t="s">
        <v>1958</v>
      </c>
      <c r="E589" s="19" t="s">
        <v>119</v>
      </c>
      <c r="F589" s="18" t="s">
        <v>110</v>
      </c>
      <c r="G589" s="18" t="s">
        <v>111</v>
      </c>
      <c r="H589" s="19" t="s">
        <v>112</v>
      </c>
      <c r="I589" s="18" t="s">
        <v>113</v>
      </c>
      <c r="J589" s="19" t="s">
        <v>114</v>
      </c>
      <c r="K589" s="19" t="s">
        <v>115</v>
      </c>
      <c r="L589" s="18" t="s">
        <v>116</v>
      </c>
      <c r="M589" s="18" t="s">
        <v>1419</v>
      </c>
      <c r="N589" s="18" t="s">
        <v>118</v>
      </c>
      <c r="O589" s="20">
        <v>119000</v>
      </c>
      <c r="P589" s="20">
        <v>80920</v>
      </c>
      <c r="Q589" s="20">
        <v>1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32</v>
      </c>
      <c r="X589" s="20">
        <v>0</v>
      </c>
      <c r="Y589" s="20">
        <v>0</v>
      </c>
      <c r="Z589" s="20">
        <v>0</v>
      </c>
      <c r="AA589" s="20">
        <v>0</v>
      </c>
      <c r="AB589" s="20">
        <v>0</v>
      </c>
      <c r="AC589" s="20">
        <v>119000</v>
      </c>
      <c r="AD589" s="20">
        <v>80920</v>
      </c>
      <c r="AE589" s="20">
        <v>0</v>
      </c>
      <c r="AF589" s="20">
        <v>0</v>
      </c>
      <c r="AG589" s="20">
        <v>119000</v>
      </c>
      <c r="AH589" s="20">
        <v>80920</v>
      </c>
      <c r="AI589" s="20">
        <v>34618</v>
      </c>
      <c r="AJ589" s="20">
        <v>3462</v>
      </c>
      <c r="AK589" s="20">
        <v>38080</v>
      </c>
    </row>
    <row r="590" spans="1:37" ht="16.5" customHeight="1" x14ac:dyDescent="0.3">
      <c r="A590" s="18" t="s">
        <v>1652</v>
      </c>
      <c r="B590" s="18" t="s">
        <v>107</v>
      </c>
      <c r="C590" s="19" t="s">
        <v>108</v>
      </c>
      <c r="D590" s="18" t="s">
        <v>1959</v>
      </c>
      <c r="E590" s="19" t="s">
        <v>401</v>
      </c>
      <c r="F590" s="18" t="s">
        <v>110</v>
      </c>
      <c r="G590" s="18" t="s">
        <v>111</v>
      </c>
      <c r="H590" s="19" t="s">
        <v>112</v>
      </c>
      <c r="I590" s="18" t="s">
        <v>113</v>
      </c>
      <c r="J590" s="19" t="s">
        <v>114</v>
      </c>
      <c r="K590" s="19" t="s">
        <v>115</v>
      </c>
      <c r="L590" s="18" t="s">
        <v>116</v>
      </c>
      <c r="M590" s="18" t="s">
        <v>1419</v>
      </c>
      <c r="N590" s="18" t="s">
        <v>118</v>
      </c>
      <c r="O590" s="20">
        <v>119000</v>
      </c>
      <c r="P590" s="20">
        <v>80920</v>
      </c>
      <c r="Q590" s="20">
        <v>1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32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119000</v>
      </c>
      <c r="AD590" s="20">
        <v>80920</v>
      </c>
      <c r="AE590" s="20">
        <v>0</v>
      </c>
      <c r="AF590" s="20">
        <v>0</v>
      </c>
      <c r="AG590" s="20">
        <v>119000</v>
      </c>
      <c r="AH590" s="20">
        <v>80920</v>
      </c>
      <c r="AI590" s="20">
        <v>34618</v>
      </c>
      <c r="AJ590" s="20">
        <v>3462</v>
      </c>
      <c r="AK590" s="20">
        <v>38080</v>
      </c>
    </row>
    <row r="591" spans="1:37" ht="16.5" customHeight="1" x14ac:dyDescent="0.3">
      <c r="A591" s="18" t="s">
        <v>1654</v>
      </c>
      <c r="B591" s="18" t="s">
        <v>107</v>
      </c>
      <c r="C591" s="19" t="s">
        <v>108</v>
      </c>
      <c r="D591" s="18" t="s">
        <v>1960</v>
      </c>
      <c r="E591" s="19" t="s">
        <v>1961</v>
      </c>
      <c r="F591" s="18" t="s">
        <v>110</v>
      </c>
      <c r="G591" s="18" t="s">
        <v>111</v>
      </c>
      <c r="H591" s="19" t="s">
        <v>112</v>
      </c>
      <c r="I591" s="18" t="s">
        <v>113</v>
      </c>
      <c r="J591" s="19" t="s">
        <v>114</v>
      </c>
      <c r="K591" s="19" t="s">
        <v>115</v>
      </c>
      <c r="L591" s="18" t="s">
        <v>116</v>
      </c>
      <c r="M591" s="18" t="s">
        <v>1419</v>
      </c>
      <c r="N591" s="18" t="s">
        <v>118</v>
      </c>
      <c r="O591" s="20">
        <v>119000</v>
      </c>
      <c r="P591" s="20">
        <v>80920</v>
      </c>
      <c r="Q591" s="20">
        <v>1</v>
      </c>
      <c r="R591" s="20">
        <v>0</v>
      </c>
      <c r="S591" s="20">
        <v>0</v>
      </c>
      <c r="T591" s="20">
        <v>0</v>
      </c>
      <c r="U591" s="20">
        <v>0</v>
      </c>
      <c r="V591" s="20">
        <v>0</v>
      </c>
      <c r="W591" s="20">
        <v>32</v>
      </c>
      <c r="X591" s="20">
        <v>0</v>
      </c>
      <c r="Y591" s="20">
        <v>0</v>
      </c>
      <c r="Z591" s="20">
        <v>0</v>
      </c>
      <c r="AA591" s="20">
        <v>0</v>
      </c>
      <c r="AB591" s="20">
        <v>0</v>
      </c>
      <c r="AC591" s="20">
        <v>119000</v>
      </c>
      <c r="AD591" s="20">
        <v>80920</v>
      </c>
      <c r="AE591" s="20">
        <v>0</v>
      </c>
      <c r="AF591" s="20">
        <v>0</v>
      </c>
      <c r="AG591" s="20">
        <v>119000</v>
      </c>
      <c r="AH591" s="20">
        <v>80920</v>
      </c>
      <c r="AI591" s="20">
        <v>34618</v>
      </c>
      <c r="AJ591" s="20">
        <v>3462</v>
      </c>
      <c r="AK591" s="20">
        <v>38080</v>
      </c>
    </row>
    <row r="592" spans="1:37" ht="24" x14ac:dyDescent="0.3">
      <c r="A592" s="18" t="s">
        <v>1657</v>
      </c>
      <c r="B592" s="18" t="s">
        <v>107</v>
      </c>
      <c r="C592" s="19" t="s">
        <v>108</v>
      </c>
      <c r="D592" s="18" t="s">
        <v>1962</v>
      </c>
      <c r="E592" s="19" t="s">
        <v>193</v>
      </c>
      <c r="F592" s="18" t="s">
        <v>110</v>
      </c>
      <c r="G592" s="18" t="s">
        <v>111</v>
      </c>
      <c r="H592" s="19" t="s">
        <v>112</v>
      </c>
      <c r="I592" s="18" t="s">
        <v>113</v>
      </c>
      <c r="J592" s="19" t="s">
        <v>114</v>
      </c>
      <c r="K592" s="19" t="s">
        <v>115</v>
      </c>
      <c r="L592" s="18" t="s">
        <v>116</v>
      </c>
      <c r="M592" s="18" t="s">
        <v>1419</v>
      </c>
      <c r="N592" s="18" t="s">
        <v>118</v>
      </c>
      <c r="O592" s="20">
        <v>119000</v>
      </c>
      <c r="P592" s="20">
        <v>80920</v>
      </c>
      <c r="Q592" s="20">
        <v>1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32</v>
      </c>
      <c r="X592" s="20">
        <v>0</v>
      </c>
      <c r="Y592" s="20">
        <v>0</v>
      </c>
      <c r="Z592" s="20">
        <v>0</v>
      </c>
      <c r="AA592" s="20">
        <v>0</v>
      </c>
      <c r="AB592" s="20">
        <v>0</v>
      </c>
      <c r="AC592" s="20">
        <v>119000</v>
      </c>
      <c r="AD592" s="20">
        <v>80920</v>
      </c>
      <c r="AE592" s="20">
        <v>0</v>
      </c>
      <c r="AF592" s="20">
        <v>0</v>
      </c>
      <c r="AG592" s="20">
        <v>119000</v>
      </c>
      <c r="AH592" s="20">
        <v>80920</v>
      </c>
      <c r="AI592" s="20">
        <v>34618</v>
      </c>
      <c r="AJ592" s="20">
        <v>3462</v>
      </c>
      <c r="AK592" s="20">
        <v>38080</v>
      </c>
    </row>
    <row r="593" spans="1:37" ht="24" x14ac:dyDescent="0.3">
      <c r="A593" s="18" t="s">
        <v>1660</v>
      </c>
      <c r="B593" s="18" t="s">
        <v>107</v>
      </c>
      <c r="C593" s="19" t="s">
        <v>108</v>
      </c>
      <c r="D593" s="18" t="s">
        <v>1963</v>
      </c>
      <c r="E593" s="19" t="s">
        <v>401</v>
      </c>
      <c r="F593" s="18" t="s">
        <v>110</v>
      </c>
      <c r="G593" s="18" t="s">
        <v>111</v>
      </c>
      <c r="H593" s="19" t="s">
        <v>112</v>
      </c>
      <c r="I593" s="18" t="s">
        <v>113</v>
      </c>
      <c r="J593" s="19" t="s">
        <v>114</v>
      </c>
      <c r="K593" s="19" t="s">
        <v>115</v>
      </c>
      <c r="L593" s="18" t="s">
        <v>116</v>
      </c>
      <c r="M593" s="18" t="s">
        <v>1419</v>
      </c>
      <c r="N593" s="18" t="s">
        <v>118</v>
      </c>
      <c r="O593" s="20">
        <v>119000</v>
      </c>
      <c r="P593" s="20">
        <v>80920</v>
      </c>
      <c r="Q593" s="20">
        <v>1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32</v>
      </c>
      <c r="X593" s="20">
        <v>0</v>
      </c>
      <c r="Y593" s="20">
        <v>0</v>
      </c>
      <c r="Z593" s="20">
        <v>0</v>
      </c>
      <c r="AA593" s="20">
        <v>0</v>
      </c>
      <c r="AB593" s="20">
        <v>0</v>
      </c>
      <c r="AC593" s="20">
        <v>119000</v>
      </c>
      <c r="AD593" s="20">
        <v>80920</v>
      </c>
      <c r="AE593" s="20">
        <v>0</v>
      </c>
      <c r="AF593" s="20">
        <v>0</v>
      </c>
      <c r="AG593" s="20">
        <v>119000</v>
      </c>
      <c r="AH593" s="20">
        <v>80920</v>
      </c>
      <c r="AI593" s="20">
        <v>34618</v>
      </c>
      <c r="AJ593" s="20">
        <v>3462</v>
      </c>
      <c r="AK593" s="20">
        <v>38080</v>
      </c>
    </row>
    <row r="594" spans="1:37" ht="24" x14ac:dyDescent="0.3">
      <c r="A594" s="18" t="s">
        <v>1662</v>
      </c>
      <c r="B594" s="18" t="s">
        <v>107</v>
      </c>
      <c r="C594" s="19" t="s">
        <v>108</v>
      </c>
      <c r="D594" s="18" t="s">
        <v>1964</v>
      </c>
      <c r="E594" s="19" t="s">
        <v>346</v>
      </c>
      <c r="F594" s="18" t="s">
        <v>110</v>
      </c>
      <c r="G594" s="18" t="s">
        <v>111</v>
      </c>
      <c r="H594" s="19" t="s">
        <v>112</v>
      </c>
      <c r="I594" s="18" t="s">
        <v>113</v>
      </c>
      <c r="J594" s="19" t="s">
        <v>114</v>
      </c>
      <c r="K594" s="19" t="s">
        <v>115</v>
      </c>
      <c r="L594" s="18" t="s">
        <v>116</v>
      </c>
      <c r="M594" s="18" t="s">
        <v>1419</v>
      </c>
      <c r="N594" s="18" t="s">
        <v>118</v>
      </c>
      <c r="O594" s="20">
        <v>119000</v>
      </c>
      <c r="P594" s="20">
        <v>80920</v>
      </c>
      <c r="Q594" s="20">
        <v>1</v>
      </c>
      <c r="R594" s="20">
        <v>0</v>
      </c>
      <c r="S594" s="20">
        <v>0</v>
      </c>
      <c r="T594" s="20">
        <v>0</v>
      </c>
      <c r="U594" s="20">
        <v>0</v>
      </c>
      <c r="V594" s="20">
        <v>0</v>
      </c>
      <c r="W594" s="20">
        <v>32</v>
      </c>
      <c r="X594" s="20">
        <v>0</v>
      </c>
      <c r="Y594" s="20">
        <v>0</v>
      </c>
      <c r="Z594" s="20">
        <v>0</v>
      </c>
      <c r="AA594" s="20">
        <v>0</v>
      </c>
      <c r="AB594" s="20">
        <v>0</v>
      </c>
      <c r="AC594" s="20">
        <v>119000</v>
      </c>
      <c r="AD594" s="20">
        <v>80920</v>
      </c>
      <c r="AE594" s="20">
        <v>0</v>
      </c>
      <c r="AF594" s="20">
        <v>0</v>
      </c>
      <c r="AG594" s="20">
        <v>119000</v>
      </c>
      <c r="AH594" s="20">
        <v>80920</v>
      </c>
      <c r="AI594" s="20">
        <v>34618</v>
      </c>
      <c r="AJ594" s="20">
        <v>3462</v>
      </c>
      <c r="AK594" s="20">
        <v>38080</v>
      </c>
    </row>
    <row r="595" spans="1:37" ht="24" x14ac:dyDescent="0.3">
      <c r="A595" s="18" t="s">
        <v>1665</v>
      </c>
      <c r="B595" s="18" t="s">
        <v>107</v>
      </c>
      <c r="C595" s="19" t="s">
        <v>108</v>
      </c>
      <c r="D595" s="18" t="s">
        <v>1965</v>
      </c>
      <c r="E595" s="19" t="s">
        <v>325</v>
      </c>
      <c r="F595" s="18" t="s">
        <v>110</v>
      </c>
      <c r="G595" s="18" t="s">
        <v>111</v>
      </c>
      <c r="H595" s="19" t="s">
        <v>112</v>
      </c>
      <c r="I595" s="18" t="s">
        <v>113</v>
      </c>
      <c r="J595" s="19" t="s">
        <v>114</v>
      </c>
      <c r="K595" s="19" t="s">
        <v>115</v>
      </c>
      <c r="L595" s="18" t="s">
        <v>116</v>
      </c>
      <c r="M595" s="18" t="s">
        <v>1419</v>
      </c>
      <c r="N595" s="18" t="s">
        <v>118</v>
      </c>
      <c r="O595" s="20">
        <v>119000</v>
      </c>
      <c r="P595" s="20">
        <v>80920</v>
      </c>
      <c r="Q595" s="20">
        <v>1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32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119000</v>
      </c>
      <c r="AD595" s="20">
        <v>80920</v>
      </c>
      <c r="AE595" s="20">
        <v>0</v>
      </c>
      <c r="AF595" s="20">
        <v>0</v>
      </c>
      <c r="AG595" s="20">
        <v>119000</v>
      </c>
      <c r="AH595" s="20">
        <v>80920</v>
      </c>
      <c r="AI595" s="20">
        <v>34618</v>
      </c>
      <c r="AJ595" s="20">
        <v>3462</v>
      </c>
      <c r="AK595" s="20">
        <v>38080</v>
      </c>
    </row>
    <row r="596" spans="1:37" ht="24" x14ac:dyDescent="0.3">
      <c r="A596" s="18" t="s">
        <v>1966</v>
      </c>
      <c r="B596" s="18" t="s">
        <v>107</v>
      </c>
      <c r="C596" s="19" t="s">
        <v>108</v>
      </c>
      <c r="D596" s="18" t="s">
        <v>1967</v>
      </c>
      <c r="E596" s="19" t="s">
        <v>169</v>
      </c>
      <c r="F596" s="18" t="s">
        <v>110</v>
      </c>
      <c r="G596" s="18" t="s">
        <v>111</v>
      </c>
      <c r="H596" s="19" t="s">
        <v>112</v>
      </c>
      <c r="I596" s="18" t="s">
        <v>113</v>
      </c>
      <c r="J596" s="19" t="s">
        <v>114</v>
      </c>
      <c r="K596" s="19" t="s">
        <v>115</v>
      </c>
      <c r="L596" s="18" t="s">
        <v>116</v>
      </c>
      <c r="M596" s="18" t="s">
        <v>1419</v>
      </c>
      <c r="N596" s="18" t="s">
        <v>118</v>
      </c>
      <c r="O596" s="20">
        <v>119000</v>
      </c>
      <c r="P596" s="20">
        <v>80920</v>
      </c>
      <c r="Q596" s="20">
        <v>1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32</v>
      </c>
      <c r="X596" s="20">
        <v>0</v>
      </c>
      <c r="Y596" s="20">
        <v>0</v>
      </c>
      <c r="Z596" s="20">
        <v>0</v>
      </c>
      <c r="AA596" s="20">
        <v>0</v>
      </c>
      <c r="AB596" s="20">
        <v>0</v>
      </c>
      <c r="AC596" s="20">
        <v>119000</v>
      </c>
      <c r="AD596" s="20">
        <v>80920</v>
      </c>
      <c r="AE596" s="20">
        <v>0</v>
      </c>
      <c r="AF596" s="20">
        <v>0</v>
      </c>
      <c r="AG596" s="20">
        <v>119000</v>
      </c>
      <c r="AH596" s="20">
        <v>80920</v>
      </c>
      <c r="AI596" s="20">
        <v>34618</v>
      </c>
      <c r="AJ596" s="20">
        <v>3462</v>
      </c>
      <c r="AK596" s="20">
        <v>38080</v>
      </c>
    </row>
    <row r="597" spans="1:37" ht="24" x14ac:dyDescent="0.3">
      <c r="A597" s="18" t="s">
        <v>1968</v>
      </c>
      <c r="B597" s="18" t="s">
        <v>107</v>
      </c>
      <c r="C597" s="19" t="s">
        <v>108</v>
      </c>
      <c r="D597" s="18" t="s">
        <v>1969</v>
      </c>
      <c r="E597" s="19" t="s">
        <v>1970</v>
      </c>
      <c r="F597" s="18" t="s">
        <v>110</v>
      </c>
      <c r="G597" s="18" t="s">
        <v>111</v>
      </c>
      <c r="H597" s="19" t="s">
        <v>112</v>
      </c>
      <c r="I597" s="18" t="s">
        <v>113</v>
      </c>
      <c r="J597" s="19" t="s">
        <v>114</v>
      </c>
      <c r="K597" s="19" t="s">
        <v>115</v>
      </c>
      <c r="L597" s="18" t="s">
        <v>116</v>
      </c>
      <c r="M597" s="18" t="s">
        <v>1419</v>
      </c>
      <c r="N597" s="18" t="s">
        <v>118</v>
      </c>
      <c r="O597" s="20">
        <v>119000</v>
      </c>
      <c r="P597" s="20">
        <v>80920</v>
      </c>
      <c r="Q597" s="20">
        <v>1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32</v>
      </c>
      <c r="X597" s="20">
        <v>0</v>
      </c>
      <c r="Y597" s="20">
        <v>10000</v>
      </c>
      <c r="Z597" s="20">
        <v>0</v>
      </c>
      <c r="AA597" s="20">
        <v>0</v>
      </c>
      <c r="AB597" s="20">
        <v>0</v>
      </c>
      <c r="AC597" s="20">
        <v>119000</v>
      </c>
      <c r="AD597" s="20">
        <v>80920</v>
      </c>
      <c r="AE597" s="20">
        <v>0</v>
      </c>
      <c r="AF597" s="20">
        <v>10000</v>
      </c>
      <c r="AG597" s="20">
        <v>109000</v>
      </c>
      <c r="AH597" s="20">
        <v>80920</v>
      </c>
      <c r="AI597" s="20">
        <v>25527</v>
      </c>
      <c r="AJ597" s="20">
        <v>2553</v>
      </c>
      <c r="AK597" s="20">
        <v>28080</v>
      </c>
    </row>
    <row r="598" spans="1:37" ht="24" x14ac:dyDescent="0.3">
      <c r="A598" s="18" t="s">
        <v>1971</v>
      </c>
      <c r="B598" s="18" t="s">
        <v>107</v>
      </c>
      <c r="C598" s="19" t="s">
        <v>108</v>
      </c>
      <c r="D598" s="18" t="s">
        <v>1972</v>
      </c>
      <c r="E598" s="19" t="s">
        <v>1973</v>
      </c>
      <c r="F598" s="18" t="s">
        <v>110</v>
      </c>
      <c r="G598" s="18" t="s">
        <v>111</v>
      </c>
      <c r="H598" s="19" t="s">
        <v>112</v>
      </c>
      <c r="I598" s="18" t="s">
        <v>113</v>
      </c>
      <c r="J598" s="19" t="s">
        <v>114</v>
      </c>
      <c r="K598" s="19" t="s">
        <v>115</v>
      </c>
      <c r="L598" s="18" t="s">
        <v>116</v>
      </c>
      <c r="M598" s="18" t="s">
        <v>1419</v>
      </c>
      <c r="N598" s="18" t="s">
        <v>118</v>
      </c>
      <c r="O598" s="20">
        <v>119000</v>
      </c>
      <c r="P598" s="20">
        <v>80920</v>
      </c>
      <c r="Q598" s="20">
        <v>1</v>
      </c>
      <c r="R598" s="20">
        <v>0</v>
      </c>
      <c r="S598" s="20">
        <v>0</v>
      </c>
      <c r="T598" s="20">
        <v>0</v>
      </c>
      <c r="U598" s="20">
        <v>0</v>
      </c>
      <c r="V598" s="20">
        <v>0</v>
      </c>
      <c r="W598" s="20">
        <v>32</v>
      </c>
      <c r="X598" s="20">
        <v>0</v>
      </c>
      <c r="Y598" s="20">
        <v>0</v>
      </c>
      <c r="Z598" s="20">
        <v>0</v>
      </c>
      <c r="AA598" s="20">
        <v>0</v>
      </c>
      <c r="AB598" s="20">
        <v>5950</v>
      </c>
      <c r="AC598" s="20">
        <v>119000</v>
      </c>
      <c r="AD598" s="20">
        <v>80920</v>
      </c>
      <c r="AE598" s="20">
        <v>0</v>
      </c>
      <c r="AF598" s="20">
        <v>5950</v>
      </c>
      <c r="AG598" s="20">
        <v>113050</v>
      </c>
      <c r="AH598" s="20">
        <v>80920</v>
      </c>
      <c r="AI598" s="20">
        <v>29209</v>
      </c>
      <c r="AJ598" s="20">
        <v>2921</v>
      </c>
      <c r="AK598" s="20">
        <v>32130</v>
      </c>
    </row>
    <row r="599" spans="1:37" ht="24" x14ac:dyDescent="0.3">
      <c r="A599" s="18" t="s">
        <v>1974</v>
      </c>
      <c r="B599" s="18" t="s">
        <v>107</v>
      </c>
      <c r="C599" s="19" t="s">
        <v>108</v>
      </c>
      <c r="D599" s="18" t="s">
        <v>1975</v>
      </c>
      <c r="E599" s="19" t="s">
        <v>1976</v>
      </c>
      <c r="F599" s="18" t="s">
        <v>110</v>
      </c>
      <c r="G599" s="18" t="s">
        <v>111</v>
      </c>
      <c r="H599" s="19" t="s">
        <v>112</v>
      </c>
      <c r="I599" s="18" t="s">
        <v>113</v>
      </c>
      <c r="J599" s="19" t="s">
        <v>114</v>
      </c>
      <c r="K599" s="19" t="s">
        <v>115</v>
      </c>
      <c r="L599" s="18" t="s">
        <v>116</v>
      </c>
      <c r="M599" s="18" t="s">
        <v>1419</v>
      </c>
      <c r="N599" s="18" t="s">
        <v>118</v>
      </c>
      <c r="O599" s="20">
        <v>119000</v>
      </c>
      <c r="P599" s="20">
        <v>80920</v>
      </c>
      <c r="Q599" s="20">
        <v>1</v>
      </c>
      <c r="R599" s="20">
        <v>0</v>
      </c>
      <c r="S599" s="20">
        <v>0</v>
      </c>
      <c r="T599" s="20">
        <v>0</v>
      </c>
      <c r="U599" s="20">
        <v>0</v>
      </c>
      <c r="V599" s="20">
        <v>0</v>
      </c>
      <c r="W599" s="20">
        <v>32</v>
      </c>
      <c r="X599" s="20">
        <v>0</v>
      </c>
      <c r="Y599" s="20">
        <v>0</v>
      </c>
      <c r="Z599" s="20">
        <v>0</v>
      </c>
      <c r="AA599" s="20">
        <v>0</v>
      </c>
      <c r="AB599" s="20">
        <v>0</v>
      </c>
      <c r="AC599" s="20">
        <v>119000</v>
      </c>
      <c r="AD599" s="20">
        <v>80920</v>
      </c>
      <c r="AE599" s="20">
        <v>0</v>
      </c>
      <c r="AF599" s="20">
        <v>0</v>
      </c>
      <c r="AG599" s="20">
        <v>119000</v>
      </c>
      <c r="AH599" s="20">
        <v>80920</v>
      </c>
      <c r="AI599" s="20">
        <v>34618</v>
      </c>
      <c r="AJ599" s="20">
        <v>3462</v>
      </c>
      <c r="AK599" s="20">
        <v>38080</v>
      </c>
    </row>
    <row r="600" spans="1:37" ht="24" x14ac:dyDescent="0.3">
      <c r="A600" s="18" t="s">
        <v>1977</v>
      </c>
      <c r="B600" s="18" t="s">
        <v>107</v>
      </c>
      <c r="C600" s="19" t="s">
        <v>108</v>
      </c>
      <c r="D600" s="18" t="s">
        <v>1978</v>
      </c>
      <c r="E600" s="19" t="s">
        <v>1979</v>
      </c>
      <c r="F600" s="18" t="s">
        <v>110</v>
      </c>
      <c r="G600" s="18" t="s">
        <v>111</v>
      </c>
      <c r="H600" s="19" t="s">
        <v>112</v>
      </c>
      <c r="I600" s="18" t="s">
        <v>113</v>
      </c>
      <c r="J600" s="19" t="s">
        <v>114</v>
      </c>
      <c r="K600" s="19" t="s">
        <v>115</v>
      </c>
      <c r="L600" s="18" t="s">
        <v>116</v>
      </c>
      <c r="M600" s="18" t="s">
        <v>1419</v>
      </c>
      <c r="N600" s="18" t="s">
        <v>118</v>
      </c>
      <c r="O600" s="20">
        <v>119000</v>
      </c>
      <c r="P600" s="20">
        <v>80920</v>
      </c>
      <c r="Q600" s="20">
        <v>1</v>
      </c>
      <c r="R600" s="20">
        <v>0</v>
      </c>
      <c r="S600" s="20">
        <v>0</v>
      </c>
      <c r="T600" s="20">
        <v>0</v>
      </c>
      <c r="U600" s="20">
        <v>0</v>
      </c>
      <c r="V600" s="20">
        <v>0</v>
      </c>
      <c r="W600" s="20">
        <v>32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119000</v>
      </c>
      <c r="AD600" s="20">
        <v>80920</v>
      </c>
      <c r="AE600" s="20">
        <v>0</v>
      </c>
      <c r="AF600" s="20">
        <v>0</v>
      </c>
      <c r="AG600" s="20">
        <v>119000</v>
      </c>
      <c r="AH600" s="20">
        <v>80920</v>
      </c>
      <c r="AI600" s="20">
        <v>34618</v>
      </c>
      <c r="AJ600" s="20">
        <v>3462</v>
      </c>
      <c r="AK600" s="20">
        <v>38080</v>
      </c>
    </row>
    <row r="601" spans="1:37" ht="24" x14ac:dyDescent="0.3">
      <c r="A601" s="18" t="s">
        <v>1980</v>
      </c>
      <c r="B601" s="18" t="s">
        <v>107</v>
      </c>
      <c r="C601" s="19" t="s">
        <v>108</v>
      </c>
      <c r="D601" s="18" t="s">
        <v>1981</v>
      </c>
      <c r="E601" s="19" t="s">
        <v>1982</v>
      </c>
      <c r="F601" s="18" t="s">
        <v>110</v>
      </c>
      <c r="G601" s="18" t="s">
        <v>111</v>
      </c>
      <c r="H601" s="19" t="s">
        <v>112</v>
      </c>
      <c r="I601" s="18" t="s">
        <v>113</v>
      </c>
      <c r="J601" s="19" t="s">
        <v>114</v>
      </c>
      <c r="K601" s="19" t="s">
        <v>115</v>
      </c>
      <c r="L601" s="18" t="s">
        <v>116</v>
      </c>
      <c r="M601" s="18" t="s">
        <v>1419</v>
      </c>
      <c r="N601" s="18" t="s">
        <v>118</v>
      </c>
      <c r="O601" s="20">
        <v>119000</v>
      </c>
      <c r="P601" s="20">
        <v>80920</v>
      </c>
      <c r="Q601" s="20">
        <v>1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32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119000</v>
      </c>
      <c r="AD601" s="20">
        <v>80920</v>
      </c>
      <c r="AE601" s="20">
        <v>0</v>
      </c>
      <c r="AF601" s="20">
        <v>0</v>
      </c>
      <c r="AG601" s="20">
        <v>119000</v>
      </c>
      <c r="AH601" s="20">
        <v>80920</v>
      </c>
      <c r="AI601" s="20">
        <v>34618</v>
      </c>
      <c r="AJ601" s="20">
        <v>3462</v>
      </c>
      <c r="AK601" s="20">
        <v>38080</v>
      </c>
    </row>
    <row r="602" spans="1:37" ht="24" x14ac:dyDescent="0.3">
      <c r="A602" s="18" t="s">
        <v>1983</v>
      </c>
      <c r="B602" s="18" t="s">
        <v>107</v>
      </c>
      <c r="C602" s="19" t="s">
        <v>108</v>
      </c>
      <c r="D602" s="18" t="s">
        <v>1984</v>
      </c>
      <c r="E602" s="19" t="s">
        <v>721</v>
      </c>
      <c r="F602" s="18" t="s">
        <v>110</v>
      </c>
      <c r="G602" s="18" t="s">
        <v>111</v>
      </c>
      <c r="H602" s="19" t="s">
        <v>112</v>
      </c>
      <c r="I602" s="18" t="s">
        <v>113</v>
      </c>
      <c r="J602" s="19" t="s">
        <v>114</v>
      </c>
      <c r="K602" s="19" t="s">
        <v>115</v>
      </c>
      <c r="L602" s="18" t="s">
        <v>116</v>
      </c>
      <c r="M602" s="18" t="s">
        <v>1419</v>
      </c>
      <c r="N602" s="18" t="s">
        <v>118</v>
      </c>
      <c r="O602" s="20">
        <v>119000</v>
      </c>
      <c r="P602" s="20">
        <v>80920</v>
      </c>
      <c r="Q602" s="20">
        <v>1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32</v>
      </c>
      <c r="X602" s="20">
        <v>0</v>
      </c>
      <c r="Y602" s="20">
        <v>0</v>
      </c>
      <c r="Z602" s="20">
        <v>0</v>
      </c>
      <c r="AA602" s="20">
        <v>0</v>
      </c>
      <c r="AB602" s="20">
        <v>0</v>
      </c>
      <c r="AC602" s="20">
        <v>119000</v>
      </c>
      <c r="AD602" s="20">
        <v>80920</v>
      </c>
      <c r="AE602" s="20">
        <v>0</v>
      </c>
      <c r="AF602" s="20">
        <v>0</v>
      </c>
      <c r="AG602" s="20">
        <v>119000</v>
      </c>
      <c r="AH602" s="20">
        <v>80920</v>
      </c>
      <c r="AI602" s="20">
        <v>34618</v>
      </c>
      <c r="AJ602" s="20">
        <v>3462</v>
      </c>
      <c r="AK602" s="20">
        <v>38080</v>
      </c>
    </row>
    <row r="603" spans="1:37" ht="24" x14ac:dyDescent="0.3">
      <c r="A603" s="18" t="s">
        <v>1985</v>
      </c>
      <c r="B603" s="18" t="s">
        <v>107</v>
      </c>
      <c r="C603" s="19" t="s">
        <v>108</v>
      </c>
      <c r="D603" s="18" t="s">
        <v>1986</v>
      </c>
      <c r="E603" s="19" t="s">
        <v>217</v>
      </c>
      <c r="F603" s="18" t="s">
        <v>110</v>
      </c>
      <c r="G603" s="18" t="s">
        <v>111</v>
      </c>
      <c r="H603" s="19" t="s">
        <v>112</v>
      </c>
      <c r="I603" s="18" t="s">
        <v>113</v>
      </c>
      <c r="J603" s="19" t="s">
        <v>114</v>
      </c>
      <c r="K603" s="19" t="s">
        <v>115</v>
      </c>
      <c r="L603" s="18" t="s">
        <v>116</v>
      </c>
      <c r="M603" s="18" t="s">
        <v>1419</v>
      </c>
      <c r="N603" s="18" t="s">
        <v>118</v>
      </c>
      <c r="O603" s="20">
        <v>119000</v>
      </c>
      <c r="P603" s="20">
        <v>80920</v>
      </c>
      <c r="Q603" s="20">
        <v>1</v>
      </c>
      <c r="R603" s="20">
        <v>0</v>
      </c>
      <c r="S603" s="20">
        <v>0</v>
      </c>
      <c r="T603" s="20">
        <v>0</v>
      </c>
      <c r="U603" s="20">
        <v>0</v>
      </c>
      <c r="V603" s="20">
        <v>0</v>
      </c>
      <c r="W603" s="20">
        <v>32</v>
      </c>
      <c r="X603" s="20">
        <v>0</v>
      </c>
      <c r="Y603" s="20">
        <v>0</v>
      </c>
      <c r="Z603" s="20">
        <v>0</v>
      </c>
      <c r="AA603" s="20">
        <v>0</v>
      </c>
      <c r="AB603" s="20">
        <v>0</v>
      </c>
      <c r="AC603" s="20">
        <v>119000</v>
      </c>
      <c r="AD603" s="20">
        <v>80920</v>
      </c>
      <c r="AE603" s="20">
        <v>0</v>
      </c>
      <c r="AF603" s="20">
        <v>0</v>
      </c>
      <c r="AG603" s="20">
        <v>119000</v>
      </c>
      <c r="AH603" s="20">
        <v>80920</v>
      </c>
      <c r="AI603" s="20">
        <v>34618</v>
      </c>
      <c r="AJ603" s="20">
        <v>3462</v>
      </c>
      <c r="AK603" s="20">
        <v>38080</v>
      </c>
    </row>
    <row r="604" spans="1:37" ht="24" x14ac:dyDescent="0.3">
      <c r="A604" s="18" t="s">
        <v>1987</v>
      </c>
      <c r="B604" s="18" t="s">
        <v>107</v>
      </c>
      <c r="C604" s="19" t="s">
        <v>108</v>
      </c>
      <c r="D604" s="18" t="s">
        <v>1988</v>
      </c>
      <c r="E604" s="19" t="s">
        <v>311</v>
      </c>
      <c r="F604" s="18" t="s">
        <v>110</v>
      </c>
      <c r="G604" s="18" t="s">
        <v>111</v>
      </c>
      <c r="H604" s="19" t="s">
        <v>112</v>
      </c>
      <c r="I604" s="18" t="s">
        <v>113</v>
      </c>
      <c r="J604" s="19" t="s">
        <v>114</v>
      </c>
      <c r="K604" s="19" t="s">
        <v>115</v>
      </c>
      <c r="L604" s="18" t="s">
        <v>116</v>
      </c>
      <c r="M604" s="18" t="s">
        <v>1419</v>
      </c>
      <c r="N604" s="18" t="s">
        <v>118</v>
      </c>
      <c r="O604" s="20">
        <v>119000</v>
      </c>
      <c r="P604" s="20">
        <v>80920</v>
      </c>
      <c r="Q604" s="20">
        <v>1</v>
      </c>
      <c r="R604" s="20">
        <v>0</v>
      </c>
      <c r="S604" s="20">
        <v>0</v>
      </c>
      <c r="T604" s="20">
        <v>0</v>
      </c>
      <c r="U604" s="20">
        <v>0</v>
      </c>
      <c r="V604" s="20">
        <v>0</v>
      </c>
      <c r="W604" s="20">
        <v>32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119000</v>
      </c>
      <c r="AD604" s="20">
        <v>80920</v>
      </c>
      <c r="AE604" s="20">
        <v>0</v>
      </c>
      <c r="AF604" s="20">
        <v>0</v>
      </c>
      <c r="AG604" s="20">
        <v>119000</v>
      </c>
      <c r="AH604" s="20">
        <v>80920</v>
      </c>
      <c r="AI604" s="20">
        <v>34618</v>
      </c>
      <c r="AJ604" s="20">
        <v>3462</v>
      </c>
      <c r="AK604" s="20">
        <v>38080</v>
      </c>
    </row>
    <row r="605" spans="1:37" ht="24" x14ac:dyDescent="0.3">
      <c r="A605" s="18" t="s">
        <v>1989</v>
      </c>
      <c r="B605" s="18" t="s">
        <v>107</v>
      </c>
      <c r="C605" s="19" t="s">
        <v>108</v>
      </c>
      <c r="D605" s="18" t="s">
        <v>1990</v>
      </c>
      <c r="E605" s="19" t="s">
        <v>328</v>
      </c>
      <c r="F605" s="18" t="s">
        <v>110</v>
      </c>
      <c r="G605" s="18" t="s">
        <v>111</v>
      </c>
      <c r="H605" s="19" t="s">
        <v>112</v>
      </c>
      <c r="I605" s="18" t="s">
        <v>113</v>
      </c>
      <c r="J605" s="19" t="s">
        <v>114</v>
      </c>
      <c r="K605" s="19" t="s">
        <v>115</v>
      </c>
      <c r="L605" s="18" t="s">
        <v>116</v>
      </c>
      <c r="M605" s="18" t="s">
        <v>1419</v>
      </c>
      <c r="N605" s="18" t="s">
        <v>118</v>
      </c>
      <c r="O605" s="20">
        <v>119000</v>
      </c>
      <c r="P605" s="20">
        <v>80920</v>
      </c>
      <c r="Q605" s="20">
        <v>1</v>
      </c>
      <c r="R605" s="20">
        <v>0</v>
      </c>
      <c r="S605" s="20">
        <v>0</v>
      </c>
      <c r="T605" s="20">
        <v>0</v>
      </c>
      <c r="U605" s="20">
        <v>0</v>
      </c>
      <c r="V605" s="20">
        <v>0</v>
      </c>
      <c r="W605" s="20">
        <v>32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119000</v>
      </c>
      <c r="AD605" s="20">
        <v>80920</v>
      </c>
      <c r="AE605" s="20">
        <v>0</v>
      </c>
      <c r="AF605" s="20">
        <v>0</v>
      </c>
      <c r="AG605" s="20">
        <v>119000</v>
      </c>
      <c r="AH605" s="20">
        <v>80920</v>
      </c>
      <c r="AI605" s="20">
        <v>34618</v>
      </c>
      <c r="AJ605" s="20">
        <v>3462</v>
      </c>
      <c r="AK605" s="20">
        <v>38080</v>
      </c>
    </row>
    <row r="606" spans="1:37" ht="24" x14ac:dyDescent="0.3">
      <c r="A606" s="18" t="s">
        <v>1991</v>
      </c>
      <c r="B606" s="18" t="s">
        <v>107</v>
      </c>
      <c r="C606" s="19" t="s">
        <v>108</v>
      </c>
      <c r="D606" s="18" t="s">
        <v>1992</v>
      </c>
      <c r="E606" s="19" t="s">
        <v>1993</v>
      </c>
      <c r="F606" s="18" t="s">
        <v>110</v>
      </c>
      <c r="G606" s="18" t="s">
        <v>111</v>
      </c>
      <c r="H606" s="19" t="s">
        <v>112</v>
      </c>
      <c r="I606" s="18" t="s">
        <v>113</v>
      </c>
      <c r="J606" s="19" t="s">
        <v>114</v>
      </c>
      <c r="K606" s="19" t="s">
        <v>115</v>
      </c>
      <c r="L606" s="18" t="s">
        <v>116</v>
      </c>
      <c r="M606" s="18" t="s">
        <v>1419</v>
      </c>
      <c r="N606" s="18" t="s">
        <v>118</v>
      </c>
      <c r="O606" s="20">
        <v>119000</v>
      </c>
      <c r="P606" s="20">
        <v>80920</v>
      </c>
      <c r="Q606" s="20">
        <v>1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32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119000</v>
      </c>
      <c r="AD606" s="20">
        <v>80920</v>
      </c>
      <c r="AE606" s="20">
        <v>0</v>
      </c>
      <c r="AF606" s="20">
        <v>0</v>
      </c>
      <c r="AG606" s="20">
        <v>119000</v>
      </c>
      <c r="AH606" s="20">
        <v>80920</v>
      </c>
      <c r="AI606" s="20">
        <v>34618</v>
      </c>
      <c r="AJ606" s="20">
        <v>3462</v>
      </c>
      <c r="AK606" s="20">
        <v>38080</v>
      </c>
    </row>
    <row r="607" spans="1:37" ht="24" x14ac:dyDescent="0.3">
      <c r="A607" s="18" t="s">
        <v>1994</v>
      </c>
      <c r="B607" s="18" t="s">
        <v>107</v>
      </c>
      <c r="C607" s="19" t="s">
        <v>108</v>
      </c>
      <c r="D607" s="18" t="s">
        <v>1995</v>
      </c>
      <c r="E607" s="19" t="s">
        <v>1996</v>
      </c>
      <c r="F607" s="18" t="s">
        <v>110</v>
      </c>
      <c r="G607" s="18" t="s">
        <v>111</v>
      </c>
      <c r="H607" s="19" t="s">
        <v>112</v>
      </c>
      <c r="I607" s="18" t="s">
        <v>113</v>
      </c>
      <c r="J607" s="19" t="s">
        <v>114</v>
      </c>
      <c r="K607" s="19" t="s">
        <v>115</v>
      </c>
      <c r="L607" s="18" t="s">
        <v>116</v>
      </c>
      <c r="M607" s="18" t="s">
        <v>1419</v>
      </c>
      <c r="N607" s="18" t="s">
        <v>118</v>
      </c>
      <c r="O607" s="20">
        <v>119000</v>
      </c>
      <c r="P607" s="20">
        <v>80920</v>
      </c>
      <c r="Q607" s="20">
        <v>1</v>
      </c>
      <c r="R607" s="20">
        <v>0</v>
      </c>
      <c r="S607" s="20">
        <v>0</v>
      </c>
      <c r="T607" s="20">
        <v>0</v>
      </c>
      <c r="U607" s="20">
        <v>0</v>
      </c>
      <c r="V607" s="20">
        <v>0</v>
      </c>
      <c r="W607" s="20">
        <v>32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20">
        <v>119000</v>
      </c>
      <c r="AD607" s="20">
        <v>80920</v>
      </c>
      <c r="AE607" s="20">
        <v>0</v>
      </c>
      <c r="AF607" s="20">
        <v>0</v>
      </c>
      <c r="AG607" s="20">
        <v>119000</v>
      </c>
      <c r="AH607" s="20">
        <v>80920</v>
      </c>
      <c r="AI607" s="20">
        <v>34618</v>
      </c>
      <c r="AJ607" s="20">
        <v>3462</v>
      </c>
      <c r="AK607" s="20">
        <v>38080</v>
      </c>
    </row>
    <row r="608" spans="1:37" ht="24" x14ac:dyDescent="0.3">
      <c r="A608" s="18" t="s">
        <v>1997</v>
      </c>
      <c r="B608" s="18" t="s">
        <v>107</v>
      </c>
      <c r="C608" s="19" t="s">
        <v>108</v>
      </c>
      <c r="D608" s="18" t="s">
        <v>1998</v>
      </c>
      <c r="E608" s="19" t="s">
        <v>1999</v>
      </c>
      <c r="F608" s="18" t="s">
        <v>110</v>
      </c>
      <c r="G608" s="18" t="s">
        <v>111</v>
      </c>
      <c r="H608" s="19" t="s">
        <v>112</v>
      </c>
      <c r="I608" s="18" t="s">
        <v>113</v>
      </c>
      <c r="J608" s="19" t="s">
        <v>114</v>
      </c>
      <c r="K608" s="19" t="s">
        <v>115</v>
      </c>
      <c r="L608" s="18" t="s">
        <v>116</v>
      </c>
      <c r="M608" s="18" t="s">
        <v>1419</v>
      </c>
      <c r="N608" s="18" t="s">
        <v>118</v>
      </c>
      <c r="O608" s="20">
        <v>119000</v>
      </c>
      <c r="P608" s="20">
        <v>80920</v>
      </c>
      <c r="Q608" s="20">
        <v>1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32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119000</v>
      </c>
      <c r="AD608" s="20">
        <v>80920</v>
      </c>
      <c r="AE608" s="20">
        <v>0</v>
      </c>
      <c r="AF608" s="20">
        <v>0</v>
      </c>
      <c r="AG608" s="20">
        <v>119000</v>
      </c>
      <c r="AH608" s="20">
        <v>80920</v>
      </c>
      <c r="AI608" s="20">
        <v>34618</v>
      </c>
      <c r="AJ608" s="20">
        <v>3462</v>
      </c>
      <c r="AK608" s="20">
        <v>38080</v>
      </c>
    </row>
    <row r="609" spans="1:37" ht="24" x14ac:dyDescent="0.3">
      <c r="A609" s="18" t="s">
        <v>2000</v>
      </c>
      <c r="B609" s="18" t="s">
        <v>107</v>
      </c>
      <c r="C609" s="19" t="s">
        <v>108</v>
      </c>
      <c r="D609" s="18" t="s">
        <v>2001</v>
      </c>
      <c r="E609" s="19" t="s">
        <v>232</v>
      </c>
      <c r="F609" s="18" t="s">
        <v>110</v>
      </c>
      <c r="G609" s="18" t="s">
        <v>111</v>
      </c>
      <c r="H609" s="19" t="s">
        <v>112</v>
      </c>
      <c r="I609" s="18" t="s">
        <v>113</v>
      </c>
      <c r="J609" s="19" t="s">
        <v>114</v>
      </c>
      <c r="K609" s="19" t="s">
        <v>115</v>
      </c>
      <c r="L609" s="18" t="s">
        <v>116</v>
      </c>
      <c r="M609" s="18" t="s">
        <v>1419</v>
      </c>
      <c r="N609" s="18" t="s">
        <v>118</v>
      </c>
      <c r="O609" s="20">
        <v>119000</v>
      </c>
      <c r="P609" s="20">
        <v>80920</v>
      </c>
      <c r="Q609" s="20">
        <v>1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32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119000</v>
      </c>
      <c r="AD609" s="20">
        <v>80920</v>
      </c>
      <c r="AE609" s="20">
        <v>0</v>
      </c>
      <c r="AF609" s="20">
        <v>0</v>
      </c>
      <c r="AG609" s="20">
        <v>119000</v>
      </c>
      <c r="AH609" s="20">
        <v>80920</v>
      </c>
      <c r="AI609" s="20">
        <v>34618</v>
      </c>
      <c r="AJ609" s="20">
        <v>3462</v>
      </c>
      <c r="AK609" s="20">
        <v>38080</v>
      </c>
    </row>
    <row r="610" spans="1:37" ht="24" x14ac:dyDescent="0.3">
      <c r="A610" s="18" t="s">
        <v>2002</v>
      </c>
      <c r="B610" s="18" t="s">
        <v>107</v>
      </c>
      <c r="C610" s="19" t="s">
        <v>108</v>
      </c>
      <c r="D610" s="18" t="s">
        <v>2003</v>
      </c>
      <c r="E610" s="19" t="s">
        <v>401</v>
      </c>
      <c r="F610" s="18" t="s">
        <v>110</v>
      </c>
      <c r="G610" s="18" t="s">
        <v>111</v>
      </c>
      <c r="H610" s="19" t="s">
        <v>112</v>
      </c>
      <c r="I610" s="18" t="s">
        <v>113</v>
      </c>
      <c r="J610" s="19" t="s">
        <v>114</v>
      </c>
      <c r="K610" s="19" t="s">
        <v>115</v>
      </c>
      <c r="L610" s="18" t="s">
        <v>116</v>
      </c>
      <c r="M610" s="18" t="s">
        <v>1419</v>
      </c>
      <c r="N610" s="18" t="s">
        <v>118</v>
      </c>
      <c r="O610" s="20">
        <v>119000</v>
      </c>
      <c r="P610" s="20">
        <v>80920</v>
      </c>
      <c r="Q610" s="20">
        <v>1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32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119000</v>
      </c>
      <c r="AD610" s="20">
        <v>80920</v>
      </c>
      <c r="AE610" s="20">
        <v>0</v>
      </c>
      <c r="AF610" s="20">
        <v>0</v>
      </c>
      <c r="AG610" s="20">
        <v>119000</v>
      </c>
      <c r="AH610" s="20">
        <v>80920</v>
      </c>
      <c r="AI610" s="20">
        <v>34618</v>
      </c>
      <c r="AJ610" s="20">
        <v>3462</v>
      </c>
      <c r="AK610" s="20">
        <v>38080</v>
      </c>
    </row>
    <row r="611" spans="1:37" ht="24" x14ac:dyDescent="0.3">
      <c r="A611" s="18" t="s">
        <v>2004</v>
      </c>
      <c r="B611" s="18" t="s">
        <v>107</v>
      </c>
      <c r="C611" s="19" t="s">
        <v>108</v>
      </c>
      <c r="D611" s="18" t="s">
        <v>2005</v>
      </c>
      <c r="E611" s="19" t="s">
        <v>2006</v>
      </c>
      <c r="F611" s="18" t="s">
        <v>110</v>
      </c>
      <c r="G611" s="18" t="s">
        <v>111</v>
      </c>
      <c r="H611" s="19" t="s">
        <v>112</v>
      </c>
      <c r="I611" s="18" t="s">
        <v>113</v>
      </c>
      <c r="J611" s="19" t="s">
        <v>114</v>
      </c>
      <c r="K611" s="19" t="s">
        <v>115</v>
      </c>
      <c r="L611" s="18" t="s">
        <v>116</v>
      </c>
      <c r="M611" s="18" t="s">
        <v>1419</v>
      </c>
      <c r="N611" s="18" t="s">
        <v>118</v>
      </c>
      <c r="O611" s="20">
        <v>119000</v>
      </c>
      <c r="P611" s="20">
        <v>80920</v>
      </c>
      <c r="Q611" s="20">
        <v>1</v>
      </c>
      <c r="R611" s="20">
        <v>0</v>
      </c>
      <c r="S611" s="20">
        <v>0</v>
      </c>
      <c r="T611" s="20">
        <v>0</v>
      </c>
      <c r="U611" s="20">
        <v>0</v>
      </c>
      <c r="V611" s="20">
        <v>0</v>
      </c>
      <c r="W611" s="20">
        <v>32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20">
        <v>119000</v>
      </c>
      <c r="AD611" s="20">
        <v>80920</v>
      </c>
      <c r="AE611" s="20">
        <v>0</v>
      </c>
      <c r="AF611" s="20">
        <v>0</v>
      </c>
      <c r="AG611" s="20">
        <v>119000</v>
      </c>
      <c r="AH611" s="20">
        <v>80920</v>
      </c>
      <c r="AI611" s="20">
        <v>34618</v>
      </c>
      <c r="AJ611" s="20">
        <v>3462</v>
      </c>
      <c r="AK611" s="20">
        <v>38080</v>
      </c>
    </row>
    <row r="612" spans="1:37" ht="24" x14ac:dyDescent="0.3">
      <c r="A612" s="18" t="s">
        <v>2007</v>
      </c>
      <c r="B612" s="18" t="s">
        <v>107</v>
      </c>
      <c r="C612" s="19" t="s">
        <v>108</v>
      </c>
      <c r="D612" s="18" t="s">
        <v>2008</v>
      </c>
      <c r="E612" s="19" t="s">
        <v>169</v>
      </c>
      <c r="F612" s="18" t="s">
        <v>110</v>
      </c>
      <c r="G612" s="18" t="s">
        <v>111</v>
      </c>
      <c r="H612" s="19" t="s">
        <v>112</v>
      </c>
      <c r="I612" s="18" t="s">
        <v>113</v>
      </c>
      <c r="J612" s="19" t="s">
        <v>114</v>
      </c>
      <c r="K612" s="19" t="s">
        <v>115</v>
      </c>
      <c r="L612" s="18" t="s">
        <v>116</v>
      </c>
      <c r="M612" s="18" t="s">
        <v>1419</v>
      </c>
      <c r="N612" s="18" t="s">
        <v>118</v>
      </c>
      <c r="O612" s="20">
        <v>119000</v>
      </c>
      <c r="P612" s="20">
        <v>80920</v>
      </c>
      <c r="Q612" s="20">
        <v>1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32</v>
      </c>
      <c r="X612" s="20">
        <v>0</v>
      </c>
      <c r="Y612" s="20">
        <v>0</v>
      </c>
      <c r="Z612" s="20">
        <v>0</v>
      </c>
      <c r="AA612" s="20">
        <v>0</v>
      </c>
      <c r="AB612" s="20">
        <v>5950</v>
      </c>
      <c r="AC612" s="20">
        <v>119000</v>
      </c>
      <c r="AD612" s="20">
        <v>80920</v>
      </c>
      <c r="AE612" s="20">
        <v>0</v>
      </c>
      <c r="AF612" s="20">
        <v>5950</v>
      </c>
      <c r="AG612" s="20">
        <v>113050</v>
      </c>
      <c r="AH612" s="20">
        <v>80920</v>
      </c>
      <c r="AI612" s="20">
        <v>29209</v>
      </c>
      <c r="AJ612" s="20">
        <v>2921</v>
      </c>
      <c r="AK612" s="20">
        <v>32130</v>
      </c>
    </row>
    <row r="613" spans="1:37" ht="24" x14ac:dyDescent="0.3">
      <c r="A613" s="18" t="s">
        <v>2009</v>
      </c>
      <c r="B613" s="18" t="s">
        <v>107</v>
      </c>
      <c r="C613" s="19" t="s">
        <v>108</v>
      </c>
      <c r="D613" s="18" t="s">
        <v>2010</v>
      </c>
      <c r="E613" s="19" t="s">
        <v>2011</v>
      </c>
      <c r="F613" s="18" t="s">
        <v>110</v>
      </c>
      <c r="G613" s="18" t="s">
        <v>111</v>
      </c>
      <c r="H613" s="19" t="s">
        <v>112</v>
      </c>
      <c r="I613" s="18" t="s">
        <v>113</v>
      </c>
      <c r="J613" s="19" t="s">
        <v>114</v>
      </c>
      <c r="K613" s="19" t="s">
        <v>123</v>
      </c>
      <c r="L613" s="18" t="s">
        <v>116</v>
      </c>
      <c r="M613" s="18" t="s">
        <v>1419</v>
      </c>
      <c r="N613" s="18" t="s">
        <v>118</v>
      </c>
      <c r="O613" s="20">
        <v>119000</v>
      </c>
      <c r="P613" s="20">
        <v>80920</v>
      </c>
      <c r="Q613" s="20">
        <v>1</v>
      </c>
      <c r="R613" s="20">
        <v>0</v>
      </c>
      <c r="S613" s="20">
        <v>0</v>
      </c>
      <c r="T613" s="20">
        <v>0</v>
      </c>
      <c r="U613" s="20">
        <v>0</v>
      </c>
      <c r="V613" s="20">
        <v>0</v>
      </c>
      <c r="W613" s="20">
        <v>32</v>
      </c>
      <c r="X613" s="20">
        <v>0</v>
      </c>
      <c r="Y613" s="20">
        <v>5950</v>
      </c>
      <c r="Z613" s="20">
        <v>0</v>
      </c>
      <c r="AA613" s="20">
        <v>0</v>
      </c>
      <c r="AB613" s="20">
        <v>0</v>
      </c>
      <c r="AC613" s="20">
        <v>119000</v>
      </c>
      <c r="AD613" s="20">
        <v>80920</v>
      </c>
      <c r="AE613" s="20">
        <v>0</v>
      </c>
      <c r="AF613" s="20">
        <v>5950</v>
      </c>
      <c r="AG613" s="20">
        <v>113050</v>
      </c>
      <c r="AH613" s="20">
        <v>80920</v>
      </c>
      <c r="AI613" s="20">
        <v>29209</v>
      </c>
      <c r="AJ613" s="20">
        <v>2921</v>
      </c>
      <c r="AK613" s="20">
        <v>32130</v>
      </c>
    </row>
    <row r="614" spans="1:37" ht="24" x14ac:dyDescent="0.3">
      <c r="A614" s="18" t="s">
        <v>2012</v>
      </c>
      <c r="B614" s="18" t="s">
        <v>107</v>
      </c>
      <c r="C614" s="19" t="s">
        <v>108</v>
      </c>
      <c r="D614" s="18" t="s">
        <v>2013</v>
      </c>
      <c r="E614" s="19" t="s">
        <v>1952</v>
      </c>
      <c r="F614" s="18" t="s">
        <v>110</v>
      </c>
      <c r="G614" s="18" t="s">
        <v>111</v>
      </c>
      <c r="H614" s="19" t="s">
        <v>112</v>
      </c>
      <c r="I614" s="18" t="s">
        <v>113</v>
      </c>
      <c r="J614" s="19" t="s">
        <v>114</v>
      </c>
      <c r="K614" s="19" t="s">
        <v>151</v>
      </c>
      <c r="L614" s="18" t="s">
        <v>116</v>
      </c>
      <c r="M614" s="18" t="s">
        <v>1419</v>
      </c>
      <c r="N614" s="18" t="s">
        <v>118</v>
      </c>
      <c r="O614" s="20">
        <v>119000</v>
      </c>
      <c r="P614" s="20">
        <v>80920</v>
      </c>
      <c r="Q614" s="20">
        <v>1</v>
      </c>
      <c r="R614" s="20">
        <v>0</v>
      </c>
      <c r="S614" s="20">
        <v>0</v>
      </c>
      <c r="T614" s="20">
        <v>0</v>
      </c>
      <c r="U614" s="20">
        <v>0</v>
      </c>
      <c r="V614" s="20">
        <v>0</v>
      </c>
      <c r="W614" s="20">
        <v>32</v>
      </c>
      <c r="X614" s="20">
        <v>23800</v>
      </c>
      <c r="Y614" s="20">
        <v>0</v>
      </c>
      <c r="Z614" s="20">
        <v>0</v>
      </c>
      <c r="AA614" s="20">
        <v>0</v>
      </c>
      <c r="AB614" s="20">
        <v>0</v>
      </c>
      <c r="AC614" s="20">
        <v>119000</v>
      </c>
      <c r="AD614" s="20">
        <v>80920</v>
      </c>
      <c r="AE614" s="20">
        <v>0</v>
      </c>
      <c r="AF614" s="20">
        <v>23800</v>
      </c>
      <c r="AG614" s="20">
        <v>95200</v>
      </c>
      <c r="AH614" s="20">
        <v>80920</v>
      </c>
      <c r="AI614" s="20">
        <v>12982</v>
      </c>
      <c r="AJ614" s="20">
        <v>1298</v>
      </c>
      <c r="AK614" s="20">
        <v>14280</v>
      </c>
    </row>
    <row r="615" spans="1:37" ht="24" x14ac:dyDescent="0.3">
      <c r="A615" s="18" t="s">
        <v>2014</v>
      </c>
      <c r="B615" s="18" t="s">
        <v>107</v>
      </c>
      <c r="C615" s="19" t="s">
        <v>108</v>
      </c>
      <c r="D615" s="18" t="s">
        <v>2015</v>
      </c>
      <c r="E615" s="19" t="s">
        <v>2016</v>
      </c>
      <c r="F615" s="18" t="s">
        <v>110</v>
      </c>
      <c r="G615" s="18" t="s">
        <v>111</v>
      </c>
      <c r="H615" s="19" t="s">
        <v>112</v>
      </c>
      <c r="I615" s="18" t="s">
        <v>113</v>
      </c>
      <c r="J615" s="19" t="s">
        <v>114</v>
      </c>
      <c r="K615" s="19" t="s">
        <v>115</v>
      </c>
      <c r="L615" s="18" t="s">
        <v>116</v>
      </c>
      <c r="M615" s="18" t="s">
        <v>1419</v>
      </c>
      <c r="N615" s="18" t="s">
        <v>118</v>
      </c>
      <c r="O615" s="20">
        <v>119000</v>
      </c>
      <c r="P615" s="20">
        <v>80920</v>
      </c>
      <c r="Q615" s="20">
        <v>1</v>
      </c>
      <c r="R615" s="20">
        <v>0</v>
      </c>
      <c r="S615" s="20">
        <v>0</v>
      </c>
      <c r="T615" s="20">
        <v>0</v>
      </c>
      <c r="U615" s="20">
        <v>0</v>
      </c>
      <c r="V615" s="20">
        <v>0</v>
      </c>
      <c r="W615" s="20">
        <v>32</v>
      </c>
      <c r="X615" s="20">
        <v>0</v>
      </c>
      <c r="Y615" s="20">
        <v>10000</v>
      </c>
      <c r="Z615" s="20">
        <v>0</v>
      </c>
      <c r="AA615" s="20">
        <v>0</v>
      </c>
      <c r="AB615" s="20">
        <v>0</v>
      </c>
      <c r="AC615" s="20">
        <v>119000</v>
      </c>
      <c r="AD615" s="20">
        <v>80920</v>
      </c>
      <c r="AE615" s="20">
        <v>0</v>
      </c>
      <c r="AF615" s="20">
        <v>10000</v>
      </c>
      <c r="AG615" s="20">
        <v>109000</v>
      </c>
      <c r="AH615" s="20">
        <v>80920</v>
      </c>
      <c r="AI615" s="20">
        <v>25527</v>
      </c>
      <c r="AJ615" s="20">
        <v>2553</v>
      </c>
      <c r="AK615" s="20">
        <v>28080</v>
      </c>
    </row>
    <row r="616" spans="1:37" ht="24" x14ac:dyDescent="0.3">
      <c r="A616" s="18" t="s">
        <v>2017</v>
      </c>
      <c r="B616" s="18" t="s">
        <v>107</v>
      </c>
      <c r="C616" s="19" t="s">
        <v>108</v>
      </c>
      <c r="D616" s="18" t="s">
        <v>2018</v>
      </c>
      <c r="E616" s="19" t="s">
        <v>1444</v>
      </c>
      <c r="F616" s="18" t="s">
        <v>110</v>
      </c>
      <c r="G616" s="18" t="s">
        <v>111</v>
      </c>
      <c r="H616" s="19" t="s">
        <v>112</v>
      </c>
      <c r="I616" s="18" t="s">
        <v>113</v>
      </c>
      <c r="J616" s="19" t="s">
        <v>114</v>
      </c>
      <c r="K616" s="19" t="s">
        <v>115</v>
      </c>
      <c r="L616" s="18" t="s">
        <v>116</v>
      </c>
      <c r="M616" s="18" t="s">
        <v>1419</v>
      </c>
      <c r="N616" s="18" t="s">
        <v>118</v>
      </c>
      <c r="O616" s="20">
        <v>119000</v>
      </c>
      <c r="P616" s="20">
        <v>80920</v>
      </c>
      <c r="Q616" s="20">
        <v>1</v>
      </c>
      <c r="R616" s="20">
        <v>0</v>
      </c>
      <c r="S616" s="20">
        <v>0</v>
      </c>
      <c r="T616" s="20">
        <v>0</v>
      </c>
      <c r="U616" s="20">
        <v>0</v>
      </c>
      <c r="V616" s="20">
        <v>0</v>
      </c>
      <c r="W616" s="20">
        <v>32</v>
      </c>
      <c r="X616" s="20">
        <v>23800</v>
      </c>
      <c r="Y616" s="20">
        <v>0</v>
      </c>
      <c r="Z616" s="20">
        <v>0</v>
      </c>
      <c r="AA616" s="20">
        <v>0</v>
      </c>
      <c r="AB616" s="20">
        <v>0</v>
      </c>
      <c r="AC616" s="20">
        <v>119000</v>
      </c>
      <c r="AD616" s="20">
        <v>80920</v>
      </c>
      <c r="AE616" s="20">
        <v>0</v>
      </c>
      <c r="AF616" s="20">
        <v>23800</v>
      </c>
      <c r="AG616" s="20">
        <v>95200</v>
      </c>
      <c r="AH616" s="20">
        <v>80920</v>
      </c>
      <c r="AI616" s="20">
        <v>12982</v>
      </c>
      <c r="AJ616" s="20">
        <v>1298</v>
      </c>
      <c r="AK616" s="20">
        <v>14280</v>
      </c>
    </row>
    <row r="617" spans="1:37" ht="24" x14ac:dyDescent="0.3">
      <c r="A617" s="18" t="s">
        <v>2019</v>
      </c>
      <c r="B617" s="18" t="s">
        <v>107</v>
      </c>
      <c r="C617" s="19" t="s">
        <v>108</v>
      </c>
      <c r="D617" s="18" t="s">
        <v>2020</v>
      </c>
      <c r="E617" s="19" t="s">
        <v>2021</v>
      </c>
      <c r="F617" s="18" t="s">
        <v>110</v>
      </c>
      <c r="G617" s="18" t="s">
        <v>111</v>
      </c>
      <c r="H617" s="19" t="s">
        <v>112</v>
      </c>
      <c r="I617" s="18" t="s">
        <v>113</v>
      </c>
      <c r="J617" s="19" t="s">
        <v>114</v>
      </c>
      <c r="K617" s="19" t="s">
        <v>123</v>
      </c>
      <c r="L617" s="18" t="s">
        <v>116</v>
      </c>
      <c r="M617" s="18" t="s">
        <v>1419</v>
      </c>
      <c r="N617" s="18" t="s">
        <v>118</v>
      </c>
      <c r="O617" s="20">
        <v>119000</v>
      </c>
      <c r="P617" s="20">
        <v>80920</v>
      </c>
      <c r="Q617" s="20">
        <v>1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32</v>
      </c>
      <c r="X617" s="20">
        <v>0</v>
      </c>
      <c r="Y617" s="20">
        <v>5950</v>
      </c>
      <c r="Z617" s="20">
        <v>0</v>
      </c>
      <c r="AA617" s="20">
        <v>0</v>
      </c>
      <c r="AB617" s="20">
        <v>0</v>
      </c>
      <c r="AC617" s="20">
        <v>119000</v>
      </c>
      <c r="AD617" s="20">
        <v>80920</v>
      </c>
      <c r="AE617" s="20">
        <v>0</v>
      </c>
      <c r="AF617" s="20">
        <v>5950</v>
      </c>
      <c r="AG617" s="20">
        <v>113050</v>
      </c>
      <c r="AH617" s="20">
        <v>80920</v>
      </c>
      <c r="AI617" s="20">
        <v>29209</v>
      </c>
      <c r="AJ617" s="20">
        <v>2921</v>
      </c>
      <c r="AK617" s="20">
        <v>32130</v>
      </c>
    </row>
    <row r="618" spans="1:37" ht="24" x14ac:dyDescent="0.3">
      <c r="A618" s="18" t="s">
        <v>2022</v>
      </c>
      <c r="B618" s="18" t="s">
        <v>107</v>
      </c>
      <c r="C618" s="19" t="s">
        <v>108</v>
      </c>
      <c r="D618" s="18" t="s">
        <v>2023</v>
      </c>
      <c r="E618" s="19" t="s">
        <v>2024</v>
      </c>
      <c r="F618" s="18" t="s">
        <v>110</v>
      </c>
      <c r="G618" s="18" t="s">
        <v>111</v>
      </c>
      <c r="H618" s="19" t="s">
        <v>112</v>
      </c>
      <c r="I618" s="18" t="s">
        <v>113</v>
      </c>
      <c r="J618" s="19" t="s">
        <v>114</v>
      </c>
      <c r="K618" s="19" t="s">
        <v>115</v>
      </c>
      <c r="L618" s="18" t="s">
        <v>116</v>
      </c>
      <c r="M618" s="18" t="s">
        <v>1419</v>
      </c>
      <c r="N618" s="18" t="s">
        <v>118</v>
      </c>
      <c r="O618" s="20">
        <v>119000</v>
      </c>
      <c r="P618" s="20">
        <v>80920</v>
      </c>
      <c r="Q618" s="20">
        <v>1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32</v>
      </c>
      <c r="X618" s="20">
        <v>0</v>
      </c>
      <c r="Y618" s="20">
        <v>0</v>
      </c>
      <c r="Z618" s="20">
        <v>0</v>
      </c>
      <c r="AA618" s="20">
        <v>0</v>
      </c>
      <c r="AB618" s="20">
        <v>0</v>
      </c>
      <c r="AC618" s="20">
        <v>119000</v>
      </c>
      <c r="AD618" s="20">
        <v>80920</v>
      </c>
      <c r="AE618" s="20">
        <v>0</v>
      </c>
      <c r="AF618" s="20">
        <v>0</v>
      </c>
      <c r="AG618" s="20">
        <v>119000</v>
      </c>
      <c r="AH618" s="20">
        <v>80920</v>
      </c>
      <c r="AI618" s="20">
        <v>34618</v>
      </c>
      <c r="AJ618" s="20">
        <v>3462</v>
      </c>
      <c r="AK618" s="20">
        <v>38080</v>
      </c>
    </row>
    <row r="619" spans="1:37" ht="24" x14ac:dyDescent="0.3">
      <c r="A619" s="18" t="s">
        <v>2025</v>
      </c>
      <c r="B619" s="18" t="s">
        <v>107</v>
      </c>
      <c r="C619" s="19" t="s">
        <v>108</v>
      </c>
      <c r="D619" s="18" t="s">
        <v>2026</v>
      </c>
      <c r="E619" s="19" t="s">
        <v>417</v>
      </c>
      <c r="F619" s="18" t="s">
        <v>110</v>
      </c>
      <c r="G619" s="18" t="s">
        <v>111</v>
      </c>
      <c r="H619" s="19" t="s">
        <v>112</v>
      </c>
      <c r="I619" s="18" t="s">
        <v>113</v>
      </c>
      <c r="J619" s="19" t="s">
        <v>114</v>
      </c>
      <c r="K619" s="19" t="s">
        <v>115</v>
      </c>
      <c r="L619" s="18" t="s">
        <v>116</v>
      </c>
      <c r="M619" s="18" t="s">
        <v>1419</v>
      </c>
      <c r="N619" s="18" t="s">
        <v>118</v>
      </c>
      <c r="O619" s="20">
        <v>119000</v>
      </c>
      <c r="P619" s="20">
        <v>80920</v>
      </c>
      <c r="Q619" s="20">
        <v>1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32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20">
        <v>119000</v>
      </c>
      <c r="AD619" s="20">
        <v>80920</v>
      </c>
      <c r="AE619" s="20">
        <v>0</v>
      </c>
      <c r="AF619" s="20">
        <v>0</v>
      </c>
      <c r="AG619" s="20">
        <v>119000</v>
      </c>
      <c r="AH619" s="20">
        <v>80920</v>
      </c>
      <c r="AI619" s="20">
        <v>34618</v>
      </c>
      <c r="AJ619" s="20">
        <v>3462</v>
      </c>
      <c r="AK619" s="20">
        <v>38080</v>
      </c>
    </row>
    <row r="620" spans="1:37" ht="24" x14ac:dyDescent="0.3">
      <c r="A620" s="18" t="s">
        <v>2027</v>
      </c>
      <c r="B620" s="18" t="s">
        <v>107</v>
      </c>
      <c r="C620" s="19" t="s">
        <v>108</v>
      </c>
      <c r="D620" s="18" t="s">
        <v>2028</v>
      </c>
      <c r="E620" s="19" t="s">
        <v>2029</v>
      </c>
      <c r="F620" s="18" t="s">
        <v>110</v>
      </c>
      <c r="G620" s="18" t="s">
        <v>111</v>
      </c>
      <c r="H620" s="19" t="s">
        <v>112</v>
      </c>
      <c r="I620" s="18" t="s">
        <v>113</v>
      </c>
      <c r="J620" s="19" t="s">
        <v>114</v>
      </c>
      <c r="K620" s="19" t="s">
        <v>115</v>
      </c>
      <c r="L620" s="18" t="s">
        <v>116</v>
      </c>
      <c r="M620" s="18" t="s">
        <v>1419</v>
      </c>
      <c r="N620" s="18" t="s">
        <v>118</v>
      </c>
      <c r="O620" s="20">
        <v>119000</v>
      </c>
      <c r="P620" s="20">
        <v>80920</v>
      </c>
      <c r="Q620" s="20">
        <v>1</v>
      </c>
      <c r="R620" s="20">
        <v>0</v>
      </c>
      <c r="S620" s="20">
        <v>0</v>
      </c>
      <c r="T620" s="20">
        <v>0</v>
      </c>
      <c r="U620" s="20">
        <v>0</v>
      </c>
      <c r="V620" s="20">
        <v>0</v>
      </c>
      <c r="W620" s="20">
        <v>32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119000</v>
      </c>
      <c r="AD620" s="20">
        <v>80920</v>
      </c>
      <c r="AE620" s="20">
        <v>0</v>
      </c>
      <c r="AF620" s="20">
        <v>0</v>
      </c>
      <c r="AG620" s="20">
        <v>119000</v>
      </c>
      <c r="AH620" s="20">
        <v>80920</v>
      </c>
      <c r="AI620" s="20">
        <v>34618</v>
      </c>
      <c r="AJ620" s="20">
        <v>3462</v>
      </c>
      <c r="AK620" s="20">
        <v>38080</v>
      </c>
    </row>
    <row r="621" spans="1:37" ht="24" x14ac:dyDescent="0.3">
      <c r="A621" s="18" t="s">
        <v>2030</v>
      </c>
      <c r="B621" s="18" t="s">
        <v>107</v>
      </c>
      <c r="C621" s="19" t="s">
        <v>108</v>
      </c>
      <c r="D621" s="18" t="s">
        <v>2031</v>
      </c>
      <c r="E621" s="19" t="s">
        <v>2032</v>
      </c>
      <c r="F621" s="18" t="s">
        <v>110</v>
      </c>
      <c r="G621" s="18" t="s">
        <v>111</v>
      </c>
      <c r="H621" s="19" t="s">
        <v>112</v>
      </c>
      <c r="I621" s="18" t="s">
        <v>113</v>
      </c>
      <c r="J621" s="19" t="s">
        <v>114</v>
      </c>
      <c r="K621" s="19" t="s">
        <v>115</v>
      </c>
      <c r="L621" s="18" t="s">
        <v>116</v>
      </c>
      <c r="M621" s="18" t="s">
        <v>1419</v>
      </c>
      <c r="N621" s="18" t="s">
        <v>118</v>
      </c>
      <c r="O621" s="20">
        <v>119000</v>
      </c>
      <c r="P621" s="20">
        <v>80920</v>
      </c>
      <c r="Q621" s="20">
        <v>1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32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119000</v>
      </c>
      <c r="AD621" s="20">
        <v>80920</v>
      </c>
      <c r="AE621" s="20">
        <v>0</v>
      </c>
      <c r="AF621" s="20">
        <v>0</v>
      </c>
      <c r="AG621" s="20">
        <v>119000</v>
      </c>
      <c r="AH621" s="20">
        <v>80920</v>
      </c>
      <c r="AI621" s="20">
        <v>34618</v>
      </c>
      <c r="AJ621" s="20">
        <v>3462</v>
      </c>
      <c r="AK621" s="20">
        <v>38080</v>
      </c>
    </row>
    <row r="622" spans="1:37" ht="24" x14ac:dyDescent="0.3">
      <c r="A622" s="18" t="s">
        <v>2033</v>
      </c>
      <c r="B622" s="18" t="s">
        <v>107</v>
      </c>
      <c r="C622" s="19" t="s">
        <v>108</v>
      </c>
      <c r="D622" s="18" t="s">
        <v>2034</v>
      </c>
      <c r="E622" s="19" t="s">
        <v>1069</v>
      </c>
      <c r="F622" s="18" t="s">
        <v>110</v>
      </c>
      <c r="G622" s="18" t="s">
        <v>111</v>
      </c>
      <c r="H622" s="19" t="s">
        <v>112</v>
      </c>
      <c r="I622" s="18" t="s">
        <v>113</v>
      </c>
      <c r="J622" s="19" t="s">
        <v>114</v>
      </c>
      <c r="K622" s="19" t="s">
        <v>151</v>
      </c>
      <c r="L622" s="18" t="s">
        <v>116</v>
      </c>
      <c r="M622" s="18" t="s">
        <v>1419</v>
      </c>
      <c r="N622" s="18" t="s">
        <v>118</v>
      </c>
      <c r="O622" s="20">
        <v>119000</v>
      </c>
      <c r="P622" s="20">
        <v>80920</v>
      </c>
      <c r="Q622" s="20">
        <v>1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32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119000</v>
      </c>
      <c r="AD622" s="20">
        <v>80920</v>
      </c>
      <c r="AE622" s="20">
        <v>0</v>
      </c>
      <c r="AF622" s="20">
        <v>0</v>
      </c>
      <c r="AG622" s="20">
        <v>119000</v>
      </c>
      <c r="AH622" s="20">
        <v>80920</v>
      </c>
      <c r="AI622" s="20">
        <v>34618</v>
      </c>
      <c r="AJ622" s="20">
        <v>3462</v>
      </c>
      <c r="AK622" s="20">
        <v>38080</v>
      </c>
    </row>
    <row r="623" spans="1:37" ht="24" x14ac:dyDescent="0.3">
      <c r="A623" s="18" t="s">
        <v>2035</v>
      </c>
      <c r="B623" s="18" t="s">
        <v>107</v>
      </c>
      <c r="C623" s="19" t="s">
        <v>108</v>
      </c>
      <c r="D623" s="18" t="s">
        <v>2036</v>
      </c>
      <c r="E623" s="19" t="s">
        <v>169</v>
      </c>
      <c r="F623" s="18" t="s">
        <v>110</v>
      </c>
      <c r="G623" s="18" t="s">
        <v>111</v>
      </c>
      <c r="H623" s="19" t="s">
        <v>112</v>
      </c>
      <c r="I623" s="18" t="s">
        <v>113</v>
      </c>
      <c r="J623" s="19" t="s">
        <v>114</v>
      </c>
      <c r="K623" s="19" t="s">
        <v>115</v>
      </c>
      <c r="L623" s="18" t="s">
        <v>116</v>
      </c>
      <c r="M623" s="18" t="s">
        <v>1419</v>
      </c>
      <c r="N623" s="18" t="s">
        <v>118</v>
      </c>
      <c r="O623" s="20">
        <v>119000</v>
      </c>
      <c r="P623" s="20">
        <v>80920</v>
      </c>
      <c r="Q623" s="20">
        <v>1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32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119000</v>
      </c>
      <c r="AD623" s="20">
        <v>80920</v>
      </c>
      <c r="AE623" s="20">
        <v>0</v>
      </c>
      <c r="AF623" s="20">
        <v>0</v>
      </c>
      <c r="AG623" s="20">
        <v>119000</v>
      </c>
      <c r="AH623" s="20">
        <v>80920</v>
      </c>
      <c r="AI623" s="20">
        <v>34618</v>
      </c>
      <c r="AJ623" s="20">
        <v>3462</v>
      </c>
      <c r="AK623" s="20">
        <v>38080</v>
      </c>
    </row>
    <row r="624" spans="1:37" ht="24" x14ac:dyDescent="0.3">
      <c r="A624" s="18" t="s">
        <v>2037</v>
      </c>
      <c r="B624" s="18" t="s">
        <v>107</v>
      </c>
      <c r="C624" s="19" t="s">
        <v>108</v>
      </c>
      <c r="D624" s="18" t="s">
        <v>2038</v>
      </c>
      <c r="E624" s="19" t="s">
        <v>2039</v>
      </c>
      <c r="F624" s="18" t="s">
        <v>110</v>
      </c>
      <c r="G624" s="18" t="s">
        <v>111</v>
      </c>
      <c r="H624" s="19" t="s">
        <v>112</v>
      </c>
      <c r="I624" s="18" t="s">
        <v>113</v>
      </c>
      <c r="J624" s="19" t="s">
        <v>114</v>
      </c>
      <c r="K624" s="19" t="s">
        <v>115</v>
      </c>
      <c r="L624" s="18" t="s">
        <v>116</v>
      </c>
      <c r="M624" s="18" t="s">
        <v>1419</v>
      </c>
      <c r="N624" s="18" t="s">
        <v>118</v>
      </c>
      <c r="O624" s="20">
        <v>119000</v>
      </c>
      <c r="P624" s="20">
        <v>80920</v>
      </c>
      <c r="Q624" s="20">
        <v>1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32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119000</v>
      </c>
      <c r="AD624" s="20">
        <v>80920</v>
      </c>
      <c r="AE624" s="20">
        <v>0</v>
      </c>
      <c r="AF624" s="20">
        <v>0</v>
      </c>
      <c r="AG624" s="20">
        <v>119000</v>
      </c>
      <c r="AH624" s="20">
        <v>80920</v>
      </c>
      <c r="AI624" s="20">
        <v>34618</v>
      </c>
      <c r="AJ624" s="20">
        <v>3462</v>
      </c>
      <c r="AK624" s="20">
        <v>38080</v>
      </c>
    </row>
    <row r="625" spans="1:37" ht="24" x14ac:dyDescent="0.3">
      <c r="A625" s="18" t="s">
        <v>2040</v>
      </c>
      <c r="B625" s="18" t="s">
        <v>107</v>
      </c>
      <c r="C625" s="19" t="s">
        <v>108</v>
      </c>
      <c r="D625" s="18" t="s">
        <v>2041</v>
      </c>
      <c r="E625" s="19" t="s">
        <v>617</v>
      </c>
      <c r="F625" s="18" t="s">
        <v>110</v>
      </c>
      <c r="G625" s="18" t="s">
        <v>111</v>
      </c>
      <c r="H625" s="19" t="s">
        <v>112</v>
      </c>
      <c r="I625" s="18" t="s">
        <v>113</v>
      </c>
      <c r="J625" s="19" t="s">
        <v>114</v>
      </c>
      <c r="K625" s="19" t="s">
        <v>151</v>
      </c>
      <c r="L625" s="18" t="s">
        <v>116</v>
      </c>
      <c r="M625" s="18" t="s">
        <v>1419</v>
      </c>
      <c r="N625" s="18" t="s">
        <v>118</v>
      </c>
      <c r="O625" s="20">
        <v>119000</v>
      </c>
      <c r="P625" s="20">
        <v>80920</v>
      </c>
      <c r="Q625" s="20">
        <v>1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32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119000</v>
      </c>
      <c r="AD625" s="20">
        <v>80920</v>
      </c>
      <c r="AE625" s="20">
        <v>0</v>
      </c>
      <c r="AF625" s="20">
        <v>0</v>
      </c>
      <c r="AG625" s="20">
        <v>119000</v>
      </c>
      <c r="AH625" s="20">
        <v>80920</v>
      </c>
      <c r="AI625" s="20">
        <v>34618</v>
      </c>
      <c r="AJ625" s="20">
        <v>3462</v>
      </c>
      <c r="AK625" s="20">
        <v>38080</v>
      </c>
    </row>
    <row r="626" spans="1:37" ht="24" x14ac:dyDescent="0.3">
      <c r="A626" s="18" t="s">
        <v>2042</v>
      </c>
      <c r="B626" s="18" t="s">
        <v>107</v>
      </c>
      <c r="C626" s="19" t="s">
        <v>108</v>
      </c>
      <c r="D626" s="18" t="s">
        <v>2043</v>
      </c>
      <c r="E626" s="19" t="s">
        <v>2044</v>
      </c>
      <c r="F626" s="18" t="s">
        <v>110</v>
      </c>
      <c r="G626" s="18" t="s">
        <v>111</v>
      </c>
      <c r="H626" s="19" t="s">
        <v>112</v>
      </c>
      <c r="I626" s="18" t="s">
        <v>113</v>
      </c>
      <c r="J626" s="19" t="s">
        <v>114</v>
      </c>
      <c r="K626" s="19" t="s">
        <v>115</v>
      </c>
      <c r="L626" s="18" t="s">
        <v>116</v>
      </c>
      <c r="M626" s="18" t="s">
        <v>1419</v>
      </c>
      <c r="N626" s="18" t="s">
        <v>118</v>
      </c>
      <c r="O626" s="20">
        <v>119000</v>
      </c>
      <c r="P626" s="20">
        <v>80920</v>
      </c>
      <c r="Q626" s="20">
        <v>1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32</v>
      </c>
      <c r="X626" s="20">
        <v>0</v>
      </c>
      <c r="Y626" s="20">
        <v>10000</v>
      </c>
      <c r="Z626" s="20">
        <v>0</v>
      </c>
      <c r="AA626" s="20">
        <v>0</v>
      </c>
      <c r="AB626" s="20">
        <v>0</v>
      </c>
      <c r="AC626" s="20">
        <v>119000</v>
      </c>
      <c r="AD626" s="20">
        <v>80920</v>
      </c>
      <c r="AE626" s="20">
        <v>0</v>
      </c>
      <c r="AF626" s="20">
        <v>10000</v>
      </c>
      <c r="AG626" s="20">
        <v>109000</v>
      </c>
      <c r="AH626" s="20">
        <v>80920</v>
      </c>
      <c r="AI626" s="20">
        <v>25527</v>
      </c>
      <c r="AJ626" s="20">
        <v>2553</v>
      </c>
      <c r="AK626" s="20">
        <v>28080</v>
      </c>
    </row>
    <row r="627" spans="1:37" ht="24" x14ac:dyDescent="0.3">
      <c r="A627" s="18" t="s">
        <v>2045</v>
      </c>
      <c r="B627" s="18" t="s">
        <v>107</v>
      </c>
      <c r="C627" s="19" t="s">
        <v>108</v>
      </c>
      <c r="D627" s="18" t="s">
        <v>2046</v>
      </c>
      <c r="E627" s="19" t="s">
        <v>2044</v>
      </c>
      <c r="F627" s="18" t="s">
        <v>110</v>
      </c>
      <c r="G627" s="18" t="s">
        <v>111</v>
      </c>
      <c r="H627" s="19" t="s">
        <v>112</v>
      </c>
      <c r="I627" s="18" t="s">
        <v>113</v>
      </c>
      <c r="J627" s="19" t="s">
        <v>114</v>
      </c>
      <c r="K627" s="19" t="s">
        <v>115</v>
      </c>
      <c r="L627" s="18" t="s">
        <v>116</v>
      </c>
      <c r="M627" s="18" t="s">
        <v>1419</v>
      </c>
      <c r="N627" s="18" t="s">
        <v>118</v>
      </c>
      <c r="O627" s="20">
        <v>119000</v>
      </c>
      <c r="P627" s="20">
        <v>80920</v>
      </c>
      <c r="Q627" s="20">
        <v>1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32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119000</v>
      </c>
      <c r="AD627" s="20">
        <v>80920</v>
      </c>
      <c r="AE627" s="20">
        <v>0</v>
      </c>
      <c r="AF627" s="20">
        <v>0</v>
      </c>
      <c r="AG627" s="20">
        <v>119000</v>
      </c>
      <c r="AH627" s="20">
        <v>80920</v>
      </c>
      <c r="AI627" s="20">
        <v>34618</v>
      </c>
      <c r="AJ627" s="20">
        <v>3462</v>
      </c>
      <c r="AK627" s="20">
        <v>38080</v>
      </c>
    </row>
    <row r="628" spans="1:37" ht="24" x14ac:dyDescent="0.3">
      <c r="A628" s="18" t="s">
        <v>2047</v>
      </c>
      <c r="B628" s="18" t="s">
        <v>107</v>
      </c>
      <c r="C628" s="19" t="s">
        <v>108</v>
      </c>
      <c r="D628" s="18" t="s">
        <v>2048</v>
      </c>
      <c r="E628" s="19" t="s">
        <v>2049</v>
      </c>
      <c r="F628" s="18" t="s">
        <v>110</v>
      </c>
      <c r="G628" s="18" t="s">
        <v>111</v>
      </c>
      <c r="H628" s="19" t="s">
        <v>112</v>
      </c>
      <c r="I628" s="18" t="s">
        <v>113</v>
      </c>
      <c r="J628" s="19" t="s">
        <v>114</v>
      </c>
      <c r="K628" s="19" t="s">
        <v>115</v>
      </c>
      <c r="L628" s="18" t="s">
        <v>116</v>
      </c>
      <c r="M628" s="18" t="s">
        <v>1419</v>
      </c>
      <c r="N628" s="18" t="s">
        <v>118</v>
      </c>
      <c r="O628" s="20">
        <v>119000</v>
      </c>
      <c r="P628" s="20">
        <v>82110</v>
      </c>
      <c r="Q628" s="20">
        <v>1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31</v>
      </c>
      <c r="X628" s="20">
        <v>0</v>
      </c>
      <c r="Y628" s="20">
        <v>10000</v>
      </c>
      <c r="Z628" s="20">
        <v>0</v>
      </c>
      <c r="AA628" s="20">
        <v>0</v>
      </c>
      <c r="AB628" s="20">
        <v>0</v>
      </c>
      <c r="AC628" s="20">
        <v>119000</v>
      </c>
      <c r="AD628" s="20">
        <v>82110</v>
      </c>
      <c r="AE628" s="20">
        <v>0</v>
      </c>
      <c r="AF628" s="20">
        <v>10000</v>
      </c>
      <c r="AG628" s="20">
        <v>109000</v>
      </c>
      <c r="AH628" s="20">
        <v>82110</v>
      </c>
      <c r="AI628" s="20">
        <v>24445</v>
      </c>
      <c r="AJ628" s="20">
        <v>2445</v>
      </c>
      <c r="AK628" s="20">
        <v>26890</v>
      </c>
    </row>
    <row r="629" spans="1:37" ht="24" x14ac:dyDescent="0.3">
      <c r="A629" s="18" t="s">
        <v>2050</v>
      </c>
      <c r="B629" s="18" t="s">
        <v>107</v>
      </c>
      <c r="C629" s="19" t="s">
        <v>108</v>
      </c>
      <c r="D629" s="18" t="s">
        <v>2051</v>
      </c>
      <c r="E629" s="19" t="s">
        <v>2052</v>
      </c>
      <c r="F629" s="18" t="s">
        <v>110</v>
      </c>
      <c r="G629" s="18" t="s">
        <v>111</v>
      </c>
      <c r="H629" s="19" t="s">
        <v>112</v>
      </c>
      <c r="I629" s="18" t="s">
        <v>113</v>
      </c>
      <c r="J629" s="19" t="s">
        <v>114</v>
      </c>
      <c r="K629" s="19" t="s">
        <v>115</v>
      </c>
      <c r="L629" s="18" t="s">
        <v>116</v>
      </c>
      <c r="M629" s="18" t="s">
        <v>1419</v>
      </c>
      <c r="N629" s="18" t="s">
        <v>118</v>
      </c>
      <c r="O629" s="20">
        <v>119000</v>
      </c>
      <c r="P629" s="20">
        <v>80920</v>
      </c>
      <c r="Q629" s="20">
        <v>1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32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119000</v>
      </c>
      <c r="AD629" s="20">
        <v>80920</v>
      </c>
      <c r="AE629" s="20">
        <v>0</v>
      </c>
      <c r="AF629" s="20">
        <v>0</v>
      </c>
      <c r="AG629" s="20">
        <v>119000</v>
      </c>
      <c r="AH629" s="20">
        <v>80920</v>
      </c>
      <c r="AI629" s="20">
        <v>34618</v>
      </c>
      <c r="AJ629" s="20">
        <v>3462</v>
      </c>
      <c r="AK629" s="20">
        <v>38080</v>
      </c>
    </row>
    <row r="630" spans="1:37" ht="24" x14ac:dyDescent="0.3">
      <c r="A630" s="18" t="s">
        <v>2053</v>
      </c>
      <c r="B630" s="18" t="s">
        <v>107</v>
      </c>
      <c r="C630" s="19" t="s">
        <v>108</v>
      </c>
      <c r="D630" s="18" t="s">
        <v>2054</v>
      </c>
      <c r="E630" s="19" t="s">
        <v>2055</v>
      </c>
      <c r="F630" s="18" t="s">
        <v>110</v>
      </c>
      <c r="G630" s="18" t="s">
        <v>111</v>
      </c>
      <c r="H630" s="19" t="s">
        <v>112</v>
      </c>
      <c r="I630" s="18" t="s">
        <v>113</v>
      </c>
      <c r="J630" s="19" t="s">
        <v>114</v>
      </c>
      <c r="K630" s="19" t="s">
        <v>115</v>
      </c>
      <c r="L630" s="18" t="s">
        <v>116</v>
      </c>
      <c r="M630" s="18" t="s">
        <v>1419</v>
      </c>
      <c r="N630" s="18" t="s">
        <v>118</v>
      </c>
      <c r="O630" s="20">
        <v>119000</v>
      </c>
      <c r="P630" s="20">
        <v>80920</v>
      </c>
      <c r="Q630" s="20">
        <v>1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32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119000</v>
      </c>
      <c r="AD630" s="20">
        <v>80920</v>
      </c>
      <c r="AE630" s="20">
        <v>0</v>
      </c>
      <c r="AF630" s="20">
        <v>0</v>
      </c>
      <c r="AG630" s="20">
        <v>119000</v>
      </c>
      <c r="AH630" s="20">
        <v>80920</v>
      </c>
      <c r="AI630" s="20">
        <v>34618</v>
      </c>
      <c r="AJ630" s="20">
        <v>3462</v>
      </c>
      <c r="AK630" s="20">
        <v>38080</v>
      </c>
    </row>
    <row r="631" spans="1:37" ht="24" x14ac:dyDescent="0.3">
      <c r="A631" s="18" t="s">
        <v>2056</v>
      </c>
      <c r="B631" s="18" t="s">
        <v>107</v>
      </c>
      <c r="C631" s="19" t="s">
        <v>108</v>
      </c>
      <c r="D631" s="18" t="s">
        <v>2057</v>
      </c>
      <c r="E631" s="19" t="s">
        <v>2058</v>
      </c>
      <c r="F631" s="18" t="s">
        <v>110</v>
      </c>
      <c r="G631" s="18" t="s">
        <v>111</v>
      </c>
      <c r="H631" s="19" t="s">
        <v>112</v>
      </c>
      <c r="I631" s="18" t="s">
        <v>113</v>
      </c>
      <c r="J631" s="19" t="s">
        <v>114</v>
      </c>
      <c r="K631" s="19" t="s">
        <v>115</v>
      </c>
      <c r="L631" s="18" t="s">
        <v>116</v>
      </c>
      <c r="M631" s="18" t="s">
        <v>1419</v>
      </c>
      <c r="N631" s="18" t="s">
        <v>118</v>
      </c>
      <c r="O631" s="20">
        <v>119000</v>
      </c>
      <c r="P631" s="20">
        <v>80920</v>
      </c>
      <c r="Q631" s="20">
        <v>1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32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119000</v>
      </c>
      <c r="AD631" s="20">
        <v>80920</v>
      </c>
      <c r="AE631" s="20">
        <v>0</v>
      </c>
      <c r="AF631" s="20">
        <v>0</v>
      </c>
      <c r="AG631" s="20">
        <v>119000</v>
      </c>
      <c r="AH631" s="20">
        <v>80920</v>
      </c>
      <c r="AI631" s="20">
        <v>34618</v>
      </c>
      <c r="AJ631" s="20">
        <v>3462</v>
      </c>
      <c r="AK631" s="20">
        <v>38080</v>
      </c>
    </row>
    <row r="632" spans="1:37" ht="24" x14ac:dyDescent="0.3">
      <c r="A632" s="18" t="s">
        <v>2059</v>
      </c>
      <c r="B632" s="18" t="s">
        <v>107</v>
      </c>
      <c r="C632" s="19" t="s">
        <v>108</v>
      </c>
      <c r="D632" s="18" t="s">
        <v>2060</v>
      </c>
      <c r="E632" s="19" t="s">
        <v>2061</v>
      </c>
      <c r="F632" s="18" t="s">
        <v>110</v>
      </c>
      <c r="G632" s="18" t="s">
        <v>111</v>
      </c>
      <c r="H632" s="19" t="s">
        <v>112</v>
      </c>
      <c r="I632" s="18" t="s">
        <v>113</v>
      </c>
      <c r="J632" s="19" t="s">
        <v>114</v>
      </c>
      <c r="K632" s="19" t="s">
        <v>115</v>
      </c>
      <c r="L632" s="18" t="s">
        <v>116</v>
      </c>
      <c r="M632" s="18" t="s">
        <v>1419</v>
      </c>
      <c r="N632" s="18" t="s">
        <v>118</v>
      </c>
      <c r="O632" s="20">
        <v>119000</v>
      </c>
      <c r="P632" s="20">
        <v>80920</v>
      </c>
      <c r="Q632" s="20">
        <v>1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32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119000</v>
      </c>
      <c r="AD632" s="20">
        <v>80920</v>
      </c>
      <c r="AE632" s="20">
        <v>0</v>
      </c>
      <c r="AF632" s="20">
        <v>0</v>
      </c>
      <c r="AG632" s="20">
        <v>119000</v>
      </c>
      <c r="AH632" s="20">
        <v>80920</v>
      </c>
      <c r="AI632" s="20">
        <v>34618</v>
      </c>
      <c r="AJ632" s="20">
        <v>3462</v>
      </c>
      <c r="AK632" s="20">
        <v>38080</v>
      </c>
    </row>
    <row r="633" spans="1:37" ht="24" x14ac:dyDescent="0.3">
      <c r="A633" s="18" t="s">
        <v>2062</v>
      </c>
      <c r="B633" s="18" t="s">
        <v>107</v>
      </c>
      <c r="C633" s="19" t="s">
        <v>108</v>
      </c>
      <c r="D633" s="18" t="s">
        <v>2063</v>
      </c>
      <c r="E633" s="19" t="s">
        <v>390</v>
      </c>
      <c r="F633" s="18" t="s">
        <v>110</v>
      </c>
      <c r="G633" s="18" t="s">
        <v>111</v>
      </c>
      <c r="H633" s="19" t="s">
        <v>112</v>
      </c>
      <c r="I633" s="18" t="s">
        <v>113</v>
      </c>
      <c r="J633" s="19" t="s">
        <v>114</v>
      </c>
      <c r="K633" s="19" t="s">
        <v>115</v>
      </c>
      <c r="L633" s="18" t="s">
        <v>116</v>
      </c>
      <c r="M633" s="18" t="s">
        <v>1419</v>
      </c>
      <c r="N633" s="18" t="s">
        <v>118</v>
      </c>
      <c r="O633" s="20">
        <v>119000</v>
      </c>
      <c r="P633" s="20">
        <v>80920</v>
      </c>
      <c r="Q633" s="20">
        <v>1</v>
      </c>
      <c r="R633" s="20">
        <v>0</v>
      </c>
      <c r="S633" s="20">
        <v>0</v>
      </c>
      <c r="T633" s="20">
        <v>0</v>
      </c>
      <c r="U633" s="20">
        <v>0</v>
      </c>
      <c r="V633" s="20">
        <v>0</v>
      </c>
      <c r="W633" s="20">
        <v>32</v>
      </c>
      <c r="X633" s="20">
        <v>0</v>
      </c>
      <c r="Y633" s="20">
        <v>0</v>
      </c>
      <c r="Z633" s="20">
        <v>0</v>
      </c>
      <c r="AA633" s="20">
        <v>0</v>
      </c>
      <c r="AB633" s="20">
        <v>0</v>
      </c>
      <c r="AC633" s="20">
        <v>119000</v>
      </c>
      <c r="AD633" s="20">
        <v>80920</v>
      </c>
      <c r="AE633" s="20">
        <v>0</v>
      </c>
      <c r="AF633" s="20">
        <v>0</v>
      </c>
      <c r="AG633" s="20">
        <v>119000</v>
      </c>
      <c r="AH633" s="20">
        <v>80920</v>
      </c>
      <c r="AI633" s="20">
        <v>34618</v>
      </c>
      <c r="AJ633" s="20">
        <v>3462</v>
      </c>
      <c r="AK633" s="20">
        <v>38080</v>
      </c>
    </row>
    <row r="634" spans="1:37" ht="24" x14ac:dyDescent="0.3">
      <c r="A634" s="18" t="s">
        <v>2064</v>
      </c>
      <c r="B634" s="18" t="s">
        <v>107</v>
      </c>
      <c r="C634" s="19" t="s">
        <v>108</v>
      </c>
      <c r="D634" s="18" t="s">
        <v>2065</v>
      </c>
      <c r="E634" s="19" t="s">
        <v>154</v>
      </c>
      <c r="F634" s="18" t="s">
        <v>110</v>
      </c>
      <c r="G634" s="18" t="s">
        <v>111</v>
      </c>
      <c r="H634" s="19" t="s">
        <v>112</v>
      </c>
      <c r="I634" s="18" t="s">
        <v>113</v>
      </c>
      <c r="J634" s="19" t="s">
        <v>114</v>
      </c>
      <c r="K634" s="19" t="s">
        <v>115</v>
      </c>
      <c r="L634" s="18" t="s">
        <v>116</v>
      </c>
      <c r="M634" s="18" t="s">
        <v>1419</v>
      </c>
      <c r="N634" s="18" t="s">
        <v>118</v>
      </c>
      <c r="O634" s="20">
        <v>119000</v>
      </c>
      <c r="P634" s="20">
        <v>80920</v>
      </c>
      <c r="Q634" s="20">
        <v>1</v>
      </c>
      <c r="R634" s="20">
        <v>0</v>
      </c>
      <c r="S634" s="20">
        <v>0</v>
      </c>
      <c r="T634" s="20">
        <v>0</v>
      </c>
      <c r="U634" s="20">
        <v>0</v>
      </c>
      <c r="V634" s="20">
        <v>0</v>
      </c>
      <c r="W634" s="20">
        <v>32</v>
      </c>
      <c r="X634" s="20">
        <v>0</v>
      </c>
      <c r="Y634" s="20">
        <v>0</v>
      </c>
      <c r="Z634" s="20">
        <v>0</v>
      </c>
      <c r="AA634" s="20">
        <v>0</v>
      </c>
      <c r="AB634" s="20">
        <v>0</v>
      </c>
      <c r="AC634" s="20">
        <v>119000</v>
      </c>
      <c r="AD634" s="20">
        <v>80920</v>
      </c>
      <c r="AE634" s="20">
        <v>0</v>
      </c>
      <c r="AF634" s="20">
        <v>0</v>
      </c>
      <c r="AG634" s="20">
        <v>119000</v>
      </c>
      <c r="AH634" s="20">
        <v>80920</v>
      </c>
      <c r="AI634" s="20">
        <v>34618</v>
      </c>
      <c r="AJ634" s="20">
        <v>3462</v>
      </c>
      <c r="AK634" s="20">
        <v>38080</v>
      </c>
    </row>
    <row r="635" spans="1:37" ht="24" x14ac:dyDescent="0.3">
      <c r="A635" s="18" t="s">
        <v>2066</v>
      </c>
      <c r="B635" s="18" t="s">
        <v>107</v>
      </c>
      <c r="C635" s="19" t="s">
        <v>108</v>
      </c>
      <c r="D635" s="18" t="s">
        <v>2067</v>
      </c>
      <c r="E635" s="19" t="s">
        <v>2068</v>
      </c>
      <c r="F635" s="18" t="s">
        <v>110</v>
      </c>
      <c r="G635" s="18" t="s">
        <v>111</v>
      </c>
      <c r="H635" s="19" t="s">
        <v>112</v>
      </c>
      <c r="I635" s="18" t="s">
        <v>113</v>
      </c>
      <c r="J635" s="19" t="s">
        <v>114</v>
      </c>
      <c r="K635" s="19" t="s">
        <v>115</v>
      </c>
      <c r="L635" s="18" t="s">
        <v>116</v>
      </c>
      <c r="M635" s="18" t="s">
        <v>1419</v>
      </c>
      <c r="N635" s="18" t="s">
        <v>118</v>
      </c>
      <c r="O635" s="20">
        <v>119000</v>
      </c>
      <c r="P635" s="20">
        <v>80920</v>
      </c>
      <c r="Q635" s="20">
        <v>1</v>
      </c>
      <c r="R635" s="20">
        <v>0</v>
      </c>
      <c r="S635" s="20">
        <v>0</v>
      </c>
      <c r="T635" s="20">
        <v>0</v>
      </c>
      <c r="U635" s="20">
        <v>0</v>
      </c>
      <c r="V635" s="20">
        <v>0</v>
      </c>
      <c r="W635" s="20">
        <v>32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20">
        <v>119000</v>
      </c>
      <c r="AD635" s="20">
        <v>80920</v>
      </c>
      <c r="AE635" s="20">
        <v>0</v>
      </c>
      <c r="AF635" s="20">
        <v>0</v>
      </c>
      <c r="AG635" s="20">
        <v>119000</v>
      </c>
      <c r="AH635" s="20">
        <v>80920</v>
      </c>
      <c r="AI635" s="20">
        <v>34618</v>
      </c>
      <c r="AJ635" s="20">
        <v>3462</v>
      </c>
      <c r="AK635" s="20">
        <v>38080</v>
      </c>
    </row>
    <row r="636" spans="1:37" ht="24" x14ac:dyDescent="0.3">
      <c r="A636" s="18" t="s">
        <v>2069</v>
      </c>
      <c r="B636" s="18" t="s">
        <v>107</v>
      </c>
      <c r="C636" s="19" t="s">
        <v>108</v>
      </c>
      <c r="D636" s="18" t="s">
        <v>2070</v>
      </c>
      <c r="E636" s="19" t="s">
        <v>1141</v>
      </c>
      <c r="F636" s="18" t="s">
        <v>110</v>
      </c>
      <c r="G636" s="18" t="s">
        <v>111</v>
      </c>
      <c r="H636" s="19" t="s">
        <v>112</v>
      </c>
      <c r="I636" s="18" t="s">
        <v>113</v>
      </c>
      <c r="J636" s="19" t="s">
        <v>114</v>
      </c>
      <c r="K636" s="19" t="s">
        <v>115</v>
      </c>
      <c r="L636" s="18" t="s">
        <v>116</v>
      </c>
      <c r="M636" s="18" t="s">
        <v>1419</v>
      </c>
      <c r="N636" s="18" t="s">
        <v>118</v>
      </c>
      <c r="O636" s="20">
        <v>119000</v>
      </c>
      <c r="P636" s="20">
        <v>80920</v>
      </c>
      <c r="Q636" s="20">
        <v>1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32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119000</v>
      </c>
      <c r="AD636" s="20">
        <v>80920</v>
      </c>
      <c r="AE636" s="20">
        <v>0</v>
      </c>
      <c r="AF636" s="20">
        <v>0</v>
      </c>
      <c r="AG636" s="20">
        <v>119000</v>
      </c>
      <c r="AH636" s="20">
        <v>80920</v>
      </c>
      <c r="AI636" s="20">
        <v>34618</v>
      </c>
      <c r="AJ636" s="20">
        <v>3462</v>
      </c>
      <c r="AK636" s="20">
        <v>38080</v>
      </c>
    </row>
    <row r="637" spans="1:37" ht="24" x14ac:dyDescent="0.3">
      <c r="A637" s="18" t="s">
        <v>2071</v>
      </c>
      <c r="B637" s="18" t="s">
        <v>107</v>
      </c>
      <c r="C637" s="19" t="s">
        <v>108</v>
      </c>
      <c r="D637" s="18" t="s">
        <v>2072</v>
      </c>
      <c r="E637" s="19" t="s">
        <v>1196</v>
      </c>
      <c r="F637" s="18" t="s">
        <v>110</v>
      </c>
      <c r="G637" s="18" t="s">
        <v>111</v>
      </c>
      <c r="H637" s="19" t="s">
        <v>112</v>
      </c>
      <c r="I637" s="18" t="s">
        <v>113</v>
      </c>
      <c r="J637" s="19" t="s">
        <v>114</v>
      </c>
      <c r="K637" s="19" t="s">
        <v>115</v>
      </c>
      <c r="L637" s="18" t="s">
        <v>116</v>
      </c>
      <c r="M637" s="18" t="s">
        <v>1419</v>
      </c>
      <c r="N637" s="18" t="s">
        <v>118</v>
      </c>
      <c r="O637" s="20">
        <v>119000</v>
      </c>
      <c r="P637" s="20">
        <v>80920</v>
      </c>
      <c r="Q637" s="20">
        <v>1</v>
      </c>
      <c r="R637" s="20">
        <v>0</v>
      </c>
      <c r="S637" s="20">
        <v>0</v>
      </c>
      <c r="T637" s="20">
        <v>0</v>
      </c>
      <c r="U637" s="20">
        <v>0</v>
      </c>
      <c r="V637" s="20">
        <v>0</v>
      </c>
      <c r="W637" s="20">
        <v>32</v>
      </c>
      <c r="X637" s="20">
        <v>0</v>
      </c>
      <c r="Y637" s="20">
        <v>0</v>
      </c>
      <c r="Z637" s="20">
        <v>0</v>
      </c>
      <c r="AA637" s="20">
        <v>0</v>
      </c>
      <c r="AB637" s="20">
        <v>0</v>
      </c>
      <c r="AC637" s="20">
        <v>119000</v>
      </c>
      <c r="AD637" s="20">
        <v>80920</v>
      </c>
      <c r="AE637" s="20">
        <v>0</v>
      </c>
      <c r="AF637" s="20">
        <v>0</v>
      </c>
      <c r="AG637" s="20">
        <v>119000</v>
      </c>
      <c r="AH637" s="20">
        <v>80920</v>
      </c>
      <c r="AI637" s="20">
        <v>34618</v>
      </c>
      <c r="AJ637" s="20">
        <v>3462</v>
      </c>
      <c r="AK637" s="20">
        <v>38080</v>
      </c>
    </row>
    <row r="638" spans="1:37" ht="24" x14ac:dyDescent="0.3">
      <c r="A638" s="18" t="s">
        <v>2073</v>
      </c>
      <c r="B638" s="18" t="s">
        <v>107</v>
      </c>
      <c r="C638" s="19" t="s">
        <v>108</v>
      </c>
      <c r="D638" s="18" t="s">
        <v>2074</v>
      </c>
      <c r="E638" s="19" t="s">
        <v>955</v>
      </c>
      <c r="F638" s="18" t="s">
        <v>110</v>
      </c>
      <c r="G638" s="18" t="s">
        <v>111</v>
      </c>
      <c r="H638" s="19" t="s">
        <v>112</v>
      </c>
      <c r="I638" s="18" t="s">
        <v>113</v>
      </c>
      <c r="J638" s="19" t="s">
        <v>114</v>
      </c>
      <c r="K638" s="19" t="s">
        <v>151</v>
      </c>
      <c r="L638" s="18" t="s">
        <v>116</v>
      </c>
      <c r="M638" s="18" t="s">
        <v>1419</v>
      </c>
      <c r="N638" s="18" t="s">
        <v>118</v>
      </c>
      <c r="O638" s="20">
        <v>119000</v>
      </c>
      <c r="P638" s="20">
        <v>80920</v>
      </c>
      <c r="Q638" s="20">
        <v>1</v>
      </c>
      <c r="R638" s="20">
        <v>0</v>
      </c>
      <c r="S638" s="20">
        <v>0</v>
      </c>
      <c r="T638" s="20">
        <v>0</v>
      </c>
      <c r="U638" s="20">
        <v>0</v>
      </c>
      <c r="V638" s="20">
        <v>0</v>
      </c>
      <c r="W638" s="20">
        <v>32</v>
      </c>
      <c r="X638" s="20">
        <v>0</v>
      </c>
      <c r="Y638" s="20">
        <v>0</v>
      </c>
      <c r="Z638" s="20">
        <v>0</v>
      </c>
      <c r="AA638" s="20">
        <v>0</v>
      </c>
      <c r="AB638" s="20">
        <v>0</v>
      </c>
      <c r="AC638" s="20">
        <v>119000</v>
      </c>
      <c r="AD638" s="20">
        <v>80920</v>
      </c>
      <c r="AE638" s="20">
        <v>0</v>
      </c>
      <c r="AF638" s="20">
        <v>0</v>
      </c>
      <c r="AG638" s="20">
        <v>119000</v>
      </c>
      <c r="AH638" s="20">
        <v>80920</v>
      </c>
      <c r="AI638" s="20">
        <v>34618</v>
      </c>
      <c r="AJ638" s="20">
        <v>3462</v>
      </c>
      <c r="AK638" s="20">
        <v>38080</v>
      </c>
    </row>
    <row r="639" spans="1:37" ht="24" x14ac:dyDescent="0.3">
      <c r="A639" s="18" t="s">
        <v>2075</v>
      </c>
      <c r="B639" s="18" t="s">
        <v>107</v>
      </c>
      <c r="C639" s="19" t="s">
        <v>108</v>
      </c>
      <c r="D639" s="18" t="s">
        <v>2076</v>
      </c>
      <c r="E639" s="19" t="s">
        <v>184</v>
      </c>
      <c r="F639" s="18" t="s">
        <v>110</v>
      </c>
      <c r="G639" s="18" t="s">
        <v>111</v>
      </c>
      <c r="H639" s="19" t="s">
        <v>112</v>
      </c>
      <c r="I639" s="18" t="s">
        <v>113</v>
      </c>
      <c r="J639" s="19" t="s">
        <v>114</v>
      </c>
      <c r="K639" s="19" t="s">
        <v>115</v>
      </c>
      <c r="L639" s="18" t="s">
        <v>116</v>
      </c>
      <c r="M639" s="18" t="s">
        <v>1419</v>
      </c>
      <c r="N639" s="18" t="s">
        <v>118</v>
      </c>
      <c r="O639" s="20">
        <v>119000</v>
      </c>
      <c r="P639" s="20">
        <v>80920</v>
      </c>
      <c r="Q639" s="20">
        <v>1</v>
      </c>
      <c r="R639" s="20">
        <v>0</v>
      </c>
      <c r="S639" s="20">
        <v>0</v>
      </c>
      <c r="T639" s="20">
        <v>0</v>
      </c>
      <c r="U639" s="20">
        <v>0</v>
      </c>
      <c r="V639" s="20">
        <v>0</v>
      </c>
      <c r="W639" s="20">
        <v>32</v>
      </c>
      <c r="X639" s="20">
        <v>0</v>
      </c>
      <c r="Y639" s="20">
        <v>0</v>
      </c>
      <c r="Z639" s="20">
        <v>0</v>
      </c>
      <c r="AA639" s="20">
        <v>0</v>
      </c>
      <c r="AB639" s="20">
        <v>0</v>
      </c>
      <c r="AC639" s="20">
        <v>119000</v>
      </c>
      <c r="AD639" s="20">
        <v>80920</v>
      </c>
      <c r="AE639" s="20">
        <v>0</v>
      </c>
      <c r="AF639" s="20">
        <v>0</v>
      </c>
      <c r="AG639" s="20">
        <v>119000</v>
      </c>
      <c r="AH639" s="20">
        <v>80920</v>
      </c>
      <c r="AI639" s="20">
        <v>34618</v>
      </c>
      <c r="AJ639" s="20">
        <v>3462</v>
      </c>
      <c r="AK639" s="20">
        <v>38080</v>
      </c>
    </row>
    <row r="640" spans="1:37" ht="24" x14ac:dyDescent="0.3">
      <c r="A640" s="18" t="s">
        <v>2077</v>
      </c>
      <c r="B640" s="18" t="s">
        <v>107</v>
      </c>
      <c r="C640" s="19" t="s">
        <v>108</v>
      </c>
      <c r="D640" s="18" t="s">
        <v>2078</v>
      </c>
      <c r="E640" s="19" t="s">
        <v>2079</v>
      </c>
      <c r="F640" s="18" t="s">
        <v>110</v>
      </c>
      <c r="G640" s="18" t="s">
        <v>111</v>
      </c>
      <c r="H640" s="19" t="s">
        <v>112</v>
      </c>
      <c r="I640" s="18" t="s">
        <v>113</v>
      </c>
      <c r="J640" s="19" t="s">
        <v>114</v>
      </c>
      <c r="K640" s="19" t="s">
        <v>115</v>
      </c>
      <c r="L640" s="18" t="s">
        <v>116</v>
      </c>
      <c r="M640" s="18" t="s">
        <v>1419</v>
      </c>
      <c r="N640" s="18" t="s">
        <v>118</v>
      </c>
      <c r="O640" s="20">
        <v>119000</v>
      </c>
      <c r="P640" s="20">
        <v>80920</v>
      </c>
      <c r="Q640" s="20">
        <v>1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32</v>
      </c>
      <c r="X640" s="20">
        <v>0</v>
      </c>
      <c r="Y640" s="20">
        <v>5000</v>
      </c>
      <c r="Z640" s="20">
        <v>0</v>
      </c>
      <c r="AA640" s="20">
        <v>0</v>
      </c>
      <c r="AB640" s="20">
        <v>5700</v>
      </c>
      <c r="AC640" s="20">
        <v>119000</v>
      </c>
      <c r="AD640" s="20">
        <v>80920</v>
      </c>
      <c r="AE640" s="20">
        <v>0</v>
      </c>
      <c r="AF640" s="20">
        <v>10700</v>
      </c>
      <c r="AG640" s="20">
        <v>108300</v>
      </c>
      <c r="AH640" s="20">
        <v>80920</v>
      </c>
      <c r="AI640" s="20">
        <v>24891</v>
      </c>
      <c r="AJ640" s="20">
        <v>2489</v>
      </c>
      <c r="AK640" s="20">
        <v>27380</v>
      </c>
    </row>
    <row r="641" spans="1:37" ht="24" x14ac:dyDescent="0.3">
      <c r="A641" s="18" t="s">
        <v>2080</v>
      </c>
      <c r="B641" s="18" t="s">
        <v>107</v>
      </c>
      <c r="C641" s="19" t="s">
        <v>108</v>
      </c>
      <c r="D641" s="18" t="s">
        <v>2081</v>
      </c>
      <c r="E641" s="19" t="s">
        <v>2082</v>
      </c>
      <c r="F641" s="18" t="s">
        <v>110</v>
      </c>
      <c r="G641" s="18" t="s">
        <v>111</v>
      </c>
      <c r="H641" s="19" t="s">
        <v>112</v>
      </c>
      <c r="I641" s="18" t="s">
        <v>113</v>
      </c>
      <c r="J641" s="19" t="s">
        <v>114</v>
      </c>
      <c r="K641" s="19" t="s">
        <v>151</v>
      </c>
      <c r="L641" s="18" t="s">
        <v>116</v>
      </c>
      <c r="M641" s="18" t="s">
        <v>1419</v>
      </c>
      <c r="N641" s="18" t="s">
        <v>118</v>
      </c>
      <c r="O641" s="20">
        <v>119000</v>
      </c>
      <c r="P641" s="20">
        <v>80920</v>
      </c>
      <c r="Q641" s="20">
        <v>1</v>
      </c>
      <c r="R641" s="20">
        <v>0</v>
      </c>
      <c r="S641" s="20">
        <v>0</v>
      </c>
      <c r="T641" s="20">
        <v>0</v>
      </c>
      <c r="U641" s="20">
        <v>0</v>
      </c>
      <c r="V641" s="20">
        <v>0</v>
      </c>
      <c r="W641" s="20">
        <v>32</v>
      </c>
      <c r="X641" s="20">
        <v>0</v>
      </c>
      <c r="Y641" s="20">
        <v>0</v>
      </c>
      <c r="Z641" s="20">
        <v>0</v>
      </c>
      <c r="AA641" s="20">
        <v>0</v>
      </c>
      <c r="AB641" s="20">
        <v>0</v>
      </c>
      <c r="AC641" s="20">
        <v>119000</v>
      </c>
      <c r="AD641" s="20">
        <v>80920</v>
      </c>
      <c r="AE641" s="20">
        <v>0</v>
      </c>
      <c r="AF641" s="20">
        <v>0</v>
      </c>
      <c r="AG641" s="20">
        <v>119000</v>
      </c>
      <c r="AH641" s="20">
        <v>80920</v>
      </c>
      <c r="AI641" s="20">
        <v>34618</v>
      </c>
      <c r="AJ641" s="20">
        <v>3462</v>
      </c>
      <c r="AK641" s="20">
        <v>38080</v>
      </c>
    </row>
    <row r="642" spans="1:37" ht="24" x14ac:dyDescent="0.3">
      <c r="A642" s="18" t="s">
        <v>2083</v>
      </c>
      <c r="B642" s="18" t="s">
        <v>107</v>
      </c>
      <c r="C642" s="19" t="s">
        <v>108</v>
      </c>
      <c r="D642" s="18" t="s">
        <v>2084</v>
      </c>
      <c r="E642" s="19" t="s">
        <v>1659</v>
      </c>
      <c r="F642" s="18" t="s">
        <v>110</v>
      </c>
      <c r="G642" s="18" t="s">
        <v>111</v>
      </c>
      <c r="H642" s="19" t="s">
        <v>112</v>
      </c>
      <c r="I642" s="18" t="s">
        <v>113</v>
      </c>
      <c r="J642" s="19" t="s">
        <v>114</v>
      </c>
      <c r="K642" s="19" t="s">
        <v>115</v>
      </c>
      <c r="L642" s="18" t="s">
        <v>116</v>
      </c>
      <c r="M642" s="18" t="s">
        <v>1419</v>
      </c>
      <c r="N642" s="18" t="s">
        <v>118</v>
      </c>
      <c r="O642" s="20">
        <v>119000</v>
      </c>
      <c r="P642" s="20">
        <v>80920</v>
      </c>
      <c r="Q642" s="20">
        <v>1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32</v>
      </c>
      <c r="X642" s="20">
        <v>0</v>
      </c>
      <c r="Y642" s="20">
        <v>0</v>
      </c>
      <c r="Z642" s="20">
        <v>0</v>
      </c>
      <c r="AA642" s="20">
        <v>0</v>
      </c>
      <c r="AB642" s="20">
        <v>0</v>
      </c>
      <c r="AC642" s="20">
        <v>119000</v>
      </c>
      <c r="AD642" s="20">
        <v>80920</v>
      </c>
      <c r="AE642" s="20">
        <v>0</v>
      </c>
      <c r="AF642" s="20">
        <v>0</v>
      </c>
      <c r="AG642" s="20">
        <v>119000</v>
      </c>
      <c r="AH642" s="20">
        <v>80920</v>
      </c>
      <c r="AI642" s="20">
        <v>34618</v>
      </c>
      <c r="AJ642" s="20">
        <v>3462</v>
      </c>
      <c r="AK642" s="20">
        <v>38080</v>
      </c>
    </row>
    <row r="643" spans="1:37" ht="24" x14ac:dyDescent="0.3">
      <c r="A643" s="18" t="s">
        <v>2085</v>
      </c>
      <c r="B643" s="18" t="s">
        <v>107</v>
      </c>
      <c r="C643" s="19" t="s">
        <v>108</v>
      </c>
      <c r="D643" s="18" t="s">
        <v>2086</v>
      </c>
      <c r="E643" s="19" t="s">
        <v>2087</v>
      </c>
      <c r="F643" s="18" t="s">
        <v>110</v>
      </c>
      <c r="G643" s="18" t="s">
        <v>111</v>
      </c>
      <c r="H643" s="19" t="s">
        <v>112</v>
      </c>
      <c r="I643" s="18" t="s">
        <v>113</v>
      </c>
      <c r="J643" s="19" t="s">
        <v>114</v>
      </c>
      <c r="K643" s="19" t="s">
        <v>151</v>
      </c>
      <c r="L643" s="18" t="s">
        <v>116</v>
      </c>
      <c r="M643" s="18" t="s">
        <v>1419</v>
      </c>
      <c r="N643" s="18" t="s">
        <v>118</v>
      </c>
      <c r="O643" s="20">
        <v>119000</v>
      </c>
      <c r="P643" s="20">
        <v>80920</v>
      </c>
      <c r="Q643" s="20">
        <v>1</v>
      </c>
      <c r="R643" s="20">
        <v>0</v>
      </c>
      <c r="S643" s="20">
        <v>0</v>
      </c>
      <c r="T643" s="20">
        <v>0</v>
      </c>
      <c r="U643" s="20">
        <v>0</v>
      </c>
      <c r="V643" s="20">
        <v>0</v>
      </c>
      <c r="W643" s="20">
        <v>32</v>
      </c>
      <c r="X643" s="20">
        <v>0</v>
      </c>
      <c r="Y643" s="20">
        <v>0</v>
      </c>
      <c r="Z643" s="20">
        <v>0</v>
      </c>
      <c r="AA643" s="20">
        <v>0</v>
      </c>
      <c r="AB643" s="20">
        <v>0</v>
      </c>
      <c r="AC643" s="20">
        <v>119000</v>
      </c>
      <c r="AD643" s="20">
        <v>80920</v>
      </c>
      <c r="AE643" s="20">
        <v>0</v>
      </c>
      <c r="AF643" s="20">
        <v>0</v>
      </c>
      <c r="AG643" s="20">
        <v>119000</v>
      </c>
      <c r="AH643" s="20">
        <v>80920</v>
      </c>
      <c r="AI643" s="20">
        <v>34618</v>
      </c>
      <c r="AJ643" s="20">
        <v>3462</v>
      </c>
      <c r="AK643" s="20">
        <v>38080</v>
      </c>
    </row>
    <row r="644" spans="1:37" ht="24" x14ac:dyDescent="0.3">
      <c r="A644" s="18" t="s">
        <v>2088</v>
      </c>
      <c r="B644" s="18" t="s">
        <v>107</v>
      </c>
      <c r="C644" s="19" t="s">
        <v>108</v>
      </c>
      <c r="D644" s="18" t="s">
        <v>2089</v>
      </c>
      <c r="E644" s="19" t="s">
        <v>426</v>
      </c>
      <c r="F644" s="18" t="s">
        <v>110</v>
      </c>
      <c r="G644" s="18" t="s">
        <v>111</v>
      </c>
      <c r="H644" s="19" t="s">
        <v>112</v>
      </c>
      <c r="I644" s="18" t="s">
        <v>113</v>
      </c>
      <c r="J644" s="19" t="s">
        <v>114</v>
      </c>
      <c r="K644" s="19" t="s">
        <v>115</v>
      </c>
      <c r="L644" s="18" t="s">
        <v>116</v>
      </c>
      <c r="M644" s="18" t="s">
        <v>1419</v>
      </c>
      <c r="N644" s="18" t="s">
        <v>118</v>
      </c>
      <c r="O644" s="20">
        <v>119000</v>
      </c>
      <c r="P644" s="20">
        <v>80920</v>
      </c>
      <c r="Q644" s="20">
        <v>1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32</v>
      </c>
      <c r="X644" s="20">
        <v>0</v>
      </c>
      <c r="Y644" s="20">
        <v>0</v>
      </c>
      <c r="Z644" s="20">
        <v>0</v>
      </c>
      <c r="AA644" s="20">
        <v>0</v>
      </c>
      <c r="AB644" s="20">
        <v>5950</v>
      </c>
      <c r="AC644" s="20">
        <v>119000</v>
      </c>
      <c r="AD644" s="20">
        <v>80920</v>
      </c>
      <c r="AE644" s="20">
        <v>0</v>
      </c>
      <c r="AF644" s="20">
        <v>5950</v>
      </c>
      <c r="AG644" s="20">
        <v>113050</v>
      </c>
      <c r="AH644" s="20">
        <v>80920</v>
      </c>
      <c r="AI644" s="20">
        <v>29209</v>
      </c>
      <c r="AJ644" s="20">
        <v>2921</v>
      </c>
      <c r="AK644" s="20">
        <v>32130</v>
      </c>
    </row>
    <row r="645" spans="1:37" ht="24" x14ac:dyDescent="0.3">
      <c r="A645" s="18" t="s">
        <v>2090</v>
      </c>
      <c r="B645" s="18" t="s">
        <v>107</v>
      </c>
      <c r="C645" s="19" t="s">
        <v>108</v>
      </c>
      <c r="D645" s="18" t="s">
        <v>2091</v>
      </c>
      <c r="E645" s="19" t="s">
        <v>2092</v>
      </c>
      <c r="F645" s="18" t="s">
        <v>110</v>
      </c>
      <c r="G645" s="18" t="s">
        <v>111</v>
      </c>
      <c r="H645" s="19" t="s">
        <v>112</v>
      </c>
      <c r="I645" s="18" t="s">
        <v>113</v>
      </c>
      <c r="J645" s="19" t="s">
        <v>114</v>
      </c>
      <c r="K645" s="19" t="s">
        <v>115</v>
      </c>
      <c r="L645" s="18" t="s">
        <v>116</v>
      </c>
      <c r="M645" s="18" t="s">
        <v>1419</v>
      </c>
      <c r="N645" s="18" t="s">
        <v>118</v>
      </c>
      <c r="O645" s="20">
        <v>119000</v>
      </c>
      <c r="P645" s="20">
        <v>82110</v>
      </c>
      <c r="Q645" s="20">
        <v>1</v>
      </c>
      <c r="R645" s="20">
        <v>0</v>
      </c>
      <c r="S645" s="20">
        <v>0</v>
      </c>
      <c r="T645" s="20">
        <v>0</v>
      </c>
      <c r="U645" s="20">
        <v>0</v>
      </c>
      <c r="V645" s="20">
        <v>0</v>
      </c>
      <c r="W645" s="20">
        <v>31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20">
        <v>119000</v>
      </c>
      <c r="AD645" s="20">
        <v>82110</v>
      </c>
      <c r="AE645" s="20">
        <v>0</v>
      </c>
      <c r="AF645" s="20">
        <v>0</v>
      </c>
      <c r="AG645" s="20">
        <v>119000</v>
      </c>
      <c r="AH645" s="20">
        <v>82110</v>
      </c>
      <c r="AI645" s="20">
        <v>33536</v>
      </c>
      <c r="AJ645" s="20">
        <v>3354</v>
      </c>
      <c r="AK645" s="20">
        <v>36890</v>
      </c>
    </row>
    <row r="646" spans="1:37" ht="24" x14ac:dyDescent="0.3">
      <c r="A646" s="18" t="s">
        <v>2093</v>
      </c>
      <c r="B646" s="18" t="s">
        <v>107</v>
      </c>
      <c r="C646" s="19" t="s">
        <v>108</v>
      </c>
      <c r="D646" s="18" t="s">
        <v>2094</v>
      </c>
      <c r="E646" s="19" t="s">
        <v>2095</v>
      </c>
      <c r="F646" s="18" t="s">
        <v>110</v>
      </c>
      <c r="G646" s="18" t="s">
        <v>111</v>
      </c>
      <c r="H646" s="19" t="s">
        <v>112</v>
      </c>
      <c r="I646" s="18" t="s">
        <v>113</v>
      </c>
      <c r="J646" s="19" t="s">
        <v>114</v>
      </c>
      <c r="K646" s="19" t="s">
        <v>115</v>
      </c>
      <c r="L646" s="18" t="s">
        <v>116</v>
      </c>
      <c r="M646" s="18" t="s">
        <v>1419</v>
      </c>
      <c r="N646" s="18" t="s">
        <v>118</v>
      </c>
      <c r="O646" s="20">
        <v>119000</v>
      </c>
      <c r="P646" s="20">
        <v>80920</v>
      </c>
      <c r="Q646" s="20">
        <v>2</v>
      </c>
      <c r="R646" s="20">
        <v>0</v>
      </c>
      <c r="S646" s="20">
        <v>0</v>
      </c>
      <c r="T646" s="20">
        <v>0</v>
      </c>
      <c r="U646" s="20">
        <v>0</v>
      </c>
      <c r="V646" s="20">
        <v>0</v>
      </c>
      <c r="W646" s="20">
        <v>32</v>
      </c>
      <c r="X646" s="20">
        <v>0</v>
      </c>
      <c r="Y646" s="20">
        <v>0</v>
      </c>
      <c r="Z646" s="20">
        <v>0</v>
      </c>
      <c r="AA646" s="20">
        <v>0</v>
      </c>
      <c r="AB646" s="20">
        <v>0</v>
      </c>
      <c r="AC646" s="20">
        <v>238000</v>
      </c>
      <c r="AD646" s="20">
        <v>161840</v>
      </c>
      <c r="AE646" s="20">
        <v>0</v>
      </c>
      <c r="AF646" s="20">
        <v>0</v>
      </c>
      <c r="AG646" s="20">
        <v>238000</v>
      </c>
      <c r="AH646" s="20">
        <v>161840</v>
      </c>
      <c r="AI646" s="20">
        <v>69236</v>
      </c>
      <c r="AJ646" s="20">
        <v>6924</v>
      </c>
      <c r="AK646" s="20">
        <v>76160</v>
      </c>
    </row>
    <row r="647" spans="1:37" ht="24" x14ac:dyDescent="0.3">
      <c r="A647" s="18" t="s">
        <v>2096</v>
      </c>
      <c r="B647" s="18" t="s">
        <v>107</v>
      </c>
      <c r="C647" s="19" t="s">
        <v>108</v>
      </c>
      <c r="D647" s="18" t="s">
        <v>2097</v>
      </c>
      <c r="E647" s="19" t="s">
        <v>2098</v>
      </c>
      <c r="F647" s="18" t="s">
        <v>110</v>
      </c>
      <c r="G647" s="18" t="s">
        <v>111</v>
      </c>
      <c r="H647" s="19" t="s">
        <v>112</v>
      </c>
      <c r="I647" s="18" t="s">
        <v>113</v>
      </c>
      <c r="J647" s="19" t="s">
        <v>114</v>
      </c>
      <c r="K647" s="19" t="s">
        <v>115</v>
      </c>
      <c r="L647" s="18" t="s">
        <v>116</v>
      </c>
      <c r="M647" s="18" t="s">
        <v>1419</v>
      </c>
      <c r="N647" s="18" t="s">
        <v>118</v>
      </c>
      <c r="O647" s="20">
        <v>119000</v>
      </c>
      <c r="P647" s="20">
        <v>80920</v>
      </c>
      <c r="Q647" s="20">
        <v>1</v>
      </c>
      <c r="R647" s="20">
        <v>0</v>
      </c>
      <c r="S647" s="20">
        <v>0</v>
      </c>
      <c r="T647" s="20">
        <v>0</v>
      </c>
      <c r="U647" s="20">
        <v>0</v>
      </c>
      <c r="V647" s="20">
        <v>0</v>
      </c>
      <c r="W647" s="20">
        <v>32</v>
      </c>
      <c r="X647" s="20">
        <v>0</v>
      </c>
      <c r="Y647" s="20">
        <v>0</v>
      </c>
      <c r="Z647" s="20">
        <v>0</v>
      </c>
      <c r="AA647" s="20">
        <v>0</v>
      </c>
      <c r="AB647" s="20">
        <v>5950</v>
      </c>
      <c r="AC647" s="20">
        <v>119000</v>
      </c>
      <c r="AD647" s="20">
        <v>80920</v>
      </c>
      <c r="AE647" s="20">
        <v>0</v>
      </c>
      <c r="AF647" s="20">
        <v>5950</v>
      </c>
      <c r="AG647" s="20">
        <v>113050</v>
      </c>
      <c r="AH647" s="20">
        <v>80920</v>
      </c>
      <c r="AI647" s="20">
        <v>29209</v>
      </c>
      <c r="AJ647" s="20">
        <v>2921</v>
      </c>
      <c r="AK647" s="20">
        <v>32130</v>
      </c>
    </row>
    <row r="648" spans="1:37" ht="24" x14ac:dyDescent="0.3">
      <c r="A648" s="18" t="s">
        <v>2099</v>
      </c>
      <c r="B648" s="18" t="s">
        <v>107</v>
      </c>
      <c r="C648" s="19" t="s">
        <v>108</v>
      </c>
      <c r="D648" s="18" t="s">
        <v>2100</v>
      </c>
      <c r="E648" s="19" t="s">
        <v>468</v>
      </c>
      <c r="F648" s="18" t="s">
        <v>110</v>
      </c>
      <c r="G648" s="18" t="s">
        <v>111</v>
      </c>
      <c r="H648" s="19" t="s">
        <v>112</v>
      </c>
      <c r="I648" s="18" t="s">
        <v>113</v>
      </c>
      <c r="J648" s="19" t="s">
        <v>114</v>
      </c>
      <c r="K648" s="19" t="s">
        <v>115</v>
      </c>
      <c r="L648" s="18" t="s">
        <v>116</v>
      </c>
      <c r="M648" s="18" t="s">
        <v>1419</v>
      </c>
      <c r="N648" s="18" t="s">
        <v>118</v>
      </c>
      <c r="O648" s="20">
        <v>119000</v>
      </c>
      <c r="P648" s="20">
        <v>80920</v>
      </c>
      <c r="Q648" s="20">
        <v>1</v>
      </c>
      <c r="R648" s="20">
        <v>0</v>
      </c>
      <c r="S648" s="20">
        <v>0</v>
      </c>
      <c r="T648" s="20">
        <v>0</v>
      </c>
      <c r="U648" s="20">
        <v>0</v>
      </c>
      <c r="V648" s="20">
        <v>0</v>
      </c>
      <c r="W648" s="20">
        <v>32</v>
      </c>
      <c r="X648" s="20">
        <v>0</v>
      </c>
      <c r="Y648" s="20">
        <v>0</v>
      </c>
      <c r="Z648" s="20">
        <v>0</v>
      </c>
      <c r="AA648" s="20">
        <v>0</v>
      </c>
      <c r="AB648" s="20">
        <v>0</v>
      </c>
      <c r="AC648" s="20">
        <v>119000</v>
      </c>
      <c r="AD648" s="20">
        <v>80920</v>
      </c>
      <c r="AE648" s="20">
        <v>0</v>
      </c>
      <c r="AF648" s="20">
        <v>0</v>
      </c>
      <c r="AG648" s="20">
        <v>119000</v>
      </c>
      <c r="AH648" s="20">
        <v>80920</v>
      </c>
      <c r="AI648" s="20">
        <v>34618</v>
      </c>
      <c r="AJ648" s="20">
        <v>3462</v>
      </c>
      <c r="AK648" s="20">
        <v>38080</v>
      </c>
    </row>
    <row r="649" spans="1:37" ht="24" x14ac:dyDescent="0.3">
      <c r="A649" s="18" t="s">
        <v>2101</v>
      </c>
      <c r="B649" s="18" t="s">
        <v>107</v>
      </c>
      <c r="C649" s="19" t="s">
        <v>108</v>
      </c>
      <c r="D649" s="18" t="s">
        <v>2102</v>
      </c>
      <c r="E649" s="19" t="s">
        <v>2103</v>
      </c>
      <c r="F649" s="18" t="s">
        <v>110</v>
      </c>
      <c r="G649" s="18" t="s">
        <v>111</v>
      </c>
      <c r="H649" s="19" t="s">
        <v>112</v>
      </c>
      <c r="I649" s="18" t="s">
        <v>113</v>
      </c>
      <c r="J649" s="19" t="s">
        <v>114</v>
      </c>
      <c r="K649" s="19" t="s">
        <v>115</v>
      </c>
      <c r="L649" s="18" t="s">
        <v>116</v>
      </c>
      <c r="M649" s="18" t="s">
        <v>1419</v>
      </c>
      <c r="N649" s="18" t="s">
        <v>118</v>
      </c>
      <c r="O649" s="20">
        <v>119000</v>
      </c>
      <c r="P649" s="20">
        <v>80920</v>
      </c>
      <c r="Q649" s="20">
        <v>1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32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119000</v>
      </c>
      <c r="AD649" s="20">
        <v>80920</v>
      </c>
      <c r="AE649" s="20">
        <v>0</v>
      </c>
      <c r="AF649" s="20">
        <v>0</v>
      </c>
      <c r="AG649" s="20">
        <v>119000</v>
      </c>
      <c r="AH649" s="20">
        <v>80920</v>
      </c>
      <c r="AI649" s="20">
        <v>34618</v>
      </c>
      <c r="AJ649" s="20">
        <v>3462</v>
      </c>
      <c r="AK649" s="20">
        <v>38080</v>
      </c>
    </row>
    <row r="650" spans="1:37" ht="24" x14ac:dyDescent="0.3">
      <c r="A650" s="18" t="s">
        <v>2104</v>
      </c>
      <c r="B650" s="18" t="s">
        <v>107</v>
      </c>
      <c r="C650" s="19" t="s">
        <v>108</v>
      </c>
      <c r="D650" s="18" t="s">
        <v>2105</v>
      </c>
      <c r="E650" s="19" t="s">
        <v>2106</v>
      </c>
      <c r="F650" s="18" t="s">
        <v>110</v>
      </c>
      <c r="G650" s="18" t="s">
        <v>111</v>
      </c>
      <c r="H650" s="19" t="s">
        <v>112</v>
      </c>
      <c r="I650" s="18" t="s">
        <v>113</v>
      </c>
      <c r="J650" s="19" t="s">
        <v>114</v>
      </c>
      <c r="K650" s="19" t="s">
        <v>115</v>
      </c>
      <c r="L650" s="18" t="s">
        <v>116</v>
      </c>
      <c r="M650" s="18" t="s">
        <v>1419</v>
      </c>
      <c r="N650" s="18" t="s">
        <v>118</v>
      </c>
      <c r="O650" s="20">
        <v>119000</v>
      </c>
      <c r="P650" s="20">
        <v>80920</v>
      </c>
      <c r="Q650" s="20">
        <v>1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32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119000</v>
      </c>
      <c r="AD650" s="20">
        <v>80920</v>
      </c>
      <c r="AE650" s="20">
        <v>0</v>
      </c>
      <c r="AF650" s="20">
        <v>0</v>
      </c>
      <c r="AG650" s="20">
        <v>119000</v>
      </c>
      <c r="AH650" s="20">
        <v>80920</v>
      </c>
      <c r="AI650" s="20">
        <v>34618</v>
      </c>
      <c r="AJ650" s="20">
        <v>3462</v>
      </c>
      <c r="AK650" s="20">
        <v>38080</v>
      </c>
    </row>
    <row r="651" spans="1:37" ht="24" x14ac:dyDescent="0.3">
      <c r="A651" s="18" t="s">
        <v>2107</v>
      </c>
      <c r="B651" s="18" t="s">
        <v>107</v>
      </c>
      <c r="C651" s="19" t="s">
        <v>108</v>
      </c>
      <c r="D651" s="18" t="s">
        <v>2108</v>
      </c>
      <c r="E651" s="19" t="s">
        <v>1312</v>
      </c>
      <c r="F651" s="18" t="s">
        <v>110</v>
      </c>
      <c r="G651" s="18" t="s">
        <v>111</v>
      </c>
      <c r="H651" s="19" t="s">
        <v>112</v>
      </c>
      <c r="I651" s="18" t="s">
        <v>113</v>
      </c>
      <c r="J651" s="19" t="s">
        <v>114</v>
      </c>
      <c r="K651" s="19" t="s">
        <v>123</v>
      </c>
      <c r="L651" s="18" t="s">
        <v>116</v>
      </c>
      <c r="M651" s="18" t="s">
        <v>1419</v>
      </c>
      <c r="N651" s="18" t="s">
        <v>118</v>
      </c>
      <c r="O651" s="20">
        <v>119000</v>
      </c>
      <c r="P651" s="20">
        <v>80920</v>
      </c>
      <c r="Q651" s="20">
        <v>1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32</v>
      </c>
      <c r="X651" s="20">
        <v>0</v>
      </c>
      <c r="Y651" s="20">
        <v>5950</v>
      </c>
      <c r="Z651" s="20">
        <v>0</v>
      </c>
      <c r="AA651" s="20">
        <v>0</v>
      </c>
      <c r="AB651" s="20">
        <v>0</v>
      </c>
      <c r="AC651" s="20">
        <v>119000</v>
      </c>
      <c r="AD651" s="20">
        <v>80920</v>
      </c>
      <c r="AE651" s="20">
        <v>0</v>
      </c>
      <c r="AF651" s="20">
        <v>5950</v>
      </c>
      <c r="AG651" s="20">
        <v>113050</v>
      </c>
      <c r="AH651" s="20">
        <v>80920</v>
      </c>
      <c r="AI651" s="20">
        <v>29209</v>
      </c>
      <c r="AJ651" s="20">
        <v>2921</v>
      </c>
      <c r="AK651" s="20">
        <v>32130</v>
      </c>
    </row>
    <row r="652" spans="1:37" ht="24" x14ac:dyDescent="0.3">
      <c r="A652" s="18" t="s">
        <v>2109</v>
      </c>
      <c r="B652" s="18" t="s">
        <v>107</v>
      </c>
      <c r="C652" s="19" t="s">
        <v>108</v>
      </c>
      <c r="D652" s="18" t="s">
        <v>2110</v>
      </c>
      <c r="E652" s="19" t="s">
        <v>2111</v>
      </c>
      <c r="F652" s="18" t="s">
        <v>110</v>
      </c>
      <c r="G652" s="18" t="s">
        <v>111</v>
      </c>
      <c r="H652" s="19" t="s">
        <v>112</v>
      </c>
      <c r="I652" s="18" t="s">
        <v>113</v>
      </c>
      <c r="J652" s="19" t="s">
        <v>114</v>
      </c>
      <c r="K652" s="19" t="s">
        <v>115</v>
      </c>
      <c r="L652" s="18" t="s">
        <v>116</v>
      </c>
      <c r="M652" s="18" t="s">
        <v>1419</v>
      </c>
      <c r="N652" s="18" t="s">
        <v>118</v>
      </c>
      <c r="O652" s="20">
        <v>119000</v>
      </c>
      <c r="P652" s="20">
        <v>80920</v>
      </c>
      <c r="Q652" s="20">
        <v>1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32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119000</v>
      </c>
      <c r="AD652" s="20">
        <v>80920</v>
      </c>
      <c r="AE652" s="20">
        <v>0</v>
      </c>
      <c r="AF652" s="20">
        <v>0</v>
      </c>
      <c r="AG652" s="20">
        <v>119000</v>
      </c>
      <c r="AH652" s="20">
        <v>80920</v>
      </c>
      <c r="AI652" s="20">
        <v>34618</v>
      </c>
      <c r="AJ652" s="20">
        <v>3462</v>
      </c>
      <c r="AK652" s="20">
        <v>38080</v>
      </c>
    </row>
    <row r="653" spans="1:37" ht="24" x14ac:dyDescent="0.3">
      <c r="A653" s="18" t="s">
        <v>2112</v>
      </c>
      <c r="B653" s="18" t="s">
        <v>107</v>
      </c>
      <c r="C653" s="19" t="s">
        <v>108</v>
      </c>
      <c r="D653" s="18" t="s">
        <v>2113</v>
      </c>
      <c r="E653" s="19" t="s">
        <v>163</v>
      </c>
      <c r="F653" s="18" t="s">
        <v>110</v>
      </c>
      <c r="G653" s="18" t="s">
        <v>111</v>
      </c>
      <c r="H653" s="19" t="s">
        <v>112</v>
      </c>
      <c r="I653" s="18" t="s">
        <v>113</v>
      </c>
      <c r="J653" s="19" t="s">
        <v>114</v>
      </c>
      <c r="K653" s="19" t="s">
        <v>123</v>
      </c>
      <c r="L653" s="18" t="s">
        <v>116</v>
      </c>
      <c r="M653" s="18" t="s">
        <v>1419</v>
      </c>
      <c r="N653" s="18" t="s">
        <v>118</v>
      </c>
      <c r="O653" s="20">
        <v>119000</v>
      </c>
      <c r="P653" s="20">
        <v>80920</v>
      </c>
      <c r="Q653" s="20">
        <v>1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32</v>
      </c>
      <c r="X653" s="20">
        <v>0</v>
      </c>
      <c r="Y653" s="20">
        <v>5950</v>
      </c>
      <c r="Z653" s="20">
        <v>0</v>
      </c>
      <c r="AA653" s="20">
        <v>0</v>
      </c>
      <c r="AB653" s="20">
        <v>0</v>
      </c>
      <c r="AC653" s="20">
        <v>119000</v>
      </c>
      <c r="AD653" s="20">
        <v>80920</v>
      </c>
      <c r="AE653" s="20">
        <v>0</v>
      </c>
      <c r="AF653" s="20">
        <v>5950</v>
      </c>
      <c r="AG653" s="20">
        <v>113050</v>
      </c>
      <c r="AH653" s="20">
        <v>80920</v>
      </c>
      <c r="AI653" s="20">
        <v>29209</v>
      </c>
      <c r="AJ653" s="20">
        <v>2921</v>
      </c>
      <c r="AK653" s="20">
        <v>32130</v>
      </c>
    </row>
    <row r="654" spans="1:37" ht="24" x14ac:dyDescent="0.3">
      <c r="A654" s="18" t="s">
        <v>2114</v>
      </c>
      <c r="B654" s="18" t="s">
        <v>107</v>
      </c>
      <c r="C654" s="19" t="s">
        <v>108</v>
      </c>
      <c r="D654" s="18" t="s">
        <v>2115</v>
      </c>
      <c r="E654" s="19" t="s">
        <v>2116</v>
      </c>
      <c r="F654" s="18" t="s">
        <v>110</v>
      </c>
      <c r="G654" s="18" t="s">
        <v>111</v>
      </c>
      <c r="H654" s="19" t="s">
        <v>112</v>
      </c>
      <c r="I654" s="18" t="s">
        <v>113</v>
      </c>
      <c r="J654" s="19" t="s">
        <v>114</v>
      </c>
      <c r="K654" s="19" t="s">
        <v>115</v>
      </c>
      <c r="L654" s="18" t="s">
        <v>116</v>
      </c>
      <c r="M654" s="18" t="s">
        <v>1419</v>
      </c>
      <c r="N654" s="18" t="s">
        <v>118</v>
      </c>
      <c r="O654" s="20">
        <v>119000</v>
      </c>
      <c r="P654" s="20">
        <v>80920</v>
      </c>
      <c r="Q654" s="20">
        <v>1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32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119000</v>
      </c>
      <c r="AD654" s="20">
        <v>80920</v>
      </c>
      <c r="AE654" s="20">
        <v>0</v>
      </c>
      <c r="AF654" s="20">
        <v>0</v>
      </c>
      <c r="AG654" s="20">
        <v>119000</v>
      </c>
      <c r="AH654" s="20">
        <v>80920</v>
      </c>
      <c r="AI654" s="20">
        <v>34618</v>
      </c>
      <c r="AJ654" s="20">
        <v>3462</v>
      </c>
      <c r="AK654" s="20">
        <v>38080</v>
      </c>
    </row>
    <row r="655" spans="1:37" ht="24" x14ac:dyDescent="0.3">
      <c r="A655" s="18" t="s">
        <v>2117</v>
      </c>
      <c r="B655" s="18" t="s">
        <v>107</v>
      </c>
      <c r="C655" s="19" t="s">
        <v>108</v>
      </c>
      <c r="D655" s="18" t="s">
        <v>2118</v>
      </c>
      <c r="E655" s="19" t="s">
        <v>420</v>
      </c>
      <c r="F655" s="18" t="s">
        <v>110</v>
      </c>
      <c r="G655" s="18" t="s">
        <v>111</v>
      </c>
      <c r="H655" s="19" t="s">
        <v>112</v>
      </c>
      <c r="I655" s="18" t="s">
        <v>113</v>
      </c>
      <c r="J655" s="19" t="s">
        <v>114</v>
      </c>
      <c r="K655" s="19" t="s">
        <v>151</v>
      </c>
      <c r="L655" s="18" t="s">
        <v>116</v>
      </c>
      <c r="M655" s="18" t="s">
        <v>1419</v>
      </c>
      <c r="N655" s="18" t="s">
        <v>118</v>
      </c>
      <c r="O655" s="20">
        <v>119000</v>
      </c>
      <c r="P655" s="20">
        <v>80920</v>
      </c>
      <c r="Q655" s="20">
        <v>1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32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119000</v>
      </c>
      <c r="AD655" s="20">
        <v>80920</v>
      </c>
      <c r="AE655" s="20">
        <v>0</v>
      </c>
      <c r="AF655" s="20">
        <v>0</v>
      </c>
      <c r="AG655" s="20">
        <v>119000</v>
      </c>
      <c r="AH655" s="20">
        <v>80920</v>
      </c>
      <c r="AI655" s="20">
        <v>34618</v>
      </c>
      <c r="AJ655" s="20">
        <v>3462</v>
      </c>
      <c r="AK655" s="20">
        <v>38080</v>
      </c>
    </row>
    <row r="656" spans="1:37" ht="24" x14ac:dyDescent="0.3">
      <c r="A656" s="18" t="s">
        <v>2119</v>
      </c>
      <c r="B656" s="18" t="s">
        <v>107</v>
      </c>
      <c r="C656" s="19" t="s">
        <v>108</v>
      </c>
      <c r="D656" s="18" t="s">
        <v>2120</v>
      </c>
      <c r="E656" s="19" t="s">
        <v>2049</v>
      </c>
      <c r="F656" s="18" t="s">
        <v>110</v>
      </c>
      <c r="G656" s="18" t="s">
        <v>111</v>
      </c>
      <c r="H656" s="19" t="s">
        <v>112</v>
      </c>
      <c r="I656" s="18" t="s">
        <v>113</v>
      </c>
      <c r="J656" s="19" t="s">
        <v>114</v>
      </c>
      <c r="K656" s="19" t="s">
        <v>115</v>
      </c>
      <c r="L656" s="18" t="s">
        <v>116</v>
      </c>
      <c r="M656" s="18" t="s">
        <v>1419</v>
      </c>
      <c r="N656" s="18" t="s">
        <v>118</v>
      </c>
      <c r="O656" s="20">
        <v>119000</v>
      </c>
      <c r="P656" s="20">
        <v>80920</v>
      </c>
      <c r="Q656" s="20">
        <v>1</v>
      </c>
      <c r="R656" s="20">
        <v>0</v>
      </c>
      <c r="S656" s="20">
        <v>0</v>
      </c>
      <c r="T656" s="20">
        <v>0</v>
      </c>
      <c r="U656" s="20">
        <v>0</v>
      </c>
      <c r="V656" s="20">
        <v>0</v>
      </c>
      <c r="W656" s="20">
        <v>32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119000</v>
      </c>
      <c r="AD656" s="20">
        <v>80920</v>
      </c>
      <c r="AE656" s="20">
        <v>0</v>
      </c>
      <c r="AF656" s="20">
        <v>0</v>
      </c>
      <c r="AG656" s="20">
        <v>119000</v>
      </c>
      <c r="AH656" s="20">
        <v>80920</v>
      </c>
      <c r="AI656" s="20">
        <v>34618</v>
      </c>
      <c r="AJ656" s="20">
        <v>3462</v>
      </c>
      <c r="AK656" s="20">
        <v>38080</v>
      </c>
    </row>
    <row r="657" spans="1:37" ht="24" x14ac:dyDescent="0.3">
      <c r="A657" s="18" t="s">
        <v>2121</v>
      </c>
      <c r="B657" s="18" t="s">
        <v>107</v>
      </c>
      <c r="C657" s="19" t="s">
        <v>108</v>
      </c>
      <c r="D657" s="18" t="s">
        <v>2122</v>
      </c>
      <c r="E657" s="19" t="s">
        <v>721</v>
      </c>
      <c r="F657" s="18" t="s">
        <v>110</v>
      </c>
      <c r="G657" s="18" t="s">
        <v>111</v>
      </c>
      <c r="H657" s="19" t="s">
        <v>112</v>
      </c>
      <c r="I657" s="18" t="s">
        <v>113</v>
      </c>
      <c r="J657" s="19" t="s">
        <v>114</v>
      </c>
      <c r="K657" s="19" t="s">
        <v>115</v>
      </c>
      <c r="L657" s="18" t="s">
        <v>116</v>
      </c>
      <c r="M657" s="18" t="s">
        <v>1419</v>
      </c>
      <c r="N657" s="18" t="s">
        <v>118</v>
      </c>
      <c r="O657" s="20">
        <v>119000</v>
      </c>
      <c r="P657" s="20">
        <v>80920</v>
      </c>
      <c r="Q657" s="20">
        <v>1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32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119000</v>
      </c>
      <c r="AD657" s="20">
        <v>80920</v>
      </c>
      <c r="AE657" s="20">
        <v>0</v>
      </c>
      <c r="AF657" s="20">
        <v>0</v>
      </c>
      <c r="AG657" s="20">
        <v>119000</v>
      </c>
      <c r="AH657" s="20">
        <v>80920</v>
      </c>
      <c r="AI657" s="20">
        <v>34618</v>
      </c>
      <c r="AJ657" s="20">
        <v>3462</v>
      </c>
      <c r="AK657" s="20">
        <v>38080</v>
      </c>
    </row>
    <row r="658" spans="1:37" ht="24" x14ac:dyDescent="0.3">
      <c r="A658" s="18" t="s">
        <v>2123</v>
      </c>
      <c r="B658" s="18" t="s">
        <v>107</v>
      </c>
      <c r="C658" s="19" t="s">
        <v>108</v>
      </c>
      <c r="D658" s="18" t="s">
        <v>2124</v>
      </c>
      <c r="E658" s="19" t="s">
        <v>1970</v>
      </c>
      <c r="F658" s="18" t="s">
        <v>110</v>
      </c>
      <c r="G658" s="18" t="s">
        <v>111</v>
      </c>
      <c r="H658" s="19" t="s">
        <v>112</v>
      </c>
      <c r="I658" s="18" t="s">
        <v>113</v>
      </c>
      <c r="J658" s="19" t="s">
        <v>114</v>
      </c>
      <c r="K658" s="19" t="s">
        <v>115</v>
      </c>
      <c r="L658" s="18" t="s">
        <v>116</v>
      </c>
      <c r="M658" s="18" t="s">
        <v>1419</v>
      </c>
      <c r="N658" s="18" t="s">
        <v>118</v>
      </c>
      <c r="O658" s="20">
        <v>119000</v>
      </c>
      <c r="P658" s="20">
        <v>80920</v>
      </c>
      <c r="Q658" s="20">
        <v>1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32</v>
      </c>
      <c r="X658" s="20">
        <v>0</v>
      </c>
      <c r="Y658" s="20">
        <v>10000</v>
      </c>
      <c r="Z658" s="20">
        <v>0</v>
      </c>
      <c r="AA658" s="20">
        <v>0</v>
      </c>
      <c r="AB658" s="20">
        <v>0</v>
      </c>
      <c r="AC658" s="20">
        <v>119000</v>
      </c>
      <c r="AD658" s="20">
        <v>80920</v>
      </c>
      <c r="AE658" s="20">
        <v>0</v>
      </c>
      <c r="AF658" s="20">
        <v>10000</v>
      </c>
      <c r="AG658" s="20">
        <v>109000</v>
      </c>
      <c r="AH658" s="20">
        <v>80920</v>
      </c>
      <c r="AI658" s="20">
        <v>25527</v>
      </c>
      <c r="AJ658" s="20">
        <v>2553</v>
      </c>
      <c r="AK658" s="20">
        <v>28080</v>
      </c>
    </row>
    <row r="659" spans="1:37" ht="24" x14ac:dyDescent="0.3">
      <c r="A659" s="18" t="s">
        <v>2125</v>
      </c>
      <c r="B659" s="18" t="s">
        <v>107</v>
      </c>
      <c r="C659" s="19" t="s">
        <v>108</v>
      </c>
      <c r="D659" s="18" t="s">
        <v>2126</v>
      </c>
      <c r="E659" s="19" t="s">
        <v>1069</v>
      </c>
      <c r="F659" s="18" t="s">
        <v>110</v>
      </c>
      <c r="G659" s="18" t="s">
        <v>111</v>
      </c>
      <c r="H659" s="19" t="s">
        <v>112</v>
      </c>
      <c r="I659" s="18" t="s">
        <v>113</v>
      </c>
      <c r="J659" s="19" t="s">
        <v>114</v>
      </c>
      <c r="K659" s="19" t="s">
        <v>115</v>
      </c>
      <c r="L659" s="18" t="s">
        <v>116</v>
      </c>
      <c r="M659" s="18" t="s">
        <v>1419</v>
      </c>
      <c r="N659" s="18" t="s">
        <v>118</v>
      </c>
      <c r="O659" s="20">
        <v>119000</v>
      </c>
      <c r="P659" s="20">
        <v>80920</v>
      </c>
      <c r="Q659" s="20">
        <v>1</v>
      </c>
      <c r="R659" s="20">
        <v>0</v>
      </c>
      <c r="S659" s="20">
        <v>0</v>
      </c>
      <c r="T659" s="20">
        <v>0</v>
      </c>
      <c r="U659" s="20">
        <v>0</v>
      </c>
      <c r="V659" s="20">
        <v>0</v>
      </c>
      <c r="W659" s="20">
        <v>32</v>
      </c>
      <c r="X659" s="20">
        <v>0</v>
      </c>
      <c r="Y659" s="20">
        <v>0</v>
      </c>
      <c r="Z659" s="20">
        <v>0</v>
      </c>
      <c r="AA659" s="20">
        <v>0</v>
      </c>
      <c r="AB659" s="20">
        <v>0</v>
      </c>
      <c r="AC659" s="20">
        <v>119000</v>
      </c>
      <c r="AD659" s="20">
        <v>80920</v>
      </c>
      <c r="AE659" s="20">
        <v>0</v>
      </c>
      <c r="AF659" s="20">
        <v>0</v>
      </c>
      <c r="AG659" s="20">
        <v>119000</v>
      </c>
      <c r="AH659" s="20">
        <v>80920</v>
      </c>
      <c r="AI659" s="20">
        <v>34618</v>
      </c>
      <c r="AJ659" s="20">
        <v>3462</v>
      </c>
      <c r="AK659" s="20">
        <v>38080</v>
      </c>
    </row>
    <row r="660" spans="1:37" ht="24" x14ac:dyDescent="0.3">
      <c r="A660" s="18" t="s">
        <v>2127</v>
      </c>
      <c r="B660" s="18" t="s">
        <v>107</v>
      </c>
      <c r="C660" s="19" t="s">
        <v>108</v>
      </c>
      <c r="D660" s="18" t="s">
        <v>2128</v>
      </c>
      <c r="E660" s="19" t="s">
        <v>1069</v>
      </c>
      <c r="F660" s="18" t="s">
        <v>110</v>
      </c>
      <c r="G660" s="18" t="s">
        <v>111</v>
      </c>
      <c r="H660" s="19" t="s">
        <v>112</v>
      </c>
      <c r="I660" s="18" t="s">
        <v>113</v>
      </c>
      <c r="J660" s="19" t="s">
        <v>114</v>
      </c>
      <c r="K660" s="19" t="s">
        <v>115</v>
      </c>
      <c r="L660" s="18" t="s">
        <v>116</v>
      </c>
      <c r="M660" s="18" t="s">
        <v>1419</v>
      </c>
      <c r="N660" s="18" t="s">
        <v>118</v>
      </c>
      <c r="O660" s="20">
        <v>119000</v>
      </c>
      <c r="P660" s="20">
        <v>80920</v>
      </c>
      <c r="Q660" s="20">
        <v>1</v>
      </c>
      <c r="R660" s="20">
        <v>0</v>
      </c>
      <c r="S660" s="20">
        <v>0</v>
      </c>
      <c r="T660" s="20">
        <v>0</v>
      </c>
      <c r="U660" s="20">
        <v>0</v>
      </c>
      <c r="V660" s="20">
        <v>0</v>
      </c>
      <c r="W660" s="20">
        <v>32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119000</v>
      </c>
      <c r="AD660" s="20">
        <v>80920</v>
      </c>
      <c r="AE660" s="20">
        <v>0</v>
      </c>
      <c r="AF660" s="20">
        <v>0</v>
      </c>
      <c r="AG660" s="20">
        <v>119000</v>
      </c>
      <c r="AH660" s="20">
        <v>80920</v>
      </c>
      <c r="AI660" s="20">
        <v>34618</v>
      </c>
      <c r="AJ660" s="20">
        <v>3462</v>
      </c>
      <c r="AK660" s="20">
        <v>38080</v>
      </c>
    </row>
    <row r="661" spans="1:37" ht="24" x14ac:dyDescent="0.3">
      <c r="A661" s="18" t="s">
        <v>2129</v>
      </c>
      <c r="B661" s="18" t="s">
        <v>107</v>
      </c>
      <c r="C661" s="19" t="s">
        <v>108</v>
      </c>
      <c r="D661" s="18" t="s">
        <v>2130</v>
      </c>
      <c r="E661" s="19" t="s">
        <v>343</v>
      </c>
      <c r="F661" s="18" t="s">
        <v>110</v>
      </c>
      <c r="G661" s="18" t="s">
        <v>111</v>
      </c>
      <c r="H661" s="19" t="s">
        <v>112</v>
      </c>
      <c r="I661" s="18" t="s">
        <v>113</v>
      </c>
      <c r="J661" s="19" t="s">
        <v>114</v>
      </c>
      <c r="K661" s="19" t="s">
        <v>115</v>
      </c>
      <c r="L661" s="18" t="s">
        <v>116</v>
      </c>
      <c r="M661" s="18" t="s">
        <v>1419</v>
      </c>
      <c r="N661" s="18" t="s">
        <v>118</v>
      </c>
      <c r="O661" s="20">
        <v>119000</v>
      </c>
      <c r="P661" s="20">
        <v>80920</v>
      </c>
      <c r="Q661" s="20">
        <v>1</v>
      </c>
      <c r="R661" s="20">
        <v>0</v>
      </c>
      <c r="S661" s="20">
        <v>0</v>
      </c>
      <c r="T661" s="20">
        <v>0</v>
      </c>
      <c r="U661" s="20">
        <v>0</v>
      </c>
      <c r="V661" s="20">
        <v>0</v>
      </c>
      <c r="W661" s="20">
        <v>32</v>
      </c>
      <c r="X661" s="20">
        <v>5950</v>
      </c>
      <c r="Y661" s="20">
        <v>0</v>
      </c>
      <c r="Z661" s="20">
        <v>0</v>
      </c>
      <c r="AA661" s="20">
        <v>0</v>
      </c>
      <c r="AB661" s="20">
        <v>0</v>
      </c>
      <c r="AC661" s="20">
        <v>119000</v>
      </c>
      <c r="AD661" s="20">
        <v>80920</v>
      </c>
      <c r="AE661" s="20">
        <v>0</v>
      </c>
      <c r="AF661" s="20">
        <v>5950</v>
      </c>
      <c r="AG661" s="20">
        <v>113050</v>
      </c>
      <c r="AH661" s="20">
        <v>80920</v>
      </c>
      <c r="AI661" s="20">
        <v>29209</v>
      </c>
      <c r="AJ661" s="20">
        <v>2921</v>
      </c>
      <c r="AK661" s="20">
        <v>32130</v>
      </c>
    </row>
    <row r="662" spans="1:37" ht="24" x14ac:dyDescent="0.3">
      <c r="A662" s="18" t="s">
        <v>2131</v>
      </c>
      <c r="B662" s="18" t="s">
        <v>107</v>
      </c>
      <c r="C662" s="19" t="s">
        <v>108</v>
      </c>
      <c r="D662" s="18" t="s">
        <v>2132</v>
      </c>
      <c r="E662" s="19" t="s">
        <v>888</v>
      </c>
      <c r="F662" s="18" t="s">
        <v>110</v>
      </c>
      <c r="G662" s="18" t="s">
        <v>111</v>
      </c>
      <c r="H662" s="19" t="s">
        <v>112</v>
      </c>
      <c r="I662" s="18" t="s">
        <v>113</v>
      </c>
      <c r="J662" s="19" t="s">
        <v>114</v>
      </c>
      <c r="K662" s="19" t="s">
        <v>115</v>
      </c>
      <c r="L662" s="18" t="s">
        <v>116</v>
      </c>
      <c r="M662" s="18" t="s">
        <v>1419</v>
      </c>
      <c r="N662" s="18" t="s">
        <v>118</v>
      </c>
      <c r="O662" s="20">
        <v>119000</v>
      </c>
      <c r="P662" s="20">
        <v>80920</v>
      </c>
      <c r="Q662" s="20">
        <v>1</v>
      </c>
      <c r="R662" s="20">
        <v>0</v>
      </c>
      <c r="S662" s="20">
        <v>0</v>
      </c>
      <c r="T662" s="20">
        <v>0</v>
      </c>
      <c r="U662" s="20">
        <v>0</v>
      </c>
      <c r="V662" s="20">
        <v>0</v>
      </c>
      <c r="W662" s="20">
        <v>32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119000</v>
      </c>
      <c r="AD662" s="20">
        <v>80920</v>
      </c>
      <c r="AE662" s="20">
        <v>0</v>
      </c>
      <c r="AF662" s="20">
        <v>0</v>
      </c>
      <c r="AG662" s="20">
        <v>119000</v>
      </c>
      <c r="AH662" s="20">
        <v>80920</v>
      </c>
      <c r="AI662" s="20">
        <v>34618</v>
      </c>
      <c r="AJ662" s="20">
        <v>3462</v>
      </c>
      <c r="AK662" s="20">
        <v>38080</v>
      </c>
    </row>
    <row r="663" spans="1:37" ht="24" x14ac:dyDescent="0.3">
      <c r="A663" s="18" t="s">
        <v>2133</v>
      </c>
      <c r="B663" s="18" t="s">
        <v>107</v>
      </c>
      <c r="C663" s="19" t="s">
        <v>108</v>
      </c>
      <c r="D663" s="18" t="s">
        <v>2134</v>
      </c>
      <c r="E663" s="19" t="s">
        <v>2135</v>
      </c>
      <c r="F663" s="18" t="s">
        <v>110</v>
      </c>
      <c r="G663" s="18" t="s">
        <v>111</v>
      </c>
      <c r="H663" s="19" t="s">
        <v>112</v>
      </c>
      <c r="I663" s="18" t="s">
        <v>113</v>
      </c>
      <c r="J663" s="19" t="s">
        <v>114</v>
      </c>
      <c r="K663" s="19" t="s">
        <v>115</v>
      </c>
      <c r="L663" s="18" t="s">
        <v>116</v>
      </c>
      <c r="M663" s="18" t="s">
        <v>1419</v>
      </c>
      <c r="N663" s="18" t="s">
        <v>118</v>
      </c>
      <c r="O663" s="20">
        <v>119000</v>
      </c>
      <c r="P663" s="20">
        <v>80920</v>
      </c>
      <c r="Q663" s="20">
        <v>1</v>
      </c>
      <c r="R663" s="20">
        <v>0</v>
      </c>
      <c r="S663" s="20">
        <v>0</v>
      </c>
      <c r="T663" s="20">
        <v>0</v>
      </c>
      <c r="U663" s="20">
        <v>0</v>
      </c>
      <c r="V663" s="20">
        <v>0</v>
      </c>
      <c r="W663" s="20">
        <v>32</v>
      </c>
      <c r="X663" s="20">
        <v>0</v>
      </c>
      <c r="Y663" s="20">
        <v>15000</v>
      </c>
      <c r="Z663" s="20">
        <v>0</v>
      </c>
      <c r="AA663" s="20">
        <v>0</v>
      </c>
      <c r="AB663" s="20">
        <v>5200</v>
      </c>
      <c r="AC663" s="20">
        <v>119000</v>
      </c>
      <c r="AD663" s="20">
        <v>80920</v>
      </c>
      <c r="AE663" s="20">
        <v>0</v>
      </c>
      <c r="AF663" s="20">
        <v>20200</v>
      </c>
      <c r="AG663" s="20">
        <v>98800</v>
      </c>
      <c r="AH663" s="20">
        <v>80920</v>
      </c>
      <c r="AI663" s="20">
        <v>16255</v>
      </c>
      <c r="AJ663" s="20">
        <v>1625</v>
      </c>
      <c r="AK663" s="20">
        <v>17880</v>
      </c>
    </row>
    <row r="664" spans="1:37" ht="24" x14ac:dyDescent="0.3">
      <c r="A664" s="18" t="s">
        <v>2136</v>
      </c>
      <c r="B664" s="18" t="s">
        <v>107</v>
      </c>
      <c r="C664" s="19" t="s">
        <v>108</v>
      </c>
      <c r="D664" s="18" t="s">
        <v>2137</v>
      </c>
      <c r="E664" s="19" t="s">
        <v>2138</v>
      </c>
      <c r="F664" s="18" t="s">
        <v>110</v>
      </c>
      <c r="G664" s="18" t="s">
        <v>111</v>
      </c>
      <c r="H664" s="19" t="s">
        <v>112</v>
      </c>
      <c r="I664" s="18" t="s">
        <v>113</v>
      </c>
      <c r="J664" s="19" t="s">
        <v>114</v>
      </c>
      <c r="K664" s="19" t="s">
        <v>123</v>
      </c>
      <c r="L664" s="18" t="s">
        <v>116</v>
      </c>
      <c r="M664" s="18" t="s">
        <v>1419</v>
      </c>
      <c r="N664" s="18" t="s">
        <v>118</v>
      </c>
      <c r="O664" s="20">
        <v>119000</v>
      </c>
      <c r="P664" s="20">
        <v>80920</v>
      </c>
      <c r="Q664" s="20">
        <v>1</v>
      </c>
      <c r="R664" s="20">
        <v>0</v>
      </c>
      <c r="S664" s="20">
        <v>0</v>
      </c>
      <c r="T664" s="20">
        <v>0</v>
      </c>
      <c r="U664" s="20">
        <v>0</v>
      </c>
      <c r="V664" s="20">
        <v>0</v>
      </c>
      <c r="W664" s="20">
        <v>32</v>
      </c>
      <c r="X664" s="20">
        <v>0</v>
      </c>
      <c r="Y664" s="20">
        <v>5950</v>
      </c>
      <c r="Z664" s="20">
        <v>0</v>
      </c>
      <c r="AA664" s="20">
        <v>0</v>
      </c>
      <c r="AB664" s="20">
        <v>0</v>
      </c>
      <c r="AC664" s="20">
        <v>119000</v>
      </c>
      <c r="AD664" s="20">
        <v>80920</v>
      </c>
      <c r="AE664" s="20">
        <v>0</v>
      </c>
      <c r="AF664" s="20">
        <v>5950</v>
      </c>
      <c r="AG664" s="20">
        <v>113050</v>
      </c>
      <c r="AH664" s="20">
        <v>80920</v>
      </c>
      <c r="AI664" s="20">
        <v>29209</v>
      </c>
      <c r="AJ664" s="20">
        <v>2921</v>
      </c>
      <c r="AK664" s="20">
        <v>32130</v>
      </c>
    </row>
    <row r="665" spans="1:37" ht="24" x14ac:dyDescent="0.3">
      <c r="A665" s="18" t="s">
        <v>2139</v>
      </c>
      <c r="B665" s="18" t="s">
        <v>107</v>
      </c>
      <c r="C665" s="19" t="s">
        <v>108</v>
      </c>
      <c r="D665" s="18" t="s">
        <v>1515</v>
      </c>
      <c r="E665" s="19" t="s">
        <v>1516</v>
      </c>
      <c r="F665" s="18" t="s">
        <v>110</v>
      </c>
      <c r="G665" s="18" t="s">
        <v>111</v>
      </c>
      <c r="H665" s="19" t="s">
        <v>112</v>
      </c>
      <c r="I665" s="18" t="s">
        <v>113</v>
      </c>
      <c r="J665" s="19" t="s">
        <v>114</v>
      </c>
      <c r="K665" s="19" t="s">
        <v>115</v>
      </c>
      <c r="L665" s="18" t="s">
        <v>116</v>
      </c>
      <c r="M665" s="18" t="s">
        <v>1419</v>
      </c>
      <c r="N665" s="18" t="s">
        <v>118</v>
      </c>
      <c r="O665" s="20">
        <v>119000</v>
      </c>
      <c r="P665" s="20">
        <v>80920</v>
      </c>
      <c r="Q665" s="20">
        <v>1</v>
      </c>
      <c r="R665" s="20">
        <v>0</v>
      </c>
      <c r="S665" s="20">
        <v>0</v>
      </c>
      <c r="T665" s="20">
        <v>0</v>
      </c>
      <c r="U665" s="20">
        <v>0</v>
      </c>
      <c r="V665" s="20">
        <v>0</v>
      </c>
      <c r="W665" s="20">
        <v>32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20">
        <v>119000</v>
      </c>
      <c r="AD665" s="20">
        <v>80920</v>
      </c>
      <c r="AE665" s="20">
        <v>0</v>
      </c>
      <c r="AF665" s="20">
        <v>0</v>
      </c>
      <c r="AG665" s="20">
        <v>119000</v>
      </c>
      <c r="AH665" s="20">
        <v>80920</v>
      </c>
      <c r="AI665" s="20">
        <v>34618</v>
      </c>
      <c r="AJ665" s="20">
        <v>3462</v>
      </c>
      <c r="AK665" s="20">
        <v>38080</v>
      </c>
    </row>
    <row r="666" spans="1:37" ht="24" x14ac:dyDescent="0.3">
      <c r="A666" s="18" t="s">
        <v>2140</v>
      </c>
      <c r="B666" s="18" t="s">
        <v>107</v>
      </c>
      <c r="C666" s="19" t="s">
        <v>108</v>
      </c>
      <c r="D666" s="18" t="s">
        <v>2141</v>
      </c>
      <c r="E666" s="19" t="s">
        <v>2142</v>
      </c>
      <c r="F666" s="18" t="s">
        <v>110</v>
      </c>
      <c r="G666" s="18" t="s">
        <v>111</v>
      </c>
      <c r="H666" s="19" t="s">
        <v>112</v>
      </c>
      <c r="I666" s="18" t="s">
        <v>113</v>
      </c>
      <c r="J666" s="19" t="s">
        <v>114</v>
      </c>
      <c r="K666" s="19" t="s">
        <v>115</v>
      </c>
      <c r="L666" s="18" t="s">
        <v>116</v>
      </c>
      <c r="M666" s="18" t="s">
        <v>1419</v>
      </c>
      <c r="N666" s="18" t="s">
        <v>118</v>
      </c>
      <c r="O666" s="20">
        <v>119000</v>
      </c>
      <c r="P666" s="20">
        <v>80920</v>
      </c>
      <c r="Q666" s="20">
        <v>1</v>
      </c>
      <c r="R666" s="20">
        <v>0</v>
      </c>
      <c r="S666" s="20">
        <v>0</v>
      </c>
      <c r="T666" s="20">
        <v>0</v>
      </c>
      <c r="U666" s="20">
        <v>0</v>
      </c>
      <c r="V666" s="20">
        <v>0</v>
      </c>
      <c r="W666" s="20">
        <v>32</v>
      </c>
      <c r="X666" s="20">
        <v>0</v>
      </c>
      <c r="Y666" s="20">
        <v>0</v>
      </c>
      <c r="Z666" s="20">
        <v>0</v>
      </c>
      <c r="AA666" s="20">
        <v>0</v>
      </c>
      <c r="AB666" s="20">
        <v>0</v>
      </c>
      <c r="AC666" s="20">
        <v>119000</v>
      </c>
      <c r="AD666" s="20">
        <v>80920</v>
      </c>
      <c r="AE666" s="20">
        <v>0</v>
      </c>
      <c r="AF666" s="20">
        <v>0</v>
      </c>
      <c r="AG666" s="20">
        <v>119000</v>
      </c>
      <c r="AH666" s="20">
        <v>80920</v>
      </c>
      <c r="AI666" s="20">
        <v>34618</v>
      </c>
      <c r="AJ666" s="20">
        <v>3462</v>
      </c>
      <c r="AK666" s="20">
        <v>38080</v>
      </c>
    </row>
    <row r="667" spans="1:37" ht="24" x14ac:dyDescent="0.3">
      <c r="A667" s="18" t="s">
        <v>2143</v>
      </c>
      <c r="B667" s="18" t="s">
        <v>107</v>
      </c>
      <c r="C667" s="19" t="s">
        <v>108</v>
      </c>
      <c r="D667" s="18" t="s">
        <v>2144</v>
      </c>
      <c r="E667" s="19" t="s">
        <v>154</v>
      </c>
      <c r="F667" s="18" t="s">
        <v>110</v>
      </c>
      <c r="G667" s="18" t="s">
        <v>111</v>
      </c>
      <c r="H667" s="19" t="s">
        <v>112</v>
      </c>
      <c r="I667" s="18" t="s">
        <v>113</v>
      </c>
      <c r="J667" s="19" t="s">
        <v>114</v>
      </c>
      <c r="K667" s="19" t="s">
        <v>115</v>
      </c>
      <c r="L667" s="18" t="s">
        <v>116</v>
      </c>
      <c r="M667" s="18" t="s">
        <v>1419</v>
      </c>
      <c r="N667" s="18" t="s">
        <v>118</v>
      </c>
      <c r="O667" s="20">
        <v>119000</v>
      </c>
      <c r="P667" s="20">
        <v>80920</v>
      </c>
      <c r="Q667" s="20">
        <v>1</v>
      </c>
      <c r="R667" s="20">
        <v>0</v>
      </c>
      <c r="S667" s="20">
        <v>0</v>
      </c>
      <c r="T667" s="20">
        <v>0</v>
      </c>
      <c r="U667" s="20">
        <v>0</v>
      </c>
      <c r="V667" s="20">
        <v>0</v>
      </c>
      <c r="W667" s="20">
        <v>32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119000</v>
      </c>
      <c r="AD667" s="20">
        <v>80920</v>
      </c>
      <c r="AE667" s="20">
        <v>0</v>
      </c>
      <c r="AF667" s="20">
        <v>0</v>
      </c>
      <c r="AG667" s="20">
        <v>119000</v>
      </c>
      <c r="AH667" s="20">
        <v>80920</v>
      </c>
      <c r="AI667" s="20">
        <v>34618</v>
      </c>
      <c r="AJ667" s="20">
        <v>3462</v>
      </c>
      <c r="AK667" s="20">
        <v>38080</v>
      </c>
    </row>
    <row r="668" spans="1:37" ht="24" x14ac:dyDescent="0.3">
      <c r="A668" s="18" t="s">
        <v>2145</v>
      </c>
      <c r="B668" s="18" t="s">
        <v>107</v>
      </c>
      <c r="C668" s="19" t="s">
        <v>108</v>
      </c>
      <c r="D668" s="18" t="s">
        <v>2146</v>
      </c>
      <c r="E668" s="19" t="s">
        <v>993</v>
      </c>
      <c r="F668" s="18" t="s">
        <v>110</v>
      </c>
      <c r="G668" s="18" t="s">
        <v>111</v>
      </c>
      <c r="H668" s="19" t="s">
        <v>112</v>
      </c>
      <c r="I668" s="18" t="s">
        <v>113</v>
      </c>
      <c r="J668" s="19" t="s">
        <v>114</v>
      </c>
      <c r="K668" s="19" t="s">
        <v>115</v>
      </c>
      <c r="L668" s="18" t="s">
        <v>116</v>
      </c>
      <c r="M668" s="18" t="s">
        <v>1419</v>
      </c>
      <c r="N668" s="18" t="s">
        <v>118</v>
      </c>
      <c r="O668" s="20">
        <v>119000</v>
      </c>
      <c r="P668" s="20">
        <v>80920</v>
      </c>
      <c r="Q668" s="20">
        <v>1</v>
      </c>
      <c r="R668" s="20">
        <v>0</v>
      </c>
      <c r="S668" s="20">
        <v>0</v>
      </c>
      <c r="T668" s="20">
        <v>0</v>
      </c>
      <c r="U668" s="20">
        <v>0</v>
      </c>
      <c r="V668" s="20">
        <v>0</v>
      </c>
      <c r="W668" s="20">
        <v>32</v>
      </c>
      <c r="X668" s="20">
        <v>23800</v>
      </c>
      <c r="Y668" s="20">
        <v>0</v>
      </c>
      <c r="Z668" s="20">
        <v>0</v>
      </c>
      <c r="AA668" s="20">
        <v>0</v>
      </c>
      <c r="AB668" s="20">
        <v>0</v>
      </c>
      <c r="AC668" s="20">
        <v>119000</v>
      </c>
      <c r="AD668" s="20">
        <v>80920</v>
      </c>
      <c r="AE668" s="20">
        <v>0</v>
      </c>
      <c r="AF668" s="20">
        <v>23800</v>
      </c>
      <c r="AG668" s="20">
        <v>95200</v>
      </c>
      <c r="AH668" s="20">
        <v>80920</v>
      </c>
      <c r="AI668" s="20">
        <v>12982</v>
      </c>
      <c r="AJ668" s="20">
        <v>1298</v>
      </c>
      <c r="AK668" s="20">
        <v>14280</v>
      </c>
    </row>
    <row r="669" spans="1:37" ht="24" x14ac:dyDescent="0.3">
      <c r="A669" s="18" t="s">
        <v>2147</v>
      </c>
      <c r="B669" s="18" t="s">
        <v>107</v>
      </c>
      <c r="C669" s="19" t="s">
        <v>108</v>
      </c>
      <c r="D669" s="18" t="s">
        <v>2148</v>
      </c>
      <c r="E669" s="19" t="s">
        <v>617</v>
      </c>
      <c r="F669" s="18" t="s">
        <v>110</v>
      </c>
      <c r="G669" s="18" t="s">
        <v>111</v>
      </c>
      <c r="H669" s="19" t="s">
        <v>112</v>
      </c>
      <c r="I669" s="18" t="s">
        <v>113</v>
      </c>
      <c r="J669" s="19" t="s">
        <v>114</v>
      </c>
      <c r="K669" s="19" t="s">
        <v>115</v>
      </c>
      <c r="L669" s="18" t="s">
        <v>116</v>
      </c>
      <c r="M669" s="18" t="s">
        <v>1419</v>
      </c>
      <c r="N669" s="18" t="s">
        <v>118</v>
      </c>
      <c r="O669" s="20">
        <v>119000</v>
      </c>
      <c r="P669" s="20">
        <v>80920</v>
      </c>
      <c r="Q669" s="20">
        <v>1</v>
      </c>
      <c r="R669" s="20">
        <v>0</v>
      </c>
      <c r="S669" s="20">
        <v>0</v>
      </c>
      <c r="T669" s="20">
        <v>0</v>
      </c>
      <c r="U669" s="20">
        <v>0</v>
      </c>
      <c r="V669" s="20">
        <v>0</v>
      </c>
      <c r="W669" s="20">
        <v>32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119000</v>
      </c>
      <c r="AD669" s="20">
        <v>80920</v>
      </c>
      <c r="AE669" s="20">
        <v>0</v>
      </c>
      <c r="AF669" s="20">
        <v>0</v>
      </c>
      <c r="AG669" s="20">
        <v>119000</v>
      </c>
      <c r="AH669" s="20">
        <v>80920</v>
      </c>
      <c r="AI669" s="20">
        <v>34618</v>
      </c>
      <c r="AJ669" s="20">
        <v>3462</v>
      </c>
      <c r="AK669" s="20">
        <v>38080</v>
      </c>
    </row>
    <row r="670" spans="1:37" ht="24" x14ac:dyDescent="0.3">
      <c r="A670" s="18" t="s">
        <v>2149</v>
      </c>
      <c r="B670" s="18" t="s">
        <v>107</v>
      </c>
      <c r="C670" s="19" t="s">
        <v>108</v>
      </c>
      <c r="D670" s="18" t="s">
        <v>2150</v>
      </c>
      <c r="E670" s="19" t="s">
        <v>154</v>
      </c>
      <c r="F670" s="18" t="s">
        <v>110</v>
      </c>
      <c r="G670" s="18" t="s">
        <v>111</v>
      </c>
      <c r="H670" s="19" t="s">
        <v>112</v>
      </c>
      <c r="I670" s="18" t="s">
        <v>113</v>
      </c>
      <c r="J670" s="19" t="s">
        <v>114</v>
      </c>
      <c r="K670" s="19" t="s">
        <v>115</v>
      </c>
      <c r="L670" s="18" t="s">
        <v>116</v>
      </c>
      <c r="M670" s="18" t="s">
        <v>1419</v>
      </c>
      <c r="N670" s="18" t="s">
        <v>118</v>
      </c>
      <c r="O670" s="20">
        <v>119000</v>
      </c>
      <c r="P670" s="20">
        <v>80920</v>
      </c>
      <c r="Q670" s="20">
        <v>1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32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119000</v>
      </c>
      <c r="AD670" s="20">
        <v>80920</v>
      </c>
      <c r="AE670" s="20">
        <v>0</v>
      </c>
      <c r="AF670" s="20">
        <v>0</v>
      </c>
      <c r="AG670" s="20">
        <v>119000</v>
      </c>
      <c r="AH670" s="20">
        <v>80920</v>
      </c>
      <c r="AI670" s="20">
        <v>34618</v>
      </c>
      <c r="AJ670" s="20">
        <v>3462</v>
      </c>
      <c r="AK670" s="20">
        <v>38080</v>
      </c>
    </row>
    <row r="671" spans="1:37" ht="24" x14ac:dyDescent="0.3">
      <c r="A671" s="18" t="s">
        <v>2151</v>
      </c>
      <c r="B671" s="18" t="s">
        <v>107</v>
      </c>
      <c r="C671" s="19" t="s">
        <v>108</v>
      </c>
      <c r="D671" s="18" t="s">
        <v>2152</v>
      </c>
      <c r="E671" s="19" t="s">
        <v>169</v>
      </c>
      <c r="F671" s="18" t="s">
        <v>110</v>
      </c>
      <c r="G671" s="18" t="s">
        <v>111</v>
      </c>
      <c r="H671" s="19" t="s">
        <v>112</v>
      </c>
      <c r="I671" s="18" t="s">
        <v>113</v>
      </c>
      <c r="J671" s="19" t="s">
        <v>114</v>
      </c>
      <c r="K671" s="19" t="s">
        <v>115</v>
      </c>
      <c r="L671" s="18" t="s">
        <v>116</v>
      </c>
      <c r="M671" s="18" t="s">
        <v>1419</v>
      </c>
      <c r="N671" s="18" t="s">
        <v>118</v>
      </c>
      <c r="O671" s="20">
        <v>119000</v>
      </c>
      <c r="P671" s="20">
        <v>80920</v>
      </c>
      <c r="Q671" s="20">
        <v>1</v>
      </c>
      <c r="R671" s="20">
        <v>0</v>
      </c>
      <c r="S671" s="20">
        <v>0</v>
      </c>
      <c r="T671" s="20">
        <v>0</v>
      </c>
      <c r="U671" s="20">
        <v>0</v>
      </c>
      <c r="V671" s="20">
        <v>0</v>
      </c>
      <c r="W671" s="20">
        <v>32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119000</v>
      </c>
      <c r="AD671" s="20">
        <v>80920</v>
      </c>
      <c r="AE671" s="20">
        <v>0</v>
      </c>
      <c r="AF671" s="20">
        <v>0</v>
      </c>
      <c r="AG671" s="20">
        <v>119000</v>
      </c>
      <c r="AH671" s="20">
        <v>80920</v>
      </c>
      <c r="AI671" s="20">
        <v>34618</v>
      </c>
      <c r="AJ671" s="20">
        <v>3462</v>
      </c>
      <c r="AK671" s="20">
        <v>38080</v>
      </c>
    </row>
    <row r="672" spans="1:37" ht="24" x14ac:dyDescent="0.3">
      <c r="A672" s="18" t="s">
        <v>2153</v>
      </c>
      <c r="B672" s="18" t="s">
        <v>107</v>
      </c>
      <c r="C672" s="19" t="s">
        <v>108</v>
      </c>
      <c r="D672" s="18" t="s">
        <v>2154</v>
      </c>
      <c r="E672" s="19" t="s">
        <v>303</v>
      </c>
      <c r="F672" s="18" t="s">
        <v>110</v>
      </c>
      <c r="G672" s="18" t="s">
        <v>111</v>
      </c>
      <c r="H672" s="19" t="s">
        <v>112</v>
      </c>
      <c r="I672" s="18" t="s">
        <v>113</v>
      </c>
      <c r="J672" s="19" t="s">
        <v>114</v>
      </c>
      <c r="K672" s="19" t="s">
        <v>115</v>
      </c>
      <c r="L672" s="18" t="s">
        <v>116</v>
      </c>
      <c r="M672" s="18" t="s">
        <v>1419</v>
      </c>
      <c r="N672" s="18" t="s">
        <v>118</v>
      </c>
      <c r="O672" s="20">
        <v>119000</v>
      </c>
      <c r="P672" s="20">
        <v>80920</v>
      </c>
      <c r="Q672" s="20">
        <v>1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32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119000</v>
      </c>
      <c r="AD672" s="20">
        <v>80920</v>
      </c>
      <c r="AE672" s="20">
        <v>0</v>
      </c>
      <c r="AF672" s="20">
        <v>0</v>
      </c>
      <c r="AG672" s="20">
        <v>119000</v>
      </c>
      <c r="AH672" s="20">
        <v>80920</v>
      </c>
      <c r="AI672" s="20">
        <v>34618</v>
      </c>
      <c r="AJ672" s="20">
        <v>3462</v>
      </c>
      <c r="AK672" s="20">
        <v>38080</v>
      </c>
    </row>
    <row r="673" spans="1:37" ht="24" x14ac:dyDescent="0.3">
      <c r="A673" s="18" t="s">
        <v>2155</v>
      </c>
      <c r="B673" s="18" t="s">
        <v>107</v>
      </c>
      <c r="C673" s="19" t="s">
        <v>108</v>
      </c>
      <c r="D673" s="18" t="s">
        <v>2156</v>
      </c>
      <c r="E673" s="19" t="s">
        <v>2157</v>
      </c>
      <c r="F673" s="18" t="s">
        <v>110</v>
      </c>
      <c r="G673" s="18" t="s">
        <v>111</v>
      </c>
      <c r="H673" s="19" t="s">
        <v>112</v>
      </c>
      <c r="I673" s="18" t="s">
        <v>113</v>
      </c>
      <c r="J673" s="19" t="s">
        <v>114</v>
      </c>
      <c r="K673" s="19" t="s">
        <v>115</v>
      </c>
      <c r="L673" s="18" t="s">
        <v>116</v>
      </c>
      <c r="M673" s="18" t="s">
        <v>1419</v>
      </c>
      <c r="N673" s="18" t="s">
        <v>118</v>
      </c>
      <c r="O673" s="20">
        <v>119000</v>
      </c>
      <c r="P673" s="20">
        <v>80920</v>
      </c>
      <c r="Q673" s="20">
        <v>1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32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119000</v>
      </c>
      <c r="AD673" s="20">
        <v>80920</v>
      </c>
      <c r="AE673" s="20">
        <v>0</v>
      </c>
      <c r="AF673" s="20">
        <v>0</v>
      </c>
      <c r="AG673" s="20">
        <v>119000</v>
      </c>
      <c r="AH673" s="20">
        <v>80920</v>
      </c>
      <c r="AI673" s="20">
        <v>34618</v>
      </c>
      <c r="AJ673" s="20">
        <v>3462</v>
      </c>
      <c r="AK673" s="20">
        <v>38080</v>
      </c>
    </row>
    <row r="674" spans="1:37" ht="24" x14ac:dyDescent="0.3">
      <c r="A674" s="18" t="s">
        <v>2158</v>
      </c>
      <c r="B674" s="18" t="s">
        <v>107</v>
      </c>
      <c r="C674" s="19" t="s">
        <v>108</v>
      </c>
      <c r="D674" s="18" t="s">
        <v>2159</v>
      </c>
      <c r="E674" s="19" t="s">
        <v>1837</v>
      </c>
      <c r="F674" s="18" t="s">
        <v>110</v>
      </c>
      <c r="G674" s="18" t="s">
        <v>111</v>
      </c>
      <c r="H674" s="19" t="s">
        <v>112</v>
      </c>
      <c r="I674" s="18" t="s">
        <v>113</v>
      </c>
      <c r="J674" s="19" t="s">
        <v>114</v>
      </c>
      <c r="K674" s="19" t="s">
        <v>115</v>
      </c>
      <c r="L674" s="18" t="s">
        <v>116</v>
      </c>
      <c r="M674" s="18" t="s">
        <v>1419</v>
      </c>
      <c r="N674" s="18" t="s">
        <v>118</v>
      </c>
      <c r="O674" s="20">
        <v>119000</v>
      </c>
      <c r="P674" s="20">
        <v>80920</v>
      </c>
      <c r="Q674" s="20">
        <v>1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32</v>
      </c>
      <c r="X674" s="20">
        <v>0</v>
      </c>
      <c r="Y674" s="20">
        <v>0</v>
      </c>
      <c r="Z674" s="20">
        <v>0</v>
      </c>
      <c r="AA674" s="20">
        <v>0</v>
      </c>
      <c r="AB674" s="20">
        <v>0</v>
      </c>
      <c r="AC674" s="20">
        <v>119000</v>
      </c>
      <c r="AD674" s="20">
        <v>80920</v>
      </c>
      <c r="AE674" s="20">
        <v>0</v>
      </c>
      <c r="AF674" s="20">
        <v>0</v>
      </c>
      <c r="AG674" s="20">
        <v>119000</v>
      </c>
      <c r="AH674" s="20">
        <v>80920</v>
      </c>
      <c r="AI674" s="20">
        <v>34618</v>
      </c>
      <c r="AJ674" s="20">
        <v>3462</v>
      </c>
      <c r="AK674" s="20">
        <v>38080</v>
      </c>
    </row>
    <row r="675" spans="1:37" ht="24" x14ac:dyDescent="0.3">
      <c r="A675" s="18" t="s">
        <v>2160</v>
      </c>
      <c r="B675" s="18" t="s">
        <v>107</v>
      </c>
      <c r="C675" s="19" t="s">
        <v>108</v>
      </c>
      <c r="D675" s="18" t="s">
        <v>2161</v>
      </c>
      <c r="E675" s="19" t="s">
        <v>139</v>
      </c>
      <c r="F675" s="18" t="s">
        <v>110</v>
      </c>
      <c r="G675" s="18" t="s">
        <v>111</v>
      </c>
      <c r="H675" s="19" t="s">
        <v>112</v>
      </c>
      <c r="I675" s="18" t="s">
        <v>113</v>
      </c>
      <c r="J675" s="19" t="s">
        <v>114</v>
      </c>
      <c r="K675" s="19" t="s">
        <v>115</v>
      </c>
      <c r="L675" s="18" t="s">
        <v>116</v>
      </c>
      <c r="M675" s="18" t="s">
        <v>1419</v>
      </c>
      <c r="N675" s="18" t="s">
        <v>118</v>
      </c>
      <c r="O675" s="20">
        <v>119000</v>
      </c>
      <c r="P675" s="20">
        <v>80920</v>
      </c>
      <c r="Q675" s="20">
        <v>1</v>
      </c>
      <c r="R675" s="20">
        <v>0</v>
      </c>
      <c r="S675" s="20">
        <v>0</v>
      </c>
      <c r="T675" s="20">
        <v>0</v>
      </c>
      <c r="U675" s="20">
        <v>0</v>
      </c>
      <c r="V675" s="20">
        <v>0</v>
      </c>
      <c r="W675" s="20">
        <v>32</v>
      </c>
      <c r="X675" s="20">
        <v>0</v>
      </c>
      <c r="Y675" s="20">
        <v>0</v>
      </c>
      <c r="Z675" s="20">
        <v>0</v>
      </c>
      <c r="AA675" s="20">
        <v>0</v>
      </c>
      <c r="AB675" s="20">
        <v>0</v>
      </c>
      <c r="AC675" s="20">
        <v>119000</v>
      </c>
      <c r="AD675" s="20">
        <v>80920</v>
      </c>
      <c r="AE675" s="20">
        <v>0</v>
      </c>
      <c r="AF675" s="20">
        <v>0</v>
      </c>
      <c r="AG675" s="20">
        <v>119000</v>
      </c>
      <c r="AH675" s="20">
        <v>80920</v>
      </c>
      <c r="AI675" s="20">
        <v>34618</v>
      </c>
      <c r="AJ675" s="20">
        <v>3462</v>
      </c>
      <c r="AK675" s="20">
        <v>38080</v>
      </c>
    </row>
    <row r="676" spans="1:37" ht="24" x14ac:dyDescent="0.3">
      <c r="A676" s="18" t="s">
        <v>2162</v>
      </c>
      <c r="B676" s="18" t="s">
        <v>107</v>
      </c>
      <c r="C676" s="19" t="s">
        <v>108</v>
      </c>
      <c r="D676" s="18" t="s">
        <v>2163</v>
      </c>
      <c r="E676" s="19" t="s">
        <v>2164</v>
      </c>
      <c r="F676" s="18" t="s">
        <v>110</v>
      </c>
      <c r="G676" s="18" t="s">
        <v>111</v>
      </c>
      <c r="H676" s="19" t="s">
        <v>112</v>
      </c>
      <c r="I676" s="18" t="s">
        <v>113</v>
      </c>
      <c r="J676" s="19" t="s">
        <v>114</v>
      </c>
      <c r="K676" s="19" t="s">
        <v>151</v>
      </c>
      <c r="L676" s="18" t="s">
        <v>116</v>
      </c>
      <c r="M676" s="18" t="s">
        <v>1419</v>
      </c>
      <c r="N676" s="18" t="s">
        <v>118</v>
      </c>
      <c r="O676" s="20">
        <v>119000</v>
      </c>
      <c r="P676" s="20">
        <v>80920</v>
      </c>
      <c r="Q676" s="20">
        <v>1</v>
      </c>
      <c r="R676" s="20">
        <v>0</v>
      </c>
      <c r="S676" s="20">
        <v>0</v>
      </c>
      <c r="T676" s="20">
        <v>0</v>
      </c>
      <c r="U676" s="20">
        <v>0</v>
      </c>
      <c r="V676" s="20">
        <v>0</v>
      </c>
      <c r="W676" s="20">
        <v>32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119000</v>
      </c>
      <c r="AD676" s="20">
        <v>80920</v>
      </c>
      <c r="AE676" s="20">
        <v>0</v>
      </c>
      <c r="AF676" s="20">
        <v>0</v>
      </c>
      <c r="AG676" s="20">
        <v>119000</v>
      </c>
      <c r="AH676" s="20">
        <v>80920</v>
      </c>
      <c r="AI676" s="20">
        <v>34618</v>
      </c>
      <c r="AJ676" s="20">
        <v>3462</v>
      </c>
      <c r="AK676" s="20">
        <v>38080</v>
      </c>
    </row>
    <row r="677" spans="1:37" ht="24" x14ac:dyDescent="0.3">
      <c r="A677" s="18" t="s">
        <v>2165</v>
      </c>
      <c r="B677" s="18" t="s">
        <v>107</v>
      </c>
      <c r="C677" s="19" t="s">
        <v>108</v>
      </c>
      <c r="D677" s="18" t="s">
        <v>2166</v>
      </c>
      <c r="E677" s="19" t="s">
        <v>690</v>
      </c>
      <c r="F677" s="18" t="s">
        <v>110</v>
      </c>
      <c r="G677" s="18" t="s">
        <v>111</v>
      </c>
      <c r="H677" s="19" t="s">
        <v>112</v>
      </c>
      <c r="I677" s="18" t="s">
        <v>113</v>
      </c>
      <c r="J677" s="19" t="s">
        <v>114</v>
      </c>
      <c r="K677" s="19" t="s">
        <v>115</v>
      </c>
      <c r="L677" s="18" t="s">
        <v>116</v>
      </c>
      <c r="M677" s="18" t="s">
        <v>1419</v>
      </c>
      <c r="N677" s="18" t="s">
        <v>118</v>
      </c>
      <c r="O677" s="20">
        <v>119000</v>
      </c>
      <c r="P677" s="20">
        <v>80920</v>
      </c>
      <c r="Q677" s="20">
        <v>1</v>
      </c>
      <c r="R677" s="20">
        <v>0</v>
      </c>
      <c r="S677" s="20">
        <v>0</v>
      </c>
      <c r="T677" s="20">
        <v>0</v>
      </c>
      <c r="U677" s="20">
        <v>0</v>
      </c>
      <c r="V677" s="20">
        <v>0</v>
      </c>
      <c r="W677" s="20">
        <v>32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119000</v>
      </c>
      <c r="AD677" s="20">
        <v>80920</v>
      </c>
      <c r="AE677" s="20">
        <v>0</v>
      </c>
      <c r="AF677" s="20">
        <v>0</v>
      </c>
      <c r="AG677" s="20">
        <v>119000</v>
      </c>
      <c r="AH677" s="20">
        <v>80920</v>
      </c>
      <c r="AI677" s="20">
        <v>34618</v>
      </c>
      <c r="AJ677" s="20">
        <v>3462</v>
      </c>
      <c r="AK677" s="20">
        <v>38080</v>
      </c>
    </row>
    <row r="678" spans="1:37" ht="24" x14ac:dyDescent="0.3">
      <c r="A678" s="18" t="s">
        <v>2167</v>
      </c>
      <c r="B678" s="18" t="s">
        <v>107</v>
      </c>
      <c r="C678" s="19" t="s">
        <v>108</v>
      </c>
      <c r="D678" s="18" t="s">
        <v>2168</v>
      </c>
      <c r="E678" s="19" t="s">
        <v>1184</v>
      </c>
      <c r="F678" s="18" t="s">
        <v>110</v>
      </c>
      <c r="G678" s="18" t="s">
        <v>111</v>
      </c>
      <c r="H678" s="19" t="s">
        <v>112</v>
      </c>
      <c r="I678" s="18" t="s">
        <v>113</v>
      </c>
      <c r="J678" s="19" t="s">
        <v>114</v>
      </c>
      <c r="K678" s="19" t="s">
        <v>115</v>
      </c>
      <c r="L678" s="18" t="s">
        <v>116</v>
      </c>
      <c r="M678" s="18" t="s">
        <v>1419</v>
      </c>
      <c r="N678" s="18" t="s">
        <v>118</v>
      </c>
      <c r="O678" s="20">
        <v>119000</v>
      </c>
      <c r="P678" s="20">
        <v>80920</v>
      </c>
      <c r="Q678" s="20">
        <v>1</v>
      </c>
      <c r="R678" s="20">
        <v>0</v>
      </c>
      <c r="S678" s="20">
        <v>0</v>
      </c>
      <c r="T678" s="20">
        <v>0</v>
      </c>
      <c r="U678" s="20">
        <v>0</v>
      </c>
      <c r="V678" s="20">
        <v>0</v>
      </c>
      <c r="W678" s="20">
        <v>32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119000</v>
      </c>
      <c r="AD678" s="20">
        <v>80920</v>
      </c>
      <c r="AE678" s="20">
        <v>0</v>
      </c>
      <c r="AF678" s="20">
        <v>0</v>
      </c>
      <c r="AG678" s="20">
        <v>119000</v>
      </c>
      <c r="AH678" s="20">
        <v>80920</v>
      </c>
      <c r="AI678" s="20">
        <v>34618</v>
      </c>
      <c r="AJ678" s="20">
        <v>3462</v>
      </c>
      <c r="AK678" s="20">
        <v>38080</v>
      </c>
    </row>
    <row r="679" spans="1:37" ht="24" x14ac:dyDescent="0.3">
      <c r="A679" s="18" t="s">
        <v>2169</v>
      </c>
      <c r="B679" s="18" t="s">
        <v>107</v>
      </c>
      <c r="C679" s="19" t="s">
        <v>108</v>
      </c>
      <c r="D679" s="18" t="s">
        <v>2170</v>
      </c>
      <c r="E679" s="19" t="s">
        <v>1245</v>
      </c>
      <c r="F679" s="18" t="s">
        <v>110</v>
      </c>
      <c r="G679" s="18" t="s">
        <v>111</v>
      </c>
      <c r="H679" s="19" t="s">
        <v>112</v>
      </c>
      <c r="I679" s="18" t="s">
        <v>113</v>
      </c>
      <c r="J679" s="19" t="s">
        <v>114</v>
      </c>
      <c r="K679" s="19" t="s">
        <v>115</v>
      </c>
      <c r="L679" s="18" t="s">
        <v>116</v>
      </c>
      <c r="M679" s="18" t="s">
        <v>1419</v>
      </c>
      <c r="N679" s="18" t="s">
        <v>118</v>
      </c>
      <c r="O679" s="20">
        <v>119000</v>
      </c>
      <c r="P679" s="20">
        <v>80920</v>
      </c>
      <c r="Q679" s="20">
        <v>1</v>
      </c>
      <c r="R679" s="20">
        <v>0</v>
      </c>
      <c r="S679" s="20">
        <v>0</v>
      </c>
      <c r="T679" s="20">
        <v>0</v>
      </c>
      <c r="U679" s="20">
        <v>0</v>
      </c>
      <c r="V679" s="20">
        <v>0</v>
      </c>
      <c r="W679" s="20">
        <v>32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119000</v>
      </c>
      <c r="AD679" s="20">
        <v>80920</v>
      </c>
      <c r="AE679" s="20">
        <v>0</v>
      </c>
      <c r="AF679" s="20">
        <v>0</v>
      </c>
      <c r="AG679" s="20">
        <v>119000</v>
      </c>
      <c r="AH679" s="20">
        <v>80920</v>
      </c>
      <c r="AI679" s="20">
        <v>34618</v>
      </c>
      <c r="AJ679" s="20">
        <v>3462</v>
      </c>
      <c r="AK679" s="20">
        <v>38080</v>
      </c>
    </row>
    <row r="680" spans="1:37" ht="24" x14ac:dyDescent="0.3">
      <c r="A680" s="18" t="s">
        <v>2171</v>
      </c>
      <c r="B680" s="18" t="s">
        <v>107</v>
      </c>
      <c r="C680" s="19" t="s">
        <v>108</v>
      </c>
      <c r="D680" s="18" t="s">
        <v>2172</v>
      </c>
      <c r="E680" s="19" t="s">
        <v>2173</v>
      </c>
      <c r="F680" s="18" t="s">
        <v>110</v>
      </c>
      <c r="G680" s="18" t="s">
        <v>111</v>
      </c>
      <c r="H680" s="19" t="s">
        <v>112</v>
      </c>
      <c r="I680" s="18" t="s">
        <v>113</v>
      </c>
      <c r="J680" s="19" t="s">
        <v>114</v>
      </c>
      <c r="K680" s="19" t="s">
        <v>115</v>
      </c>
      <c r="L680" s="18" t="s">
        <v>116</v>
      </c>
      <c r="M680" s="18" t="s">
        <v>1419</v>
      </c>
      <c r="N680" s="18" t="s">
        <v>118</v>
      </c>
      <c r="O680" s="20">
        <v>119000</v>
      </c>
      <c r="P680" s="20">
        <v>80920</v>
      </c>
      <c r="Q680" s="20">
        <v>1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32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119000</v>
      </c>
      <c r="AD680" s="20">
        <v>80920</v>
      </c>
      <c r="AE680" s="20">
        <v>0</v>
      </c>
      <c r="AF680" s="20">
        <v>0</v>
      </c>
      <c r="AG680" s="20">
        <v>119000</v>
      </c>
      <c r="AH680" s="20">
        <v>80920</v>
      </c>
      <c r="AI680" s="20">
        <v>34618</v>
      </c>
      <c r="AJ680" s="20">
        <v>3462</v>
      </c>
      <c r="AK680" s="20">
        <v>38080</v>
      </c>
    </row>
    <row r="681" spans="1:37" ht="24" x14ac:dyDescent="0.3">
      <c r="A681" s="18" t="s">
        <v>2174</v>
      </c>
      <c r="B681" s="18" t="s">
        <v>107</v>
      </c>
      <c r="C681" s="19" t="s">
        <v>108</v>
      </c>
      <c r="D681" s="18" t="s">
        <v>2175</v>
      </c>
      <c r="E681" s="19" t="s">
        <v>2176</v>
      </c>
      <c r="F681" s="18" t="s">
        <v>110</v>
      </c>
      <c r="G681" s="18" t="s">
        <v>111</v>
      </c>
      <c r="H681" s="19" t="s">
        <v>112</v>
      </c>
      <c r="I681" s="18" t="s">
        <v>113</v>
      </c>
      <c r="J681" s="19" t="s">
        <v>114</v>
      </c>
      <c r="K681" s="19" t="s">
        <v>115</v>
      </c>
      <c r="L681" s="18" t="s">
        <v>116</v>
      </c>
      <c r="M681" s="18" t="s">
        <v>1419</v>
      </c>
      <c r="N681" s="18" t="s">
        <v>118</v>
      </c>
      <c r="O681" s="20">
        <v>119000</v>
      </c>
      <c r="P681" s="20">
        <v>80920</v>
      </c>
      <c r="Q681" s="20">
        <v>1</v>
      </c>
      <c r="R681" s="20">
        <v>0</v>
      </c>
      <c r="S681" s="20">
        <v>0</v>
      </c>
      <c r="T681" s="20">
        <v>0</v>
      </c>
      <c r="U681" s="20">
        <v>0</v>
      </c>
      <c r="V681" s="20">
        <v>0</v>
      </c>
      <c r="W681" s="20">
        <v>32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119000</v>
      </c>
      <c r="AD681" s="20">
        <v>80920</v>
      </c>
      <c r="AE681" s="20">
        <v>0</v>
      </c>
      <c r="AF681" s="20">
        <v>0</v>
      </c>
      <c r="AG681" s="20">
        <v>119000</v>
      </c>
      <c r="AH681" s="20">
        <v>80920</v>
      </c>
      <c r="AI681" s="20">
        <v>34618</v>
      </c>
      <c r="AJ681" s="20">
        <v>3462</v>
      </c>
      <c r="AK681" s="20">
        <v>38080</v>
      </c>
    </row>
    <row r="682" spans="1:37" ht="24" x14ac:dyDescent="0.3">
      <c r="A682" s="18" t="s">
        <v>2177</v>
      </c>
      <c r="B682" s="18" t="s">
        <v>107</v>
      </c>
      <c r="C682" s="19" t="s">
        <v>108</v>
      </c>
      <c r="D682" s="18" t="s">
        <v>2178</v>
      </c>
      <c r="E682" s="19" t="s">
        <v>2179</v>
      </c>
      <c r="F682" s="18" t="s">
        <v>110</v>
      </c>
      <c r="G682" s="18" t="s">
        <v>111</v>
      </c>
      <c r="H682" s="19" t="s">
        <v>112</v>
      </c>
      <c r="I682" s="18" t="s">
        <v>113</v>
      </c>
      <c r="J682" s="19" t="s">
        <v>114</v>
      </c>
      <c r="K682" s="19" t="s">
        <v>115</v>
      </c>
      <c r="L682" s="18" t="s">
        <v>116</v>
      </c>
      <c r="M682" s="18" t="s">
        <v>1419</v>
      </c>
      <c r="N682" s="18" t="s">
        <v>118</v>
      </c>
      <c r="O682" s="20">
        <v>119000</v>
      </c>
      <c r="P682" s="20">
        <v>80920</v>
      </c>
      <c r="Q682" s="20">
        <v>1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32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119000</v>
      </c>
      <c r="AD682" s="20">
        <v>80920</v>
      </c>
      <c r="AE682" s="20">
        <v>0</v>
      </c>
      <c r="AF682" s="20">
        <v>0</v>
      </c>
      <c r="AG682" s="20">
        <v>119000</v>
      </c>
      <c r="AH682" s="20">
        <v>80920</v>
      </c>
      <c r="AI682" s="20">
        <v>34618</v>
      </c>
      <c r="AJ682" s="20">
        <v>3462</v>
      </c>
      <c r="AK682" s="20">
        <v>38080</v>
      </c>
    </row>
    <row r="683" spans="1:37" ht="24" x14ac:dyDescent="0.3">
      <c r="A683" s="18" t="s">
        <v>2180</v>
      </c>
      <c r="B683" s="18" t="s">
        <v>107</v>
      </c>
      <c r="C683" s="19" t="s">
        <v>108</v>
      </c>
      <c r="D683" s="18" t="s">
        <v>2181</v>
      </c>
      <c r="E683" s="19" t="s">
        <v>2182</v>
      </c>
      <c r="F683" s="18" t="s">
        <v>110</v>
      </c>
      <c r="G683" s="18" t="s">
        <v>111</v>
      </c>
      <c r="H683" s="19" t="s">
        <v>112</v>
      </c>
      <c r="I683" s="18" t="s">
        <v>113</v>
      </c>
      <c r="J683" s="19" t="s">
        <v>114</v>
      </c>
      <c r="K683" s="19" t="s">
        <v>115</v>
      </c>
      <c r="L683" s="18" t="s">
        <v>116</v>
      </c>
      <c r="M683" s="18" t="s">
        <v>1419</v>
      </c>
      <c r="N683" s="18" t="s">
        <v>118</v>
      </c>
      <c r="O683" s="20">
        <v>119000</v>
      </c>
      <c r="P683" s="20">
        <v>80920</v>
      </c>
      <c r="Q683" s="20">
        <v>1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32</v>
      </c>
      <c r="X683" s="20">
        <v>0</v>
      </c>
      <c r="Y683" s="20">
        <v>0</v>
      </c>
      <c r="Z683" s="20">
        <v>0</v>
      </c>
      <c r="AA683" s="20">
        <v>0</v>
      </c>
      <c r="AB683" s="20">
        <v>0</v>
      </c>
      <c r="AC683" s="20">
        <v>119000</v>
      </c>
      <c r="AD683" s="20">
        <v>80920</v>
      </c>
      <c r="AE683" s="20">
        <v>0</v>
      </c>
      <c r="AF683" s="20">
        <v>0</v>
      </c>
      <c r="AG683" s="20">
        <v>119000</v>
      </c>
      <c r="AH683" s="20">
        <v>80920</v>
      </c>
      <c r="AI683" s="20">
        <v>34618</v>
      </c>
      <c r="AJ683" s="20">
        <v>3462</v>
      </c>
      <c r="AK683" s="20">
        <v>38080</v>
      </c>
    </row>
    <row r="684" spans="1:37" ht="24" x14ac:dyDescent="0.3">
      <c r="A684" s="18" t="s">
        <v>2183</v>
      </c>
      <c r="B684" s="18" t="s">
        <v>107</v>
      </c>
      <c r="C684" s="19" t="s">
        <v>108</v>
      </c>
      <c r="D684" s="18" t="s">
        <v>2184</v>
      </c>
      <c r="E684" s="19" t="s">
        <v>721</v>
      </c>
      <c r="F684" s="18" t="s">
        <v>110</v>
      </c>
      <c r="G684" s="18" t="s">
        <v>111</v>
      </c>
      <c r="H684" s="19" t="s">
        <v>112</v>
      </c>
      <c r="I684" s="18" t="s">
        <v>113</v>
      </c>
      <c r="J684" s="19" t="s">
        <v>114</v>
      </c>
      <c r="K684" s="19" t="s">
        <v>151</v>
      </c>
      <c r="L684" s="18" t="s">
        <v>116</v>
      </c>
      <c r="M684" s="18" t="s">
        <v>1419</v>
      </c>
      <c r="N684" s="18" t="s">
        <v>118</v>
      </c>
      <c r="O684" s="20">
        <v>119000</v>
      </c>
      <c r="P684" s="20">
        <v>80920</v>
      </c>
      <c r="Q684" s="20">
        <v>1</v>
      </c>
      <c r="R684" s="20">
        <v>0</v>
      </c>
      <c r="S684" s="20">
        <v>0</v>
      </c>
      <c r="T684" s="20">
        <v>0</v>
      </c>
      <c r="U684" s="20">
        <v>0</v>
      </c>
      <c r="V684" s="20">
        <v>0</v>
      </c>
      <c r="W684" s="20">
        <v>32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119000</v>
      </c>
      <c r="AD684" s="20">
        <v>80920</v>
      </c>
      <c r="AE684" s="20">
        <v>0</v>
      </c>
      <c r="AF684" s="20">
        <v>0</v>
      </c>
      <c r="AG684" s="20">
        <v>119000</v>
      </c>
      <c r="AH684" s="20">
        <v>80920</v>
      </c>
      <c r="AI684" s="20">
        <v>34618</v>
      </c>
      <c r="AJ684" s="20">
        <v>3462</v>
      </c>
      <c r="AK684" s="20">
        <v>38080</v>
      </c>
    </row>
    <row r="685" spans="1:37" ht="24" x14ac:dyDescent="0.3">
      <c r="A685" s="18" t="s">
        <v>2185</v>
      </c>
      <c r="B685" s="18" t="s">
        <v>107</v>
      </c>
      <c r="C685" s="19" t="s">
        <v>108</v>
      </c>
      <c r="D685" s="18" t="s">
        <v>2186</v>
      </c>
      <c r="E685" s="19" t="s">
        <v>208</v>
      </c>
      <c r="F685" s="18" t="s">
        <v>110</v>
      </c>
      <c r="G685" s="18" t="s">
        <v>111</v>
      </c>
      <c r="H685" s="19" t="s">
        <v>112</v>
      </c>
      <c r="I685" s="18" t="s">
        <v>113</v>
      </c>
      <c r="J685" s="19" t="s">
        <v>114</v>
      </c>
      <c r="K685" s="19" t="s">
        <v>115</v>
      </c>
      <c r="L685" s="18" t="s">
        <v>116</v>
      </c>
      <c r="M685" s="18" t="s">
        <v>1419</v>
      </c>
      <c r="N685" s="18" t="s">
        <v>118</v>
      </c>
      <c r="O685" s="20">
        <v>119000</v>
      </c>
      <c r="P685" s="20">
        <v>80920</v>
      </c>
      <c r="Q685" s="20">
        <v>1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32</v>
      </c>
      <c r="X685" s="20">
        <v>0</v>
      </c>
      <c r="Y685" s="20">
        <v>0</v>
      </c>
      <c r="Z685" s="20">
        <v>0</v>
      </c>
      <c r="AA685" s="20">
        <v>0</v>
      </c>
      <c r="AB685" s="20">
        <v>0</v>
      </c>
      <c r="AC685" s="20">
        <v>119000</v>
      </c>
      <c r="AD685" s="20">
        <v>80920</v>
      </c>
      <c r="AE685" s="20">
        <v>0</v>
      </c>
      <c r="AF685" s="20">
        <v>0</v>
      </c>
      <c r="AG685" s="20">
        <v>119000</v>
      </c>
      <c r="AH685" s="20">
        <v>80920</v>
      </c>
      <c r="AI685" s="20">
        <v>34618</v>
      </c>
      <c r="AJ685" s="20">
        <v>3462</v>
      </c>
      <c r="AK685" s="20">
        <v>38080</v>
      </c>
    </row>
    <row r="686" spans="1:37" ht="24" x14ac:dyDescent="0.3">
      <c r="A686" s="18" t="s">
        <v>2187</v>
      </c>
      <c r="B686" s="18" t="s">
        <v>107</v>
      </c>
      <c r="C686" s="19" t="s">
        <v>108</v>
      </c>
      <c r="D686" s="18" t="s">
        <v>2188</v>
      </c>
      <c r="E686" s="19" t="s">
        <v>2189</v>
      </c>
      <c r="F686" s="18" t="s">
        <v>110</v>
      </c>
      <c r="G686" s="18" t="s">
        <v>111</v>
      </c>
      <c r="H686" s="19" t="s">
        <v>112</v>
      </c>
      <c r="I686" s="18" t="s">
        <v>113</v>
      </c>
      <c r="J686" s="19" t="s">
        <v>114</v>
      </c>
      <c r="K686" s="19" t="s">
        <v>115</v>
      </c>
      <c r="L686" s="18" t="s">
        <v>116</v>
      </c>
      <c r="M686" s="18" t="s">
        <v>1419</v>
      </c>
      <c r="N686" s="18" t="s">
        <v>118</v>
      </c>
      <c r="O686" s="20">
        <v>119000</v>
      </c>
      <c r="P686" s="20">
        <v>80920</v>
      </c>
      <c r="Q686" s="20">
        <v>1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32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119000</v>
      </c>
      <c r="AD686" s="20">
        <v>80920</v>
      </c>
      <c r="AE686" s="20">
        <v>0</v>
      </c>
      <c r="AF686" s="20">
        <v>0</v>
      </c>
      <c r="AG686" s="20">
        <v>119000</v>
      </c>
      <c r="AH686" s="20">
        <v>80920</v>
      </c>
      <c r="AI686" s="20">
        <v>34618</v>
      </c>
      <c r="AJ686" s="20">
        <v>3462</v>
      </c>
      <c r="AK686" s="20">
        <v>38080</v>
      </c>
    </row>
    <row r="687" spans="1:37" ht="24" x14ac:dyDescent="0.3">
      <c r="A687" s="18" t="s">
        <v>2190</v>
      </c>
      <c r="B687" s="18" t="s">
        <v>107</v>
      </c>
      <c r="C687" s="19" t="s">
        <v>108</v>
      </c>
      <c r="D687" s="18" t="s">
        <v>2191</v>
      </c>
      <c r="E687" s="19" t="s">
        <v>2192</v>
      </c>
      <c r="F687" s="18" t="s">
        <v>110</v>
      </c>
      <c r="G687" s="18" t="s">
        <v>111</v>
      </c>
      <c r="H687" s="19" t="s">
        <v>112</v>
      </c>
      <c r="I687" s="18" t="s">
        <v>113</v>
      </c>
      <c r="J687" s="19" t="s">
        <v>114</v>
      </c>
      <c r="K687" s="19" t="s">
        <v>115</v>
      </c>
      <c r="L687" s="18" t="s">
        <v>116</v>
      </c>
      <c r="M687" s="18" t="s">
        <v>1419</v>
      </c>
      <c r="N687" s="18" t="s">
        <v>118</v>
      </c>
      <c r="O687" s="20">
        <v>119000</v>
      </c>
      <c r="P687" s="20">
        <v>80920</v>
      </c>
      <c r="Q687" s="20">
        <v>1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32</v>
      </c>
      <c r="X687" s="20">
        <v>0</v>
      </c>
      <c r="Y687" s="20">
        <v>0</v>
      </c>
      <c r="Z687" s="20">
        <v>0</v>
      </c>
      <c r="AA687" s="20">
        <v>0</v>
      </c>
      <c r="AB687" s="20">
        <v>5950</v>
      </c>
      <c r="AC687" s="20">
        <v>119000</v>
      </c>
      <c r="AD687" s="20">
        <v>80920</v>
      </c>
      <c r="AE687" s="20">
        <v>0</v>
      </c>
      <c r="AF687" s="20">
        <v>5950</v>
      </c>
      <c r="AG687" s="20">
        <v>113050</v>
      </c>
      <c r="AH687" s="20">
        <v>80920</v>
      </c>
      <c r="AI687" s="20">
        <v>29209</v>
      </c>
      <c r="AJ687" s="20">
        <v>2921</v>
      </c>
      <c r="AK687" s="20">
        <v>32130</v>
      </c>
    </row>
    <row r="688" spans="1:37" ht="24" x14ac:dyDescent="0.3">
      <c r="A688" s="18" t="s">
        <v>2193</v>
      </c>
      <c r="B688" s="18" t="s">
        <v>107</v>
      </c>
      <c r="C688" s="19" t="s">
        <v>108</v>
      </c>
      <c r="D688" s="18" t="s">
        <v>2194</v>
      </c>
      <c r="E688" s="19" t="s">
        <v>2195</v>
      </c>
      <c r="F688" s="18" t="s">
        <v>110</v>
      </c>
      <c r="G688" s="18" t="s">
        <v>111</v>
      </c>
      <c r="H688" s="19" t="s">
        <v>112</v>
      </c>
      <c r="I688" s="18" t="s">
        <v>113</v>
      </c>
      <c r="J688" s="19" t="s">
        <v>114</v>
      </c>
      <c r="K688" s="19" t="s">
        <v>115</v>
      </c>
      <c r="L688" s="18" t="s">
        <v>116</v>
      </c>
      <c r="M688" s="18" t="s">
        <v>1419</v>
      </c>
      <c r="N688" s="18" t="s">
        <v>118</v>
      </c>
      <c r="O688" s="20">
        <v>119000</v>
      </c>
      <c r="P688" s="20">
        <v>80920</v>
      </c>
      <c r="Q688" s="20">
        <v>1</v>
      </c>
      <c r="R688" s="20">
        <v>0</v>
      </c>
      <c r="S688" s="20">
        <v>0</v>
      </c>
      <c r="T688" s="20">
        <v>0</v>
      </c>
      <c r="U688" s="20">
        <v>0</v>
      </c>
      <c r="V688" s="20">
        <v>0</v>
      </c>
      <c r="W688" s="20">
        <v>32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119000</v>
      </c>
      <c r="AD688" s="20">
        <v>80920</v>
      </c>
      <c r="AE688" s="20">
        <v>0</v>
      </c>
      <c r="AF688" s="20">
        <v>0</v>
      </c>
      <c r="AG688" s="20">
        <v>119000</v>
      </c>
      <c r="AH688" s="20">
        <v>80920</v>
      </c>
      <c r="AI688" s="20">
        <v>34618</v>
      </c>
      <c r="AJ688" s="20">
        <v>3462</v>
      </c>
      <c r="AK688" s="20">
        <v>38080</v>
      </c>
    </row>
    <row r="689" spans="1:37" ht="24" x14ac:dyDescent="0.3">
      <c r="A689" s="18" t="s">
        <v>2196</v>
      </c>
      <c r="B689" s="18" t="s">
        <v>107</v>
      </c>
      <c r="C689" s="19" t="s">
        <v>108</v>
      </c>
      <c r="D689" s="18" t="s">
        <v>2197</v>
      </c>
      <c r="E689" s="19" t="s">
        <v>401</v>
      </c>
      <c r="F689" s="18" t="s">
        <v>110</v>
      </c>
      <c r="G689" s="18" t="s">
        <v>111</v>
      </c>
      <c r="H689" s="19" t="s">
        <v>112</v>
      </c>
      <c r="I689" s="18" t="s">
        <v>113</v>
      </c>
      <c r="J689" s="19" t="s">
        <v>114</v>
      </c>
      <c r="K689" s="19" t="s">
        <v>115</v>
      </c>
      <c r="L689" s="18" t="s">
        <v>116</v>
      </c>
      <c r="M689" s="18" t="s">
        <v>1419</v>
      </c>
      <c r="N689" s="18" t="s">
        <v>118</v>
      </c>
      <c r="O689" s="20">
        <v>119000</v>
      </c>
      <c r="P689" s="20">
        <v>80920</v>
      </c>
      <c r="Q689" s="20">
        <v>1</v>
      </c>
      <c r="R689" s="20">
        <v>0</v>
      </c>
      <c r="S689" s="20">
        <v>0</v>
      </c>
      <c r="T689" s="20">
        <v>0</v>
      </c>
      <c r="U689" s="20">
        <v>0</v>
      </c>
      <c r="V689" s="20">
        <v>0</v>
      </c>
      <c r="W689" s="20">
        <v>32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119000</v>
      </c>
      <c r="AD689" s="20">
        <v>80920</v>
      </c>
      <c r="AE689" s="20">
        <v>0</v>
      </c>
      <c r="AF689" s="20">
        <v>0</v>
      </c>
      <c r="AG689" s="20">
        <v>119000</v>
      </c>
      <c r="AH689" s="20">
        <v>80920</v>
      </c>
      <c r="AI689" s="20">
        <v>34618</v>
      </c>
      <c r="AJ689" s="20">
        <v>3462</v>
      </c>
      <c r="AK689" s="20">
        <v>38080</v>
      </c>
    </row>
    <row r="690" spans="1:37" ht="24" x14ac:dyDescent="0.3">
      <c r="A690" s="18" t="s">
        <v>2198</v>
      </c>
      <c r="B690" s="18" t="s">
        <v>107</v>
      </c>
      <c r="C690" s="19" t="s">
        <v>108</v>
      </c>
      <c r="D690" s="18" t="s">
        <v>2199</v>
      </c>
      <c r="E690" s="19" t="s">
        <v>2200</v>
      </c>
      <c r="F690" s="18" t="s">
        <v>110</v>
      </c>
      <c r="G690" s="18" t="s">
        <v>111</v>
      </c>
      <c r="H690" s="19" t="s">
        <v>112</v>
      </c>
      <c r="I690" s="18" t="s">
        <v>113</v>
      </c>
      <c r="J690" s="19" t="s">
        <v>114</v>
      </c>
      <c r="K690" s="19" t="s">
        <v>115</v>
      </c>
      <c r="L690" s="18" t="s">
        <v>116</v>
      </c>
      <c r="M690" s="18" t="s">
        <v>1419</v>
      </c>
      <c r="N690" s="18" t="s">
        <v>118</v>
      </c>
      <c r="O690" s="20">
        <v>119000</v>
      </c>
      <c r="P690" s="20">
        <v>80920</v>
      </c>
      <c r="Q690" s="20">
        <v>1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32</v>
      </c>
      <c r="X690" s="20">
        <v>0</v>
      </c>
      <c r="Y690" s="20">
        <v>0</v>
      </c>
      <c r="Z690" s="20">
        <v>0</v>
      </c>
      <c r="AA690" s="20">
        <v>0</v>
      </c>
      <c r="AB690" s="20">
        <v>5950</v>
      </c>
      <c r="AC690" s="20">
        <v>119000</v>
      </c>
      <c r="AD690" s="20">
        <v>80920</v>
      </c>
      <c r="AE690" s="20">
        <v>0</v>
      </c>
      <c r="AF690" s="20">
        <v>5950</v>
      </c>
      <c r="AG690" s="20">
        <v>113050</v>
      </c>
      <c r="AH690" s="20">
        <v>80920</v>
      </c>
      <c r="AI690" s="20">
        <v>29209</v>
      </c>
      <c r="AJ690" s="20">
        <v>2921</v>
      </c>
      <c r="AK690" s="20">
        <v>32130</v>
      </c>
    </row>
    <row r="691" spans="1:37" ht="24" x14ac:dyDescent="0.3">
      <c r="A691" s="18" t="s">
        <v>2201</v>
      </c>
      <c r="B691" s="18" t="s">
        <v>107</v>
      </c>
      <c r="C691" s="19" t="s">
        <v>108</v>
      </c>
      <c r="D691" s="18" t="s">
        <v>2202</v>
      </c>
      <c r="E691" s="19" t="s">
        <v>2203</v>
      </c>
      <c r="F691" s="18" t="s">
        <v>110</v>
      </c>
      <c r="G691" s="18" t="s">
        <v>111</v>
      </c>
      <c r="H691" s="19" t="s">
        <v>112</v>
      </c>
      <c r="I691" s="18" t="s">
        <v>113</v>
      </c>
      <c r="J691" s="19" t="s">
        <v>114</v>
      </c>
      <c r="K691" s="19" t="s">
        <v>123</v>
      </c>
      <c r="L691" s="18" t="s">
        <v>116</v>
      </c>
      <c r="M691" s="18" t="s">
        <v>1419</v>
      </c>
      <c r="N691" s="18" t="s">
        <v>118</v>
      </c>
      <c r="O691" s="20">
        <v>119000</v>
      </c>
      <c r="P691" s="20">
        <v>80920</v>
      </c>
      <c r="Q691" s="20">
        <v>1</v>
      </c>
      <c r="R691" s="20">
        <v>0</v>
      </c>
      <c r="S691" s="20">
        <v>0</v>
      </c>
      <c r="T691" s="20">
        <v>0</v>
      </c>
      <c r="U691" s="20">
        <v>0</v>
      </c>
      <c r="V691" s="20">
        <v>0</v>
      </c>
      <c r="W691" s="20">
        <v>32</v>
      </c>
      <c r="X691" s="20">
        <v>0</v>
      </c>
      <c r="Y691" s="20">
        <v>5950</v>
      </c>
      <c r="Z691" s="20">
        <v>0</v>
      </c>
      <c r="AA691" s="20">
        <v>0</v>
      </c>
      <c r="AB691" s="20">
        <v>0</v>
      </c>
      <c r="AC691" s="20">
        <v>119000</v>
      </c>
      <c r="AD691" s="20">
        <v>80920</v>
      </c>
      <c r="AE691" s="20">
        <v>0</v>
      </c>
      <c r="AF691" s="20">
        <v>5950</v>
      </c>
      <c r="AG691" s="20">
        <v>113050</v>
      </c>
      <c r="AH691" s="20">
        <v>80920</v>
      </c>
      <c r="AI691" s="20">
        <v>29209</v>
      </c>
      <c r="AJ691" s="20">
        <v>2921</v>
      </c>
      <c r="AK691" s="20">
        <v>32130</v>
      </c>
    </row>
    <row r="692" spans="1:37" ht="24" x14ac:dyDescent="0.3">
      <c r="A692" s="18" t="s">
        <v>2204</v>
      </c>
      <c r="B692" s="18" t="s">
        <v>107</v>
      </c>
      <c r="C692" s="19" t="s">
        <v>108</v>
      </c>
      <c r="D692" s="18" t="s">
        <v>2205</v>
      </c>
      <c r="E692" s="19" t="s">
        <v>2206</v>
      </c>
      <c r="F692" s="18" t="s">
        <v>110</v>
      </c>
      <c r="G692" s="18" t="s">
        <v>111</v>
      </c>
      <c r="H692" s="19" t="s">
        <v>112</v>
      </c>
      <c r="I692" s="18" t="s">
        <v>113</v>
      </c>
      <c r="J692" s="19" t="s">
        <v>114</v>
      </c>
      <c r="K692" s="19" t="s">
        <v>123</v>
      </c>
      <c r="L692" s="18" t="s">
        <v>116</v>
      </c>
      <c r="M692" s="18" t="s">
        <v>1419</v>
      </c>
      <c r="N692" s="18" t="s">
        <v>118</v>
      </c>
      <c r="O692" s="20">
        <v>119000</v>
      </c>
      <c r="P692" s="20">
        <v>80920</v>
      </c>
      <c r="Q692" s="20">
        <v>1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32</v>
      </c>
      <c r="X692" s="20">
        <v>0</v>
      </c>
      <c r="Y692" s="20">
        <v>5950</v>
      </c>
      <c r="Z692" s="20">
        <v>0</v>
      </c>
      <c r="AA692" s="20">
        <v>0</v>
      </c>
      <c r="AB692" s="20">
        <v>0</v>
      </c>
      <c r="AC692" s="20">
        <v>119000</v>
      </c>
      <c r="AD692" s="20">
        <v>80920</v>
      </c>
      <c r="AE692" s="20">
        <v>0</v>
      </c>
      <c r="AF692" s="20">
        <v>5950</v>
      </c>
      <c r="AG692" s="20">
        <v>113050</v>
      </c>
      <c r="AH692" s="20">
        <v>80920</v>
      </c>
      <c r="AI692" s="20">
        <v>29209</v>
      </c>
      <c r="AJ692" s="20">
        <v>2921</v>
      </c>
      <c r="AK692" s="20">
        <v>32130</v>
      </c>
    </row>
    <row r="693" spans="1:37" ht="24" x14ac:dyDescent="0.3">
      <c r="A693" s="18" t="s">
        <v>2207</v>
      </c>
      <c r="B693" s="18" t="s">
        <v>107</v>
      </c>
      <c r="C693" s="19" t="s">
        <v>108</v>
      </c>
      <c r="D693" s="18" t="s">
        <v>2208</v>
      </c>
      <c r="E693" s="19" t="s">
        <v>2209</v>
      </c>
      <c r="F693" s="18" t="s">
        <v>110</v>
      </c>
      <c r="G693" s="18" t="s">
        <v>111</v>
      </c>
      <c r="H693" s="19" t="s">
        <v>112</v>
      </c>
      <c r="I693" s="18" t="s">
        <v>113</v>
      </c>
      <c r="J693" s="19" t="s">
        <v>114</v>
      </c>
      <c r="K693" s="19" t="s">
        <v>115</v>
      </c>
      <c r="L693" s="18" t="s">
        <v>116</v>
      </c>
      <c r="M693" s="18" t="s">
        <v>1419</v>
      </c>
      <c r="N693" s="18" t="s">
        <v>118</v>
      </c>
      <c r="O693" s="20">
        <v>119000</v>
      </c>
      <c r="P693" s="20">
        <v>80920</v>
      </c>
      <c r="Q693" s="20">
        <v>1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32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119000</v>
      </c>
      <c r="AD693" s="20">
        <v>80920</v>
      </c>
      <c r="AE693" s="20">
        <v>0</v>
      </c>
      <c r="AF693" s="20">
        <v>0</v>
      </c>
      <c r="AG693" s="20">
        <v>119000</v>
      </c>
      <c r="AH693" s="20">
        <v>80920</v>
      </c>
      <c r="AI693" s="20">
        <v>34618</v>
      </c>
      <c r="AJ693" s="20">
        <v>3462</v>
      </c>
      <c r="AK693" s="20">
        <v>38080</v>
      </c>
    </row>
    <row r="694" spans="1:37" ht="24" x14ac:dyDescent="0.3">
      <c r="A694" s="18" t="s">
        <v>2210</v>
      </c>
      <c r="B694" s="18" t="s">
        <v>107</v>
      </c>
      <c r="C694" s="19" t="s">
        <v>108</v>
      </c>
      <c r="D694" s="18" t="s">
        <v>2211</v>
      </c>
      <c r="E694" s="19" t="s">
        <v>2212</v>
      </c>
      <c r="F694" s="18" t="s">
        <v>110</v>
      </c>
      <c r="G694" s="18" t="s">
        <v>111</v>
      </c>
      <c r="H694" s="19" t="s">
        <v>112</v>
      </c>
      <c r="I694" s="18" t="s">
        <v>113</v>
      </c>
      <c r="J694" s="19" t="s">
        <v>114</v>
      </c>
      <c r="K694" s="19" t="s">
        <v>115</v>
      </c>
      <c r="L694" s="18" t="s">
        <v>116</v>
      </c>
      <c r="M694" s="18" t="s">
        <v>1419</v>
      </c>
      <c r="N694" s="18" t="s">
        <v>118</v>
      </c>
      <c r="O694" s="20">
        <v>119000</v>
      </c>
      <c r="P694" s="20">
        <v>80920</v>
      </c>
      <c r="Q694" s="20">
        <v>1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32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119000</v>
      </c>
      <c r="AD694" s="20">
        <v>80920</v>
      </c>
      <c r="AE694" s="20">
        <v>0</v>
      </c>
      <c r="AF694" s="20">
        <v>0</v>
      </c>
      <c r="AG694" s="20">
        <v>119000</v>
      </c>
      <c r="AH694" s="20">
        <v>80920</v>
      </c>
      <c r="AI694" s="20">
        <v>34618</v>
      </c>
      <c r="AJ694" s="20">
        <v>3462</v>
      </c>
      <c r="AK694" s="20">
        <v>38080</v>
      </c>
    </row>
    <row r="695" spans="1:37" ht="24" x14ac:dyDescent="0.3">
      <c r="A695" s="18" t="s">
        <v>2213</v>
      </c>
      <c r="B695" s="18" t="s">
        <v>107</v>
      </c>
      <c r="C695" s="19" t="s">
        <v>108</v>
      </c>
      <c r="D695" s="18" t="s">
        <v>2214</v>
      </c>
      <c r="E695" s="19" t="s">
        <v>169</v>
      </c>
      <c r="F695" s="18" t="s">
        <v>110</v>
      </c>
      <c r="G695" s="18" t="s">
        <v>111</v>
      </c>
      <c r="H695" s="19" t="s">
        <v>112</v>
      </c>
      <c r="I695" s="18" t="s">
        <v>113</v>
      </c>
      <c r="J695" s="19" t="s">
        <v>114</v>
      </c>
      <c r="K695" s="19" t="s">
        <v>115</v>
      </c>
      <c r="L695" s="18" t="s">
        <v>116</v>
      </c>
      <c r="M695" s="18" t="s">
        <v>1419</v>
      </c>
      <c r="N695" s="18" t="s">
        <v>118</v>
      </c>
      <c r="O695" s="20">
        <v>119000</v>
      </c>
      <c r="P695" s="20">
        <v>80920</v>
      </c>
      <c r="Q695" s="20">
        <v>1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32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119000</v>
      </c>
      <c r="AD695" s="20">
        <v>80920</v>
      </c>
      <c r="AE695" s="20">
        <v>0</v>
      </c>
      <c r="AF695" s="20">
        <v>0</v>
      </c>
      <c r="AG695" s="20">
        <v>119000</v>
      </c>
      <c r="AH695" s="20">
        <v>80920</v>
      </c>
      <c r="AI695" s="20">
        <v>34618</v>
      </c>
      <c r="AJ695" s="20">
        <v>3462</v>
      </c>
      <c r="AK695" s="20">
        <v>38080</v>
      </c>
    </row>
    <row r="696" spans="1:37" ht="24" x14ac:dyDescent="0.3">
      <c r="A696" s="18" t="s">
        <v>2215</v>
      </c>
      <c r="B696" s="18" t="s">
        <v>107</v>
      </c>
      <c r="C696" s="19" t="s">
        <v>108</v>
      </c>
      <c r="D696" s="18" t="s">
        <v>2216</v>
      </c>
      <c r="E696" s="19" t="s">
        <v>2217</v>
      </c>
      <c r="F696" s="18" t="s">
        <v>110</v>
      </c>
      <c r="G696" s="18" t="s">
        <v>111</v>
      </c>
      <c r="H696" s="19" t="s">
        <v>112</v>
      </c>
      <c r="I696" s="18" t="s">
        <v>113</v>
      </c>
      <c r="J696" s="19" t="s">
        <v>114</v>
      </c>
      <c r="K696" s="19" t="s">
        <v>115</v>
      </c>
      <c r="L696" s="18" t="s">
        <v>116</v>
      </c>
      <c r="M696" s="18" t="s">
        <v>1419</v>
      </c>
      <c r="N696" s="18" t="s">
        <v>118</v>
      </c>
      <c r="O696" s="20">
        <v>119000</v>
      </c>
      <c r="P696" s="20">
        <v>80920</v>
      </c>
      <c r="Q696" s="20">
        <v>1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32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119000</v>
      </c>
      <c r="AD696" s="20">
        <v>80920</v>
      </c>
      <c r="AE696" s="20">
        <v>0</v>
      </c>
      <c r="AF696" s="20">
        <v>0</v>
      </c>
      <c r="AG696" s="20">
        <v>119000</v>
      </c>
      <c r="AH696" s="20">
        <v>80920</v>
      </c>
      <c r="AI696" s="20">
        <v>34618</v>
      </c>
      <c r="AJ696" s="20">
        <v>3462</v>
      </c>
      <c r="AK696" s="20">
        <v>38080</v>
      </c>
    </row>
    <row r="697" spans="1:37" ht="24" x14ac:dyDescent="0.3">
      <c r="A697" s="18" t="s">
        <v>2218</v>
      </c>
      <c r="B697" s="18" t="s">
        <v>107</v>
      </c>
      <c r="C697" s="19" t="s">
        <v>108</v>
      </c>
      <c r="D697" s="18" t="s">
        <v>2219</v>
      </c>
      <c r="E697" s="19" t="s">
        <v>2217</v>
      </c>
      <c r="F697" s="18" t="s">
        <v>110</v>
      </c>
      <c r="G697" s="18" t="s">
        <v>111</v>
      </c>
      <c r="H697" s="19" t="s">
        <v>112</v>
      </c>
      <c r="I697" s="18" t="s">
        <v>113</v>
      </c>
      <c r="J697" s="19" t="s">
        <v>114</v>
      </c>
      <c r="K697" s="19" t="s">
        <v>115</v>
      </c>
      <c r="L697" s="18" t="s">
        <v>116</v>
      </c>
      <c r="M697" s="18" t="s">
        <v>1419</v>
      </c>
      <c r="N697" s="18" t="s">
        <v>118</v>
      </c>
      <c r="O697" s="20">
        <v>119000</v>
      </c>
      <c r="P697" s="20">
        <v>80920</v>
      </c>
      <c r="Q697" s="20">
        <v>1</v>
      </c>
      <c r="R697" s="20">
        <v>0</v>
      </c>
      <c r="S697" s="20">
        <v>0</v>
      </c>
      <c r="T697" s="20">
        <v>0</v>
      </c>
      <c r="U697" s="20">
        <v>0</v>
      </c>
      <c r="V697" s="20">
        <v>0</v>
      </c>
      <c r="W697" s="20">
        <v>32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119000</v>
      </c>
      <c r="AD697" s="20">
        <v>80920</v>
      </c>
      <c r="AE697" s="20">
        <v>0</v>
      </c>
      <c r="AF697" s="20">
        <v>0</v>
      </c>
      <c r="AG697" s="20">
        <v>119000</v>
      </c>
      <c r="AH697" s="20">
        <v>80920</v>
      </c>
      <c r="AI697" s="20">
        <v>34618</v>
      </c>
      <c r="AJ697" s="20">
        <v>3462</v>
      </c>
      <c r="AK697" s="20">
        <v>38080</v>
      </c>
    </row>
    <row r="698" spans="1:37" ht="24" x14ac:dyDescent="0.3">
      <c r="A698" s="18" t="s">
        <v>2220</v>
      </c>
      <c r="B698" s="18" t="s">
        <v>107</v>
      </c>
      <c r="C698" s="19" t="s">
        <v>108</v>
      </c>
      <c r="D698" s="18" t="s">
        <v>1498</v>
      </c>
      <c r="E698" s="19" t="s">
        <v>190</v>
      </c>
      <c r="F698" s="18" t="s">
        <v>110</v>
      </c>
      <c r="G698" s="18" t="s">
        <v>111</v>
      </c>
      <c r="H698" s="19" t="s">
        <v>112</v>
      </c>
      <c r="I698" s="18" t="s">
        <v>113</v>
      </c>
      <c r="J698" s="19" t="s">
        <v>114</v>
      </c>
      <c r="K698" s="19" t="s">
        <v>115</v>
      </c>
      <c r="L698" s="18" t="s">
        <v>116</v>
      </c>
      <c r="M698" s="18" t="s">
        <v>1419</v>
      </c>
      <c r="N698" s="18" t="s">
        <v>118</v>
      </c>
      <c r="O698" s="20">
        <v>119000</v>
      </c>
      <c r="P698" s="20">
        <v>80920</v>
      </c>
      <c r="Q698" s="20">
        <v>1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32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119000</v>
      </c>
      <c r="AD698" s="20">
        <v>80920</v>
      </c>
      <c r="AE698" s="20">
        <v>0</v>
      </c>
      <c r="AF698" s="20">
        <v>0</v>
      </c>
      <c r="AG698" s="20">
        <v>119000</v>
      </c>
      <c r="AH698" s="20">
        <v>80920</v>
      </c>
      <c r="AI698" s="20">
        <v>34618</v>
      </c>
      <c r="AJ698" s="20">
        <v>3462</v>
      </c>
      <c r="AK698" s="20">
        <v>38080</v>
      </c>
    </row>
    <row r="699" spans="1:37" ht="24" x14ac:dyDescent="0.3">
      <c r="A699" s="18" t="s">
        <v>2221</v>
      </c>
      <c r="B699" s="18" t="s">
        <v>107</v>
      </c>
      <c r="C699" s="19" t="s">
        <v>108</v>
      </c>
      <c r="D699" s="18" t="s">
        <v>1500</v>
      </c>
      <c r="E699" s="19" t="s">
        <v>420</v>
      </c>
      <c r="F699" s="18" t="s">
        <v>110</v>
      </c>
      <c r="G699" s="18" t="s">
        <v>111</v>
      </c>
      <c r="H699" s="19" t="s">
        <v>112</v>
      </c>
      <c r="I699" s="18" t="s">
        <v>113</v>
      </c>
      <c r="J699" s="19" t="s">
        <v>114</v>
      </c>
      <c r="K699" s="19" t="s">
        <v>115</v>
      </c>
      <c r="L699" s="18" t="s">
        <v>116</v>
      </c>
      <c r="M699" s="18" t="s">
        <v>1419</v>
      </c>
      <c r="N699" s="18" t="s">
        <v>118</v>
      </c>
      <c r="O699" s="20">
        <v>119000</v>
      </c>
      <c r="P699" s="20">
        <v>80920</v>
      </c>
      <c r="Q699" s="20">
        <v>1</v>
      </c>
      <c r="R699" s="20">
        <v>0</v>
      </c>
      <c r="S699" s="20">
        <v>0</v>
      </c>
      <c r="T699" s="20">
        <v>0</v>
      </c>
      <c r="U699" s="20">
        <v>0</v>
      </c>
      <c r="V699" s="20">
        <v>0</v>
      </c>
      <c r="W699" s="20">
        <v>32</v>
      </c>
      <c r="X699" s="20">
        <v>0</v>
      </c>
      <c r="Y699" s="20">
        <v>0</v>
      </c>
      <c r="Z699" s="20">
        <v>0</v>
      </c>
      <c r="AA699" s="20">
        <v>0</v>
      </c>
      <c r="AB699" s="20">
        <v>0</v>
      </c>
      <c r="AC699" s="20">
        <v>119000</v>
      </c>
      <c r="AD699" s="20">
        <v>80920</v>
      </c>
      <c r="AE699" s="20">
        <v>0</v>
      </c>
      <c r="AF699" s="20">
        <v>0</v>
      </c>
      <c r="AG699" s="20">
        <v>119000</v>
      </c>
      <c r="AH699" s="20">
        <v>80920</v>
      </c>
      <c r="AI699" s="20">
        <v>34618</v>
      </c>
      <c r="AJ699" s="20">
        <v>3462</v>
      </c>
      <c r="AK699" s="20">
        <v>38080</v>
      </c>
    </row>
    <row r="700" spans="1:37" ht="24" x14ac:dyDescent="0.3">
      <c r="A700" s="18" t="s">
        <v>2222</v>
      </c>
      <c r="B700" s="18" t="s">
        <v>107</v>
      </c>
      <c r="C700" s="19" t="s">
        <v>108</v>
      </c>
      <c r="D700" s="18" t="s">
        <v>1502</v>
      </c>
      <c r="E700" s="19" t="s">
        <v>1044</v>
      </c>
      <c r="F700" s="18" t="s">
        <v>110</v>
      </c>
      <c r="G700" s="18" t="s">
        <v>111</v>
      </c>
      <c r="H700" s="19" t="s">
        <v>112</v>
      </c>
      <c r="I700" s="18" t="s">
        <v>113</v>
      </c>
      <c r="J700" s="19" t="s">
        <v>114</v>
      </c>
      <c r="K700" s="19" t="s">
        <v>115</v>
      </c>
      <c r="L700" s="18" t="s">
        <v>116</v>
      </c>
      <c r="M700" s="18" t="s">
        <v>1419</v>
      </c>
      <c r="N700" s="18" t="s">
        <v>118</v>
      </c>
      <c r="O700" s="20">
        <v>119000</v>
      </c>
      <c r="P700" s="20">
        <v>80920</v>
      </c>
      <c r="Q700" s="20">
        <v>1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32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119000</v>
      </c>
      <c r="AD700" s="20">
        <v>80920</v>
      </c>
      <c r="AE700" s="20">
        <v>0</v>
      </c>
      <c r="AF700" s="20">
        <v>0</v>
      </c>
      <c r="AG700" s="20">
        <v>119000</v>
      </c>
      <c r="AH700" s="20">
        <v>80920</v>
      </c>
      <c r="AI700" s="20">
        <v>34618</v>
      </c>
      <c r="AJ700" s="20">
        <v>3462</v>
      </c>
      <c r="AK700" s="20">
        <v>38080</v>
      </c>
    </row>
    <row r="701" spans="1:37" ht="24" x14ac:dyDescent="0.3">
      <c r="A701" s="18" t="s">
        <v>2223</v>
      </c>
      <c r="B701" s="18" t="s">
        <v>107</v>
      </c>
      <c r="C701" s="19" t="s">
        <v>108</v>
      </c>
      <c r="D701" s="18" t="s">
        <v>1504</v>
      </c>
      <c r="E701" s="19" t="s">
        <v>721</v>
      </c>
      <c r="F701" s="18" t="s">
        <v>110</v>
      </c>
      <c r="G701" s="18" t="s">
        <v>111</v>
      </c>
      <c r="H701" s="19" t="s">
        <v>112</v>
      </c>
      <c r="I701" s="18" t="s">
        <v>113</v>
      </c>
      <c r="J701" s="19" t="s">
        <v>114</v>
      </c>
      <c r="K701" s="19" t="s">
        <v>115</v>
      </c>
      <c r="L701" s="18" t="s">
        <v>116</v>
      </c>
      <c r="M701" s="18" t="s">
        <v>1419</v>
      </c>
      <c r="N701" s="18" t="s">
        <v>118</v>
      </c>
      <c r="O701" s="20">
        <v>119000</v>
      </c>
      <c r="P701" s="20">
        <v>80920</v>
      </c>
      <c r="Q701" s="20">
        <v>1</v>
      </c>
      <c r="R701" s="20">
        <v>0</v>
      </c>
      <c r="S701" s="20">
        <v>0</v>
      </c>
      <c r="T701" s="20">
        <v>0</v>
      </c>
      <c r="U701" s="20">
        <v>0</v>
      </c>
      <c r="V701" s="20">
        <v>0</v>
      </c>
      <c r="W701" s="20">
        <v>32</v>
      </c>
      <c r="X701" s="20">
        <v>0</v>
      </c>
      <c r="Y701" s="20">
        <v>0</v>
      </c>
      <c r="Z701" s="20">
        <v>0</v>
      </c>
      <c r="AA701" s="20">
        <v>0</v>
      </c>
      <c r="AB701" s="20">
        <v>0</v>
      </c>
      <c r="AC701" s="20">
        <v>119000</v>
      </c>
      <c r="AD701" s="20">
        <v>80920</v>
      </c>
      <c r="AE701" s="20">
        <v>0</v>
      </c>
      <c r="AF701" s="20">
        <v>0</v>
      </c>
      <c r="AG701" s="20">
        <v>119000</v>
      </c>
      <c r="AH701" s="20">
        <v>80920</v>
      </c>
      <c r="AI701" s="20">
        <v>34618</v>
      </c>
      <c r="AJ701" s="20">
        <v>3462</v>
      </c>
      <c r="AK701" s="20">
        <v>38080</v>
      </c>
    </row>
    <row r="702" spans="1:37" ht="24" x14ac:dyDescent="0.3">
      <c r="A702" s="18" t="s">
        <v>2224</v>
      </c>
      <c r="B702" s="18" t="s">
        <v>107</v>
      </c>
      <c r="C702" s="19" t="s">
        <v>108</v>
      </c>
      <c r="D702" s="18" t="s">
        <v>1506</v>
      </c>
      <c r="E702" s="19" t="s">
        <v>1507</v>
      </c>
      <c r="F702" s="18" t="s">
        <v>110</v>
      </c>
      <c r="G702" s="18" t="s">
        <v>111</v>
      </c>
      <c r="H702" s="19" t="s">
        <v>112</v>
      </c>
      <c r="I702" s="18" t="s">
        <v>113</v>
      </c>
      <c r="J702" s="19" t="s">
        <v>114</v>
      </c>
      <c r="K702" s="19" t="s">
        <v>115</v>
      </c>
      <c r="L702" s="18" t="s">
        <v>116</v>
      </c>
      <c r="M702" s="18" t="s">
        <v>1419</v>
      </c>
      <c r="N702" s="18" t="s">
        <v>118</v>
      </c>
      <c r="O702" s="20">
        <v>119000</v>
      </c>
      <c r="P702" s="20">
        <v>80920</v>
      </c>
      <c r="Q702" s="20">
        <v>1</v>
      </c>
      <c r="R702" s="20">
        <v>0</v>
      </c>
      <c r="S702" s="20">
        <v>0</v>
      </c>
      <c r="T702" s="20">
        <v>0</v>
      </c>
      <c r="U702" s="20">
        <v>0</v>
      </c>
      <c r="V702" s="20">
        <v>0</v>
      </c>
      <c r="W702" s="20">
        <v>32</v>
      </c>
      <c r="X702" s="20">
        <v>0</v>
      </c>
      <c r="Y702" s="20">
        <v>0</v>
      </c>
      <c r="Z702" s="20">
        <v>0</v>
      </c>
      <c r="AA702" s="20">
        <v>0</v>
      </c>
      <c r="AB702" s="20">
        <v>0</v>
      </c>
      <c r="AC702" s="20">
        <v>119000</v>
      </c>
      <c r="AD702" s="20">
        <v>80920</v>
      </c>
      <c r="AE702" s="20">
        <v>0</v>
      </c>
      <c r="AF702" s="20">
        <v>0</v>
      </c>
      <c r="AG702" s="20">
        <v>119000</v>
      </c>
      <c r="AH702" s="20">
        <v>80920</v>
      </c>
      <c r="AI702" s="20">
        <v>34618</v>
      </c>
      <c r="AJ702" s="20">
        <v>3462</v>
      </c>
      <c r="AK702" s="20">
        <v>38080</v>
      </c>
    </row>
    <row r="703" spans="1:37" ht="24" x14ac:dyDescent="0.3">
      <c r="A703" s="18" t="s">
        <v>2225</v>
      </c>
      <c r="B703" s="18" t="s">
        <v>107</v>
      </c>
      <c r="C703" s="19" t="s">
        <v>108</v>
      </c>
      <c r="D703" s="18" t="s">
        <v>2226</v>
      </c>
      <c r="E703" s="19" t="s">
        <v>961</v>
      </c>
      <c r="F703" s="18" t="s">
        <v>110</v>
      </c>
      <c r="G703" s="18" t="s">
        <v>111</v>
      </c>
      <c r="H703" s="19" t="s">
        <v>112</v>
      </c>
      <c r="I703" s="18" t="s">
        <v>113</v>
      </c>
      <c r="J703" s="19" t="s">
        <v>114</v>
      </c>
      <c r="K703" s="19" t="s">
        <v>115</v>
      </c>
      <c r="L703" s="18" t="s">
        <v>116</v>
      </c>
      <c r="M703" s="18" t="s">
        <v>1419</v>
      </c>
      <c r="N703" s="18" t="s">
        <v>118</v>
      </c>
      <c r="O703" s="20">
        <v>119000</v>
      </c>
      <c r="P703" s="20">
        <v>80920</v>
      </c>
      <c r="Q703" s="20">
        <v>1</v>
      </c>
      <c r="R703" s="20">
        <v>0</v>
      </c>
      <c r="S703" s="20">
        <v>0</v>
      </c>
      <c r="T703" s="20">
        <v>0</v>
      </c>
      <c r="U703" s="20">
        <v>0</v>
      </c>
      <c r="V703" s="20">
        <v>0</v>
      </c>
      <c r="W703" s="20">
        <v>32</v>
      </c>
      <c r="X703" s="20">
        <v>0</v>
      </c>
      <c r="Y703" s="20">
        <v>0</v>
      </c>
      <c r="Z703" s="20">
        <v>0</v>
      </c>
      <c r="AA703" s="20">
        <v>0</v>
      </c>
      <c r="AB703" s="20">
        <v>0</v>
      </c>
      <c r="AC703" s="20">
        <v>119000</v>
      </c>
      <c r="AD703" s="20">
        <v>80920</v>
      </c>
      <c r="AE703" s="20">
        <v>0</v>
      </c>
      <c r="AF703" s="20">
        <v>0</v>
      </c>
      <c r="AG703" s="20">
        <v>119000</v>
      </c>
      <c r="AH703" s="20">
        <v>80920</v>
      </c>
      <c r="AI703" s="20">
        <v>34618</v>
      </c>
      <c r="AJ703" s="20">
        <v>3462</v>
      </c>
      <c r="AK703" s="20">
        <v>38080</v>
      </c>
    </row>
    <row r="704" spans="1:37" ht="24" x14ac:dyDescent="0.3">
      <c r="A704" s="18" t="s">
        <v>2227</v>
      </c>
      <c r="B704" s="18" t="s">
        <v>107</v>
      </c>
      <c r="C704" s="19" t="s">
        <v>108</v>
      </c>
      <c r="D704" s="18" t="s">
        <v>2228</v>
      </c>
      <c r="E704" s="19" t="s">
        <v>961</v>
      </c>
      <c r="F704" s="18" t="s">
        <v>110</v>
      </c>
      <c r="G704" s="18" t="s">
        <v>111</v>
      </c>
      <c r="H704" s="19" t="s">
        <v>112</v>
      </c>
      <c r="I704" s="18" t="s">
        <v>113</v>
      </c>
      <c r="J704" s="19" t="s">
        <v>114</v>
      </c>
      <c r="K704" s="19" t="s">
        <v>115</v>
      </c>
      <c r="L704" s="18" t="s">
        <v>116</v>
      </c>
      <c r="M704" s="18" t="s">
        <v>1419</v>
      </c>
      <c r="N704" s="18" t="s">
        <v>118</v>
      </c>
      <c r="O704" s="20">
        <v>119000</v>
      </c>
      <c r="P704" s="20">
        <v>80920</v>
      </c>
      <c r="Q704" s="20">
        <v>1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32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119000</v>
      </c>
      <c r="AD704" s="20">
        <v>80920</v>
      </c>
      <c r="AE704" s="20">
        <v>0</v>
      </c>
      <c r="AF704" s="20">
        <v>0</v>
      </c>
      <c r="AG704" s="20">
        <v>119000</v>
      </c>
      <c r="AH704" s="20">
        <v>80920</v>
      </c>
      <c r="AI704" s="20">
        <v>34618</v>
      </c>
      <c r="AJ704" s="20">
        <v>3462</v>
      </c>
      <c r="AK704" s="20">
        <v>38080</v>
      </c>
    </row>
    <row r="705" spans="1:37" ht="24" x14ac:dyDescent="0.3">
      <c r="A705" s="18" t="s">
        <v>2229</v>
      </c>
      <c r="B705" s="18" t="s">
        <v>107</v>
      </c>
      <c r="C705" s="19" t="s">
        <v>108</v>
      </c>
      <c r="D705" s="18" t="s">
        <v>2230</v>
      </c>
      <c r="E705" s="19" t="s">
        <v>2231</v>
      </c>
      <c r="F705" s="18" t="s">
        <v>110</v>
      </c>
      <c r="G705" s="18" t="s">
        <v>111</v>
      </c>
      <c r="H705" s="19" t="s">
        <v>112</v>
      </c>
      <c r="I705" s="18" t="s">
        <v>113</v>
      </c>
      <c r="J705" s="19" t="s">
        <v>114</v>
      </c>
      <c r="K705" s="19" t="s">
        <v>115</v>
      </c>
      <c r="L705" s="18" t="s">
        <v>116</v>
      </c>
      <c r="M705" s="18" t="s">
        <v>1419</v>
      </c>
      <c r="N705" s="18" t="s">
        <v>118</v>
      </c>
      <c r="O705" s="20">
        <v>119000</v>
      </c>
      <c r="P705" s="20">
        <v>80920</v>
      </c>
      <c r="Q705" s="20">
        <v>1</v>
      </c>
      <c r="R705" s="20">
        <v>0</v>
      </c>
      <c r="S705" s="20">
        <v>0</v>
      </c>
      <c r="T705" s="20">
        <v>0</v>
      </c>
      <c r="U705" s="20">
        <v>0</v>
      </c>
      <c r="V705" s="20">
        <v>0</v>
      </c>
      <c r="W705" s="20">
        <v>32</v>
      </c>
      <c r="X705" s="20">
        <v>0</v>
      </c>
      <c r="Y705" s="20">
        <v>0</v>
      </c>
      <c r="Z705" s="20">
        <v>0</v>
      </c>
      <c r="AA705" s="20">
        <v>0</v>
      </c>
      <c r="AB705" s="20">
        <v>0</v>
      </c>
      <c r="AC705" s="20">
        <v>119000</v>
      </c>
      <c r="AD705" s="20">
        <v>80920</v>
      </c>
      <c r="AE705" s="20">
        <v>0</v>
      </c>
      <c r="AF705" s="20">
        <v>0</v>
      </c>
      <c r="AG705" s="20">
        <v>119000</v>
      </c>
      <c r="AH705" s="20">
        <v>80920</v>
      </c>
      <c r="AI705" s="20">
        <v>34618</v>
      </c>
      <c r="AJ705" s="20">
        <v>3462</v>
      </c>
      <c r="AK705" s="20">
        <v>38080</v>
      </c>
    </row>
    <row r="706" spans="1:37" ht="24" x14ac:dyDescent="0.3">
      <c r="A706" s="18" t="s">
        <v>2232</v>
      </c>
      <c r="B706" s="18" t="s">
        <v>107</v>
      </c>
      <c r="C706" s="19" t="s">
        <v>108</v>
      </c>
      <c r="D706" s="18" t="s">
        <v>2233</v>
      </c>
      <c r="E706" s="19" t="s">
        <v>721</v>
      </c>
      <c r="F706" s="18" t="s">
        <v>110</v>
      </c>
      <c r="G706" s="18" t="s">
        <v>111</v>
      </c>
      <c r="H706" s="19" t="s">
        <v>112</v>
      </c>
      <c r="I706" s="18" t="s">
        <v>113</v>
      </c>
      <c r="J706" s="19" t="s">
        <v>114</v>
      </c>
      <c r="K706" s="19" t="s">
        <v>115</v>
      </c>
      <c r="L706" s="18" t="s">
        <v>116</v>
      </c>
      <c r="M706" s="18" t="s">
        <v>1419</v>
      </c>
      <c r="N706" s="18" t="s">
        <v>118</v>
      </c>
      <c r="O706" s="20">
        <v>119000</v>
      </c>
      <c r="P706" s="20">
        <v>80920</v>
      </c>
      <c r="Q706" s="20">
        <v>1</v>
      </c>
      <c r="R706" s="20">
        <v>0</v>
      </c>
      <c r="S706" s="20">
        <v>0</v>
      </c>
      <c r="T706" s="20">
        <v>0</v>
      </c>
      <c r="U706" s="20">
        <v>0</v>
      </c>
      <c r="V706" s="20">
        <v>0</v>
      </c>
      <c r="W706" s="20">
        <v>32</v>
      </c>
      <c r="X706" s="20">
        <v>0</v>
      </c>
      <c r="Y706" s="20">
        <v>0</v>
      </c>
      <c r="Z706" s="20">
        <v>0</v>
      </c>
      <c r="AA706" s="20">
        <v>0</v>
      </c>
      <c r="AB706" s="20">
        <v>0</v>
      </c>
      <c r="AC706" s="20">
        <v>119000</v>
      </c>
      <c r="AD706" s="20">
        <v>80920</v>
      </c>
      <c r="AE706" s="20">
        <v>0</v>
      </c>
      <c r="AF706" s="20">
        <v>0</v>
      </c>
      <c r="AG706" s="20">
        <v>119000</v>
      </c>
      <c r="AH706" s="20">
        <v>80920</v>
      </c>
      <c r="AI706" s="20">
        <v>34618</v>
      </c>
      <c r="AJ706" s="20">
        <v>3462</v>
      </c>
      <c r="AK706" s="20">
        <v>38080</v>
      </c>
    </row>
    <row r="707" spans="1:37" ht="24" x14ac:dyDescent="0.3">
      <c r="A707" s="18" t="s">
        <v>2234</v>
      </c>
      <c r="B707" s="18" t="s">
        <v>107</v>
      </c>
      <c r="C707" s="19" t="s">
        <v>108</v>
      </c>
      <c r="D707" s="18" t="s">
        <v>2235</v>
      </c>
      <c r="E707" s="19" t="s">
        <v>2236</v>
      </c>
      <c r="F707" s="18" t="s">
        <v>110</v>
      </c>
      <c r="G707" s="18" t="s">
        <v>111</v>
      </c>
      <c r="H707" s="19" t="s">
        <v>112</v>
      </c>
      <c r="I707" s="18" t="s">
        <v>113</v>
      </c>
      <c r="J707" s="19" t="s">
        <v>114</v>
      </c>
      <c r="K707" s="19" t="s">
        <v>115</v>
      </c>
      <c r="L707" s="18" t="s">
        <v>116</v>
      </c>
      <c r="M707" s="18" t="s">
        <v>1419</v>
      </c>
      <c r="N707" s="18" t="s">
        <v>118</v>
      </c>
      <c r="O707" s="20">
        <v>119000</v>
      </c>
      <c r="P707" s="20">
        <v>80920</v>
      </c>
      <c r="Q707" s="20">
        <v>1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v>32</v>
      </c>
      <c r="X707" s="20">
        <v>0</v>
      </c>
      <c r="Y707" s="20">
        <v>0</v>
      </c>
      <c r="Z707" s="20">
        <v>0</v>
      </c>
      <c r="AA707" s="20">
        <v>0</v>
      </c>
      <c r="AB707" s="20">
        <v>0</v>
      </c>
      <c r="AC707" s="20">
        <v>119000</v>
      </c>
      <c r="AD707" s="20">
        <v>80920</v>
      </c>
      <c r="AE707" s="20">
        <v>0</v>
      </c>
      <c r="AF707" s="20">
        <v>0</v>
      </c>
      <c r="AG707" s="20">
        <v>119000</v>
      </c>
      <c r="AH707" s="20">
        <v>80920</v>
      </c>
      <c r="AI707" s="20">
        <v>34618</v>
      </c>
      <c r="AJ707" s="20">
        <v>3462</v>
      </c>
      <c r="AK707" s="20">
        <v>38080</v>
      </c>
    </row>
    <row r="708" spans="1:37" ht="24" x14ac:dyDescent="0.3">
      <c r="A708" s="18" t="s">
        <v>2237</v>
      </c>
      <c r="B708" s="18" t="s">
        <v>107</v>
      </c>
      <c r="C708" s="19" t="s">
        <v>108</v>
      </c>
      <c r="D708" s="18" t="s">
        <v>2238</v>
      </c>
      <c r="E708" s="19" t="s">
        <v>721</v>
      </c>
      <c r="F708" s="18" t="s">
        <v>110</v>
      </c>
      <c r="G708" s="18" t="s">
        <v>111</v>
      </c>
      <c r="H708" s="19" t="s">
        <v>112</v>
      </c>
      <c r="I708" s="18" t="s">
        <v>113</v>
      </c>
      <c r="J708" s="19" t="s">
        <v>114</v>
      </c>
      <c r="K708" s="19" t="s">
        <v>115</v>
      </c>
      <c r="L708" s="18" t="s">
        <v>116</v>
      </c>
      <c r="M708" s="18" t="s">
        <v>1419</v>
      </c>
      <c r="N708" s="18" t="s">
        <v>118</v>
      </c>
      <c r="O708" s="20">
        <v>119000</v>
      </c>
      <c r="P708" s="20">
        <v>80920</v>
      </c>
      <c r="Q708" s="20">
        <v>1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32</v>
      </c>
      <c r="X708" s="20">
        <v>0</v>
      </c>
      <c r="Y708" s="20">
        <v>0</v>
      </c>
      <c r="Z708" s="20">
        <v>0</v>
      </c>
      <c r="AA708" s="20">
        <v>0</v>
      </c>
      <c r="AB708" s="20">
        <v>0</v>
      </c>
      <c r="AC708" s="20">
        <v>119000</v>
      </c>
      <c r="AD708" s="20">
        <v>80920</v>
      </c>
      <c r="AE708" s="20">
        <v>0</v>
      </c>
      <c r="AF708" s="20">
        <v>0</v>
      </c>
      <c r="AG708" s="20">
        <v>119000</v>
      </c>
      <c r="AH708" s="20">
        <v>80920</v>
      </c>
      <c r="AI708" s="20">
        <v>34618</v>
      </c>
      <c r="AJ708" s="20">
        <v>3462</v>
      </c>
      <c r="AK708" s="20">
        <v>38080</v>
      </c>
    </row>
    <row r="709" spans="1:37" ht="24" x14ac:dyDescent="0.3">
      <c r="A709" s="18" t="s">
        <v>2239</v>
      </c>
      <c r="B709" s="18" t="s">
        <v>107</v>
      </c>
      <c r="C709" s="19" t="s">
        <v>108</v>
      </c>
      <c r="D709" s="18" t="s">
        <v>2240</v>
      </c>
      <c r="E709" s="19" t="s">
        <v>2241</v>
      </c>
      <c r="F709" s="18" t="s">
        <v>110</v>
      </c>
      <c r="G709" s="18" t="s">
        <v>111</v>
      </c>
      <c r="H709" s="19" t="s">
        <v>112</v>
      </c>
      <c r="I709" s="18" t="s">
        <v>113</v>
      </c>
      <c r="J709" s="19" t="s">
        <v>114</v>
      </c>
      <c r="K709" s="19" t="s">
        <v>115</v>
      </c>
      <c r="L709" s="18" t="s">
        <v>116</v>
      </c>
      <c r="M709" s="18" t="s">
        <v>1419</v>
      </c>
      <c r="N709" s="18" t="s">
        <v>118</v>
      </c>
      <c r="O709" s="20">
        <v>119000</v>
      </c>
      <c r="P709" s="20">
        <v>80920</v>
      </c>
      <c r="Q709" s="20">
        <v>1</v>
      </c>
      <c r="R709" s="20">
        <v>0</v>
      </c>
      <c r="S709" s="20">
        <v>0</v>
      </c>
      <c r="T709" s="20">
        <v>0</v>
      </c>
      <c r="U709" s="20">
        <v>0</v>
      </c>
      <c r="V709" s="20">
        <v>0</v>
      </c>
      <c r="W709" s="20">
        <v>32</v>
      </c>
      <c r="X709" s="20">
        <v>0</v>
      </c>
      <c r="Y709" s="20">
        <v>0</v>
      </c>
      <c r="Z709" s="20">
        <v>0</v>
      </c>
      <c r="AA709" s="20">
        <v>0</v>
      </c>
      <c r="AB709" s="20">
        <v>0</v>
      </c>
      <c r="AC709" s="20">
        <v>119000</v>
      </c>
      <c r="AD709" s="20">
        <v>80920</v>
      </c>
      <c r="AE709" s="20">
        <v>0</v>
      </c>
      <c r="AF709" s="20">
        <v>0</v>
      </c>
      <c r="AG709" s="20">
        <v>119000</v>
      </c>
      <c r="AH709" s="20">
        <v>80920</v>
      </c>
      <c r="AI709" s="20">
        <v>34618</v>
      </c>
      <c r="AJ709" s="20">
        <v>3462</v>
      </c>
      <c r="AK709" s="20">
        <v>38080</v>
      </c>
    </row>
    <row r="710" spans="1:37" ht="24" x14ac:dyDescent="0.3">
      <c r="A710" s="18" t="s">
        <v>2242</v>
      </c>
      <c r="B710" s="18" t="s">
        <v>107</v>
      </c>
      <c r="C710" s="19" t="s">
        <v>108</v>
      </c>
      <c r="D710" s="18" t="s">
        <v>2243</v>
      </c>
      <c r="E710" s="19" t="s">
        <v>1225</v>
      </c>
      <c r="F710" s="18" t="s">
        <v>110</v>
      </c>
      <c r="G710" s="18" t="s">
        <v>111</v>
      </c>
      <c r="H710" s="19" t="s">
        <v>112</v>
      </c>
      <c r="I710" s="18" t="s">
        <v>113</v>
      </c>
      <c r="J710" s="19" t="s">
        <v>114</v>
      </c>
      <c r="K710" s="19" t="s">
        <v>115</v>
      </c>
      <c r="L710" s="18" t="s">
        <v>116</v>
      </c>
      <c r="M710" s="18" t="s">
        <v>1419</v>
      </c>
      <c r="N710" s="18" t="s">
        <v>118</v>
      </c>
      <c r="O710" s="20">
        <v>119000</v>
      </c>
      <c r="P710" s="20">
        <v>80920</v>
      </c>
      <c r="Q710" s="20">
        <v>1</v>
      </c>
      <c r="R710" s="20">
        <v>0</v>
      </c>
      <c r="S710" s="20">
        <v>0</v>
      </c>
      <c r="T710" s="20">
        <v>0</v>
      </c>
      <c r="U710" s="20">
        <v>0</v>
      </c>
      <c r="V710" s="20">
        <v>0</v>
      </c>
      <c r="W710" s="20">
        <v>32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119000</v>
      </c>
      <c r="AD710" s="20">
        <v>80920</v>
      </c>
      <c r="AE710" s="20">
        <v>0</v>
      </c>
      <c r="AF710" s="20">
        <v>0</v>
      </c>
      <c r="AG710" s="20">
        <v>119000</v>
      </c>
      <c r="AH710" s="20">
        <v>80920</v>
      </c>
      <c r="AI710" s="20">
        <v>34618</v>
      </c>
      <c r="AJ710" s="20">
        <v>3462</v>
      </c>
      <c r="AK710" s="20">
        <v>38080</v>
      </c>
    </row>
    <row r="711" spans="1:37" ht="24" x14ac:dyDescent="0.3">
      <c r="A711" s="18" t="s">
        <v>2244</v>
      </c>
      <c r="B711" s="18" t="s">
        <v>107</v>
      </c>
      <c r="C711" s="19" t="s">
        <v>108</v>
      </c>
      <c r="D711" s="18" t="s">
        <v>2245</v>
      </c>
      <c r="E711" s="19" t="s">
        <v>2246</v>
      </c>
      <c r="F711" s="18" t="s">
        <v>110</v>
      </c>
      <c r="G711" s="18" t="s">
        <v>111</v>
      </c>
      <c r="H711" s="19" t="s">
        <v>112</v>
      </c>
      <c r="I711" s="18" t="s">
        <v>113</v>
      </c>
      <c r="J711" s="19" t="s">
        <v>114</v>
      </c>
      <c r="K711" s="19" t="s">
        <v>115</v>
      </c>
      <c r="L711" s="18" t="s">
        <v>116</v>
      </c>
      <c r="M711" s="18" t="s">
        <v>1419</v>
      </c>
      <c r="N711" s="18" t="s">
        <v>118</v>
      </c>
      <c r="O711" s="20">
        <v>119000</v>
      </c>
      <c r="P711" s="20">
        <v>80920</v>
      </c>
      <c r="Q711" s="20">
        <v>1</v>
      </c>
      <c r="R711" s="20">
        <v>0</v>
      </c>
      <c r="S711" s="20">
        <v>0</v>
      </c>
      <c r="T711" s="20">
        <v>0</v>
      </c>
      <c r="U711" s="20">
        <v>0</v>
      </c>
      <c r="V711" s="20">
        <v>0</v>
      </c>
      <c r="W711" s="20">
        <v>32</v>
      </c>
      <c r="X711" s="20">
        <v>0</v>
      </c>
      <c r="Y711" s="20">
        <v>0</v>
      </c>
      <c r="Z711" s="20">
        <v>0</v>
      </c>
      <c r="AA711" s="20">
        <v>0</v>
      </c>
      <c r="AB711" s="20">
        <v>0</v>
      </c>
      <c r="AC711" s="20">
        <v>119000</v>
      </c>
      <c r="AD711" s="20">
        <v>80920</v>
      </c>
      <c r="AE711" s="20">
        <v>0</v>
      </c>
      <c r="AF711" s="20">
        <v>0</v>
      </c>
      <c r="AG711" s="20">
        <v>119000</v>
      </c>
      <c r="AH711" s="20">
        <v>80920</v>
      </c>
      <c r="AI711" s="20">
        <v>34618</v>
      </c>
      <c r="AJ711" s="20">
        <v>3462</v>
      </c>
      <c r="AK711" s="20">
        <v>38080</v>
      </c>
    </row>
    <row r="712" spans="1:37" ht="24" x14ac:dyDescent="0.3">
      <c r="A712" s="18" t="s">
        <v>2247</v>
      </c>
      <c r="B712" s="18" t="s">
        <v>107</v>
      </c>
      <c r="C712" s="19" t="s">
        <v>108</v>
      </c>
      <c r="D712" s="18" t="s">
        <v>2248</v>
      </c>
      <c r="E712" s="19" t="s">
        <v>196</v>
      </c>
      <c r="F712" s="18" t="s">
        <v>110</v>
      </c>
      <c r="G712" s="18" t="s">
        <v>111</v>
      </c>
      <c r="H712" s="19" t="s">
        <v>112</v>
      </c>
      <c r="I712" s="18" t="s">
        <v>113</v>
      </c>
      <c r="J712" s="19" t="s">
        <v>114</v>
      </c>
      <c r="K712" s="19" t="s">
        <v>115</v>
      </c>
      <c r="L712" s="18" t="s">
        <v>116</v>
      </c>
      <c r="M712" s="18" t="s">
        <v>1419</v>
      </c>
      <c r="N712" s="18" t="s">
        <v>118</v>
      </c>
      <c r="O712" s="20">
        <v>119000</v>
      </c>
      <c r="P712" s="20">
        <v>80920</v>
      </c>
      <c r="Q712" s="20">
        <v>1</v>
      </c>
      <c r="R712" s="20">
        <v>0</v>
      </c>
      <c r="S712" s="20">
        <v>0</v>
      </c>
      <c r="T712" s="20">
        <v>0</v>
      </c>
      <c r="U712" s="20">
        <v>0</v>
      </c>
      <c r="V712" s="20">
        <v>0</v>
      </c>
      <c r="W712" s="20">
        <v>32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20">
        <v>119000</v>
      </c>
      <c r="AD712" s="20">
        <v>80920</v>
      </c>
      <c r="AE712" s="20">
        <v>0</v>
      </c>
      <c r="AF712" s="20">
        <v>0</v>
      </c>
      <c r="AG712" s="20">
        <v>119000</v>
      </c>
      <c r="AH712" s="20">
        <v>80920</v>
      </c>
      <c r="AI712" s="20">
        <v>34618</v>
      </c>
      <c r="AJ712" s="20">
        <v>3462</v>
      </c>
      <c r="AK712" s="20">
        <v>38080</v>
      </c>
    </row>
    <row r="713" spans="1:37" ht="24" x14ac:dyDescent="0.3">
      <c r="A713" s="18" t="s">
        <v>2249</v>
      </c>
      <c r="B713" s="18" t="s">
        <v>107</v>
      </c>
      <c r="C713" s="19" t="s">
        <v>108</v>
      </c>
      <c r="D713" s="18" t="s">
        <v>2250</v>
      </c>
      <c r="E713" s="19" t="s">
        <v>2251</v>
      </c>
      <c r="F713" s="18" t="s">
        <v>110</v>
      </c>
      <c r="G713" s="18" t="s">
        <v>111</v>
      </c>
      <c r="H713" s="19" t="s">
        <v>112</v>
      </c>
      <c r="I713" s="18" t="s">
        <v>113</v>
      </c>
      <c r="J713" s="19" t="s">
        <v>114</v>
      </c>
      <c r="K713" s="19" t="s">
        <v>115</v>
      </c>
      <c r="L713" s="18" t="s">
        <v>116</v>
      </c>
      <c r="M713" s="18" t="s">
        <v>1419</v>
      </c>
      <c r="N713" s="18" t="s">
        <v>118</v>
      </c>
      <c r="O713" s="20">
        <v>119000</v>
      </c>
      <c r="P713" s="20">
        <v>80920</v>
      </c>
      <c r="Q713" s="20">
        <v>1</v>
      </c>
      <c r="R713" s="20">
        <v>0</v>
      </c>
      <c r="S713" s="20">
        <v>0</v>
      </c>
      <c r="T713" s="20">
        <v>0</v>
      </c>
      <c r="U713" s="20">
        <v>0</v>
      </c>
      <c r="V713" s="20">
        <v>0</v>
      </c>
      <c r="W713" s="20">
        <v>32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119000</v>
      </c>
      <c r="AD713" s="20">
        <v>80920</v>
      </c>
      <c r="AE713" s="20">
        <v>0</v>
      </c>
      <c r="AF713" s="20">
        <v>0</v>
      </c>
      <c r="AG713" s="20">
        <v>119000</v>
      </c>
      <c r="AH713" s="20">
        <v>80920</v>
      </c>
      <c r="AI713" s="20">
        <v>34618</v>
      </c>
      <c r="AJ713" s="20">
        <v>3462</v>
      </c>
      <c r="AK713" s="20">
        <v>38080</v>
      </c>
    </row>
    <row r="714" spans="1:37" ht="24" x14ac:dyDescent="0.3">
      <c r="A714" s="18" t="s">
        <v>2252</v>
      </c>
      <c r="B714" s="18" t="s">
        <v>107</v>
      </c>
      <c r="C714" s="19" t="s">
        <v>108</v>
      </c>
      <c r="D714" s="18" t="s">
        <v>2253</v>
      </c>
      <c r="E714" s="19" t="s">
        <v>139</v>
      </c>
      <c r="F714" s="18" t="s">
        <v>110</v>
      </c>
      <c r="G714" s="18" t="s">
        <v>111</v>
      </c>
      <c r="H714" s="19" t="s">
        <v>112</v>
      </c>
      <c r="I714" s="18" t="s">
        <v>113</v>
      </c>
      <c r="J714" s="19" t="s">
        <v>114</v>
      </c>
      <c r="K714" s="19" t="s">
        <v>115</v>
      </c>
      <c r="L714" s="18" t="s">
        <v>116</v>
      </c>
      <c r="M714" s="18" t="s">
        <v>1419</v>
      </c>
      <c r="N714" s="18" t="s">
        <v>118</v>
      </c>
      <c r="O714" s="20">
        <v>119000</v>
      </c>
      <c r="P714" s="20">
        <v>80920</v>
      </c>
      <c r="Q714" s="20">
        <v>1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32</v>
      </c>
      <c r="X714" s="20">
        <v>0</v>
      </c>
      <c r="Y714" s="20">
        <v>0</v>
      </c>
      <c r="Z714" s="20">
        <v>0</v>
      </c>
      <c r="AA714" s="20">
        <v>0</v>
      </c>
      <c r="AB714" s="20">
        <v>0</v>
      </c>
      <c r="AC714" s="20">
        <v>119000</v>
      </c>
      <c r="AD714" s="20">
        <v>80920</v>
      </c>
      <c r="AE714" s="20">
        <v>0</v>
      </c>
      <c r="AF714" s="20">
        <v>0</v>
      </c>
      <c r="AG714" s="20">
        <v>119000</v>
      </c>
      <c r="AH714" s="20">
        <v>80920</v>
      </c>
      <c r="AI714" s="20">
        <v>34618</v>
      </c>
      <c r="AJ714" s="20">
        <v>3462</v>
      </c>
      <c r="AK714" s="20">
        <v>38080</v>
      </c>
    </row>
    <row r="715" spans="1:37" ht="24" x14ac:dyDescent="0.3">
      <c r="A715" s="18" t="s">
        <v>2254</v>
      </c>
      <c r="B715" s="18" t="s">
        <v>107</v>
      </c>
      <c r="C715" s="19" t="s">
        <v>108</v>
      </c>
      <c r="D715" s="18" t="s">
        <v>2255</v>
      </c>
      <c r="E715" s="19" t="s">
        <v>139</v>
      </c>
      <c r="F715" s="18" t="s">
        <v>110</v>
      </c>
      <c r="G715" s="18" t="s">
        <v>111</v>
      </c>
      <c r="H715" s="19" t="s">
        <v>112</v>
      </c>
      <c r="I715" s="18" t="s">
        <v>113</v>
      </c>
      <c r="J715" s="19" t="s">
        <v>114</v>
      </c>
      <c r="K715" s="19" t="s">
        <v>115</v>
      </c>
      <c r="L715" s="18" t="s">
        <v>116</v>
      </c>
      <c r="M715" s="18" t="s">
        <v>1419</v>
      </c>
      <c r="N715" s="18" t="s">
        <v>118</v>
      </c>
      <c r="O715" s="20">
        <v>119000</v>
      </c>
      <c r="P715" s="20">
        <v>80920</v>
      </c>
      <c r="Q715" s="20">
        <v>1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32</v>
      </c>
      <c r="X715" s="20">
        <v>0</v>
      </c>
      <c r="Y715" s="20">
        <v>0</v>
      </c>
      <c r="Z715" s="20">
        <v>0</v>
      </c>
      <c r="AA715" s="20">
        <v>0</v>
      </c>
      <c r="AB715" s="20">
        <v>0</v>
      </c>
      <c r="AC715" s="20">
        <v>119000</v>
      </c>
      <c r="AD715" s="20">
        <v>80920</v>
      </c>
      <c r="AE715" s="20">
        <v>0</v>
      </c>
      <c r="AF715" s="20">
        <v>0</v>
      </c>
      <c r="AG715" s="20">
        <v>119000</v>
      </c>
      <c r="AH715" s="20">
        <v>80920</v>
      </c>
      <c r="AI715" s="20">
        <v>34618</v>
      </c>
      <c r="AJ715" s="20">
        <v>3462</v>
      </c>
      <c r="AK715" s="20">
        <v>38080</v>
      </c>
    </row>
    <row r="716" spans="1:37" ht="24" x14ac:dyDescent="0.3">
      <c r="A716" s="18" t="s">
        <v>2256</v>
      </c>
      <c r="B716" s="18" t="s">
        <v>107</v>
      </c>
      <c r="C716" s="19" t="s">
        <v>108</v>
      </c>
      <c r="D716" s="18" t="s">
        <v>2257</v>
      </c>
      <c r="E716" s="19" t="s">
        <v>2258</v>
      </c>
      <c r="F716" s="18" t="s">
        <v>110</v>
      </c>
      <c r="G716" s="18" t="s">
        <v>111</v>
      </c>
      <c r="H716" s="19" t="s">
        <v>112</v>
      </c>
      <c r="I716" s="18" t="s">
        <v>113</v>
      </c>
      <c r="J716" s="19" t="s">
        <v>114</v>
      </c>
      <c r="K716" s="19" t="s">
        <v>115</v>
      </c>
      <c r="L716" s="18" t="s">
        <v>116</v>
      </c>
      <c r="M716" s="18" t="s">
        <v>1419</v>
      </c>
      <c r="N716" s="18" t="s">
        <v>118</v>
      </c>
      <c r="O716" s="20">
        <v>119000</v>
      </c>
      <c r="P716" s="20">
        <v>80920</v>
      </c>
      <c r="Q716" s="20">
        <v>1</v>
      </c>
      <c r="R716" s="20">
        <v>0</v>
      </c>
      <c r="S716" s="20">
        <v>0</v>
      </c>
      <c r="T716" s="20">
        <v>0</v>
      </c>
      <c r="U716" s="20">
        <v>0</v>
      </c>
      <c r="V716" s="20">
        <v>0</v>
      </c>
      <c r="W716" s="20">
        <v>32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119000</v>
      </c>
      <c r="AD716" s="20">
        <v>80920</v>
      </c>
      <c r="AE716" s="20">
        <v>0</v>
      </c>
      <c r="AF716" s="20">
        <v>0</v>
      </c>
      <c r="AG716" s="20">
        <v>119000</v>
      </c>
      <c r="AH716" s="20">
        <v>80920</v>
      </c>
      <c r="AI716" s="20">
        <v>34618</v>
      </c>
      <c r="AJ716" s="20">
        <v>3462</v>
      </c>
      <c r="AK716" s="20">
        <v>38080</v>
      </c>
    </row>
    <row r="717" spans="1:37" ht="24" x14ac:dyDescent="0.3">
      <c r="A717" s="18" t="s">
        <v>2259</v>
      </c>
      <c r="B717" s="18" t="s">
        <v>107</v>
      </c>
      <c r="C717" s="19" t="s">
        <v>108</v>
      </c>
      <c r="D717" s="18" t="s">
        <v>2260</v>
      </c>
      <c r="E717" s="19" t="s">
        <v>468</v>
      </c>
      <c r="F717" s="18" t="s">
        <v>110</v>
      </c>
      <c r="G717" s="18" t="s">
        <v>111</v>
      </c>
      <c r="H717" s="19" t="s">
        <v>112</v>
      </c>
      <c r="I717" s="18" t="s">
        <v>113</v>
      </c>
      <c r="J717" s="19" t="s">
        <v>114</v>
      </c>
      <c r="K717" s="19" t="s">
        <v>151</v>
      </c>
      <c r="L717" s="18" t="s">
        <v>116</v>
      </c>
      <c r="M717" s="18" t="s">
        <v>1419</v>
      </c>
      <c r="N717" s="18" t="s">
        <v>118</v>
      </c>
      <c r="O717" s="20">
        <v>119000</v>
      </c>
      <c r="P717" s="20">
        <v>80920</v>
      </c>
      <c r="Q717" s="20">
        <v>1</v>
      </c>
      <c r="R717" s="20">
        <v>0</v>
      </c>
      <c r="S717" s="20">
        <v>0</v>
      </c>
      <c r="T717" s="20">
        <v>0</v>
      </c>
      <c r="U717" s="20">
        <v>0</v>
      </c>
      <c r="V717" s="20">
        <v>0</v>
      </c>
      <c r="W717" s="20">
        <v>32</v>
      </c>
      <c r="X717" s="20">
        <v>0</v>
      </c>
      <c r="Y717" s="20">
        <v>0</v>
      </c>
      <c r="Z717" s="20">
        <v>0</v>
      </c>
      <c r="AA717" s="20">
        <v>0</v>
      </c>
      <c r="AB717" s="20">
        <v>0</v>
      </c>
      <c r="AC717" s="20">
        <v>119000</v>
      </c>
      <c r="AD717" s="20">
        <v>80920</v>
      </c>
      <c r="AE717" s="20">
        <v>0</v>
      </c>
      <c r="AF717" s="20">
        <v>0</v>
      </c>
      <c r="AG717" s="20">
        <v>119000</v>
      </c>
      <c r="AH717" s="20">
        <v>80920</v>
      </c>
      <c r="AI717" s="20">
        <v>34618</v>
      </c>
      <c r="AJ717" s="20">
        <v>3462</v>
      </c>
      <c r="AK717" s="20">
        <v>38080</v>
      </c>
    </row>
    <row r="718" spans="1:37" ht="24" x14ac:dyDescent="0.3">
      <c r="A718" s="18" t="s">
        <v>2261</v>
      </c>
      <c r="B718" s="18" t="s">
        <v>107</v>
      </c>
      <c r="C718" s="19" t="s">
        <v>108</v>
      </c>
      <c r="D718" s="18" t="s">
        <v>2262</v>
      </c>
      <c r="E718" s="19" t="s">
        <v>2263</v>
      </c>
      <c r="F718" s="18" t="s">
        <v>110</v>
      </c>
      <c r="G718" s="18" t="s">
        <v>111</v>
      </c>
      <c r="H718" s="19" t="s">
        <v>112</v>
      </c>
      <c r="I718" s="18" t="s">
        <v>113</v>
      </c>
      <c r="J718" s="19" t="s">
        <v>114</v>
      </c>
      <c r="K718" s="19" t="s">
        <v>115</v>
      </c>
      <c r="L718" s="18" t="s">
        <v>116</v>
      </c>
      <c r="M718" s="18" t="s">
        <v>1419</v>
      </c>
      <c r="N718" s="18" t="s">
        <v>118</v>
      </c>
      <c r="O718" s="20">
        <v>119000</v>
      </c>
      <c r="P718" s="20">
        <v>80920</v>
      </c>
      <c r="Q718" s="20">
        <v>1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32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119000</v>
      </c>
      <c r="AD718" s="20">
        <v>80920</v>
      </c>
      <c r="AE718" s="20">
        <v>0</v>
      </c>
      <c r="AF718" s="20">
        <v>0</v>
      </c>
      <c r="AG718" s="20">
        <v>119000</v>
      </c>
      <c r="AH718" s="20">
        <v>80920</v>
      </c>
      <c r="AI718" s="20">
        <v>34618</v>
      </c>
      <c r="AJ718" s="20">
        <v>3462</v>
      </c>
      <c r="AK718" s="20">
        <v>38080</v>
      </c>
    </row>
    <row r="719" spans="1:37" ht="24" x14ac:dyDescent="0.3">
      <c r="A719" s="18" t="s">
        <v>2264</v>
      </c>
      <c r="B719" s="18" t="s">
        <v>107</v>
      </c>
      <c r="C719" s="19" t="s">
        <v>108</v>
      </c>
      <c r="D719" s="18" t="s">
        <v>2265</v>
      </c>
      <c r="E719" s="19" t="s">
        <v>184</v>
      </c>
      <c r="F719" s="18" t="s">
        <v>110</v>
      </c>
      <c r="G719" s="18" t="s">
        <v>111</v>
      </c>
      <c r="H719" s="19" t="s">
        <v>112</v>
      </c>
      <c r="I719" s="18" t="s">
        <v>113</v>
      </c>
      <c r="J719" s="19" t="s">
        <v>114</v>
      </c>
      <c r="K719" s="19" t="s">
        <v>115</v>
      </c>
      <c r="L719" s="18" t="s">
        <v>116</v>
      </c>
      <c r="M719" s="18" t="s">
        <v>1419</v>
      </c>
      <c r="N719" s="18" t="s">
        <v>118</v>
      </c>
      <c r="O719" s="20">
        <v>119000</v>
      </c>
      <c r="P719" s="20">
        <v>80920</v>
      </c>
      <c r="Q719" s="20">
        <v>1</v>
      </c>
      <c r="R719" s="20">
        <v>0</v>
      </c>
      <c r="S719" s="20">
        <v>0</v>
      </c>
      <c r="T719" s="20">
        <v>0</v>
      </c>
      <c r="U719" s="20">
        <v>0</v>
      </c>
      <c r="V719" s="20">
        <v>0</v>
      </c>
      <c r="W719" s="20">
        <v>32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119000</v>
      </c>
      <c r="AD719" s="20">
        <v>80920</v>
      </c>
      <c r="AE719" s="20">
        <v>0</v>
      </c>
      <c r="AF719" s="20">
        <v>0</v>
      </c>
      <c r="AG719" s="20">
        <v>119000</v>
      </c>
      <c r="AH719" s="20">
        <v>80920</v>
      </c>
      <c r="AI719" s="20">
        <v>34618</v>
      </c>
      <c r="AJ719" s="20">
        <v>3462</v>
      </c>
      <c r="AK719" s="20">
        <v>38080</v>
      </c>
    </row>
    <row r="720" spans="1:37" ht="24" x14ac:dyDescent="0.3">
      <c r="A720" s="18" t="s">
        <v>2266</v>
      </c>
      <c r="B720" s="18" t="s">
        <v>107</v>
      </c>
      <c r="C720" s="19" t="s">
        <v>108</v>
      </c>
      <c r="D720" s="18" t="s">
        <v>2267</v>
      </c>
      <c r="E720" s="19" t="s">
        <v>2268</v>
      </c>
      <c r="F720" s="18" t="s">
        <v>110</v>
      </c>
      <c r="G720" s="18" t="s">
        <v>111</v>
      </c>
      <c r="H720" s="19" t="s">
        <v>112</v>
      </c>
      <c r="I720" s="18" t="s">
        <v>113</v>
      </c>
      <c r="J720" s="19" t="s">
        <v>114</v>
      </c>
      <c r="K720" s="19" t="s">
        <v>115</v>
      </c>
      <c r="L720" s="18" t="s">
        <v>116</v>
      </c>
      <c r="M720" s="18" t="s">
        <v>1419</v>
      </c>
      <c r="N720" s="18" t="s">
        <v>118</v>
      </c>
      <c r="O720" s="20">
        <v>119000</v>
      </c>
      <c r="P720" s="20">
        <v>80920</v>
      </c>
      <c r="Q720" s="20">
        <v>1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32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119000</v>
      </c>
      <c r="AD720" s="20">
        <v>80920</v>
      </c>
      <c r="AE720" s="20">
        <v>0</v>
      </c>
      <c r="AF720" s="20">
        <v>0</v>
      </c>
      <c r="AG720" s="20">
        <v>119000</v>
      </c>
      <c r="AH720" s="20">
        <v>80920</v>
      </c>
      <c r="AI720" s="20">
        <v>34618</v>
      </c>
      <c r="AJ720" s="20">
        <v>3462</v>
      </c>
      <c r="AK720" s="20">
        <v>38080</v>
      </c>
    </row>
    <row r="721" spans="1:37" ht="24" x14ac:dyDescent="0.3">
      <c r="A721" s="18" t="s">
        <v>2269</v>
      </c>
      <c r="B721" s="18" t="s">
        <v>107</v>
      </c>
      <c r="C721" s="19" t="s">
        <v>108</v>
      </c>
      <c r="D721" s="18" t="s">
        <v>2270</v>
      </c>
      <c r="E721" s="19" t="s">
        <v>139</v>
      </c>
      <c r="F721" s="18" t="s">
        <v>110</v>
      </c>
      <c r="G721" s="18" t="s">
        <v>111</v>
      </c>
      <c r="H721" s="19" t="s">
        <v>112</v>
      </c>
      <c r="I721" s="18" t="s">
        <v>113</v>
      </c>
      <c r="J721" s="19" t="s">
        <v>114</v>
      </c>
      <c r="K721" s="19" t="s">
        <v>115</v>
      </c>
      <c r="L721" s="18" t="s">
        <v>116</v>
      </c>
      <c r="M721" s="18" t="s">
        <v>1419</v>
      </c>
      <c r="N721" s="18" t="s">
        <v>118</v>
      </c>
      <c r="O721" s="20">
        <v>119000</v>
      </c>
      <c r="P721" s="20">
        <v>80920</v>
      </c>
      <c r="Q721" s="20">
        <v>1</v>
      </c>
      <c r="R721" s="20">
        <v>0</v>
      </c>
      <c r="S721" s="20">
        <v>0</v>
      </c>
      <c r="T721" s="20">
        <v>0</v>
      </c>
      <c r="U721" s="20">
        <v>0</v>
      </c>
      <c r="V721" s="20">
        <v>0</v>
      </c>
      <c r="W721" s="20">
        <v>32</v>
      </c>
      <c r="X721" s="20">
        <v>0</v>
      </c>
      <c r="Y721" s="20">
        <v>10000</v>
      </c>
      <c r="Z721" s="20">
        <v>0</v>
      </c>
      <c r="AA721" s="20">
        <v>0</v>
      </c>
      <c r="AB721" s="20">
        <v>0</v>
      </c>
      <c r="AC721" s="20">
        <v>119000</v>
      </c>
      <c r="AD721" s="20">
        <v>80920</v>
      </c>
      <c r="AE721" s="20">
        <v>0</v>
      </c>
      <c r="AF721" s="20">
        <v>10000</v>
      </c>
      <c r="AG721" s="20">
        <v>109000</v>
      </c>
      <c r="AH721" s="20">
        <v>80920</v>
      </c>
      <c r="AI721" s="20">
        <v>25527</v>
      </c>
      <c r="AJ721" s="20">
        <v>2553</v>
      </c>
      <c r="AK721" s="20">
        <v>28080</v>
      </c>
    </row>
    <row r="722" spans="1:37" ht="24" x14ac:dyDescent="0.3">
      <c r="A722" s="18" t="s">
        <v>2271</v>
      </c>
      <c r="B722" s="18" t="s">
        <v>107</v>
      </c>
      <c r="C722" s="19" t="s">
        <v>108</v>
      </c>
      <c r="D722" s="18" t="s">
        <v>2272</v>
      </c>
      <c r="E722" s="19" t="s">
        <v>2273</v>
      </c>
      <c r="F722" s="18" t="s">
        <v>110</v>
      </c>
      <c r="G722" s="18" t="s">
        <v>111</v>
      </c>
      <c r="H722" s="19" t="s">
        <v>112</v>
      </c>
      <c r="I722" s="18" t="s">
        <v>113</v>
      </c>
      <c r="J722" s="19" t="s">
        <v>114</v>
      </c>
      <c r="K722" s="19" t="s">
        <v>115</v>
      </c>
      <c r="L722" s="18" t="s">
        <v>116</v>
      </c>
      <c r="M722" s="18" t="s">
        <v>1419</v>
      </c>
      <c r="N722" s="18" t="s">
        <v>118</v>
      </c>
      <c r="O722" s="20">
        <v>119000</v>
      </c>
      <c r="P722" s="20">
        <v>80920</v>
      </c>
      <c r="Q722" s="20">
        <v>1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32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119000</v>
      </c>
      <c r="AD722" s="20">
        <v>80920</v>
      </c>
      <c r="AE722" s="20">
        <v>0</v>
      </c>
      <c r="AF722" s="20">
        <v>0</v>
      </c>
      <c r="AG722" s="20">
        <v>119000</v>
      </c>
      <c r="AH722" s="20">
        <v>80920</v>
      </c>
      <c r="AI722" s="20">
        <v>34618</v>
      </c>
      <c r="AJ722" s="20">
        <v>3462</v>
      </c>
      <c r="AK722" s="20">
        <v>38080</v>
      </c>
    </row>
    <row r="723" spans="1:37" ht="24" x14ac:dyDescent="0.3">
      <c r="A723" s="18" t="s">
        <v>2274</v>
      </c>
      <c r="B723" s="18" t="s">
        <v>107</v>
      </c>
      <c r="C723" s="19" t="s">
        <v>108</v>
      </c>
      <c r="D723" s="18" t="s">
        <v>2275</v>
      </c>
      <c r="E723" s="19" t="s">
        <v>199</v>
      </c>
      <c r="F723" s="18" t="s">
        <v>110</v>
      </c>
      <c r="G723" s="18" t="s">
        <v>111</v>
      </c>
      <c r="H723" s="19" t="s">
        <v>112</v>
      </c>
      <c r="I723" s="18" t="s">
        <v>113</v>
      </c>
      <c r="J723" s="19" t="s">
        <v>114</v>
      </c>
      <c r="K723" s="19" t="s">
        <v>115</v>
      </c>
      <c r="L723" s="18" t="s">
        <v>116</v>
      </c>
      <c r="M723" s="18" t="s">
        <v>1419</v>
      </c>
      <c r="N723" s="18" t="s">
        <v>118</v>
      </c>
      <c r="O723" s="20">
        <v>119000</v>
      </c>
      <c r="P723" s="20">
        <v>80920</v>
      </c>
      <c r="Q723" s="20">
        <v>1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32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119000</v>
      </c>
      <c r="AD723" s="20">
        <v>80920</v>
      </c>
      <c r="AE723" s="20">
        <v>0</v>
      </c>
      <c r="AF723" s="20">
        <v>0</v>
      </c>
      <c r="AG723" s="20">
        <v>119000</v>
      </c>
      <c r="AH723" s="20">
        <v>80920</v>
      </c>
      <c r="AI723" s="20">
        <v>34618</v>
      </c>
      <c r="AJ723" s="20">
        <v>3462</v>
      </c>
      <c r="AK723" s="20">
        <v>38080</v>
      </c>
    </row>
    <row r="724" spans="1:37" ht="24" x14ac:dyDescent="0.3">
      <c r="A724" s="18" t="s">
        <v>2276</v>
      </c>
      <c r="B724" s="18" t="s">
        <v>107</v>
      </c>
      <c r="C724" s="19" t="s">
        <v>108</v>
      </c>
      <c r="D724" s="18" t="s">
        <v>2277</v>
      </c>
      <c r="E724" s="19" t="s">
        <v>2278</v>
      </c>
      <c r="F724" s="18" t="s">
        <v>110</v>
      </c>
      <c r="G724" s="18" t="s">
        <v>111</v>
      </c>
      <c r="H724" s="19" t="s">
        <v>112</v>
      </c>
      <c r="I724" s="18" t="s">
        <v>113</v>
      </c>
      <c r="J724" s="19" t="s">
        <v>114</v>
      </c>
      <c r="K724" s="19" t="s">
        <v>115</v>
      </c>
      <c r="L724" s="18" t="s">
        <v>116</v>
      </c>
      <c r="M724" s="18" t="s">
        <v>1419</v>
      </c>
      <c r="N724" s="18" t="s">
        <v>118</v>
      </c>
      <c r="O724" s="20">
        <v>119000</v>
      </c>
      <c r="P724" s="20">
        <v>80920</v>
      </c>
      <c r="Q724" s="20">
        <v>1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32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119000</v>
      </c>
      <c r="AD724" s="20">
        <v>80920</v>
      </c>
      <c r="AE724" s="20">
        <v>0</v>
      </c>
      <c r="AF724" s="20">
        <v>0</v>
      </c>
      <c r="AG724" s="20">
        <v>119000</v>
      </c>
      <c r="AH724" s="20">
        <v>80920</v>
      </c>
      <c r="AI724" s="20">
        <v>34618</v>
      </c>
      <c r="AJ724" s="20">
        <v>3462</v>
      </c>
      <c r="AK724" s="20">
        <v>38080</v>
      </c>
    </row>
    <row r="725" spans="1:37" ht="24" x14ac:dyDescent="0.3">
      <c r="A725" s="18" t="s">
        <v>2279</v>
      </c>
      <c r="B725" s="18" t="s">
        <v>107</v>
      </c>
      <c r="C725" s="19" t="s">
        <v>108</v>
      </c>
      <c r="D725" s="18" t="s">
        <v>2280</v>
      </c>
      <c r="E725" s="19" t="s">
        <v>119</v>
      </c>
      <c r="F725" s="18" t="s">
        <v>110</v>
      </c>
      <c r="G725" s="18" t="s">
        <v>111</v>
      </c>
      <c r="H725" s="19" t="s">
        <v>112</v>
      </c>
      <c r="I725" s="18" t="s">
        <v>113</v>
      </c>
      <c r="J725" s="19" t="s">
        <v>114</v>
      </c>
      <c r="K725" s="19" t="s">
        <v>115</v>
      </c>
      <c r="L725" s="18" t="s">
        <v>116</v>
      </c>
      <c r="M725" s="18" t="s">
        <v>1419</v>
      </c>
      <c r="N725" s="18" t="s">
        <v>118</v>
      </c>
      <c r="O725" s="20">
        <v>119000</v>
      </c>
      <c r="P725" s="20">
        <v>80920</v>
      </c>
      <c r="Q725" s="20">
        <v>1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32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119000</v>
      </c>
      <c r="AD725" s="20">
        <v>80920</v>
      </c>
      <c r="AE725" s="20">
        <v>0</v>
      </c>
      <c r="AF725" s="20">
        <v>0</v>
      </c>
      <c r="AG725" s="20">
        <v>119000</v>
      </c>
      <c r="AH725" s="20">
        <v>80920</v>
      </c>
      <c r="AI725" s="20">
        <v>34618</v>
      </c>
      <c r="AJ725" s="20">
        <v>3462</v>
      </c>
      <c r="AK725" s="20">
        <v>38080</v>
      </c>
    </row>
    <row r="726" spans="1:37" ht="24" x14ac:dyDescent="0.3">
      <c r="A726" s="18" t="s">
        <v>2281</v>
      </c>
      <c r="B726" s="18" t="s">
        <v>107</v>
      </c>
      <c r="C726" s="19" t="s">
        <v>108</v>
      </c>
      <c r="D726" s="18" t="s">
        <v>2282</v>
      </c>
      <c r="E726" s="19" t="s">
        <v>235</v>
      </c>
      <c r="F726" s="18" t="s">
        <v>110</v>
      </c>
      <c r="G726" s="18" t="s">
        <v>111</v>
      </c>
      <c r="H726" s="19" t="s">
        <v>112</v>
      </c>
      <c r="I726" s="18" t="s">
        <v>113</v>
      </c>
      <c r="J726" s="19" t="s">
        <v>114</v>
      </c>
      <c r="K726" s="19" t="s">
        <v>115</v>
      </c>
      <c r="L726" s="18" t="s">
        <v>116</v>
      </c>
      <c r="M726" s="18" t="s">
        <v>1419</v>
      </c>
      <c r="N726" s="18" t="s">
        <v>118</v>
      </c>
      <c r="O726" s="20">
        <v>119000</v>
      </c>
      <c r="P726" s="20">
        <v>80920</v>
      </c>
      <c r="Q726" s="20">
        <v>1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32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119000</v>
      </c>
      <c r="AD726" s="20">
        <v>80920</v>
      </c>
      <c r="AE726" s="20">
        <v>0</v>
      </c>
      <c r="AF726" s="20">
        <v>0</v>
      </c>
      <c r="AG726" s="20">
        <v>119000</v>
      </c>
      <c r="AH726" s="20">
        <v>80920</v>
      </c>
      <c r="AI726" s="20">
        <v>34618</v>
      </c>
      <c r="AJ726" s="20">
        <v>3462</v>
      </c>
      <c r="AK726" s="20">
        <v>38080</v>
      </c>
    </row>
    <row r="727" spans="1:37" ht="24" x14ac:dyDescent="0.3">
      <c r="A727" s="18" t="s">
        <v>2283</v>
      </c>
      <c r="B727" s="18" t="s">
        <v>107</v>
      </c>
      <c r="C727" s="19" t="s">
        <v>108</v>
      </c>
      <c r="D727" s="18" t="s">
        <v>2284</v>
      </c>
      <c r="E727" s="19" t="s">
        <v>1190</v>
      </c>
      <c r="F727" s="18" t="s">
        <v>110</v>
      </c>
      <c r="G727" s="18" t="s">
        <v>111</v>
      </c>
      <c r="H727" s="19" t="s">
        <v>112</v>
      </c>
      <c r="I727" s="18" t="s">
        <v>113</v>
      </c>
      <c r="J727" s="19" t="s">
        <v>114</v>
      </c>
      <c r="K727" s="19" t="s">
        <v>115</v>
      </c>
      <c r="L727" s="18" t="s">
        <v>116</v>
      </c>
      <c r="M727" s="18" t="s">
        <v>1419</v>
      </c>
      <c r="N727" s="18" t="s">
        <v>118</v>
      </c>
      <c r="O727" s="20">
        <v>119000</v>
      </c>
      <c r="P727" s="20">
        <v>80920</v>
      </c>
      <c r="Q727" s="20">
        <v>1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32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119000</v>
      </c>
      <c r="AD727" s="20">
        <v>80920</v>
      </c>
      <c r="AE727" s="20">
        <v>0</v>
      </c>
      <c r="AF727" s="20">
        <v>0</v>
      </c>
      <c r="AG727" s="20">
        <v>119000</v>
      </c>
      <c r="AH727" s="20">
        <v>80920</v>
      </c>
      <c r="AI727" s="20">
        <v>34618</v>
      </c>
      <c r="AJ727" s="20">
        <v>3462</v>
      </c>
      <c r="AK727" s="20">
        <v>38080</v>
      </c>
    </row>
    <row r="728" spans="1:37" ht="24" x14ac:dyDescent="0.3">
      <c r="A728" s="18" t="s">
        <v>2285</v>
      </c>
      <c r="B728" s="18" t="s">
        <v>107</v>
      </c>
      <c r="C728" s="19" t="s">
        <v>108</v>
      </c>
      <c r="D728" s="18" t="s">
        <v>2286</v>
      </c>
      <c r="E728" s="19" t="s">
        <v>328</v>
      </c>
      <c r="F728" s="18" t="s">
        <v>110</v>
      </c>
      <c r="G728" s="18" t="s">
        <v>111</v>
      </c>
      <c r="H728" s="19" t="s">
        <v>112</v>
      </c>
      <c r="I728" s="18" t="s">
        <v>113</v>
      </c>
      <c r="J728" s="19" t="s">
        <v>114</v>
      </c>
      <c r="K728" s="19" t="s">
        <v>115</v>
      </c>
      <c r="L728" s="18" t="s">
        <v>116</v>
      </c>
      <c r="M728" s="18" t="s">
        <v>1419</v>
      </c>
      <c r="N728" s="18" t="s">
        <v>118</v>
      </c>
      <c r="O728" s="20">
        <v>119000</v>
      </c>
      <c r="P728" s="20">
        <v>80920</v>
      </c>
      <c r="Q728" s="20">
        <v>1</v>
      </c>
      <c r="R728" s="20">
        <v>0</v>
      </c>
      <c r="S728" s="20">
        <v>0</v>
      </c>
      <c r="T728" s="20">
        <v>0</v>
      </c>
      <c r="U728" s="20">
        <v>0</v>
      </c>
      <c r="V728" s="20">
        <v>0</v>
      </c>
      <c r="W728" s="20">
        <v>32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119000</v>
      </c>
      <c r="AD728" s="20">
        <v>80920</v>
      </c>
      <c r="AE728" s="20">
        <v>0</v>
      </c>
      <c r="AF728" s="20">
        <v>0</v>
      </c>
      <c r="AG728" s="20">
        <v>119000</v>
      </c>
      <c r="AH728" s="20">
        <v>80920</v>
      </c>
      <c r="AI728" s="20">
        <v>34618</v>
      </c>
      <c r="AJ728" s="20">
        <v>3462</v>
      </c>
      <c r="AK728" s="20">
        <v>38080</v>
      </c>
    </row>
    <row r="729" spans="1:37" ht="24" x14ac:dyDescent="0.3">
      <c r="A729" s="18" t="s">
        <v>2287</v>
      </c>
      <c r="B729" s="18" t="s">
        <v>107</v>
      </c>
      <c r="C729" s="19" t="s">
        <v>108</v>
      </c>
      <c r="D729" s="18" t="s">
        <v>2288</v>
      </c>
      <c r="E729" s="19" t="s">
        <v>2289</v>
      </c>
      <c r="F729" s="18" t="s">
        <v>110</v>
      </c>
      <c r="G729" s="18" t="s">
        <v>111</v>
      </c>
      <c r="H729" s="19" t="s">
        <v>112</v>
      </c>
      <c r="I729" s="18" t="s">
        <v>113</v>
      </c>
      <c r="J729" s="19" t="s">
        <v>114</v>
      </c>
      <c r="K729" s="19" t="s">
        <v>115</v>
      </c>
      <c r="L729" s="18" t="s">
        <v>116</v>
      </c>
      <c r="M729" s="18" t="s">
        <v>1419</v>
      </c>
      <c r="N729" s="18" t="s">
        <v>118</v>
      </c>
      <c r="O729" s="20">
        <v>119000</v>
      </c>
      <c r="P729" s="20">
        <v>80920</v>
      </c>
      <c r="Q729" s="20">
        <v>1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32</v>
      </c>
      <c r="X729" s="20">
        <v>0</v>
      </c>
      <c r="Y729" s="20">
        <v>0</v>
      </c>
      <c r="Z729" s="20">
        <v>0</v>
      </c>
      <c r="AA729" s="20">
        <v>0</v>
      </c>
      <c r="AB729" s="20">
        <v>5950</v>
      </c>
      <c r="AC729" s="20">
        <v>119000</v>
      </c>
      <c r="AD729" s="20">
        <v>80920</v>
      </c>
      <c r="AE729" s="20">
        <v>0</v>
      </c>
      <c r="AF729" s="20">
        <v>5950</v>
      </c>
      <c r="AG729" s="20">
        <v>113050</v>
      </c>
      <c r="AH729" s="20">
        <v>80920</v>
      </c>
      <c r="AI729" s="20">
        <v>29209</v>
      </c>
      <c r="AJ729" s="20">
        <v>2921</v>
      </c>
      <c r="AK729" s="20">
        <v>32130</v>
      </c>
    </row>
    <row r="730" spans="1:37" ht="24" x14ac:dyDescent="0.3">
      <c r="A730" s="18" t="s">
        <v>2290</v>
      </c>
      <c r="B730" s="18" t="s">
        <v>107</v>
      </c>
      <c r="C730" s="19" t="s">
        <v>108</v>
      </c>
      <c r="D730" s="18" t="s">
        <v>2291</v>
      </c>
      <c r="E730" s="19" t="s">
        <v>1204</v>
      </c>
      <c r="F730" s="18" t="s">
        <v>110</v>
      </c>
      <c r="G730" s="18" t="s">
        <v>111</v>
      </c>
      <c r="H730" s="19" t="s">
        <v>112</v>
      </c>
      <c r="I730" s="18" t="s">
        <v>113</v>
      </c>
      <c r="J730" s="19" t="s">
        <v>114</v>
      </c>
      <c r="K730" s="19" t="s">
        <v>115</v>
      </c>
      <c r="L730" s="18" t="s">
        <v>116</v>
      </c>
      <c r="M730" s="18" t="s">
        <v>1419</v>
      </c>
      <c r="N730" s="18" t="s">
        <v>118</v>
      </c>
      <c r="O730" s="20">
        <v>119000</v>
      </c>
      <c r="P730" s="20">
        <v>80920</v>
      </c>
      <c r="Q730" s="20">
        <v>1</v>
      </c>
      <c r="R730" s="20">
        <v>0</v>
      </c>
      <c r="S730" s="20">
        <v>0</v>
      </c>
      <c r="T730" s="20">
        <v>0</v>
      </c>
      <c r="U730" s="20">
        <v>0</v>
      </c>
      <c r="V730" s="20">
        <v>0</v>
      </c>
      <c r="W730" s="20">
        <v>32</v>
      </c>
      <c r="X730" s="20">
        <v>0</v>
      </c>
      <c r="Y730" s="20">
        <v>0</v>
      </c>
      <c r="Z730" s="20">
        <v>0</v>
      </c>
      <c r="AA730" s="20">
        <v>0</v>
      </c>
      <c r="AB730" s="20">
        <v>0</v>
      </c>
      <c r="AC730" s="20">
        <v>119000</v>
      </c>
      <c r="AD730" s="20">
        <v>80920</v>
      </c>
      <c r="AE730" s="20">
        <v>0</v>
      </c>
      <c r="AF730" s="20">
        <v>0</v>
      </c>
      <c r="AG730" s="20">
        <v>119000</v>
      </c>
      <c r="AH730" s="20">
        <v>80920</v>
      </c>
      <c r="AI730" s="20">
        <v>34618</v>
      </c>
      <c r="AJ730" s="20">
        <v>3462</v>
      </c>
      <c r="AK730" s="20">
        <v>38080</v>
      </c>
    </row>
    <row r="731" spans="1:37" ht="24" x14ac:dyDescent="0.3">
      <c r="A731" s="18" t="s">
        <v>2292</v>
      </c>
      <c r="B731" s="18" t="s">
        <v>107</v>
      </c>
      <c r="C731" s="19" t="s">
        <v>108</v>
      </c>
      <c r="D731" s="18" t="s">
        <v>2293</v>
      </c>
      <c r="E731" s="19" t="s">
        <v>378</v>
      </c>
      <c r="F731" s="18" t="s">
        <v>110</v>
      </c>
      <c r="G731" s="18" t="s">
        <v>111</v>
      </c>
      <c r="H731" s="19" t="s">
        <v>112</v>
      </c>
      <c r="I731" s="18" t="s">
        <v>113</v>
      </c>
      <c r="J731" s="19" t="s">
        <v>114</v>
      </c>
      <c r="K731" s="19" t="s">
        <v>115</v>
      </c>
      <c r="L731" s="18" t="s">
        <v>116</v>
      </c>
      <c r="M731" s="18" t="s">
        <v>1419</v>
      </c>
      <c r="N731" s="18" t="s">
        <v>118</v>
      </c>
      <c r="O731" s="20">
        <v>119000</v>
      </c>
      <c r="P731" s="20">
        <v>80920</v>
      </c>
      <c r="Q731" s="20">
        <v>1</v>
      </c>
      <c r="R731" s="20">
        <v>0</v>
      </c>
      <c r="S731" s="20">
        <v>0</v>
      </c>
      <c r="T731" s="20">
        <v>0</v>
      </c>
      <c r="U731" s="20">
        <v>0</v>
      </c>
      <c r="V731" s="20">
        <v>0</v>
      </c>
      <c r="W731" s="20">
        <v>32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119000</v>
      </c>
      <c r="AD731" s="20">
        <v>80920</v>
      </c>
      <c r="AE731" s="20">
        <v>0</v>
      </c>
      <c r="AF731" s="20">
        <v>0</v>
      </c>
      <c r="AG731" s="20">
        <v>119000</v>
      </c>
      <c r="AH731" s="20">
        <v>80920</v>
      </c>
      <c r="AI731" s="20">
        <v>34618</v>
      </c>
      <c r="AJ731" s="20">
        <v>3462</v>
      </c>
      <c r="AK731" s="20">
        <v>38080</v>
      </c>
    </row>
    <row r="732" spans="1:37" ht="24" x14ac:dyDescent="0.3">
      <c r="A732" s="18" t="s">
        <v>2294</v>
      </c>
      <c r="B732" s="18" t="s">
        <v>107</v>
      </c>
      <c r="C732" s="19" t="s">
        <v>108</v>
      </c>
      <c r="D732" s="18" t="s">
        <v>2295</v>
      </c>
      <c r="E732" s="19" t="s">
        <v>2296</v>
      </c>
      <c r="F732" s="18" t="s">
        <v>110</v>
      </c>
      <c r="G732" s="18" t="s">
        <v>111</v>
      </c>
      <c r="H732" s="19" t="s">
        <v>112</v>
      </c>
      <c r="I732" s="18" t="s">
        <v>113</v>
      </c>
      <c r="J732" s="19" t="s">
        <v>114</v>
      </c>
      <c r="K732" s="19" t="s">
        <v>151</v>
      </c>
      <c r="L732" s="18" t="s">
        <v>116</v>
      </c>
      <c r="M732" s="18" t="s">
        <v>1419</v>
      </c>
      <c r="N732" s="18" t="s">
        <v>118</v>
      </c>
      <c r="O732" s="20">
        <v>119000</v>
      </c>
      <c r="P732" s="20">
        <v>80920</v>
      </c>
      <c r="Q732" s="20">
        <v>1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32</v>
      </c>
      <c r="X732" s="20">
        <v>14280</v>
      </c>
      <c r="Y732" s="20">
        <v>0</v>
      </c>
      <c r="Z732" s="20">
        <v>0</v>
      </c>
      <c r="AA732" s="20">
        <v>0</v>
      </c>
      <c r="AB732" s="20">
        <v>0</v>
      </c>
      <c r="AC732" s="20">
        <v>119000</v>
      </c>
      <c r="AD732" s="20">
        <v>80920</v>
      </c>
      <c r="AE732" s="20">
        <v>0</v>
      </c>
      <c r="AF732" s="20">
        <v>14280</v>
      </c>
      <c r="AG732" s="20">
        <v>104720</v>
      </c>
      <c r="AH732" s="20">
        <v>80920</v>
      </c>
      <c r="AI732" s="20">
        <v>21636</v>
      </c>
      <c r="AJ732" s="20">
        <v>2164</v>
      </c>
      <c r="AK732" s="20">
        <v>23800</v>
      </c>
    </row>
    <row r="733" spans="1:37" ht="24" x14ac:dyDescent="0.3">
      <c r="A733" s="18" t="s">
        <v>2297</v>
      </c>
      <c r="B733" s="18" t="s">
        <v>107</v>
      </c>
      <c r="C733" s="19" t="s">
        <v>108</v>
      </c>
      <c r="D733" s="18" t="s">
        <v>2298</v>
      </c>
      <c r="E733" s="19" t="s">
        <v>970</v>
      </c>
      <c r="F733" s="18" t="s">
        <v>110</v>
      </c>
      <c r="G733" s="18" t="s">
        <v>111</v>
      </c>
      <c r="H733" s="19" t="s">
        <v>112</v>
      </c>
      <c r="I733" s="18" t="s">
        <v>113</v>
      </c>
      <c r="J733" s="19" t="s">
        <v>114</v>
      </c>
      <c r="K733" s="19" t="s">
        <v>115</v>
      </c>
      <c r="L733" s="18" t="s">
        <v>116</v>
      </c>
      <c r="M733" s="18" t="s">
        <v>1419</v>
      </c>
      <c r="N733" s="18" t="s">
        <v>118</v>
      </c>
      <c r="O733" s="20">
        <v>119000</v>
      </c>
      <c r="P733" s="20">
        <v>80920</v>
      </c>
      <c r="Q733" s="20">
        <v>1</v>
      </c>
      <c r="R733" s="20">
        <v>0</v>
      </c>
      <c r="S733" s="20">
        <v>0</v>
      </c>
      <c r="T733" s="20">
        <v>0</v>
      </c>
      <c r="U733" s="20">
        <v>0</v>
      </c>
      <c r="V733" s="20">
        <v>0</v>
      </c>
      <c r="W733" s="20">
        <v>32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119000</v>
      </c>
      <c r="AD733" s="20">
        <v>80920</v>
      </c>
      <c r="AE733" s="20">
        <v>0</v>
      </c>
      <c r="AF733" s="20">
        <v>0</v>
      </c>
      <c r="AG733" s="20">
        <v>119000</v>
      </c>
      <c r="AH733" s="20">
        <v>80920</v>
      </c>
      <c r="AI733" s="20">
        <v>34618</v>
      </c>
      <c r="AJ733" s="20">
        <v>3462</v>
      </c>
      <c r="AK733" s="20">
        <v>38080</v>
      </c>
    </row>
    <row r="734" spans="1:37" ht="24" x14ac:dyDescent="0.3">
      <c r="A734" s="18" t="s">
        <v>2299</v>
      </c>
      <c r="B734" s="18" t="s">
        <v>107</v>
      </c>
      <c r="C734" s="19" t="s">
        <v>108</v>
      </c>
      <c r="D734" s="18" t="s">
        <v>2300</v>
      </c>
      <c r="E734" s="19" t="s">
        <v>2301</v>
      </c>
      <c r="F734" s="18" t="s">
        <v>110</v>
      </c>
      <c r="G734" s="18" t="s">
        <v>111</v>
      </c>
      <c r="H734" s="19" t="s">
        <v>112</v>
      </c>
      <c r="I734" s="18" t="s">
        <v>113</v>
      </c>
      <c r="J734" s="19" t="s">
        <v>114</v>
      </c>
      <c r="K734" s="19" t="s">
        <v>115</v>
      </c>
      <c r="L734" s="18" t="s">
        <v>116</v>
      </c>
      <c r="M734" s="18" t="s">
        <v>1419</v>
      </c>
      <c r="N734" s="18" t="s">
        <v>118</v>
      </c>
      <c r="O734" s="20">
        <v>119000</v>
      </c>
      <c r="P734" s="20">
        <v>80920</v>
      </c>
      <c r="Q734" s="20">
        <v>1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32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119000</v>
      </c>
      <c r="AD734" s="20">
        <v>80920</v>
      </c>
      <c r="AE734" s="20">
        <v>0</v>
      </c>
      <c r="AF734" s="20">
        <v>0</v>
      </c>
      <c r="AG734" s="20">
        <v>119000</v>
      </c>
      <c r="AH734" s="20">
        <v>80920</v>
      </c>
      <c r="AI734" s="20">
        <v>34618</v>
      </c>
      <c r="AJ734" s="20">
        <v>3462</v>
      </c>
      <c r="AK734" s="20">
        <v>38080</v>
      </c>
    </row>
    <row r="735" spans="1:37" ht="24" x14ac:dyDescent="0.3">
      <c r="A735" s="18" t="s">
        <v>2302</v>
      </c>
      <c r="B735" s="18" t="s">
        <v>107</v>
      </c>
      <c r="C735" s="19" t="s">
        <v>108</v>
      </c>
      <c r="D735" s="18" t="s">
        <v>2303</v>
      </c>
      <c r="E735" s="19" t="s">
        <v>2304</v>
      </c>
      <c r="F735" s="18" t="s">
        <v>110</v>
      </c>
      <c r="G735" s="18" t="s">
        <v>111</v>
      </c>
      <c r="H735" s="19" t="s">
        <v>112</v>
      </c>
      <c r="I735" s="18" t="s">
        <v>113</v>
      </c>
      <c r="J735" s="19" t="s">
        <v>114</v>
      </c>
      <c r="K735" s="19" t="s">
        <v>115</v>
      </c>
      <c r="L735" s="18" t="s">
        <v>116</v>
      </c>
      <c r="M735" s="18" t="s">
        <v>1419</v>
      </c>
      <c r="N735" s="18" t="s">
        <v>118</v>
      </c>
      <c r="O735" s="20">
        <v>119000</v>
      </c>
      <c r="P735" s="20">
        <v>80920</v>
      </c>
      <c r="Q735" s="20">
        <v>1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32</v>
      </c>
      <c r="X735" s="20">
        <v>0</v>
      </c>
      <c r="Y735" s="20">
        <v>0</v>
      </c>
      <c r="Z735" s="20">
        <v>0</v>
      </c>
      <c r="AA735" s="20">
        <v>0</v>
      </c>
      <c r="AB735" s="20">
        <v>0</v>
      </c>
      <c r="AC735" s="20">
        <v>119000</v>
      </c>
      <c r="AD735" s="20">
        <v>80920</v>
      </c>
      <c r="AE735" s="20">
        <v>0</v>
      </c>
      <c r="AF735" s="20">
        <v>0</v>
      </c>
      <c r="AG735" s="20">
        <v>119000</v>
      </c>
      <c r="AH735" s="20">
        <v>80920</v>
      </c>
      <c r="AI735" s="20">
        <v>34618</v>
      </c>
      <c r="AJ735" s="20">
        <v>3462</v>
      </c>
      <c r="AK735" s="20">
        <v>38080</v>
      </c>
    </row>
    <row r="736" spans="1:37" ht="24" x14ac:dyDescent="0.3">
      <c r="A736" s="18" t="s">
        <v>2305</v>
      </c>
      <c r="B736" s="18" t="s">
        <v>107</v>
      </c>
      <c r="C736" s="19" t="s">
        <v>108</v>
      </c>
      <c r="D736" s="18" t="s">
        <v>2306</v>
      </c>
      <c r="E736" s="19" t="s">
        <v>196</v>
      </c>
      <c r="F736" s="18" t="s">
        <v>110</v>
      </c>
      <c r="G736" s="18" t="s">
        <v>111</v>
      </c>
      <c r="H736" s="19" t="s">
        <v>112</v>
      </c>
      <c r="I736" s="18" t="s">
        <v>113</v>
      </c>
      <c r="J736" s="19" t="s">
        <v>114</v>
      </c>
      <c r="K736" s="19" t="s">
        <v>115</v>
      </c>
      <c r="L736" s="18" t="s">
        <v>116</v>
      </c>
      <c r="M736" s="18" t="s">
        <v>1419</v>
      </c>
      <c r="N736" s="18" t="s">
        <v>118</v>
      </c>
      <c r="O736" s="20">
        <v>119000</v>
      </c>
      <c r="P736" s="20">
        <v>80920</v>
      </c>
      <c r="Q736" s="20">
        <v>1</v>
      </c>
      <c r="R736" s="20">
        <v>0</v>
      </c>
      <c r="S736" s="20">
        <v>0</v>
      </c>
      <c r="T736" s="20">
        <v>0</v>
      </c>
      <c r="U736" s="20">
        <v>0</v>
      </c>
      <c r="V736" s="20">
        <v>0</v>
      </c>
      <c r="W736" s="20">
        <v>32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119000</v>
      </c>
      <c r="AD736" s="20">
        <v>80920</v>
      </c>
      <c r="AE736" s="20">
        <v>0</v>
      </c>
      <c r="AF736" s="20">
        <v>0</v>
      </c>
      <c r="AG736" s="20">
        <v>119000</v>
      </c>
      <c r="AH736" s="20">
        <v>80920</v>
      </c>
      <c r="AI736" s="20">
        <v>34618</v>
      </c>
      <c r="AJ736" s="20">
        <v>3462</v>
      </c>
      <c r="AK736" s="20">
        <v>38080</v>
      </c>
    </row>
    <row r="737" spans="1:37" ht="24" x14ac:dyDescent="0.3">
      <c r="A737" s="18" t="s">
        <v>2307</v>
      </c>
      <c r="B737" s="18" t="s">
        <v>107</v>
      </c>
      <c r="C737" s="19" t="s">
        <v>108</v>
      </c>
      <c r="D737" s="18" t="s">
        <v>2308</v>
      </c>
      <c r="E737" s="19" t="s">
        <v>903</v>
      </c>
      <c r="F737" s="18" t="s">
        <v>110</v>
      </c>
      <c r="G737" s="18" t="s">
        <v>111</v>
      </c>
      <c r="H737" s="19" t="s">
        <v>112</v>
      </c>
      <c r="I737" s="18" t="s">
        <v>113</v>
      </c>
      <c r="J737" s="19" t="s">
        <v>114</v>
      </c>
      <c r="K737" s="19" t="s">
        <v>115</v>
      </c>
      <c r="L737" s="18" t="s">
        <v>116</v>
      </c>
      <c r="M737" s="18" t="s">
        <v>1419</v>
      </c>
      <c r="N737" s="18" t="s">
        <v>118</v>
      </c>
      <c r="O737" s="20">
        <v>119000</v>
      </c>
      <c r="P737" s="20">
        <v>80920</v>
      </c>
      <c r="Q737" s="20">
        <v>1</v>
      </c>
      <c r="R737" s="20">
        <v>0</v>
      </c>
      <c r="S737" s="20">
        <v>0</v>
      </c>
      <c r="T737" s="20">
        <v>0</v>
      </c>
      <c r="U737" s="20">
        <v>0</v>
      </c>
      <c r="V737" s="20">
        <v>0</v>
      </c>
      <c r="W737" s="20">
        <v>32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119000</v>
      </c>
      <c r="AD737" s="20">
        <v>80920</v>
      </c>
      <c r="AE737" s="20">
        <v>0</v>
      </c>
      <c r="AF737" s="20">
        <v>0</v>
      </c>
      <c r="AG737" s="20">
        <v>119000</v>
      </c>
      <c r="AH737" s="20">
        <v>80920</v>
      </c>
      <c r="AI737" s="20">
        <v>34618</v>
      </c>
      <c r="AJ737" s="20">
        <v>3462</v>
      </c>
      <c r="AK737" s="20">
        <v>38080</v>
      </c>
    </row>
    <row r="738" spans="1:37" ht="24" x14ac:dyDescent="0.3">
      <c r="A738" s="18" t="s">
        <v>2309</v>
      </c>
      <c r="B738" s="18" t="s">
        <v>107</v>
      </c>
      <c r="C738" s="19" t="s">
        <v>108</v>
      </c>
      <c r="D738" s="18" t="s">
        <v>2310</v>
      </c>
      <c r="E738" s="19" t="s">
        <v>2311</v>
      </c>
      <c r="F738" s="18" t="s">
        <v>110</v>
      </c>
      <c r="G738" s="18" t="s">
        <v>111</v>
      </c>
      <c r="H738" s="19" t="s">
        <v>112</v>
      </c>
      <c r="I738" s="18" t="s">
        <v>113</v>
      </c>
      <c r="J738" s="19" t="s">
        <v>114</v>
      </c>
      <c r="K738" s="19" t="s">
        <v>115</v>
      </c>
      <c r="L738" s="18" t="s">
        <v>116</v>
      </c>
      <c r="M738" s="18" t="s">
        <v>1419</v>
      </c>
      <c r="N738" s="18" t="s">
        <v>118</v>
      </c>
      <c r="O738" s="20">
        <v>119000</v>
      </c>
      <c r="P738" s="20">
        <v>80920</v>
      </c>
      <c r="Q738" s="20">
        <v>1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32</v>
      </c>
      <c r="X738" s="20">
        <v>0</v>
      </c>
      <c r="Y738" s="20">
        <v>0</v>
      </c>
      <c r="Z738" s="20">
        <v>0</v>
      </c>
      <c r="AA738" s="20">
        <v>0</v>
      </c>
      <c r="AB738" s="20">
        <v>0</v>
      </c>
      <c r="AC738" s="20">
        <v>119000</v>
      </c>
      <c r="AD738" s="20">
        <v>80920</v>
      </c>
      <c r="AE738" s="20">
        <v>0</v>
      </c>
      <c r="AF738" s="20">
        <v>0</v>
      </c>
      <c r="AG738" s="20">
        <v>119000</v>
      </c>
      <c r="AH738" s="20">
        <v>80920</v>
      </c>
      <c r="AI738" s="20">
        <v>34618</v>
      </c>
      <c r="AJ738" s="20">
        <v>3462</v>
      </c>
      <c r="AK738" s="20">
        <v>38080</v>
      </c>
    </row>
    <row r="739" spans="1:37" ht="24" x14ac:dyDescent="0.3">
      <c r="A739" s="18" t="s">
        <v>2312</v>
      </c>
      <c r="B739" s="18" t="s">
        <v>107</v>
      </c>
      <c r="C739" s="19" t="s">
        <v>108</v>
      </c>
      <c r="D739" s="18" t="s">
        <v>2313</v>
      </c>
      <c r="E739" s="19" t="s">
        <v>196</v>
      </c>
      <c r="F739" s="18" t="s">
        <v>110</v>
      </c>
      <c r="G739" s="18" t="s">
        <v>111</v>
      </c>
      <c r="H739" s="19" t="s">
        <v>112</v>
      </c>
      <c r="I739" s="18" t="s">
        <v>113</v>
      </c>
      <c r="J739" s="19" t="s">
        <v>114</v>
      </c>
      <c r="K739" s="19" t="s">
        <v>115</v>
      </c>
      <c r="L739" s="18" t="s">
        <v>116</v>
      </c>
      <c r="M739" s="18" t="s">
        <v>1419</v>
      </c>
      <c r="N739" s="18" t="s">
        <v>118</v>
      </c>
      <c r="O739" s="20">
        <v>119000</v>
      </c>
      <c r="P739" s="20">
        <v>80920</v>
      </c>
      <c r="Q739" s="20">
        <v>1</v>
      </c>
      <c r="R739" s="20">
        <v>0</v>
      </c>
      <c r="S739" s="20">
        <v>0</v>
      </c>
      <c r="T739" s="20">
        <v>0</v>
      </c>
      <c r="U739" s="20">
        <v>0</v>
      </c>
      <c r="V739" s="20">
        <v>0</v>
      </c>
      <c r="W739" s="20">
        <v>32</v>
      </c>
      <c r="X739" s="20">
        <v>0</v>
      </c>
      <c r="Y739" s="20">
        <v>0</v>
      </c>
      <c r="Z739" s="20">
        <v>0</v>
      </c>
      <c r="AA739" s="20">
        <v>0</v>
      </c>
      <c r="AB739" s="20">
        <v>0</v>
      </c>
      <c r="AC739" s="20">
        <v>119000</v>
      </c>
      <c r="AD739" s="20">
        <v>80920</v>
      </c>
      <c r="AE739" s="20">
        <v>0</v>
      </c>
      <c r="AF739" s="20">
        <v>0</v>
      </c>
      <c r="AG739" s="20">
        <v>119000</v>
      </c>
      <c r="AH739" s="20">
        <v>80920</v>
      </c>
      <c r="AI739" s="20">
        <v>34618</v>
      </c>
      <c r="AJ739" s="20">
        <v>3462</v>
      </c>
      <c r="AK739" s="20">
        <v>38080</v>
      </c>
    </row>
    <row r="740" spans="1:37" ht="24" x14ac:dyDescent="0.3">
      <c r="A740" s="18" t="s">
        <v>2314</v>
      </c>
      <c r="B740" s="18" t="s">
        <v>107</v>
      </c>
      <c r="C740" s="19" t="s">
        <v>108</v>
      </c>
      <c r="D740" s="18" t="s">
        <v>2315</v>
      </c>
      <c r="E740" s="19" t="s">
        <v>1132</v>
      </c>
      <c r="F740" s="18" t="s">
        <v>110</v>
      </c>
      <c r="G740" s="18" t="s">
        <v>111</v>
      </c>
      <c r="H740" s="19" t="s">
        <v>112</v>
      </c>
      <c r="I740" s="18" t="s">
        <v>113</v>
      </c>
      <c r="J740" s="19" t="s">
        <v>114</v>
      </c>
      <c r="K740" s="19" t="s">
        <v>115</v>
      </c>
      <c r="L740" s="18" t="s">
        <v>116</v>
      </c>
      <c r="M740" s="18" t="s">
        <v>1419</v>
      </c>
      <c r="N740" s="18" t="s">
        <v>118</v>
      </c>
      <c r="O740" s="20">
        <v>119000</v>
      </c>
      <c r="P740" s="20">
        <v>80920</v>
      </c>
      <c r="Q740" s="20">
        <v>1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32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119000</v>
      </c>
      <c r="AD740" s="20">
        <v>80920</v>
      </c>
      <c r="AE740" s="20">
        <v>0</v>
      </c>
      <c r="AF740" s="20">
        <v>0</v>
      </c>
      <c r="AG740" s="20">
        <v>119000</v>
      </c>
      <c r="AH740" s="20">
        <v>80920</v>
      </c>
      <c r="AI740" s="20">
        <v>34618</v>
      </c>
      <c r="AJ740" s="20">
        <v>3462</v>
      </c>
      <c r="AK740" s="20">
        <v>38080</v>
      </c>
    </row>
    <row r="741" spans="1:37" ht="24" x14ac:dyDescent="0.3">
      <c r="A741" s="18" t="s">
        <v>2316</v>
      </c>
      <c r="B741" s="18" t="s">
        <v>107</v>
      </c>
      <c r="C741" s="19" t="s">
        <v>108</v>
      </c>
      <c r="D741" s="18" t="s">
        <v>2317</v>
      </c>
      <c r="E741" s="19" t="s">
        <v>2318</v>
      </c>
      <c r="F741" s="18" t="s">
        <v>110</v>
      </c>
      <c r="G741" s="18" t="s">
        <v>111</v>
      </c>
      <c r="H741" s="19" t="s">
        <v>112</v>
      </c>
      <c r="I741" s="18" t="s">
        <v>113</v>
      </c>
      <c r="J741" s="19" t="s">
        <v>114</v>
      </c>
      <c r="K741" s="19" t="s">
        <v>115</v>
      </c>
      <c r="L741" s="18" t="s">
        <v>116</v>
      </c>
      <c r="M741" s="18" t="s">
        <v>1419</v>
      </c>
      <c r="N741" s="18" t="s">
        <v>118</v>
      </c>
      <c r="O741" s="20">
        <v>119000</v>
      </c>
      <c r="P741" s="20">
        <v>80920</v>
      </c>
      <c r="Q741" s="20">
        <v>1</v>
      </c>
      <c r="R741" s="20">
        <v>0</v>
      </c>
      <c r="S741" s="20">
        <v>0</v>
      </c>
      <c r="T741" s="20">
        <v>0</v>
      </c>
      <c r="U741" s="20">
        <v>0</v>
      </c>
      <c r="V741" s="20">
        <v>0</v>
      </c>
      <c r="W741" s="20">
        <v>32</v>
      </c>
      <c r="X741" s="20">
        <v>0</v>
      </c>
      <c r="Y741" s="20">
        <v>0</v>
      </c>
      <c r="Z741" s="20">
        <v>0</v>
      </c>
      <c r="AA741" s="20">
        <v>0</v>
      </c>
      <c r="AB741" s="20">
        <v>0</v>
      </c>
      <c r="AC741" s="20">
        <v>119000</v>
      </c>
      <c r="AD741" s="20">
        <v>80920</v>
      </c>
      <c r="AE741" s="20">
        <v>0</v>
      </c>
      <c r="AF741" s="20">
        <v>0</v>
      </c>
      <c r="AG741" s="20">
        <v>119000</v>
      </c>
      <c r="AH741" s="20">
        <v>80920</v>
      </c>
      <c r="AI741" s="20">
        <v>34618</v>
      </c>
      <c r="AJ741" s="20">
        <v>3462</v>
      </c>
      <c r="AK741" s="20">
        <v>38080</v>
      </c>
    </row>
    <row r="742" spans="1:37" ht="24" x14ac:dyDescent="0.3">
      <c r="A742" s="18" t="s">
        <v>2319</v>
      </c>
      <c r="B742" s="18" t="s">
        <v>107</v>
      </c>
      <c r="C742" s="19" t="s">
        <v>108</v>
      </c>
      <c r="D742" s="18" t="s">
        <v>2320</v>
      </c>
      <c r="E742" s="19" t="s">
        <v>217</v>
      </c>
      <c r="F742" s="18" t="s">
        <v>110</v>
      </c>
      <c r="G742" s="18" t="s">
        <v>111</v>
      </c>
      <c r="H742" s="19" t="s">
        <v>112</v>
      </c>
      <c r="I742" s="18" t="s">
        <v>113</v>
      </c>
      <c r="J742" s="19" t="s">
        <v>114</v>
      </c>
      <c r="K742" s="19" t="s">
        <v>115</v>
      </c>
      <c r="L742" s="18" t="s">
        <v>116</v>
      </c>
      <c r="M742" s="18" t="s">
        <v>1419</v>
      </c>
      <c r="N742" s="18" t="s">
        <v>118</v>
      </c>
      <c r="O742" s="20">
        <v>119000</v>
      </c>
      <c r="P742" s="20">
        <v>80920</v>
      </c>
      <c r="Q742" s="20">
        <v>1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32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119000</v>
      </c>
      <c r="AD742" s="20">
        <v>80920</v>
      </c>
      <c r="AE742" s="20">
        <v>0</v>
      </c>
      <c r="AF742" s="20">
        <v>0</v>
      </c>
      <c r="AG742" s="20">
        <v>119000</v>
      </c>
      <c r="AH742" s="20">
        <v>80920</v>
      </c>
      <c r="AI742" s="20">
        <v>34618</v>
      </c>
      <c r="AJ742" s="20">
        <v>3462</v>
      </c>
      <c r="AK742" s="20">
        <v>38080</v>
      </c>
    </row>
    <row r="743" spans="1:37" ht="24" x14ac:dyDescent="0.3">
      <c r="A743" s="18" t="s">
        <v>2321</v>
      </c>
      <c r="B743" s="18" t="s">
        <v>107</v>
      </c>
      <c r="C743" s="19" t="s">
        <v>108</v>
      </c>
      <c r="D743" s="18" t="s">
        <v>2322</v>
      </c>
      <c r="E743" s="19" t="s">
        <v>2106</v>
      </c>
      <c r="F743" s="18" t="s">
        <v>110</v>
      </c>
      <c r="G743" s="18" t="s">
        <v>111</v>
      </c>
      <c r="H743" s="19" t="s">
        <v>112</v>
      </c>
      <c r="I743" s="18" t="s">
        <v>113</v>
      </c>
      <c r="J743" s="19" t="s">
        <v>114</v>
      </c>
      <c r="K743" s="19" t="s">
        <v>115</v>
      </c>
      <c r="L743" s="18" t="s">
        <v>116</v>
      </c>
      <c r="M743" s="18" t="s">
        <v>1419</v>
      </c>
      <c r="N743" s="18" t="s">
        <v>118</v>
      </c>
      <c r="O743" s="20">
        <v>119000</v>
      </c>
      <c r="P743" s="20">
        <v>80920</v>
      </c>
      <c r="Q743" s="20">
        <v>1</v>
      </c>
      <c r="R743" s="20">
        <v>0</v>
      </c>
      <c r="S743" s="20">
        <v>0</v>
      </c>
      <c r="T743" s="20">
        <v>0</v>
      </c>
      <c r="U743" s="20">
        <v>0</v>
      </c>
      <c r="V743" s="20">
        <v>0</v>
      </c>
      <c r="W743" s="20">
        <v>32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119000</v>
      </c>
      <c r="AD743" s="20">
        <v>80920</v>
      </c>
      <c r="AE743" s="20">
        <v>0</v>
      </c>
      <c r="AF743" s="20">
        <v>0</v>
      </c>
      <c r="AG743" s="20">
        <v>119000</v>
      </c>
      <c r="AH743" s="20">
        <v>80920</v>
      </c>
      <c r="AI743" s="20">
        <v>34618</v>
      </c>
      <c r="AJ743" s="20">
        <v>3462</v>
      </c>
      <c r="AK743" s="20">
        <v>38080</v>
      </c>
    </row>
    <row r="744" spans="1:37" ht="24" x14ac:dyDescent="0.3">
      <c r="A744" s="18" t="s">
        <v>2323</v>
      </c>
      <c r="B744" s="18" t="s">
        <v>107</v>
      </c>
      <c r="C744" s="19" t="s">
        <v>108</v>
      </c>
      <c r="D744" s="18" t="s">
        <v>2324</v>
      </c>
      <c r="E744" s="19" t="s">
        <v>2106</v>
      </c>
      <c r="F744" s="18" t="s">
        <v>110</v>
      </c>
      <c r="G744" s="18" t="s">
        <v>111</v>
      </c>
      <c r="H744" s="19" t="s">
        <v>112</v>
      </c>
      <c r="I744" s="18" t="s">
        <v>113</v>
      </c>
      <c r="J744" s="19" t="s">
        <v>114</v>
      </c>
      <c r="K744" s="19" t="s">
        <v>115</v>
      </c>
      <c r="L744" s="18" t="s">
        <v>116</v>
      </c>
      <c r="M744" s="18" t="s">
        <v>1419</v>
      </c>
      <c r="N744" s="18" t="s">
        <v>118</v>
      </c>
      <c r="O744" s="20">
        <v>119000</v>
      </c>
      <c r="P744" s="20">
        <v>80920</v>
      </c>
      <c r="Q744" s="20">
        <v>1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32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119000</v>
      </c>
      <c r="AD744" s="20">
        <v>80920</v>
      </c>
      <c r="AE744" s="20">
        <v>0</v>
      </c>
      <c r="AF744" s="20">
        <v>0</v>
      </c>
      <c r="AG744" s="20">
        <v>119000</v>
      </c>
      <c r="AH744" s="20">
        <v>80920</v>
      </c>
      <c r="AI744" s="20">
        <v>34618</v>
      </c>
      <c r="AJ744" s="20">
        <v>3462</v>
      </c>
      <c r="AK744" s="20">
        <v>38080</v>
      </c>
    </row>
    <row r="745" spans="1:37" ht="24" x14ac:dyDescent="0.3">
      <c r="A745" s="18" t="s">
        <v>2325</v>
      </c>
      <c r="B745" s="18" t="s">
        <v>107</v>
      </c>
      <c r="C745" s="19" t="s">
        <v>108</v>
      </c>
      <c r="D745" s="18" t="s">
        <v>2326</v>
      </c>
      <c r="E745" s="19" t="s">
        <v>2327</v>
      </c>
      <c r="F745" s="18" t="s">
        <v>110</v>
      </c>
      <c r="G745" s="18" t="s">
        <v>111</v>
      </c>
      <c r="H745" s="19" t="s">
        <v>112</v>
      </c>
      <c r="I745" s="18" t="s">
        <v>113</v>
      </c>
      <c r="J745" s="19" t="s">
        <v>114</v>
      </c>
      <c r="K745" s="19" t="s">
        <v>115</v>
      </c>
      <c r="L745" s="18" t="s">
        <v>116</v>
      </c>
      <c r="M745" s="18" t="s">
        <v>1419</v>
      </c>
      <c r="N745" s="18" t="s">
        <v>118</v>
      </c>
      <c r="O745" s="20">
        <v>119000</v>
      </c>
      <c r="P745" s="20">
        <v>80920</v>
      </c>
      <c r="Q745" s="20">
        <v>1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32</v>
      </c>
      <c r="X745" s="20">
        <v>0</v>
      </c>
      <c r="Y745" s="20">
        <v>0</v>
      </c>
      <c r="Z745" s="20">
        <v>0</v>
      </c>
      <c r="AA745" s="20">
        <v>0</v>
      </c>
      <c r="AB745" s="20">
        <v>0</v>
      </c>
      <c r="AC745" s="20">
        <v>119000</v>
      </c>
      <c r="AD745" s="20">
        <v>80920</v>
      </c>
      <c r="AE745" s="20">
        <v>0</v>
      </c>
      <c r="AF745" s="20">
        <v>0</v>
      </c>
      <c r="AG745" s="20">
        <v>119000</v>
      </c>
      <c r="AH745" s="20">
        <v>80920</v>
      </c>
      <c r="AI745" s="20">
        <v>34618</v>
      </c>
      <c r="AJ745" s="20">
        <v>3462</v>
      </c>
      <c r="AK745" s="20">
        <v>38080</v>
      </c>
    </row>
    <row r="746" spans="1:37" ht="24" x14ac:dyDescent="0.3">
      <c r="A746" s="18" t="s">
        <v>2328</v>
      </c>
      <c r="B746" s="18" t="s">
        <v>107</v>
      </c>
      <c r="C746" s="19" t="s">
        <v>108</v>
      </c>
      <c r="D746" s="18" t="s">
        <v>2329</v>
      </c>
      <c r="E746" s="19" t="s">
        <v>401</v>
      </c>
      <c r="F746" s="18" t="s">
        <v>110</v>
      </c>
      <c r="G746" s="18" t="s">
        <v>111</v>
      </c>
      <c r="H746" s="19" t="s">
        <v>112</v>
      </c>
      <c r="I746" s="18" t="s">
        <v>113</v>
      </c>
      <c r="J746" s="19" t="s">
        <v>114</v>
      </c>
      <c r="K746" s="19" t="s">
        <v>115</v>
      </c>
      <c r="L746" s="18" t="s">
        <v>116</v>
      </c>
      <c r="M746" s="18" t="s">
        <v>1419</v>
      </c>
      <c r="N746" s="18" t="s">
        <v>118</v>
      </c>
      <c r="O746" s="20">
        <v>119000</v>
      </c>
      <c r="P746" s="20">
        <v>80920</v>
      </c>
      <c r="Q746" s="20">
        <v>1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32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119000</v>
      </c>
      <c r="AD746" s="20">
        <v>80920</v>
      </c>
      <c r="AE746" s="20">
        <v>0</v>
      </c>
      <c r="AF746" s="20">
        <v>0</v>
      </c>
      <c r="AG746" s="20">
        <v>119000</v>
      </c>
      <c r="AH746" s="20">
        <v>80920</v>
      </c>
      <c r="AI746" s="20">
        <v>34618</v>
      </c>
      <c r="AJ746" s="20">
        <v>3462</v>
      </c>
      <c r="AK746" s="20">
        <v>38080</v>
      </c>
    </row>
    <row r="747" spans="1:37" ht="24" x14ac:dyDescent="0.3">
      <c r="A747" s="18" t="s">
        <v>2330</v>
      </c>
      <c r="B747" s="18" t="s">
        <v>107</v>
      </c>
      <c r="C747" s="19" t="s">
        <v>108</v>
      </c>
      <c r="D747" s="18" t="s">
        <v>2331</v>
      </c>
      <c r="E747" s="19" t="s">
        <v>1069</v>
      </c>
      <c r="F747" s="18" t="s">
        <v>110</v>
      </c>
      <c r="G747" s="18" t="s">
        <v>111</v>
      </c>
      <c r="H747" s="19" t="s">
        <v>112</v>
      </c>
      <c r="I747" s="18" t="s">
        <v>113</v>
      </c>
      <c r="J747" s="19" t="s">
        <v>114</v>
      </c>
      <c r="K747" s="19" t="s">
        <v>115</v>
      </c>
      <c r="L747" s="18" t="s">
        <v>116</v>
      </c>
      <c r="M747" s="18" t="s">
        <v>1419</v>
      </c>
      <c r="N747" s="18" t="s">
        <v>118</v>
      </c>
      <c r="O747" s="20">
        <v>119000</v>
      </c>
      <c r="P747" s="20">
        <v>80920</v>
      </c>
      <c r="Q747" s="20">
        <v>1</v>
      </c>
      <c r="R747" s="20">
        <v>0</v>
      </c>
      <c r="S747" s="20">
        <v>0</v>
      </c>
      <c r="T747" s="20">
        <v>0</v>
      </c>
      <c r="U747" s="20">
        <v>0</v>
      </c>
      <c r="V747" s="20">
        <v>0</v>
      </c>
      <c r="W747" s="20">
        <v>32</v>
      </c>
      <c r="X747" s="20">
        <v>0</v>
      </c>
      <c r="Y747" s="20">
        <v>0</v>
      </c>
      <c r="Z747" s="20">
        <v>0</v>
      </c>
      <c r="AA747" s="20">
        <v>0</v>
      </c>
      <c r="AB747" s="20">
        <v>0</v>
      </c>
      <c r="AC747" s="20">
        <v>119000</v>
      </c>
      <c r="AD747" s="20">
        <v>80920</v>
      </c>
      <c r="AE747" s="20">
        <v>0</v>
      </c>
      <c r="AF747" s="20">
        <v>0</v>
      </c>
      <c r="AG747" s="20">
        <v>119000</v>
      </c>
      <c r="AH747" s="20">
        <v>80920</v>
      </c>
      <c r="AI747" s="20">
        <v>34618</v>
      </c>
      <c r="AJ747" s="20">
        <v>3462</v>
      </c>
      <c r="AK747" s="20">
        <v>38080</v>
      </c>
    </row>
    <row r="748" spans="1:37" ht="24" x14ac:dyDescent="0.3">
      <c r="A748" s="18" t="s">
        <v>2332</v>
      </c>
      <c r="B748" s="18" t="s">
        <v>107</v>
      </c>
      <c r="C748" s="19" t="s">
        <v>108</v>
      </c>
      <c r="D748" s="18" t="s">
        <v>2333</v>
      </c>
      <c r="E748" s="19" t="s">
        <v>1069</v>
      </c>
      <c r="F748" s="18" t="s">
        <v>110</v>
      </c>
      <c r="G748" s="18" t="s">
        <v>111</v>
      </c>
      <c r="H748" s="19" t="s">
        <v>112</v>
      </c>
      <c r="I748" s="18" t="s">
        <v>113</v>
      </c>
      <c r="J748" s="19" t="s">
        <v>114</v>
      </c>
      <c r="K748" s="19" t="s">
        <v>115</v>
      </c>
      <c r="L748" s="18" t="s">
        <v>116</v>
      </c>
      <c r="M748" s="18" t="s">
        <v>1419</v>
      </c>
      <c r="N748" s="18" t="s">
        <v>118</v>
      </c>
      <c r="O748" s="20">
        <v>119000</v>
      </c>
      <c r="P748" s="20">
        <v>80920</v>
      </c>
      <c r="Q748" s="20">
        <v>1</v>
      </c>
      <c r="R748" s="20">
        <v>0</v>
      </c>
      <c r="S748" s="20">
        <v>0</v>
      </c>
      <c r="T748" s="20">
        <v>0</v>
      </c>
      <c r="U748" s="20">
        <v>0</v>
      </c>
      <c r="V748" s="20">
        <v>0</v>
      </c>
      <c r="W748" s="20">
        <v>32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20">
        <v>119000</v>
      </c>
      <c r="AD748" s="20">
        <v>80920</v>
      </c>
      <c r="AE748" s="20">
        <v>0</v>
      </c>
      <c r="AF748" s="20">
        <v>0</v>
      </c>
      <c r="AG748" s="20">
        <v>119000</v>
      </c>
      <c r="AH748" s="20">
        <v>80920</v>
      </c>
      <c r="AI748" s="20">
        <v>34618</v>
      </c>
      <c r="AJ748" s="20">
        <v>3462</v>
      </c>
      <c r="AK748" s="20">
        <v>38080</v>
      </c>
    </row>
    <row r="749" spans="1:37" ht="24" x14ac:dyDescent="0.3">
      <c r="A749" s="18" t="s">
        <v>2334</v>
      </c>
      <c r="B749" s="18" t="s">
        <v>107</v>
      </c>
      <c r="C749" s="19" t="s">
        <v>108</v>
      </c>
      <c r="D749" s="18" t="s">
        <v>2335</v>
      </c>
      <c r="E749" s="19" t="s">
        <v>1069</v>
      </c>
      <c r="F749" s="18" t="s">
        <v>110</v>
      </c>
      <c r="G749" s="18" t="s">
        <v>111</v>
      </c>
      <c r="H749" s="19" t="s">
        <v>112</v>
      </c>
      <c r="I749" s="18" t="s">
        <v>113</v>
      </c>
      <c r="J749" s="19" t="s">
        <v>114</v>
      </c>
      <c r="K749" s="19" t="s">
        <v>115</v>
      </c>
      <c r="L749" s="18" t="s">
        <v>116</v>
      </c>
      <c r="M749" s="18" t="s">
        <v>1419</v>
      </c>
      <c r="N749" s="18" t="s">
        <v>118</v>
      </c>
      <c r="O749" s="20">
        <v>119000</v>
      </c>
      <c r="P749" s="20">
        <v>80920</v>
      </c>
      <c r="Q749" s="20">
        <v>1</v>
      </c>
      <c r="R749" s="20">
        <v>0</v>
      </c>
      <c r="S749" s="20">
        <v>0</v>
      </c>
      <c r="T749" s="20">
        <v>0</v>
      </c>
      <c r="U749" s="20">
        <v>0</v>
      </c>
      <c r="V749" s="20">
        <v>0</v>
      </c>
      <c r="W749" s="20">
        <v>32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119000</v>
      </c>
      <c r="AD749" s="20">
        <v>80920</v>
      </c>
      <c r="AE749" s="20">
        <v>0</v>
      </c>
      <c r="AF749" s="20">
        <v>0</v>
      </c>
      <c r="AG749" s="20">
        <v>119000</v>
      </c>
      <c r="AH749" s="20">
        <v>80920</v>
      </c>
      <c r="AI749" s="20">
        <v>34618</v>
      </c>
      <c r="AJ749" s="20">
        <v>3462</v>
      </c>
      <c r="AK749" s="20">
        <v>38080</v>
      </c>
    </row>
    <row r="750" spans="1:37" ht="24" x14ac:dyDescent="0.3">
      <c r="A750" s="18" t="s">
        <v>2336</v>
      </c>
      <c r="B750" s="18" t="s">
        <v>107</v>
      </c>
      <c r="C750" s="19" t="s">
        <v>108</v>
      </c>
      <c r="D750" s="18" t="s">
        <v>2337</v>
      </c>
      <c r="E750" s="19" t="s">
        <v>2338</v>
      </c>
      <c r="F750" s="18" t="s">
        <v>110</v>
      </c>
      <c r="G750" s="18" t="s">
        <v>111</v>
      </c>
      <c r="H750" s="19" t="s">
        <v>112</v>
      </c>
      <c r="I750" s="18" t="s">
        <v>113</v>
      </c>
      <c r="J750" s="19" t="s">
        <v>114</v>
      </c>
      <c r="K750" s="19" t="s">
        <v>115</v>
      </c>
      <c r="L750" s="18" t="s">
        <v>116</v>
      </c>
      <c r="M750" s="18" t="s">
        <v>1419</v>
      </c>
      <c r="N750" s="18" t="s">
        <v>118</v>
      </c>
      <c r="O750" s="20">
        <v>119000</v>
      </c>
      <c r="P750" s="20">
        <v>80920</v>
      </c>
      <c r="Q750" s="20">
        <v>1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32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20">
        <v>119000</v>
      </c>
      <c r="AD750" s="20">
        <v>80920</v>
      </c>
      <c r="AE750" s="20">
        <v>0</v>
      </c>
      <c r="AF750" s="20">
        <v>0</v>
      </c>
      <c r="AG750" s="20">
        <v>119000</v>
      </c>
      <c r="AH750" s="20">
        <v>80920</v>
      </c>
      <c r="AI750" s="20">
        <v>34618</v>
      </c>
      <c r="AJ750" s="20">
        <v>3462</v>
      </c>
      <c r="AK750" s="20">
        <v>38080</v>
      </c>
    </row>
    <row r="751" spans="1:37" ht="24" x14ac:dyDescent="0.3">
      <c r="A751" s="18" t="s">
        <v>2339</v>
      </c>
      <c r="B751" s="18" t="s">
        <v>107</v>
      </c>
      <c r="C751" s="19" t="s">
        <v>108</v>
      </c>
      <c r="D751" s="18" t="s">
        <v>2340</v>
      </c>
      <c r="E751" s="19" t="s">
        <v>914</v>
      </c>
      <c r="F751" s="18" t="s">
        <v>110</v>
      </c>
      <c r="G751" s="18" t="s">
        <v>111</v>
      </c>
      <c r="H751" s="19" t="s">
        <v>112</v>
      </c>
      <c r="I751" s="18" t="s">
        <v>113</v>
      </c>
      <c r="J751" s="19" t="s">
        <v>114</v>
      </c>
      <c r="K751" s="19" t="s">
        <v>115</v>
      </c>
      <c r="L751" s="18" t="s">
        <v>116</v>
      </c>
      <c r="M751" s="18" t="s">
        <v>1419</v>
      </c>
      <c r="N751" s="18" t="s">
        <v>118</v>
      </c>
      <c r="O751" s="20">
        <v>119000</v>
      </c>
      <c r="P751" s="20">
        <v>80920</v>
      </c>
      <c r="Q751" s="20">
        <v>1</v>
      </c>
      <c r="R751" s="20">
        <v>0</v>
      </c>
      <c r="S751" s="20">
        <v>0</v>
      </c>
      <c r="T751" s="20">
        <v>0</v>
      </c>
      <c r="U751" s="20">
        <v>0</v>
      </c>
      <c r="V751" s="20">
        <v>0</v>
      </c>
      <c r="W751" s="20">
        <v>32</v>
      </c>
      <c r="X751" s="20">
        <v>23800</v>
      </c>
      <c r="Y751" s="20">
        <v>0</v>
      </c>
      <c r="Z751" s="20">
        <v>0</v>
      </c>
      <c r="AA751" s="20">
        <v>0</v>
      </c>
      <c r="AB751" s="20">
        <v>0</v>
      </c>
      <c r="AC751" s="20">
        <v>119000</v>
      </c>
      <c r="AD751" s="20">
        <v>80920</v>
      </c>
      <c r="AE751" s="20">
        <v>0</v>
      </c>
      <c r="AF751" s="20">
        <v>23800</v>
      </c>
      <c r="AG751" s="20">
        <v>95200</v>
      </c>
      <c r="AH751" s="20">
        <v>80920</v>
      </c>
      <c r="AI751" s="20">
        <v>12982</v>
      </c>
      <c r="AJ751" s="20">
        <v>1298</v>
      </c>
      <c r="AK751" s="20">
        <v>14280</v>
      </c>
    </row>
    <row r="752" spans="1:37" ht="24" x14ac:dyDescent="0.3">
      <c r="A752" s="18" t="s">
        <v>2341</v>
      </c>
      <c r="B752" s="18" t="s">
        <v>107</v>
      </c>
      <c r="C752" s="19" t="s">
        <v>108</v>
      </c>
      <c r="D752" s="18" t="s">
        <v>1598</v>
      </c>
      <c r="E752" s="19" t="s">
        <v>1599</v>
      </c>
      <c r="F752" s="18" t="s">
        <v>110</v>
      </c>
      <c r="G752" s="18" t="s">
        <v>111</v>
      </c>
      <c r="H752" s="19" t="s">
        <v>112</v>
      </c>
      <c r="I752" s="18" t="s">
        <v>113</v>
      </c>
      <c r="J752" s="19" t="s">
        <v>114</v>
      </c>
      <c r="K752" s="19" t="s">
        <v>151</v>
      </c>
      <c r="L752" s="18" t="s">
        <v>116</v>
      </c>
      <c r="M752" s="18" t="s">
        <v>1419</v>
      </c>
      <c r="N752" s="18" t="s">
        <v>118</v>
      </c>
      <c r="O752" s="20">
        <v>119000</v>
      </c>
      <c r="P752" s="20">
        <v>80920</v>
      </c>
      <c r="Q752" s="20">
        <v>1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32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119000</v>
      </c>
      <c r="AD752" s="20">
        <v>80920</v>
      </c>
      <c r="AE752" s="20">
        <v>0</v>
      </c>
      <c r="AF752" s="20">
        <v>0</v>
      </c>
      <c r="AG752" s="20">
        <v>119000</v>
      </c>
      <c r="AH752" s="20">
        <v>80920</v>
      </c>
      <c r="AI752" s="20">
        <v>34618</v>
      </c>
      <c r="AJ752" s="20">
        <v>3462</v>
      </c>
      <c r="AK752" s="20">
        <v>38080</v>
      </c>
    </row>
    <row r="753" spans="1:37" ht="24" x14ac:dyDescent="0.3">
      <c r="A753" s="18" t="s">
        <v>2342</v>
      </c>
      <c r="B753" s="18" t="s">
        <v>107</v>
      </c>
      <c r="C753" s="19" t="s">
        <v>108</v>
      </c>
      <c r="D753" s="18" t="s">
        <v>1552</v>
      </c>
      <c r="E753" s="19" t="s">
        <v>401</v>
      </c>
      <c r="F753" s="18" t="s">
        <v>110</v>
      </c>
      <c r="G753" s="18" t="s">
        <v>111</v>
      </c>
      <c r="H753" s="19" t="s">
        <v>112</v>
      </c>
      <c r="I753" s="18" t="s">
        <v>113</v>
      </c>
      <c r="J753" s="19" t="s">
        <v>114</v>
      </c>
      <c r="K753" s="19" t="s">
        <v>151</v>
      </c>
      <c r="L753" s="18" t="s">
        <v>116</v>
      </c>
      <c r="M753" s="18" t="s">
        <v>1419</v>
      </c>
      <c r="N753" s="18" t="s">
        <v>118</v>
      </c>
      <c r="O753" s="20">
        <v>119000</v>
      </c>
      <c r="P753" s="20">
        <v>80920</v>
      </c>
      <c r="Q753" s="20">
        <v>1</v>
      </c>
      <c r="R753" s="20">
        <v>0</v>
      </c>
      <c r="S753" s="20">
        <v>0</v>
      </c>
      <c r="T753" s="20">
        <v>0</v>
      </c>
      <c r="U753" s="20">
        <v>0</v>
      </c>
      <c r="V753" s="20">
        <v>0</v>
      </c>
      <c r="W753" s="20">
        <v>32</v>
      </c>
      <c r="X753" s="20">
        <v>0</v>
      </c>
      <c r="Y753" s="20">
        <v>0</v>
      </c>
      <c r="Z753" s="20">
        <v>0</v>
      </c>
      <c r="AA753" s="20">
        <v>0</v>
      </c>
      <c r="AB753" s="20">
        <v>0</v>
      </c>
      <c r="AC753" s="20">
        <v>119000</v>
      </c>
      <c r="AD753" s="20">
        <v>80920</v>
      </c>
      <c r="AE753" s="20">
        <v>0</v>
      </c>
      <c r="AF753" s="20">
        <v>0</v>
      </c>
      <c r="AG753" s="20">
        <v>119000</v>
      </c>
      <c r="AH753" s="20">
        <v>80920</v>
      </c>
      <c r="AI753" s="20">
        <v>34618</v>
      </c>
      <c r="AJ753" s="20">
        <v>3462</v>
      </c>
      <c r="AK753" s="20">
        <v>38080</v>
      </c>
    </row>
    <row r="754" spans="1:37" ht="24" x14ac:dyDescent="0.3">
      <c r="A754" s="18" t="s">
        <v>2343</v>
      </c>
      <c r="B754" s="18" t="s">
        <v>107</v>
      </c>
      <c r="C754" s="19" t="s">
        <v>108</v>
      </c>
      <c r="D754" s="18" t="s">
        <v>1601</v>
      </c>
      <c r="E754" s="19" t="s">
        <v>1602</v>
      </c>
      <c r="F754" s="18" t="s">
        <v>110</v>
      </c>
      <c r="G754" s="18" t="s">
        <v>111</v>
      </c>
      <c r="H754" s="19" t="s">
        <v>112</v>
      </c>
      <c r="I754" s="18" t="s">
        <v>113</v>
      </c>
      <c r="J754" s="19" t="s">
        <v>114</v>
      </c>
      <c r="K754" s="19" t="s">
        <v>115</v>
      </c>
      <c r="L754" s="18" t="s">
        <v>116</v>
      </c>
      <c r="M754" s="18" t="s">
        <v>1419</v>
      </c>
      <c r="N754" s="18" t="s">
        <v>118</v>
      </c>
      <c r="O754" s="20">
        <v>119000</v>
      </c>
      <c r="P754" s="20">
        <v>80920</v>
      </c>
      <c r="Q754" s="20">
        <v>1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32</v>
      </c>
      <c r="X754" s="20">
        <v>0</v>
      </c>
      <c r="Y754" s="20">
        <v>0</v>
      </c>
      <c r="Z754" s="20">
        <v>0</v>
      </c>
      <c r="AA754" s="20">
        <v>0</v>
      </c>
      <c r="AB754" s="20">
        <v>5950</v>
      </c>
      <c r="AC754" s="20">
        <v>119000</v>
      </c>
      <c r="AD754" s="20">
        <v>80920</v>
      </c>
      <c r="AE754" s="20">
        <v>0</v>
      </c>
      <c r="AF754" s="20">
        <v>5950</v>
      </c>
      <c r="AG754" s="20">
        <v>113050</v>
      </c>
      <c r="AH754" s="20">
        <v>80920</v>
      </c>
      <c r="AI754" s="20">
        <v>29209</v>
      </c>
      <c r="AJ754" s="20">
        <v>2921</v>
      </c>
      <c r="AK754" s="20">
        <v>32130</v>
      </c>
    </row>
    <row r="755" spans="1:37" ht="24" x14ac:dyDescent="0.3">
      <c r="A755" s="18" t="s">
        <v>2344</v>
      </c>
      <c r="B755" s="18" t="s">
        <v>107</v>
      </c>
      <c r="C755" s="19" t="s">
        <v>108</v>
      </c>
      <c r="D755" s="18" t="s">
        <v>1604</v>
      </c>
      <c r="E755" s="19" t="s">
        <v>721</v>
      </c>
      <c r="F755" s="18" t="s">
        <v>110</v>
      </c>
      <c r="G755" s="18" t="s">
        <v>111</v>
      </c>
      <c r="H755" s="19" t="s">
        <v>112</v>
      </c>
      <c r="I755" s="18" t="s">
        <v>113</v>
      </c>
      <c r="J755" s="19" t="s">
        <v>114</v>
      </c>
      <c r="K755" s="19" t="s">
        <v>115</v>
      </c>
      <c r="L755" s="18" t="s">
        <v>116</v>
      </c>
      <c r="M755" s="18" t="s">
        <v>1419</v>
      </c>
      <c r="N755" s="18" t="s">
        <v>118</v>
      </c>
      <c r="O755" s="20">
        <v>119000</v>
      </c>
      <c r="P755" s="20">
        <v>80920</v>
      </c>
      <c r="Q755" s="20">
        <v>1</v>
      </c>
      <c r="R755" s="20">
        <v>0</v>
      </c>
      <c r="S755" s="20">
        <v>0</v>
      </c>
      <c r="T755" s="20">
        <v>0</v>
      </c>
      <c r="U755" s="20">
        <v>0</v>
      </c>
      <c r="V755" s="20">
        <v>0</v>
      </c>
      <c r="W755" s="20">
        <v>32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20">
        <v>119000</v>
      </c>
      <c r="AD755" s="20">
        <v>80920</v>
      </c>
      <c r="AE755" s="20">
        <v>0</v>
      </c>
      <c r="AF755" s="20">
        <v>0</v>
      </c>
      <c r="AG755" s="20">
        <v>119000</v>
      </c>
      <c r="AH755" s="20">
        <v>80920</v>
      </c>
      <c r="AI755" s="20">
        <v>34618</v>
      </c>
      <c r="AJ755" s="20">
        <v>3462</v>
      </c>
      <c r="AK755" s="20">
        <v>38080</v>
      </c>
    </row>
    <row r="756" spans="1:37" ht="24" x14ac:dyDescent="0.3">
      <c r="A756" s="18" t="s">
        <v>2345</v>
      </c>
      <c r="B756" s="18" t="s">
        <v>107</v>
      </c>
      <c r="C756" s="19" t="s">
        <v>108</v>
      </c>
      <c r="D756" s="18" t="s">
        <v>1518</v>
      </c>
      <c r="E756" s="19" t="s">
        <v>211</v>
      </c>
      <c r="F756" s="18" t="s">
        <v>110</v>
      </c>
      <c r="G756" s="18" t="s">
        <v>111</v>
      </c>
      <c r="H756" s="19" t="s">
        <v>112</v>
      </c>
      <c r="I756" s="18" t="s">
        <v>113</v>
      </c>
      <c r="J756" s="19" t="s">
        <v>114</v>
      </c>
      <c r="K756" s="19" t="s">
        <v>115</v>
      </c>
      <c r="L756" s="18" t="s">
        <v>116</v>
      </c>
      <c r="M756" s="18" t="s">
        <v>1419</v>
      </c>
      <c r="N756" s="18" t="s">
        <v>118</v>
      </c>
      <c r="O756" s="20">
        <v>119000</v>
      </c>
      <c r="P756" s="20">
        <v>80920</v>
      </c>
      <c r="Q756" s="20">
        <v>1</v>
      </c>
      <c r="R756" s="20">
        <v>0</v>
      </c>
      <c r="S756" s="20">
        <v>0</v>
      </c>
      <c r="T756" s="20">
        <v>0</v>
      </c>
      <c r="U756" s="20">
        <v>0</v>
      </c>
      <c r="V756" s="20">
        <v>0</v>
      </c>
      <c r="W756" s="20">
        <v>32</v>
      </c>
      <c r="X756" s="20">
        <v>0</v>
      </c>
      <c r="Y756" s="20">
        <v>5000</v>
      </c>
      <c r="Z756" s="20">
        <v>0</v>
      </c>
      <c r="AA756" s="20">
        <v>0</v>
      </c>
      <c r="AB756" s="20">
        <v>0</v>
      </c>
      <c r="AC756" s="20">
        <v>119000</v>
      </c>
      <c r="AD756" s="20">
        <v>80920</v>
      </c>
      <c r="AE756" s="20">
        <v>0</v>
      </c>
      <c r="AF756" s="20">
        <v>5000</v>
      </c>
      <c r="AG756" s="20">
        <v>114000</v>
      </c>
      <c r="AH756" s="20">
        <v>80920</v>
      </c>
      <c r="AI756" s="20">
        <v>30073</v>
      </c>
      <c r="AJ756" s="20">
        <v>3007</v>
      </c>
      <c r="AK756" s="20">
        <v>33080</v>
      </c>
    </row>
    <row r="757" spans="1:37" ht="24" x14ac:dyDescent="0.3">
      <c r="A757" s="18" t="s">
        <v>2346</v>
      </c>
      <c r="B757" s="18" t="s">
        <v>107</v>
      </c>
      <c r="C757" s="19" t="s">
        <v>108</v>
      </c>
      <c r="D757" s="18" t="s">
        <v>1606</v>
      </c>
      <c r="E757" s="19" t="s">
        <v>1607</v>
      </c>
      <c r="F757" s="18" t="s">
        <v>110</v>
      </c>
      <c r="G757" s="18" t="s">
        <v>111</v>
      </c>
      <c r="H757" s="19" t="s">
        <v>112</v>
      </c>
      <c r="I757" s="18" t="s">
        <v>113</v>
      </c>
      <c r="J757" s="19" t="s">
        <v>114</v>
      </c>
      <c r="K757" s="19" t="s">
        <v>115</v>
      </c>
      <c r="L757" s="18" t="s">
        <v>116</v>
      </c>
      <c r="M757" s="18" t="s">
        <v>1419</v>
      </c>
      <c r="N757" s="18" t="s">
        <v>118</v>
      </c>
      <c r="O757" s="20">
        <v>119000</v>
      </c>
      <c r="P757" s="20">
        <v>80920</v>
      </c>
      <c r="Q757" s="20">
        <v>1</v>
      </c>
      <c r="R757" s="20">
        <v>0</v>
      </c>
      <c r="S757" s="20">
        <v>0</v>
      </c>
      <c r="T757" s="20">
        <v>0</v>
      </c>
      <c r="U757" s="20">
        <v>0</v>
      </c>
      <c r="V757" s="20">
        <v>0</v>
      </c>
      <c r="W757" s="20">
        <v>32</v>
      </c>
      <c r="X757" s="20">
        <v>0</v>
      </c>
      <c r="Y757" s="20">
        <v>0</v>
      </c>
      <c r="Z757" s="20">
        <v>0</v>
      </c>
      <c r="AA757" s="20">
        <v>0</v>
      </c>
      <c r="AB757" s="20">
        <v>0</v>
      </c>
      <c r="AC757" s="20">
        <v>119000</v>
      </c>
      <c r="AD757" s="20">
        <v>80920</v>
      </c>
      <c r="AE757" s="20">
        <v>0</v>
      </c>
      <c r="AF757" s="20">
        <v>0</v>
      </c>
      <c r="AG757" s="20">
        <v>119000</v>
      </c>
      <c r="AH757" s="20">
        <v>80920</v>
      </c>
      <c r="AI757" s="20">
        <v>34618</v>
      </c>
      <c r="AJ757" s="20">
        <v>3462</v>
      </c>
      <c r="AK757" s="20">
        <v>38080</v>
      </c>
    </row>
    <row r="758" spans="1:37" ht="24" x14ac:dyDescent="0.3">
      <c r="A758" s="18" t="s">
        <v>2347</v>
      </c>
      <c r="B758" s="18" t="s">
        <v>107</v>
      </c>
      <c r="C758" s="19" t="s">
        <v>108</v>
      </c>
      <c r="D758" s="18" t="s">
        <v>1609</v>
      </c>
      <c r="E758" s="19" t="s">
        <v>1610</v>
      </c>
      <c r="F758" s="18" t="s">
        <v>110</v>
      </c>
      <c r="G758" s="18" t="s">
        <v>111</v>
      </c>
      <c r="H758" s="19" t="s">
        <v>112</v>
      </c>
      <c r="I758" s="18" t="s">
        <v>113</v>
      </c>
      <c r="J758" s="19" t="s">
        <v>114</v>
      </c>
      <c r="K758" s="19" t="s">
        <v>115</v>
      </c>
      <c r="L758" s="18" t="s">
        <v>116</v>
      </c>
      <c r="M758" s="18" t="s">
        <v>1419</v>
      </c>
      <c r="N758" s="18" t="s">
        <v>118</v>
      </c>
      <c r="O758" s="20">
        <v>119000</v>
      </c>
      <c r="P758" s="20">
        <v>80920</v>
      </c>
      <c r="Q758" s="20">
        <v>1</v>
      </c>
      <c r="R758" s="20">
        <v>0</v>
      </c>
      <c r="S758" s="20">
        <v>0</v>
      </c>
      <c r="T758" s="20">
        <v>0</v>
      </c>
      <c r="U758" s="20">
        <v>0</v>
      </c>
      <c r="V758" s="20">
        <v>0</v>
      </c>
      <c r="W758" s="20">
        <v>32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119000</v>
      </c>
      <c r="AD758" s="20">
        <v>80920</v>
      </c>
      <c r="AE758" s="20">
        <v>0</v>
      </c>
      <c r="AF758" s="20">
        <v>0</v>
      </c>
      <c r="AG758" s="20">
        <v>119000</v>
      </c>
      <c r="AH758" s="20">
        <v>80920</v>
      </c>
      <c r="AI758" s="20">
        <v>34618</v>
      </c>
      <c r="AJ758" s="20">
        <v>3462</v>
      </c>
      <c r="AK758" s="20">
        <v>38080</v>
      </c>
    </row>
    <row r="759" spans="1:37" ht="24" x14ac:dyDescent="0.3">
      <c r="A759" s="18" t="s">
        <v>2348</v>
      </c>
      <c r="B759" s="18" t="s">
        <v>107</v>
      </c>
      <c r="C759" s="19" t="s">
        <v>108</v>
      </c>
      <c r="D759" s="18" t="s">
        <v>1612</v>
      </c>
      <c r="E759" s="19" t="s">
        <v>401</v>
      </c>
      <c r="F759" s="18" t="s">
        <v>110</v>
      </c>
      <c r="G759" s="18" t="s">
        <v>111</v>
      </c>
      <c r="H759" s="19" t="s">
        <v>112</v>
      </c>
      <c r="I759" s="18" t="s">
        <v>113</v>
      </c>
      <c r="J759" s="19" t="s">
        <v>114</v>
      </c>
      <c r="K759" s="19" t="s">
        <v>115</v>
      </c>
      <c r="L759" s="18" t="s">
        <v>116</v>
      </c>
      <c r="M759" s="18" t="s">
        <v>1419</v>
      </c>
      <c r="N759" s="18" t="s">
        <v>118</v>
      </c>
      <c r="O759" s="20">
        <v>119000</v>
      </c>
      <c r="P759" s="20">
        <v>80920</v>
      </c>
      <c r="Q759" s="20">
        <v>1</v>
      </c>
      <c r="R759" s="20">
        <v>0</v>
      </c>
      <c r="S759" s="20">
        <v>0</v>
      </c>
      <c r="T759" s="20">
        <v>0</v>
      </c>
      <c r="U759" s="20">
        <v>0</v>
      </c>
      <c r="V759" s="20">
        <v>0</v>
      </c>
      <c r="W759" s="20">
        <v>32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20">
        <v>119000</v>
      </c>
      <c r="AD759" s="20">
        <v>80920</v>
      </c>
      <c r="AE759" s="20">
        <v>0</v>
      </c>
      <c r="AF759" s="20">
        <v>0</v>
      </c>
      <c r="AG759" s="20">
        <v>119000</v>
      </c>
      <c r="AH759" s="20">
        <v>80920</v>
      </c>
      <c r="AI759" s="20">
        <v>34618</v>
      </c>
      <c r="AJ759" s="20">
        <v>3462</v>
      </c>
      <c r="AK759" s="20">
        <v>38080</v>
      </c>
    </row>
    <row r="760" spans="1:37" ht="24" x14ac:dyDescent="0.3">
      <c r="A760" s="18" t="s">
        <v>2349</v>
      </c>
      <c r="B760" s="18" t="s">
        <v>107</v>
      </c>
      <c r="C760" s="19" t="s">
        <v>108</v>
      </c>
      <c r="D760" s="18" t="s">
        <v>1614</v>
      </c>
      <c r="E760" s="19" t="s">
        <v>721</v>
      </c>
      <c r="F760" s="18" t="s">
        <v>110</v>
      </c>
      <c r="G760" s="18" t="s">
        <v>111</v>
      </c>
      <c r="H760" s="19" t="s">
        <v>112</v>
      </c>
      <c r="I760" s="18" t="s">
        <v>113</v>
      </c>
      <c r="J760" s="19" t="s">
        <v>114</v>
      </c>
      <c r="K760" s="19" t="s">
        <v>115</v>
      </c>
      <c r="L760" s="18" t="s">
        <v>116</v>
      </c>
      <c r="M760" s="18" t="s">
        <v>1419</v>
      </c>
      <c r="N760" s="18" t="s">
        <v>118</v>
      </c>
      <c r="O760" s="20">
        <v>119000</v>
      </c>
      <c r="P760" s="20">
        <v>80920</v>
      </c>
      <c r="Q760" s="20">
        <v>1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32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119000</v>
      </c>
      <c r="AD760" s="20">
        <v>80920</v>
      </c>
      <c r="AE760" s="20">
        <v>0</v>
      </c>
      <c r="AF760" s="20">
        <v>0</v>
      </c>
      <c r="AG760" s="20">
        <v>119000</v>
      </c>
      <c r="AH760" s="20">
        <v>80920</v>
      </c>
      <c r="AI760" s="20">
        <v>34618</v>
      </c>
      <c r="AJ760" s="20">
        <v>3462</v>
      </c>
      <c r="AK760" s="20">
        <v>38080</v>
      </c>
    </row>
    <row r="761" spans="1:37" ht="24" x14ac:dyDescent="0.3">
      <c r="A761" s="18" t="s">
        <v>2350</v>
      </c>
      <c r="B761" s="18" t="s">
        <v>107</v>
      </c>
      <c r="C761" s="19" t="s">
        <v>108</v>
      </c>
      <c r="D761" s="18" t="s">
        <v>1616</v>
      </c>
      <c r="E761" s="19" t="s">
        <v>1617</v>
      </c>
      <c r="F761" s="18" t="s">
        <v>110</v>
      </c>
      <c r="G761" s="18" t="s">
        <v>111</v>
      </c>
      <c r="H761" s="19" t="s">
        <v>112</v>
      </c>
      <c r="I761" s="18" t="s">
        <v>113</v>
      </c>
      <c r="J761" s="19" t="s">
        <v>114</v>
      </c>
      <c r="K761" s="19" t="s">
        <v>115</v>
      </c>
      <c r="L761" s="18" t="s">
        <v>116</v>
      </c>
      <c r="M761" s="18" t="s">
        <v>1419</v>
      </c>
      <c r="N761" s="18" t="s">
        <v>118</v>
      </c>
      <c r="O761" s="20">
        <v>119000</v>
      </c>
      <c r="P761" s="20">
        <v>80920</v>
      </c>
      <c r="Q761" s="20">
        <v>1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32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119000</v>
      </c>
      <c r="AD761" s="20">
        <v>80920</v>
      </c>
      <c r="AE761" s="20">
        <v>0</v>
      </c>
      <c r="AF761" s="20">
        <v>0</v>
      </c>
      <c r="AG761" s="20">
        <v>119000</v>
      </c>
      <c r="AH761" s="20">
        <v>80920</v>
      </c>
      <c r="AI761" s="20">
        <v>34618</v>
      </c>
      <c r="AJ761" s="20">
        <v>3462</v>
      </c>
      <c r="AK761" s="20">
        <v>38080</v>
      </c>
    </row>
    <row r="762" spans="1:37" ht="24" x14ac:dyDescent="0.3">
      <c r="A762" s="18" t="s">
        <v>2351</v>
      </c>
      <c r="B762" s="18" t="s">
        <v>107</v>
      </c>
      <c r="C762" s="19" t="s">
        <v>108</v>
      </c>
      <c r="D762" s="18" t="s">
        <v>1619</v>
      </c>
      <c r="E762" s="19" t="s">
        <v>1044</v>
      </c>
      <c r="F762" s="18" t="s">
        <v>110</v>
      </c>
      <c r="G762" s="18" t="s">
        <v>111</v>
      </c>
      <c r="H762" s="19" t="s">
        <v>112</v>
      </c>
      <c r="I762" s="18" t="s">
        <v>113</v>
      </c>
      <c r="J762" s="19" t="s">
        <v>114</v>
      </c>
      <c r="K762" s="19" t="s">
        <v>115</v>
      </c>
      <c r="L762" s="18" t="s">
        <v>116</v>
      </c>
      <c r="M762" s="18" t="s">
        <v>1419</v>
      </c>
      <c r="N762" s="18" t="s">
        <v>118</v>
      </c>
      <c r="O762" s="20">
        <v>119000</v>
      </c>
      <c r="P762" s="20">
        <v>80920</v>
      </c>
      <c r="Q762" s="20">
        <v>1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32</v>
      </c>
      <c r="X762" s="20">
        <v>0</v>
      </c>
      <c r="Y762" s="20">
        <v>0</v>
      </c>
      <c r="Z762" s="20">
        <v>0</v>
      </c>
      <c r="AA762" s="20">
        <v>0</v>
      </c>
      <c r="AB762" s="20">
        <v>0</v>
      </c>
      <c r="AC762" s="20">
        <v>119000</v>
      </c>
      <c r="AD762" s="20">
        <v>80920</v>
      </c>
      <c r="AE762" s="20">
        <v>0</v>
      </c>
      <c r="AF762" s="20">
        <v>0</v>
      </c>
      <c r="AG762" s="20">
        <v>119000</v>
      </c>
      <c r="AH762" s="20">
        <v>80920</v>
      </c>
      <c r="AI762" s="20">
        <v>34618</v>
      </c>
      <c r="AJ762" s="20">
        <v>3462</v>
      </c>
      <c r="AK762" s="20">
        <v>38080</v>
      </c>
    </row>
    <row r="763" spans="1:37" ht="24" x14ac:dyDescent="0.3">
      <c r="A763" s="18" t="s">
        <v>2352</v>
      </c>
      <c r="B763" s="18" t="s">
        <v>107</v>
      </c>
      <c r="C763" s="19" t="s">
        <v>108</v>
      </c>
      <c r="D763" s="18" t="s">
        <v>1623</v>
      </c>
      <c r="E763" s="19" t="s">
        <v>1201</v>
      </c>
      <c r="F763" s="18" t="s">
        <v>110</v>
      </c>
      <c r="G763" s="18" t="s">
        <v>111</v>
      </c>
      <c r="H763" s="19" t="s">
        <v>112</v>
      </c>
      <c r="I763" s="18" t="s">
        <v>113</v>
      </c>
      <c r="J763" s="19" t="s">
        <v>114</v>
      </c>
      <c r="K763" s="19" t="s">
        <v>115</v>
      </c>
      <c r="L763" s="18" t="s">
        <v>116</v>
      </c>
      <c r="M763" s="18" t="s">
        <v>1419</v>
      </c>
      <c r="N763" s="18" t="s">
        <v>118</v>
      </c>
      <c r="O763" s="20">
        <v>119000</v>
      </c>
      <c r="P763" s="20">
        <v>80920</v>
      </c>
      <c r="Q763" s="20">
        <v>1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32</v>
      </c>
      <c r="X763" s="20">
        <v>0</v>
      </c>
      <c r="Y763" s="20">
        <v>0</v>
      </c>
      <c r="Z763" s="20">
        <v>0</v>
      </c>
      <c r="AA763" s="20">
        <v>0</v>
      </c>
      <c r="AB763" s="20">
        <v>5950</v>
      </c>
      <c r="AC763" s="20">
        <v>119000</v>
      </c>
      <c r="AD763" s="20">
        <v>80920</v>
      </c>
      <c r="AE763" s="20">
        <v>0</v>
      </c>
      <c r="AF763" s="20">
        <v>5950</v>
      </c>
      <c r="AG763" s="20">
        <v>113050</v>
      </c>
      <c r="AH763" s="20">
        <v>80920</v>
      </c>
      <c r="AI763" s="20">
        <v>29209</v>
      </c>
      <c r="AJ763" s="20">
        <v>2921</v>
      </c>
      <c r="AK763" s="20">
        <v>32130</v>
      </c>
    </row>
    <row r="764" spans="1:37" ht="24" x14ac:dyDescent="0.3">
      <c r="A764" s="18" t="s">
        <v>2353</v>
      </c>
      <c r="B764" s="18" t="s">
        <v>107</v>
      </c>
      <c r="C764" s="19" t="s">
        <v>108</v>
      </c>
      <c r="D764" s="18" t="s">
        <v>1625</v>
      </c>
      <c r="E764" s="19" t="s">
        <v>765</v>
      </c>
      <c r="F764" s="18" t="s">
        <v>110</v>
      </c>
      <c r="G764" s="18" t="s">
        <v>111</v>
      </c>
      <c r="H764" s="19" t="s">
        <v>112</v>
      </c>
      <c r="I764" s="18" t="s">
        <v>113</v>
      </c>
      <c r="J764" s="19" t="s">
        <v>114</v>
      </c>
      <c r="K764" s="19" t="s">
        <v>115</v>
      </c>
      <c r="L764" s="18" t="s">
        <v>116</v>
      </c>
      <c r="M764" s="18" t="s">
        <v>1419</v>
      </c>
      <c r="N764" s="18" t="s">
        <v>118</v>
      </c>
      <c r="O764" s="20">
        <v>119000</v>
      </c>
      <c r="P764" s="20">
        <v>80920</v>
      </c>
      <c r="Q764" s="20">
        <v>1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32</v>
      </c>
      <c r="X764" s="20">
        <v>0</v>
      </c>
      <c r="Y764" s="20">
        <v>0</v>
      </c>
      <c r="Z764" s="20">
        <v>0</v>
      </c>
      <c r="AA764" s="20">
        <v>0</v>
      </c>
      <c r="AB764" s="20">
        <v>5950</v>
      </c>
      <c r="AC764" s="20">
        <v>119000</v>
      </c>
      <c r="AD764" s="20">
        <v>80920</v>
      </c>
      <c r="AE764" s="20">
        <v>0</v>
      </c>
      <c r="AF764" s="20">
        <v>5950</v>
      </c>
      <c r="AG764" s="20">
        <v>113050</v>
      </c>
      <c r="AH764" s="20">
        <v>80920</v>
      </c>
      <c r="AI764" s="20">
        <v>29209</v>
      </c>
      <c r="AJ764" s="20">
        <v>2921</v>
      </c>
      <c r="AK764" s="20">
        <v>32130</v>
      </c>
    </row>
    <row r="765" spans="1:37" ht="24" x14ac:dyDescent="0.3">
      <c r="A765" s="18" t="s">
        <v>2354</v>
      </c>
      <c r="B765" s="18" t="s">
        <v>107</v>
      </c>
      <c r="C765" s="19" t="s">
        <v>108</v>
      </c>
      <c r="D765" s="18" t="s">
        <v>1559</v>
      </c>
      <c r="E765" s="19" t="s">
        <v>1560</v>
      </c>
      <c r="F765" s="18" t="s">
        <v>110</v>
      </c>
      <c r="G765" s="18" t="s">
        <v>111</v>
      </c>
      <c r="H765" s="19" t="s">
        <v>112</v>
      </c>
      <c r="I765" s="18" t="s">
        <v>113</v>
      </c>
      <c r="J765" s="19" t="s">
        <v>114</v>
      </c>
      <c r="K765" s="19" t="s">
        <v>115</v>
      </c>
      <c r="L765" s="18" t="s">
        <v>116</v>
      </c>
      <c r="M765" s="18" t="s">
        <v>1419</v>
      </c>
      <c r="N765" s="18" t="s">
        <v>118</v>
      </c>
      <c r="O765" s="20">
        <v>119000</v>
      </c>
      <c r="P765" s="20">
        <v>80920</v>
      </c>
      <c r="Q765" s="20">
        <v>1</v>
      </c>
      <c r="R765" s="20">
        <v>0</v>
      </c>
      <c r="S765" s="20">
        <v>0</v>
      </c>
      <c r="T765" s="20">
        <v>0</v>
      </c>
      <c r="U765" s="20">
        <v>0</v>
      </c>
      <c r="V765" s="20">
        <v>0</v>
      </c>
      <c r="W765" s="20">
        <v>32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20">
        <v>119000</v>
      </c>
      <c r="AD765" s="20">
        <v>80920</v>
      </c>
      <c r="AE765" s="20">
        <v>0</v>
      </c>
      <c r="AF765" s="20">
        <v>0</v>
      </c>
      <c r="AG765" s="20">
        <v>119000</v>
      </c>
      <c r="AH765" s="20">
        <v>80920</v>
      </c>
      <c r="AI765" s="20">
        <v>34618</v>
      </c>
      <c r="AJ765" s="20">
        <v>3462</v>
      </c>
      <c r="AK765" s="20">
        <v>38080</v>
      </c>
    </row>
    <row r="766" spans="1:37" ht="24" x14ac:dyDescent="0.3">
      <c r="A766" s="18" t="s">
        <v>2355</v>
      </c>
      <c r="B766" s="18" t="s">
        <v>107</v>
      </c>
      <c r="C766" s="19" t="s">
        <v>108</v>
      </c>
      <c r="D766" s="18" t="s">
        <v>1627</v>
      </c>
      <c r="E766" s="19" t="s">
        <v>426</v>
      </c>
      <c r="F766" s="18" t="s">
        <v>110</v>
      </c>
      <c r="G766" s="18" t="s">
        <v>111</v>
      </c>
      <c r="H766" s="19" t="s">
        <v>112</v>
      </c>
      <c r="I766" s="18" t="s">
        <v>113</v>
      </c>
      <c r="J766" s="19" t="s">
        <v>114</v>
      </c>
      <c r="K766" s="19" t="s">
        <v>115</v>
      </c>
      <c r="L766" s="18" t="s">
        <v>116</v>
      </c>
      <c r="M766" s="18" t="s">
        <v>1419</v>
      </c>
      <c r="N766" s="18" t="s">
        <v>118</v>
      </c>
      <c r="O766" s="20">
        <v>119000</v>
      </c>
      <c r="P766" s="20">
        <v>80920</v>
      </c>
      <c r="Q766" s="20">
        <v>1</v>
      </c>
      <c r="R766" s="20">
        <v>0</v>
      </c>
      <c r="S766" s="20">
        <v>0</v>
      </c>
      <c r="T766" s="20">
        <v>0</v>
      </c>
      <c r="U766" s="20">
        <v>0</v>
      </c>
      <c r="V766" s="20">
        <v>0</v>
      </c>
      <c r="W766" s="20">
        <v>32</v>
      </c>
      <c r="X766" s="20">
        <v>0</v>
      </c>
      <c r="Y766" s="20">
        <v>0</v>
      </c>
      <c r="Z766" s="20">
        <v>0</v>
      </c>
      <c r="AA766" s="20">
        <v>0</v>
      </c>
      <c r="AB766" s="20">
        <v>5950</v>
      </c>
      <c r="AC766" s="20">
        <v>119000</v>
      </c>
      <c r="AD766" s="20">
        <v>80920</v>
      </c>
      <c r="AE766" s="20">
        <v>0</v>
      </c>
      <c r="AF766" s="20">
        <v>5950</v>
      </c>
      <c r="AG766" s="20">
        <v>113050</v>
      </c>
      <c r="AH766" s="20">
        <v>80920</v>
      </c>
      <c r="AI766" s="20">
        <v>29209</v>
      </c>
      <c r="AJ766" s="20">
        <v>2921</v>
      </c>
      <c r="AK766" s="20">
        <v>32130</v>
      </c>
    </row>
    <row r="767" spans="1:37" ht="24" x14ac:dyDescent="0.3">
      <c r="A767" s="18" t="s">
        <v>2356</v>
      </c>
      <c r="B767" s="18" t="s">
        <v>107</v>
      </c>
      <c r="C767" s="19" t="s">
        <v>108</v>
      </c>
      <c r="D767" s="18" t="s">
        <v>1629</v>
      </c>
      <c r="E767" s="19" t="s">
        <v>964</v>
      </c>
      <c r="F767" s="18" t="s">
        <v>110</v>
      </c>
      <c r="G767" s="18" t="s">
        <v>111</v>
      </c>
      <c r="H767" s="19" t="s">
        <v>112</v>
      </c>
      <c r="I767" s="18" t="s">
        <v>113</v>
      </c>
      <c r="J767" s="19" t="s">
        <v>114</v>
      </c>
      <c r="K767" s="19" t="s">
        <v>115</v>
      </c>
      <c r="L767" s="18" t="s">
        <v>116</v>
      </c>
      <c r="M767" s="18" t="s">
        <v>1419</v>
      </c>
      <c r="N767" s="18" t="s">
        <v>118</v>
      </c>
      <c r="O767" s="20">
        <v>119000</v>
      </c>
      <c r="P767" s="20">
        <v>80920</v>
      </c>
      <c r="Q767" s="20">
        <v>1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32</v>
      </c>
      <c r="X767" s="20">
        <v>0</v>
      </c>
      <c r="Y767" s="20">
        <v>0</v>
      </c>
      <c r="Z767" s="20">
        <v>0</v>
      </c>
      <c r="AA767" s="20">
        <v>0</v>
      </c>
      <c r="AB767" s="20">
        <v>0</v>
      </c>
      <c r="AC767" s="20">
        <v>119000</v>
      </c>
      <c r="AD767" s="20">
        <v>80920</v>
      </c>
      <c r="AE767" s="20">
        <v>0</v>
      </c>
      <c r="AF767" s="20">
        <v>0</v>
      </c>
      <c r="AG767" s="20">
        <v>119000</v>
      </c>
      <c r="AH767" s="20">
        <v>80920</v>
      </c>
      <c r="AI767" s="20">
        <v>34618</v>
      </c>
      <c r="AJ767" s="20">
        <v>3462</v>
      </c>
      <c r="AK767" s="20">
        <v>38080</v>
      </c>
    </row>
    <row r="768" spans="1:37" ht="24" x14ac:dyDescent="0.3">
      <c r="A768" s="18" t="s">
        <v>2357</v>
      </c>
      <c r="B768" s="18" t="s">
        <v>107</v>
      </c>
      <c r="C768" s="19" t="s">
        <v>108</v>
      </c>
      <c r="D768" s="18" t="s">
        <v>1631</v>
      </c>
      <c r="E768" s="19" t="s">
        <v>1632</v>
      </c>
      <c r="F768" s="18" t="s">
        <v>110</v>
      </c>
      <c r="G768" s="18" t="s">
        <v>111</v>
      </c>
      <c r="H768" s="19" t="s">
        <v>112</v>
      </c>
      <c r="I768" s="18" t="s">
        <v>113</v>
      </c>
      <c r="J768" s="19" t="s">
        <v>114</v>
      </c>
      <c r="K768" s="19" t="s">
        <v>115</v>
      </c>
      <c r="L768" s="18" t="s">
        <v>116</v>
      </c>
      <c r="M768" s="18" t="s">
        <v>1419</v>
      </c>
      <c r="N768" s="18" t="s">
        <v>118</v>
      </c>
      <c r="O768" s="20">
        <v>119000</v>
      </c>
      <c r="P768" s="20">
        <v>80920</v>
      </c>
      <c r="Q768" s="20">
        <v>1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32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119000</v>
      </c>
      <c r="AD768" s="20">
        <v>80920</v>
      </c>
      <c r="AE768" s="20">
        <v>0</v>
      </c>
      <c r="AF768" s="20">
        <v>0</v>
      </c>
      <c r="AG768" s="20">
        <v>119000</v>
      </c>
      <c r="AH768" s="20">
        <v>80920</v>
      </c>
      <c r="AI768" s="20">
        <v>34618</v>
      </c>
      <c r="AJ768" s="20">
        <v>3462</v>
      </c>
      <c r="AK768" s="20">
        <v>38080</v>
      </c>
    </row>
    <row r="769" spans="1:37" ht="24" x14ac:dyDescent="0.3">
      <c r="A769" s="18" t="s">
        <v>2358</v>
      </c>
      <c r="B769" s="18" t="s">
        <v>107</v>
      </c>
      <c r="C769" s="19" t="s">
        <v>108</v>
      </c>
      <c r="D769" s="18" t="s">
        <v>1637</v>
      </c>
      <c r="E769" s="19" t="s">
        <v>1638</v>
      </c>
      <c r="F769" s="18" t="s">
        <v>110</v>
      </c>
      <c r="G769" s="18" t="s">
        <v>111</v>
      </c>
      <c r="H769" s="19" t="s">
        <v>112</v>
      </c>
      <c r="I769" s="18" t="s">
        <v>113</v>
      </c>
      <c r="J769" s="19" t="s">
        <v>114</v>
      </c>
      <c r="K769" s="19" t="s">
        <v>115</v>
      </c>
      <c r="L769" s="18" t="s">
        <v>116</v>
      </c>
      <c r="M769" s="18" t="s">
        <v>1419</v>
      </c>
      <c r="N769" s="18" t="s">
        <v>118</v>
      </c>
      <c r="O769" s="20">
        <v>119000</v>
      </c>
      <c r="P769" s="20">
        <v>80920</v>
      </c>
      <c r="Q769" s="20">
        <v>1</v>
      </c>
      <c r="R769" s="20">
        <v>0</v>
      </c>
      <c r="S769" s="20">
        <v>0</v>
      </c>
      <c r="T769" s="20">
        <v>0</v>
      </c>
      <c r="U769" s="20">
        <v>0</v>
      </c>
      <c r="V769" s="20">
        <v>0</v>
      </c>
      <c r="W769" s="20">
        <v>32</v>
      </c>
      <c r="X769" s="20">
        <v>0</v>
      </c>
      <c r="Y769" s="20">
        <v>0</v>
      </c>
      <c r="Z769" s="20">
        <v>0</v>
      </c>
      <c r="AA769" s="20">
        <v>0</v>
      </c>
      <c r="AB769" s="20">
        <v>0</v>
      </c>
      <c r="AC769" s="20">
        <v>119000</v>
      </c>
      <c r="AD769" s="20">
        <v>80920</v>
      </c>
      <c r="AE769" s="20">
        <v>0</v>
      </c>
      <c r="AF769" s="20">
        <v>0</v>
      </c>
      <c r="AG769" s="20">
        <v>119000</v>
      </c>
      <c r="AH769" s="20">
        <v>80920</v>
      </c>
      <c r="AI769" s="20">
        <v>34618</v>
      </c>
      <c r="AJ769" s="20">
        <v>3462</v>
      </c>
      <c r="AK769" s="20">
        <v>38080</v>
      </c>
    </row>
    <row r="770" spans="1:37" ht="24" x14ac:dyDescent="0.3">
      <c r="A770" s="18" t="s">
        <v>2359</v>
      </c>
      <c r="B770" s="18" t="s">
        <v>107</v>
      </c>
      <c r="C770" s="19" t="s">
        <v>108</v>
      </c>
      <c r="D770" s="18" t="s">
        <v>1666</v>
      </c>
      <c r="E770" s="19" t="s">
        <v>532</v>
      </c>
      <c r="F770" s="18" t="s">
        <v>110</v>
      </c>
      <c r="G770" s="18" t="s">
        <v>111</v>
      </c>
      <c r="H770" s="19" t="s">
        <v>112</v>
      </c>
      <c r="I770" s="18" t="s">
        <v>113</v>
      </c>
      <c r="J770" s="19" t="s">
        <v>114</v>
      </c>
      <c r="K770" s="19" t="s">
        <v>115</v>
      </c>
      <c r="L770" s="18" t="s">
        <v>116</v>
      </c>
      <c r="M770" s="18" t="s">
        <v>1419</v>
      </c>
      <c r="N770" s="18" t="s">
        <v>118</v>
      </c>
      <c r="O770" s="20">
        <v>119000</v>
      </c>
      <c r="P770" s="20">
        <v>80920</v>
      </c>
      <c r="Q770" s="20">
        <v>1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32</v>
      </c>
      <c r="X770" s="20">
        <v>0</v>
      </c>
      <c r="Y770" s="20">
        <v>0</v>
      </c>
      <c r="Z770" s="20">
        <v>0</v>
      </c>
      <c r="AA770" s="20">
        <v>0</v>
      </c>
      <c r="AB770" s="20">
        <v>0</v>
      </c>
      <c r="AC770" s="20">
        <v>119000</v>
      </c>
      <c r="AD770" s="20">
        <v>80920</v>
      </c>
      <c r="AE770" s="20">
        <v>0</v>
      </c>
      <c r="AF770" s="20">
        <v>0</v>
      </c>
      <c r="AG770" s="20">
        <v>119000</v>
      </c>
      <c r="AH770" s="20">
        <v>80920</v>
      </c>
      <c r="AI770" s="20">
        <v>34618</v>
      </c>
      <c r="AJ770" s="20">
        <v>3462</v>
      </c>
      <c r="AK770" s="20">
        <v>38080</v>
      </c>
    </row>
    <row r="771" spans="1:37" ht="24" x14ac:dyDescent="0.3">
      <c r="A771" s="18" t="s">
        <v>2360</v>
      </c>
      <c r="B771" s="18" t="s">
        <v>107</v>
      </c>
      <c r="C771" s="19" t="s">
        <v>108</v>
      </c>
      <c r="D771" s="18" t="s">
        <v>1417</v>
      </c>
      <c r="E771" s="19" t="s">
        <v>1418</v>
      </c>
      <c r="F771" s="18" t="s">
        <v>110</v>
      </c>
      <c r="G771" s="18" t="s">
        <v>111</v>
      </c>
      <c r="H771" s="19" t="s">
        <v>112</v>
      </c>
      <c r="I771" s="18" t="s">
        <v>113</v>
      </c>
      <c r="J771" s="19" t="s">
        <v>114</v>
      </c>
      <c r="K771" s="19" t="s">
        <v>115</v>
      </c>
      <c r="L771" s="18" t="s">
        <v>116</v>
      </c>
      <c r="M771" s="18" t="s">
        <v>1419</v>
      </c>
      <c r="N771" s="18" t="s">
        <v>118</v>
      </c>
      <c r="O771" s="20">
        <v>119000</v>
      </c>
      <c r="P771" s="20">
        <v>80920</v>
      </c>
      <c r="Q771" s="20">
        <v>1</v>
      </c>
      <c r="R771" s="20">
        <v>0</v>
      </c>
      <c r="S771" s="20">
        <v>0</v>
      </c>
      <c r="T771" s="20">
        <v>0</v>
      </c>
      <c r="U771" s="20">
        <v>0</v>
      </c>
      <c r="V771" s="20">
        <v>0</v>
      </c>
      <c r="W771" s="20">
        <v>32</v>
      </c>
      <c r="X771" s="20">
        <v>0</v>
      </c>
      <c r="Y771" s="20">
        <v>0</v>
      </c>
      <c r="Z771" s="20">
        <v>0</v>
      </c>
      <c r="AA771" s="20">
        <v>0</v>
      </c>
      <c r="AB771" s="20">
        <v>0</v>
      </c>
      <c r="AC771" s="20">
        <v>119000</v>
      </c>
      <c r="AD771" s="20">
        <v>80920</v>
      </c>
      <c r="AE771" s="20">
        <v>0</v>
      </c>
      <c r="AF771" s="20">
        <v>0</v>
      </c>
      <c r="AG771" s="20">
        <v>119000</v>
      </c>
      <c r="AH771" s="20">
        <v>80920</v>
      </c>
      <c r="AI771" s="20">
        <v>34618</v>
      </c>
      <c r="AJ771" s="20">
        <v>3462</v>
      </c>
      <c r="AK771" s="20">
        <v>38080</v>
      </c>
    </row>
    <row r="772" spans="1:37" ht="24" x14ac:dyDescent="0.3">
      <c r="A772" s="18" t="s">
        <v>2361</v>
      </c>
      <c r="B772" s="18" t="s">
        <v>107</v>
      </c>
      <c r="C772" s="19" t="s">
        <v>108</v>
      </c>
      <c r="D772" s="18" t="s">
        <v>1421</v>
      </c>
      <c r="E772" s="19" t="s">
        <v>440</v>
      </c>
      <c r="F772" s="18" t="s">
        <v>110</v>
      </c>
      <c r="G772" s="18" t="s">
        <v>111</v>
      </c>
      <c r="H772" s="19" t="s">
        <v>112</v>
      </c>
      <c r="I772" s="18" t="s">
        <v>113</v>
      </c>
      <c r="J772" s="19" t="s">
        <v>114</v>
      </c>
      <c r="K772" s="19" t="s">
        <v>115</v>
      </c>
      <c r="L772" s="18" t="s">
        <v>116</v>
      </c>
      <c r="M772" s="18" t="s">
        <v>1419</v>
      </c>
      <c r="N772" s="18" t="s">
        <v>118</v>
      </c>
      <c r="O772" s="20">
        <v>119000</v>
      </c>
      <c r="P772" s="20">
        <v>80920</v>
      </c>
      <c r="Q772" s="20">
        <v>1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32</v>
      </c>
      <c r="X772" s="20">
        <v>0</v>
      </c>
      <c r="Y772" s="20">
        <v>0</v>
      </c>
      <c r="Z772" s="20">
        <v>0</v>
      </c>
      <c r="AA772" s="20">
        <v>0</v>
      </c>
      <c r="AB772" s="20">
        <v>0</v>
      </c>
      <c r="AC772" s="20">
        <v>119000</v>
      </c>
      <c r="AD772" s="20">
        <v>80920</v>
      </c>
      <c r="AE772" s="20">
        <v>0</v>
      </c>
      <c r="AF772" s="20">
        <v>0</v>
      </c>
      <c r="AG772" s="20">
        <v>119000</v>
      </c>
      <c r="AH772" s="20">
        <v>80920</v>
      </c>
      <c r="AI772" s="20">
        <v>34618</v>
      </c>
      <c r="AJ772" s="20">
        <v>3462</v>
      </c>
      <c r="AK772" s="20">
        <v>38080</v>
      </c>
    </row>
    <row r="773" spans="1:37" ht="24" x14ac:dyDescent="0.3">
      <c r="A773" s="18" t="s">
        <v>2362</v>
      </c>
      <c r="B773" s="18" t="s">
        <v>107</v>
      </c>
      <c r="C773" s="19" t="s">
        <v>108</v>
      </c>
      <c r="D773" s="18" t="s">
        <v>1642</v>
      </c>
      <c r="E773" s="19" t="s">
        <v>1643</v>
      </c>
      <c r="F773" s="18" t="s">
        <v>110</v>
      </c>
      <c r="G773" s="18" t="s">
        <v>111</v>
      </c>
      <c r="H773" s="19" t="s">
        <v>112</v>
      </c>
      <c r="I773" s="18" t="s">
        <v>113</v>
      </c>
      <c r="J773" s="19" t="s">
        <v>114</v>
      </c>
      <c r="K773" s="19" t="s">
        <v>115</v>
      </c>
      <c r="L773" s="18" t="s">
        <v>116</v>
      </c>
      <c r="M773" s="18" t="s">
        <v>1419</v>
      </c>
      <c r="N773" s="18" t="s">
        <v>118</v>
      </c>
      <c r="O773" s="20">
        <v>119000</v>
      </c>
      <c r="P773" s="20">
        <v>80920</v>
      </c>
      <c r="Q773" s="20">
        <v>1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32</v>
      </c>
      <c r="X773" s="20">
        <v>0</v>
      </c>
      <c r="Y773" s="20">
        <v>0</v>
      </c>
      <c r="Z773" s="20">
        <v>0</v>
      </c>
      <c r="AA773" s="20">
        <v>0</v>
      </c>
      <c r="AB773" s="20">
        <v>0</v>
      </c>
      <c r="AC773" s="20">
        <v>119000</v>
      </c>
      <c r="AD773" s="20">
        <v>80920</v>
      </c>
      <c r="AE773" s="20">
        <v>0</v>
      </c>
      <c r="AF773" s="20">
        <v>0</v>
      </c>
      <c r="AG773" s="20">
        <v>119000</v>
      </c>
      <c r="AH773" s="20">
        <v>80920</v>
      </c>
      <c r="AI773" s="20">
        <v>34618</v>
      </c>
      <c r="AJ773" s="20">
        <v>3462</v>
      </c>
      <c r="AK773" s="20">
        <v>38080</v>
      </c>
    </row>
    <row r="774" spans="1:37" ht="24" x14ac:dyDescent="0.3">
      <c r="A774" s="18" t="s">
        <v>2363</v>
      </c>
      <c r="B774" s="18" t="s">
        <v>107</v>
      </c>
      <c r="C774" s="19" t="s">
        <v>108</v>
      </c>
      <c r="D774" s="18" t="s">
        <v>1423</v>
      </c>
      <c r="E774" s="19" t="s">
        <v>1424</v>
      </c>
      <c r="F774" s="18" t="s">
        <v>110</v>
      </c>
      <c r="G774" s="18" t="s">
        <v>111</v>
      </c>
      <c r="H774" s="19" t="s">
        <v>112</v>
      </c>
      <c r="I774" s="18" t="s">
        <v>113</v>
      </c>
      <c r="J774" s="19" t="s">
        <v>114</v>
      </c>
      <c r="K774" s="19" t="s">
        <v>115</v>
      </c>
      <c r="L774" s="18" t="s">
        <v>116</v>
      </c>
      <c r="M774" s="18" t="s">
        <v>1419</v>
      </c>
      <c r="N774" s="18" t="s">
        <v>118</v>
      </c>
      <c r="O774" s="20">
        <v>119000</v>
      </c>
      <c r="P774" s="20">
        <v>80920</v>
      </c>
      <c r="Q774" s="20">
        <v>1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32</v>
      </c>
      <c r="X774" s="20">
        <v>0</v>
      </c>
      <c r="Y774" s="20">
        <v>0</v>
      </c>
      <c r="Z774" s="20">
        <v>0</v>
      </c>
      <c r="AA774" s="20">
        <v>0</v>
      </c>
      <c r="AB774" s="20">
        <v>0</v>
      </c>
      <c r="AC774" s="20">
        <v>119000</v>
      </c>
      <c r="AD774" s="20">
        <v>80920</v>
      </c>
      <c r="AE774" s="20">
        <v>0</v>
      </c>
      <c r="AF774" s="20">
        <v>0</v>
      </c>
      <c r="AG774" s="20">
        <v>119000</v>
      </c>
      <c r="AH774" s="20">
        <v>80920</v>
      </c>
      <c r="AI774" s="20">
        <v>34618</v>
      </c>
      <c r="AJ774" s="20">
        <v>3462</v>
      </c>
      <c r="AK774" s="20">
        <v>38080</v>
      </c>
    </row>
    <row r="775" spans="1:37" ht="24" x14ac:dyDescent="0.3">
      <c r="A775" s="18" t="s">
        <v>2364</v>
      </c>
      <c r="B775" s="18" t="s">
        <v>107</v>
      </c>
      <c r="C775" s="19" t="s">
        <v>108</v>
      </c>
      <c r="D775" s="18" t="s">
        <v>1645</v>
      </c>
      <c r="E775" s="19" t="s">
        <v>119</v>
      </c>
      <c r="F775" s="18" t="s">
        <v>110</v>
      </c>
      <c r="G775" s="18" t="s">
        <v>111</v>
      </c>
      <c r="H775" s="19" t="s">
        <v>112</v>
      </c>
      <c r="I775" s="18" t="s">
        <v>113</v>
      </c>
      <c r="J775" s="19" t="s">
        <v>114</v>
      </c>
      <c r="K775" s="19" t="s">
        <v>115</v>
      </c>
      <c r="L775" s="18" t="s">
        <v>116</v>
      </c>
      <c r="M775" s="18" t="s">
        <v>1419</v>
      </c>
      <c r="N775" s="18" t="s">
        <v>118</v>
      </c>
      <c r="O775" s="20">
        <v>119000</v>
      </c>
      <c r="P775" s="20">
        <v>80920</v>
      </c>
      <c r="Q775" s="20">
        <v>1</v>
      </c>
      <c r="R775" s="20">
        <v>0</v>
      </c>
      <c r="S775" s="20">
        <v>0</v>
      </c>
      <c r="T775" s="20">
        <v>0</v>
      </c>
      <c r="U775" s="20">
        <v>0</v>
      </c>
      <c r="V775" s="20">
        <v>0</v>
      </c>
      <c r="W775" s="20">
        <v>32</v>
      </c>
      <c r="X775" s="20">
        <v>0</v>
      </c>
      <c r="Y775" s="20">
        <v>0</v>
      </c>
      <c r="Z775" s="20">
        <v>0</v>
      </c>
      <c r="AA775" s="20">
        <v>0</v>
      </c>
      <c r="AB775" s="20">
        <v>0</v>
      </c>
      <c r="AC775" s="20">
        <v>119000</v>
      </c>
      <c r="AD775" s="20">
        <v>80920</v>
      </c>
      <c r="AE775" s="20">
        <v>0</v>
      </c>
      <c r="AF775" s="20">
        <v>0</v>
      </c>
      <c r="AG775" s="20">
        <v>119000</v>
      </c>
      <c r="AH775" s="20">
        <v>80920</v>
      </c>
      <c r="AI775" s="20">
        <v>34618</v>
      </c>
      <c r="AJ775" s="20">
        <v>3462</v>
      </c>
      <c r="AK775" s="20">
        <v>38080</v>
      </c>
    </row>
    <row r="776" spans="1:37" ht="24" x14ac:dyDescent="0.3">
      <c r="A776" s="18" t="s">
        <v>2365</v>
      </c>
      <c r="B776" s="18" t="s">
        <v>107</v>
      </c>
      <c r="C776" s="19" t="s">
        <v>108</v>
      </c>
      <c r="D776" s="18" t="s">
        <v>1426</v>
      </c>
      <c r="E776" s="19" t="s">
        <v>328</v>
      </c>
      <c r="F776" s="18" t="s">
        <v>110</v>
      </c>
      <c r="G776" s="18" t="s">
        <v>111</v>
      </c>
      <c r="H776" s="19" t="s">
        <v>112</v>
      </c>
      <c r="I776" s="18" t="s">
        <v>113</v>
      </c>
      <c r="J776" s="19" t="s">
        <v>114</v>
      </c>
      <c r="K776" s="19" t="s">
        <v>151</v>
      </c>
      <c r="L776" s="18" t="s">
        <v>116</v>
      </c>
      <c r="M776" s="18" t="s">
        <v>1419</v>
      </c>
      <c r="N776" s="18" t="s">
        <v>118</v>
      </c>
      <c r="O776" s="20">
        <v>119000</v>
      </c>
      <c r="P776" s="20">
        <v>80920</v>
      </c>
      <c r="Q776" s="20">
        <v>1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32</v>
      </c>
      <c r="X776" s="20">
        <v>0</v>
      </c>
      <c r="Y776" s="20">
        <v>0</v>
      </c>
      <c r="Z776" s="20">
        <v>0</v>
      </c>
      <c r="AA776" s="20">
        <v>0</v>
      </c>
      <c r="AB776" s="20">
        <v>0</v>
      </c>
      <c r="AC776" s="20">
        <v>119000</v>
      </c>
      <c r="AD776" s="20">
        <v>80920</v>
      </c>
      <c r="AE776" s="20">
        <v>0</v>
      </c>
      <c r="AF776" s="20">
        <v>0</v>
      </c>
      <c r="AG776" s="20">
        <v>119000</v>
      </c>
      <c r="AH776" s="20">
        <v>80920</v>
      </c>
      <c r="AI776" s="20">
        <v>34618</v>
      </c>
      <c r="AJ776" s="20">
        <v>3462</v>
      </c>
      <c r="AK776" s="20">
        <v>38080</v>
      </c>
    </row>
    <row r="777" spans="1:37" ht="24" x14ac:dyDescent="0.3">
      <c r="A777" s="18" t="s">
        <v>2366</v>
      </c>
      <c r="B777" s="18" t="s">
        <v>107</v>
      </c>
      <c r="C777" s="19" t="s">
        <v>108</v>
      </c>
      <c r="D777" s="18" t="s">
        <v>1428</v>
      </c>
      <c r="E777" s="19" t="s">
        <v>1429</v>
      </c>
      <c r="F777" s="18" t="s">
        <v>110</v>
      </c>
      <c r="G777" s="18" t="s">
        <v>111</v>
      </c>
      <c r="H777" s="19" t="s">
        <v>112</v>
      </c>
      <c r="I777" s="18" t="s">
        <v>113</v>
      </c>
      <c r="J777" s="19" t="s">
        <v>114</v>
      </c>
      <c r="K777" s="19" t="s">
        <v>115</v>
      </c>
      <c r="L777" s="18" t="s">
        <v>116</v>
      </c>
      <c r="M777" s="18" t="s">
        <v>1419</v>
      </c>
      <c r="N777" s="18" t="s">
        <v>118</v>
      </c>
      <c r="O777" s="20">
        <v>119000</v>
      </c>
      <c r="P777" s="20">
        <v>80920</v>
      </c>
      <c r="Q777" s="20">
        <v>1</v>
      </c>
      <c r="R777" s="20">
        <v>0</v>
      </c>
      <c r="S777" s="20">
        <v>0</v>
      </c>
      <c r="T777" s="20">
        <v>0</v>
      </c>
      <c r="U777" s="20">
        <v>0</v>
      </c>
      <c r="V777" s="20">
        <v>0</v>
      </c>
      <c r="W777" s="20">
        <v>32</v>
      </c>
      <c r="X777" s="20">
        <v>0</v>
      </c>
      <c r="Y777" s="20">
        <v>0</v>
      </c>
      <c r="Z777" s="20">
        <v>0</v>
      </c>
      <c r="AA777" s="20">
        <v>0</v>
      </c>
      <c r="AB777" s="20">
        <v>0</v>
      </c>
      <c r="AC777" s="20">
        <v>119000</v>
      </c>
      <c r="AD777" s="20">
        <v>80920</v>
      </c>
      <c r="AE777" s="20">
        <v>0</v>
      </c>
      <c r="AF777" s="20">
        <v>0</v>
      </c>
      <c r="AG777" s="20">
        <v>119000</v>
      </c>
      <c r="AH777" s="20">
        <v>80920</v>
      </c>
      <c r="AI777" s="20">
        <v>34618</v>
      </c>
      <c r="AJ777" s="20">
        <v>3462</v>
      </c>
      <c r="AK777" s="20">
        <v>38080</v>
      </c>
    </row>
    <row r="778" spans="1:37" ht="24" x14ac:dyDescent="0.3">
      <c r="A778" s="18" t="s">
        <v>2367</v>
      </c>
      <c r="B778" s="18" t="s">
        <v>107</v>
      </c>
      <c r="C778" s="19" t="s">
        <v>108</v>
      </c>
      <c r="D778" s="18" t="s">
        <v>1431</v>
      </c>
      <c r="E778" s="19" t="s">
        <v>1432</v>
      </c>
      <c r="F778" s="18" t="s">
        <v>110</v>
      </c>
      <c r="G778" s="18" t="s">
        <v>111</v>
      </c>
      <c r="H778" s="19" t="s">
        <v>112</v>
      </c>
      <c r="I778" s="18" t="s">
        <v>113</v>
      </c>
      <c r="J778" s="19" t="s">
        <v>114</v>
      </c>
      <c r="K778" s="19" t="s">
        <v>115</v>
      </c>
      <c r="L778" s="18" t="s">
        <v>116</v>
      </c>
      <c r="M778" s="18" t="s">
        <v>1419</v>
      </c>
      <c r="N778" s="18" t="s">
        <v>118</v>
      </c>
      <c r="O778" s="20">
        <v>119000</v>
      </c>
      <c r="P778" s="20">
        <v>80920</v>
      </c>
      <c r="Q778" s="20">
        <v>1</v>
      </c>
      <c r="R778" s="20">
        <v>0</v>
      </c>
      <c r="S778" s="20">
        <v>0</v>
      </c>
      <c r="T778" s="20">
        <v>0</v>
      </c>
      <c r="U778" s="20">
        <v>0</v>
      </c>
      <c r="V778" s="20">
        <v>0</v>
      </c>
      <c r="W778" s="20">
        <v>32</v>
      </c>
      <c r="X778" s="20">
        <v>0</v>
      </c>
      <c r="Y778" s="20">
        <v>0</v>
      </c>
      <c r="Z778" s="20">
        <v>0</v>
      </c>
      <c r="AA778" s="20">
        <v>0</v>
      </c>
      <c r="AB778" s="20">
        <v>0</v>
      </c>
      <c r="AC778" s="20">
        <v>119000</v>
      </c>
      <c r="AD778" s="20">
        <v>80920</v>
      </c>
      <c r="AE778" s="20">
        <v>0</v>
      </c>
      <c r="AF778" s="20">
        <v>0</v>
      </c>
      <c r="AG778" s="20">
        <v>119000</v>
      </c>
      <c r="AH778" s="20">
        <v>80920</v>
      </c>
      <c r="AI778" s="20">
        <v>34618</v>
      </c>
      <c r="AJ778" s="20">
        <v>3462</v>
      </c>
      <c r="AK778" s="20">
        <v>38080</v>
      </c>
    </row>
    <row r="779" spans="1:37" ht="24" x14ac:dyDescent="0.3">
      <c r="A779" s="18" t="s">
        <v>2368</v>
      </c>
      <c r="B779" s="18" t="s">
        <v>107</v>
      </c>
      <c r="C779" s="19" t="s">
        <v>108</v>
      </c>
      <c r="D779" s="18" t="s">
        <v>1434</v>
      </c>
      <c r="E779" s="19" t="s">
        <v>1435</v>
      </c>
      <c r="F779" s="18" t="s">
        <v>110</v>
      </c>
      <c r="G779" s="18" t="s">
        <v>111</v>
      </c>
      <c r="H779" s="19" t="s">
        <v>112</v>
      </c>
      <c r="I779" s="18" t="s">
        <v>113</v>
      </c>
      <c r="J779" s="19" t="s">
        <v>114</v>
      </c>
      <c r="K779" s="19" t="s">
        <v>115</v>
      </c>
      <c r="L779" s="18" t="s">
        <v>116</v>
      </c>
      <c r="M779" s="18" t="s">
        <v>1419</v>
      </c>
      <c r="N779" s="18" t="s">
        <v>118</v>
      </c>
      <c r="O779" s="20">
        <v>119000</v>
      </c>
      <c r="P779" s="20">
        <v>80920</v>
      </c>
      <c r="Q779" s="20">
        <v>1</v>
      </c>
      <c r="R779" s="20">
        <v>0</v>
      </c>
      <c r="S779" s="20">
        <v>0</v>
      </c>
      <c r="T779" s="20">
        <v>0</v>
      </c>
      <c r="U779" s="20">
        <v>0</v>
      </c>
      <c r="V779" s="20">
        <v>0</v>
      </c>
      <c r="W779" s="20">
        <v>32</v>
      </c>
      <c r="X779" s="20">
        <v>0</v>
      </c>
      <c r="Y779" s="20">
        <v>0</v>
      </c>
      <c r="Z779" s="20">
        <v>0</v>
      </c>
      <c r="AA779" s="20">
        <v>0</v>
      </c>
      <c r="AB779" s="20">
        <v>0</v>
      </c>
      <c r="AC779" s="20">
        <v>119000</v>
      </c>
      <c r="AD779" s="20">
        <v>80920</v>
      </c>
      <c r="AE779" s="20">
        <v>0</v>
      </c>
      <c r="AF779" s="20">
        <v>0</v>
      </c>
      <c r="AG779" s="20">
        <v>119000</v>
      </c>
      <c r="AH779" s="20">
        <v>80920</v>
      </c>
      <c r="AI779" s="20">
        <v>34618</v>
      </c>
      <c r="AJ779" s="20">
        <v>3462</v>
      </c>
      <c r="AK779" s="20">
        <v>38080</v>
      </c>
    </row>
    <row r="780" spans="1:37" ht="24" x14ac:dyDescent="0.3">
      <c r="A780" s="18" t="s">
        <v>2369</v>
      </c>
      <c r="B780" s="18" t="s">
        <v>107</v>
      </c>
      <c r="C780" s="19" t="s">
        <v>108</v>
      </c>
      <c r="D780" s="18" t="s">
        <v>1437</v>
      </c>
      <c r="E780" s="19" t="s">
        <v>1438</v>
      </c>
      <c r="F780" s="18" t="s">
        <v>110</v>
      </c>
      <c r="G780" s="18" t="s">
        <v>111</v>
      </c>
      <c r="H780" s="19" t="s">
        <v>112</v>
      </c>
      <c r="I780" s="18" t="s">
        <v>113</v>
      </c>
      <c r="J780" s="19" t="s">
        <v>114</v>
      </c>
      <c r="K780" s="19" t="s">
        <v>115</v>
      </c>
      <c r="L780" s="18" t="s">
        <v>116</v>
      </c>
      <c r="M780" s="18" t="s">
        <v>1419</v>
      </c>
      <c r="N780" s="18" t="s">
        <v>118</v>
      </c>
      <c r="O780" s="20">
        <v>119000</v>
      </c>
      <c r="P780" s="20">
        <v>80920</v>
      </c>
      <c r="Q780" s="20">
        <v>1</v>
      </c>
      <c r="R780" s="20">
        <v>0</v>
      </c>
      <c r="S780" s="20">
        <v>0</v>
      </c>
      <c r="T780" s="20">
        <v>0</v>
      </c>
      <c r="U780" s="20">
        <v>0</v>
      </c>
      <c r="V780" s="20">
        <v>0</v>
      </c>
      <c r="W780" s="20">
        <v>32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119000</v>
      </c>
      <c r="AD780" s="20">
        <v>80920</v>
      </c>
      <c r="AE780" s="20">
        <v>0</v>
      </c>
      <c r="AF780" s="20">
        <v>0</v>
      </c>
      <c r="AG780" s="20">
        <v>119000</v>
      </c>
      <c r="AH780" s="20">
        <v>80920</v>
      </c>
      <c r="AI780" s="20">
        <v>34618</v>
      </c>
      <c r="AJ780" s="20">
        <v>3462</v>
      </c>
      <c r="AK780" s="20">
        <v>38080</v>
      </c>
    </row>
    <row r="781" spans="1:37" ht="24" x14ac:dyDescent="0.3">
      <c r="A781" s="18" t="s">
        <v>2370</v>
      </c>
      <c r="B781" s="18" t="s">
        <v>107</v>
      </c>
      <c r="C781" s="19" t="s">
        <v>108</v>
      </c>
      <c r="D781" s="18" t="s">
        <v>1440</v>
      </c>
      <c r="E781" s="19" t="s">
        <v>1441</v>
      </c>
      <c r="F781" s="18" t="s">
        <v>110</v>
      </c>
      <c r="G781" s="18" t="s">
        <v>111</v>
      </c>
      <c r="H781" s="19" t="s">
        <v>112</v>
      </c>
      <c r="I781" s="18" t="s">
        <v>113</v>
      </c>
      <c r="J781" s="19" t="s">
        <v>114</v>
      </c>
      <c r="K781" s="19" t="s">
        <v>115</v>
      </c>
      <c r="L781" s="18" t="s">
        <v>116</v>
      </c>
      <c r="M781" s="18" t="s">
        <v>1419</v>
      </c>
      <c r="N781" s="18" t="s">
        <v>118</v>
      </c>
      <c r="O781" s="20">
        <v>119000</v>
      </c>
      <c r="P781" s="20">
        <v>80920</v>
      </c>
      <c r="Q781" s="20">
        <v>1</v>
      </c>
      <c r="R781" s="20">
        <v>0</v>
      </c>
      <c r="S781" s="20">
        <v>0</v>
      </c>
      <c r="T781" s="20">
        <v>0</v>
      </c>
      <c r="U781" s="20">
        <v>0</v>
      </c>
      <c r="V781" s="20">
        <v>0</v>
      </c>
      <c r="W781" s="20">
        <v>32</v>
      </c>
      <c r="X781" s="20">
        <v>0</v>
      </c>
      <c r="Y781" s="20">
        <v>0</v>
      </c>
      <c r="Z781" s="20">
        <v>0</v>
      </c>
      <c r="AA781" s="20">
        <v>0</v>
      </c>
      <c r="AB781" s="20">
        <v>0</v>
      </c>
      <c r="AC781" s="20">
        <v>119000</v>
      </c>
      <c r="AD781" s="20">
        <v>80920</v>
      </c>
      <c r="AE781" s="20">
        <v>0</v>
      </c>
      <c r="AF781" s="20">
        <v>0</v>
      </c>
      <c r="AG781" s="20">
        <v>119000</v>
      </c>
      <c r="AH781" s="20">
        <v>80920</v>
      </c>
      <c r="AI781" s="20">
        <v>34618</v>
      </c>
      <c r="AJ781" s="20">
        <v>3462</v>
      </c>
      <c r="AK781" s="20">
        <v>38080</v>
      </c>
    </row>
    <row r="782" spans="1:37" ht="24" x14ac:dyDescent="0.3">
      <c r="A782" s="18" t="s">
        <v>2371</v>
      </c>
      <c r="B782" s="18" t="s">
        <v>107</v>
      </c>
      <c r="C782" s="19" t="s">
        <v>108</v>
      </c>
      <c r="D782" s="18" t="s">
        <v>1446</v>
      </c>
      <c r="E782" s="19" t="s">
        <v>1447</v>
      </c>
      <c r="F782" s="18" t="s">
        <v>110</v>
      </c>
      <c r="G782" s="18" t="s">
        <v>111</v>
      </c>
      <c r="H782" s="19" t="s">
        <v>112</v>
      </c>
      <c r="I782" s="18" t="s">
        <v>113</v>
      </c>
      <c r="J782" s="19" t="s">
        <v>114</v>
      </c>
      <c r="K782" s="19" t="s">
        <v>115</v>
      </c>
      <c r="L782" s="18" t="s">
        <v>116</v>
      </c>
      <c r="M782" s="18" t="s">
        <v>1419</v>
      </c>
      <c r="N782" s="18" t="s">
        <v>118</v>
      </c>
      <c r="O782" s="20">
        <v>119000</v>
      </c>
      <c r="P782" s="20">
        <v>80920</v>
      </c>
      <c r="Q782" s="20">
        <v>1</v>
      </c>
      <c r="R782" s="20">
        <v>0</v>
      </c>
      <c r="S782" s="20">
        <v>0</v>
      </c>
      <c r="T782" s="20">
        <v>0</v>
      </c>
      <c r="U782" s="20">
        <v>0</v>
      </c>
      <c r="V782" s="20">
        <v>0</v>
      </c>
      <c r="W782" s="20">
        <v>32</v>
      </c>
      <c r="X782" s="20">
        <v>0</v>
      </c>
      <c r="Y782" s="20">
        <v>0</v>
      </c>
      <c r="Z782" s="20">
        <v>0</v>
      </c>
      <c r="AA782" s="20">
        <v>0</v>
      </c>
      <c r="AB782" s="20">
        <v>0</v>
      </c>
      <c r="AC782" s="20">
        <v>119000</v>
      </c>
      <c r="AD782" s="20">
        <v>80920</v>
      </c>
      <c r="AE782" s="20">
        <v>0</v>
      </c>
      <c r="AF782" s="20">
        <v>0</v>
      </c>
      <c r="AG782" s="20">
        <v>119000</v>
      </c>
      <c r="AH782" s="20">
        <v>80920</v>
      </c>
      <c r="AI782" s="20">
        <v>34618</v>
      </c>
      <c r="AJ782" s="20">
        <v>3462</v>
      </c>
      <c r="AK782" s="20">
        <v>38080</v>
      </c>
    </row>
    <row r="783" spans="1:37" ht="24" x14ac:dyDescent="0.3">
      <c r="A783" s="18" t="s">
        <v>2372</v>
      </c>
      <c r="B783" s="18" t="s">
        <v>107</v>
      </c>
      <c r="C783" s="19" t="s">
        <v>108</v>
      </c>
      <c r="D783" s="18" t="s">
        <v>1449</v>
      </c>
      <c r="E783" s="19" t="s">
        <v>644</v>
      </c>
      <c r="F783" s="18" t="s">
        <v>110</v>
      </c>
      <c r="G783" s="18" t="s">
        <v>111</v>
      </c>
      <c r="H783" s="19" t="s">
        <v>112</v>
      </c>
      <c r="I783" s="18" t="s">
        <v>113</v>
      </c>
      <c r="J783" s="19" t="s">
        <v>114</v>
      </c>
      <c r="K783" s="19" t="s">
        <v>115</v>
      </c>
      <c r="L783" s="18" t="s">
        <v>116</v>
      </c>
      <c r="M783" s="18" t="s">
        <v>1419</v>
      </c>
      <c r="N783" s="18" t="s">
        <v>118</v>
      </c>
      <c r="O783" s="20">
        <v>119000</v>
      </c>
      <c r="P783" s="20">
        <v>80920</v>
      </c>
      <c r="Q783" s="20">
        <v>1</v>
      </c>
      <c r="R783" s="20">
        <v>0</v>
      </c>
      <c r="S783" s="20">
        <v>0</v>
      </c>
      <c r="T783" s="20">
        <v>0</v>
      </c>
      <c r="U783" s="20">
        <v>0</v>
      </c>
      <c r="V783" s="20">
        <v>0</v>
      </c>
      <c r="W783" s="20">
        <v>32</v>
      </c>
      <c r="X783" s="20">
        <v>0</v>
      </c>
      <c r="Y783" s="20">
        <v>0</v>
      </c>
      <c r="Z783" s="20">
        <v>0</v>
      </c>
      <c r="AA783" s="20">
        <v>0</v>
      </c>
      <c r="AB783" s="20">
        <v>0</v>
      </c>
      <c r="AC783" s="20">
        <v>119000</v>
      </c>
      <c r="AD783" s="20">
        <v>80920</v>
      </c>
      <c r="AE783" s="20">
        <v>0</v>
      </c>
      <c r="AF783" s="20">
        <v>0</v>
      </c>
      <c r="AG783" s="20">
        <v>119000</v>
      </c>
      <c r="AH783" s="20">
        <v>80920</v>
      </c>
      <c r="AI783" s="20">
        <v>34618</v>
      </c>
      <c r="AJ783" s="20">
        <v>3462</v>
      </c>
      <c r="AK783" s="20">
        <v>38080</v>
      </c>
    </row>
    <row r="784" spans="1:37" ht="24" x14ac:dyDescent="0.3">
      <c r="A784" s="18" t="s">
        <v>2373</v>
      </c>
      <c r="B784" s="18" t="s">
        <v>107</v>
      </c>
      <c r="C784" s="19" t="s">
        <v>108</v>
      </c>
      <c r="D784" s="18" t="s">
        <v>1451</v>
      </c>
      <c r="E784" s="19" t="s">
        <v>1452</v>
      </c>
      <c r="F784" s="18" t="s">
        <v>110</v>
      </c>
      <c r="G784" s="18" t="s">
        <v>111</v>
      </c>
      <c r="H784" s="19" t="s">
        <v>112</v>
      </c>
      <c r="I784" s="18" t="s">
        <v>113</v>
      </c>
      <c r="J784" s="19" t="s">
        <v>114</v>
      </c>
      <c r="K784" s="19" t="s">
        <v>115</v>
      </c>
      <c r="L784" s="18" t="s">
        <v>116</v>
      </c>
      <c r="M784" s="18" t="s">
        <v>1419</v>
      </c>
      <c r="N784" s="18" t="s">
        <v>118</v>
      </c>
      <c r="O784" s="20">
        <v>119000</v>
      </c>
      <c r="P784" s="20">
        <v>80920</v>
      </c>
      <c r="Q784" s="20">
        <v>1</v>
      </c>
      <c r="R784" s="20">
        <v>0</v>
      </c>
      <c r="S784" s="20">
        <v>0</v>
      </c>
      <c r="T784" s="20">
        <v>0</v>
      </c>
      <c r="U784" s="20">
        <v>0</v>
      </c>
      <c r="V784" s="20">
        <v>0</v>
      </c>
      <c r="W784" s="20">
        <v>32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119000</v>
      </c>
      <c r="AD784" s="20">
        <v>80920</v>
      </c>
      <c r="AE784" s="20">
        <v>0</v>
      </c>
      <c r="AF784" s="20">
        <v>0</v>
      </c>
      <c r="AG784" s="20">
        <v>119000</v>
      </c>
      <c r="AH784" s="20">
        <v>80920</v>
      </c>
      <c r="AI784" s="20">
        <v>34618</v>
      </c>
      <c r="AJ784" s="20">
        <v>3462</v>
      </c>
      <c r="AK784" s="20">
        <v>38080</v>
      </c>
    </row>
    <row r="785" spans="1:37" ht="24" x14ac:dyDescent="0.3">
      <c r="A785" s="18" t="s">
        <v>2374</v>
      </c>
      <c r="B785" s="18" t="s">
        <v>107</v>
      </c>
      <c r="C785" s="19" t="s">
        <v>108</v>
      </c>
      <c r="D785" s="18" t="s">
        <v>1454</v>
      </c>
      <c r="E785" s="19" t="s">
        <v>139</v>
      </c>
      <c r="F785" s="18" t="s">
        <v>110</v>
      </c>
      <c r="G785" s="18" t="s">
        <v>111</v>
      </c>
      <c r="H785" s="19" t="s">
        <v>112</v>
      </c>
      <c r="I785" s="18" t="s">
        <v>113</v>
      </c>
      <c r="J785" s="19" t="s">
        <v>114</v>
      </c>
      <c r="K785" s="19" t="s">
        <v>115</v>
      </c>
      <c r="L785" s="18" t="s">
        <v>116</v>
      </c>
      <c r="M785" s="18" t="s">
        <v>1419</v>
      </c>
      <c r="N785" s="18" t="s">
        <v>118</v>
      </c>
      <c r="O785" s="20">
        <v>119000</v>
      </c>
      <c r="P785" s="20">
        <v>80920</v>
      </c>
      <c r="Q785" s="20">
        <v>1</v>
      </c>
      <c r="R785" s="20">
        <v>0</v>
      </c>
      <c r="S785" s="20">
        <v>0</v>
      </c>
      <c r="T785" s="20">
        <v>0</v>
      </c>
      <c r="U785" s="20">
        <v>0</v>
      </c>
      <c r="V785" s="20">
        <v>0</v>
      </c>
      <c r="W785" s="20">
        <v>32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119000</v>
      </c>
      <c r="AD785" s="20">
        <v>80920</v>
      </c>
      <c r="AE785" s="20">
        <v>0</v>
      </c>
      <c r="AF785" s="20">
        <v>0</v>
      </c>
      <c r="AG785" s="20">
        <v>119000</v>
      </c>
      <c r="AH785" s="20">
        <v>80920</v>
      </c>
      <c r="AI785" s="20">
        <v>34618</v>
      </c>
      <c r="AJ785" s="20">
        <v>3462</v>
      </c>
      <c r="AK785" s="20">
        <v>38080</v>
      </c>
    </row>
    <row r="786" spans="1:37" ht="24" x14ac:dyDescent="0.3">
      <c r="A786" s="18" t="s">
        <v>2375</v>
      </c>
      <c r="B786" s="18" t="s">
        <v>107</v>
      </c>
      <c r="C786" s="19" t="s">
        <v>108</v>
      </c>
      <c r="D786" s="18" t="s">
        <v>1458</v>
      </c>
      <c r="E786" s="19" t="s">
        <v>1459</v>
      </c>
      <c r="F786" s="18" t="s">
        <v>110</v>
      </c>
      <c r="G786" s="18" t="s">
        <v>111</v>
      </c>
      <c r="H786" s="19" t="s">
        <v>112</v>
      </c>
      <c r="I786" s="18" t="s">
        <v>113</v>
      </c>
      <c r="J786" s="19" t="s">
        <v>114</v>
      </c>
      <c r="K786" s="19" t="s">
        <v>115</v>
      </c>
      <c r="L786" s="18" t="s">
        <v>116</v>
      </c>
      <c r="M786" s="18" t="s">
        <v>1419</v>
      </c>
      <c r="N786" s="18" t="s">
        <v>118</v>
      </c>
      <c r="O786" s="20">
        <v>119000</v>
      </c>
      <c r="P786" s="20">
        <v>80920</v>
      </c>
      <c r="Q786" s="20">
        <v>1</v>
      </c>
      <c r="R786" s="20">
        <v>0</v>
      </c>
      <c r="S786" s="20">
        <v>0</v>
      </c>
      <c r="T786" s="20">
        <v>0</v>
      </c>
      <c r="U786" s="20">
        <v>0</v>
      </c>
      <c r="V786" s="20">
        <v>0</v>
      </c>
      <c r="W786" s="20">
        <v>32</v>
      </c>
      <c r="X786" s="20">
        <v>0</v>
      </c>
      <c r="Y786" s="20">
        <v>0</v>
      </c>
      <c r="Z786" s="20">
        <v>0</v>
      </c>
      <c r="AA786" s="20">
        <v>0</v>
      </c>
      <c r="AB786" s="20">
        <v>0</v>
      </c>
      <c r="AC786" s="20">
        <v>119000</v>
      </c>
      <c r="AD786" s="20">
        <v>80920</v>
      </c>
      <c r="AE786" s="20">
        <v>0</v>
      </c>
      <c r="AF786" s="20">
        <v>0</v>
      </c>
      <c r="AG786" s="20">
        <v>119000</v>
      </c>
      <c r="AH786" s="20">
        <v>80920</v>
      </c>
      <c r="AI786" s="20">
        <v>34618</v>
      </c>
      <c r="AJ786" s="20">
        <v>3462</v>
      </c>
      <c r="AK786" s="20">
        <v>38080</v>
      </c>
    </row>
    <row r="787" spans="1:37" ht="24" x14ac:dyDescent="0.3">
      <c r="A787" s="18" t="s">
        <v>2376</v>
      </c>
      <c r="B787" s="18" t="s">
        <v>107</v>
      </c>
      <c r="C787" s="19" t="s">
        <v>108</v>
      </c>
      <c r="D787" s="18" t="s">
        <v>1461</v>
      </c>
      <c r="E787" s="19" t="s">
        <v>1225</v>
      </c>
      <c r="F787" s="18" t="s">
        <v>110</v>
      </c>
      <c r="G787" s="18" t="s">
        <v>111</v>
      </c>
      <c r="H787" s="19" t="s">
        <v>112</v>
      </c>
      <c r="I787" s="18" t="s">
        <v>113</v>
      </c>
      <c r="J787" s="19" t="s">
        <v>114</v>
      </c>
      <c r="K787" s="19" t="s">
        <v>115</v>
      </c>
      <c r="L787" s="18" t="s">
        <v>116</v>
      </c>
      <c r="M787" s="18" t="s">
        <v>1419</v>
      </c>
      <c r="N787" s="18" t="s">
        <v>118</v>
      </c>
      <c r="O787" s="20">
        <v>119000</v>
      </c>
      <c r="P787" s="20">
        <v>80920</v>
      </c>
      <c r="Q787" s="20">
        <v>1</v>
      </c>
      <c r="R787" s="20">
        <v>0</v>
      </c>
      <c r="S787" s="20">
        <v>0</v>
      </c>
      <c r="T787" s="20">
        <v>0</v>
      </c>
      <c r="U787" s="20">
        <v>0</v>
      </c>
      <c r="V787" s="20">
        <v>0</v>
      </c>
      <c r="W787" s="20">
        <v>32</v>
      </c>
      <c r="X787" s="20">
        <v>0</v>
      </c>
      <c r="Y787" s="20">
        <v>0</v>
      </c>
      <c r="Z787" s="20">
        <v>0</v>
      </c>
      <c r="AA787" s="20">
        <v>0</v>
      </c>
      <c r="AB787" s="20">
        <v>0</v>
      </c>
      <c r="AC787" s="20">
        <v>119000</v>
      </c>
      <c r="AD787" s="20">
        <v>80920</v>
      </c>
      <c r="AE787" s="20">
        <v>0</v>
      </c>
      <c r="AF787" s="20">
        <v>0</v>
      </c>
      <c r="AG787" s="20">
        <v>119000</v>
      </c>
      <c r="AH787" s="20">
        <v>80920</v>
      </c>
      <c r="AI787" s="20">
        <v>34618</v>
      </c>
      <c r="AJ787" s="20">
        <v>3462</v>
      </c>
      <c r="AK787" s="20">
        <v>38080</v>
      </c>
    </row>
    <row r="788" spans="1:37" ht="24" x14ac:dyDescent="0.3">
      <c r="A788" s="18" t="s">
        <v>2377</v>
      </c>
      <c r="B788" s="18" t="s">
        <v>107</v>
      </c>
      <c r="C788" s="19" t="s">
        <v>108</v>
      </c>
      <c r="D788" s="18" t="s">
        <v>1463</v>
      </c>
      <c r="E788" s="19" t="s">
        <v>1464</v>
      </c>
      <c r="F788" s="18" t="s">
        <v>110</v>
      </c>
      <c r="G788" s="18" t="s">
        <v>111</v>
      </c>
      <c r="H788" s="19" t="s">
        <v>112</v>
      </c>
      <c r="I788" s="18" t="s">
        <v>113</v>
      </c>
      <c r="J788" s="19" t="s">
        <v>114</v>
      </c>
      <c r="K788" s="19" t="s">
        <v>115</v>
      </c>
      <c r="L788" s="18" t="s">
        <v>116</v>
      </c>
      <c r="M788" s="18" t="s">
        <v>1419</v>
      </c>
      <c r="N788" s="18" t="s">
        <v>118</v>
      </c>
      <c r="O788" s="20">
        <v>119000</v>
      </c>
      <c r="P788" s="20">
        <v>80920</v>
      </c>
      <c r="Q788" s="20">
        <v>1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32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119000</v>
      </c>
      <c r="AD788" s="20">
        <v>80920</v>
      </c>
      <c r="AE788" s="20">
        <v>0</v>
      </c>
      <c r="AF788" s="20">
        <v>0</v>
      </c>
      <c r="AG788" s="20">
        <v>119000</v>
      </c>
      <c r="AH788" s="20">
        <v>80920</v>
      </c>
      <c r="AI788" s="20">
        <v>34618</v>
      </c>
      <c r="AJ788" s="20">
        <v>3462</v>
      </c>
      <c r="AK788" s="20">
        <v>38080</v>
      </c>
    </row>
    <row r="789" spans="1:37" ht="24" x14ac:dyDescent="0.3">
      <c r="A789" s="18" t="s">
        <v>2378</v>
      </c>
      <c r="B789" s="18" t="s">
        <v>107</v>
      </c>
      <c r="C789" s="19" t="s">
        <v>108</v>
      </c>
      <c r="D789" s="18" t="s">
        <v>1466</v>
      </c>
      <c r="E789" s="19" t="s">
        <v>1196</v>
      </c>
      <c r="F789" s="18" t="s">
        <v>110</v>
      </c>
      <c r="G789" s="18" t="s">
        <v>111</v>
      </c>
      <c r="H789" s="19" t="s">
        <v>112</v>
      </c>
      <c r="I789" s="18" t="s">
        <v>113</v>
      </c>
      <c r="J789" s="19" t="s">
        <v>114</v>
      </c>
      <c r="K789" s="19" t="s">
        <v>115</v>
      </c>
      <c r="L789" s="18" t="s">
        <v>116</v>
      </c>
      <c r="M789" s="18" t="s">
        <v>1419</v>
      </c>
      <c r="N789" s="18" t="s">
        <v>118</v>
      </c>
      <c r="O789" s="20">
        <v>119000</v>
      </c>
      <c r="P789" s="20">
        <v>80920</v>
      </c>
      <c r="Q789" s="20">
        <v>1</v>
      </c>
      <c r="R789" s="20">
        <v>0</v>
      </c>
      <c r="S789" s="20">
        <v>0</v>
      </c>
      <c r="T789" s="20">
        <v>0</v>
      </c>
      <c r="U789" s="20">
        <v>0</v>
      </c>
      <c r="V789" s="20">
        <v>0</v>
      </c>
      <c r="W789" s="20">
        <v>32</v>
      </c>
      <c r="X789" s="20">
        <v>0</v>
      </c>
      <c r="Y789" s="20">
        <v>0</v>
      </c>
      <c r="Z789" s="20">
        <v>0</v>
      </c>
      <c r="AA789" s="20">
        <v>0</v>
      </c>
      <c r="AB789" s="20">
        <v>0</v>
      </c>
      <c r="AC789" s="20">
        <v>119000</v>
      </c>
      <c r="AD789" s="20">
        <v>80920</v>
      </c>
      <c r="AE789" s="20">
        <v>0</v>
      </c>
      <c r="AF789" s="20">
        <v>0</v>
      </c>
      <c r="AG789" s="20">
        <v>119000</v>
      </c>
      <c r="AH789" s="20">
        <v>80920</v>
      </c>
      <c r="AI789" s="20">
        <v>34618</v>
      </c>
      <c r="AJ789" s="20">
        <v>3462</v>
      </c>
      <c r="AK789" s="20">
        <v>38080</v>
      </c>
    </row>
    <row r="790" spans="1:37" ht="24" x14ac:dyDescent="0.3">
      <c r="A790" s="18" t="s">
        <v>2379</v>
      </c>
      <c r="B790" s="18" t="s">
        <v>107</v>
      </c>
      <c r="C790" s="19" t="s">
        <v>108</v>
      </c>
      <c r="D790" s="18" t="s">
        <v>1470</v>
      </c>
      <c r="E790" s="19" t="s">
        <v>343</v>
      </c>
      <c r="F790" s="18" t="s">
        <v>110</v>
      </c>
      <c r="G790" s="18" t="s">
        <v>111</v>
      </c>
      <c r="H790" s="19" t="s">
        <v>112</v>
      </c>
      <c r="I790" s="18" t="s">
        <v>113</v>
      </c>
      <c r="J790" s="19" t="s">
        <v>114</v>
      </c>
      <c r="K790" s="19" t="s">
        <v>115</v>
      </c>
      <c r="L790" s="18" t="s">
        <v>116</v>
      </c>
      <c r="M790" s="18" t="s">
        <v>1419</v>
      </c>
      <c r="N790" s="18" t="s">
        <v>118</v>
      </c>
      <c r="O790" s="20">
        <v>119000</v>
      </c>
      <c r="P790" s="20">
        <v>80920</v>
      </c>
      <c r="Q790" s="20">
        <v>1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32</v>
      </c>
      <c r="X790" s="20">
        <v>5950</v>
      </c>
      <c r="Y790" s="20">
        <v>0</v>
      </c>
      <c r="Z790" s="20">
        <v>0</v>
      </c>
      <c r="AA790" s="20">
        <v>0</v>
      </c>
      <c r="AB790" s="20">
        <v>0</v>
      </c>
      <c r="AC790" s="20">
        <v>119000</v>
      </c>
      <c r="AD790" s="20">
        <v>80920</v>
      </c>
      <c r="AE790" s="20">
        <v>0</v>
      </c>
      <c r="AF790" s="20">
        <v>5950</v>
      </c>
      <c r="AG790" s="20">
        <v>113050</v>
      </c>
      <c r="AH790" s="20">
        <v>80920</v>
      </c>
      <c r="AI790" s="20">
        <v>29209</v>
      </c>
      <c r="AJ790" s="20">
        <v>2921</v>
      </c>
      <c r="AK790" s="20">
        <v>32130</v>
      </c>
    </row>
    <row r="791" spans="1:37" ht="24" x14ac:dyDescent="0.3">
      <c r="A791" s="18" t="s">
        <v>2380</v>
      </c>
      <c r="B791" s="18" t="s">
        <v>107</v>
      </c>
      <c r="C791" s="19" t="s">
        <v>108</v>
      </c>
      <c r="D791" s="18" t="s">
        <v>1472</v>
      </c>
      <c r="E791" s="19" t="s">
        <v>328</v>
      </c>
      <c r="F791" s="18" t="s">
        <v>110</v>
      </c>
      <c r="G791" s="18" t="s">
        <v>111</v>
      </c>
      <c r="H791" s="19" t="s">
        <v>112</v>
      </c>
      <c r="I791" s="18" t="s">
        <v>113</v>
      </c>
      <c r="J791" s="19" t="s">
        <v>114</v>
      </c>
      <c r="K791" s="19" t="s">
        <v>115</v>
      </c>
      <c r="L791" s="18" t="s">
        <v>116</v>
      </c>
      <c r="M791" s="18" t="s">
        <v>1419</v>
      </c>
      <c r="N791" s="18" t="s">
        <v>118</v>
      </c>
      <c r="O791" s="20">
        <v>119000</v>
      </c>
      <c r="P791" s="20">
        <v>80920</v>
      </c>
      <c r="Q791" s="20">
        <v>1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32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119000</v>
      </c>
      <c r="AD791" s="20">
        <v>80920</v>
      </c>
      <c r="AE791" s="20">
        <v>0</v>
      </c>
      <c r="AF791" s="20">
        <v>0</v>
      </c>
      <c r="AG791" s="20">
        <v>119000</v>
      </c>
      <c r="AH791" s="20">
        <v>80920</v>
      </c>
      <c r="AI791" s="20">
        <v>34618</v>
      </c>
      <c r="AJ791" s="20">
        <v>3462</v>
      </c>
      <c r="AK791" s="20">
        <v>38080</v>
      </c>
    </row>
    <row r="792" spans="1:37" ht="24" x14ac:dyDescent="0.3">
      <c r="A792" s="18" t="s">
        <v>2381</v>
      </c>
      <c r="B792" s="18" t="s">
        <v>107</v>
      </c>
      <c r="C792" s="19" t="s">
        <v>108</v>
      </c>
      <c r="D792" s="18" t="s">
        <v>1477</v>
      </c>
      <c r="E792" s="19" t="s">
        <v>1478</v>
      </c>
      <c r="F792" s="18" t="s">
        <v>110</v>
      </c>
      <c r="G792" s="18" t="s">
        <v>111</v>
      </c>
      <c r="H792" s="19" t="s">
        <v>112</v>
      </c>
      <c r="I792" s="18" t="s">
        <v>113</v>
      </c>
      <c r="J792" s="19" t="s">
        <v>114</v>
      </c>
      <c r="K792" s="19" t="s">
        <v>151</v>
      </c>
      <c r="L792" s="18" t="s">
        <v>116</v>
      </c>
      <c r="M792" s="18" t="s">
        <v>1419</v>
      </c>
      <c r="N792" s="18" t="s">
        <v>118</v>
      </c>
      <c r="O792" s="20">
        <v>119000</v>
      </c>
      <c r="P792" s="20">
        <v>80920</v>
      </c>
      <c r="Q792" s="20">
        <v>1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32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119000</v>
      </c>
      <c r="AD792" s="20">
        <v>80920</v>
      </c>
      <c r="AE792" s="20">
        <v>0</v>
      </c>
      <c r="AF792" s="20">
        <v>0</v>
      </c>
      <c r="AG792" s="20">
        <v>119000</v>
      </c>
      <c r="AH792" s="20">
        <v>80920</v>
      </c>
      <c r="AI792" s="20">
        <v>34618</v>
      </c>
      <c r="AJ792" s="20">
        <v>3462</v>
      </c>
      <c r="AK792" s="20">
        <v>38080</v>
      </c>
    </row>
    <row r="793" spans="1:37" ht="24" x14ac:dyDescent="0.3">
      <c r="A793" s="18" t="s">
        <v>2382</v>
      </c>
      <c r="B793" s="18" t="s">
        <v>107</v>
      </c>
      <c r="C793" s="19" t="s">
        <v>108</v>
      </c>
      <c r="D793" s="18" t="s">
        <v>1480</v>
      </c>
      <c r="E793" s="19" t="s">
        <v>119</v>
      </c>
      <c r="F793" s="18" t="s">
        <v>110</v>
      </c>
      <c r="G793" s="18" t="s">
        <v>111</v>
      </c>
      <c r="H793" s="19" t="s">
        <v>112</v>
      </c>
      <c r="I793" s="18" t="s">
        <v>113</v>
      </c>
      <c r="J793" s="19" t="s">
        <v>114</v>
      </c>
      <c r="K793" s="19" t="s">
        <v>115</v>
      </c>
      <c r="L793" s="18" t="s">
        <v>116</v>
      </c>
      <c r="M793" s="18" t="s">
        <v>1419</v>
      </c>
      <c r="N793" s="18" t="s">
        <v>118</v>
      </c>
      <c r="O793" s="20">
        <v>119000</v>
      </c>
      <c r="P793" s="20">
        <v>80920</v>
      </c>
      <c r="Q793" s="20">
        <v>1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32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119000</v>
      </c>
      <c r="AD793" s="20">
        <v>80920</v>
      </c>
      <c r="AE793" s="20">
        <v>0</v>
      </c>
      <c r="AF793" s="20">
        <v>0</v>
      </c>
      <c r="AG793" s="20">
        <v>119000</v>
      </c>
      <c r="AH793" s="20">
        <v>80920</v>
      </c>
      <c r="AI793" s="20">
        <v>34618</v>
      </c>
      <c r="AJ793" s="20">
        <v>3462</v>
      </c>
      <c r="AK793" s="20">
        <v>38080</v>
      </c>
    </row>
    <row r="794" spans="1:37" ht="24" x14ac:dyDescent="0.3">
      <c r="A794" s="18" t="s">
        <v>2383</v>
      </c>
      <c r="B794" s="18" t="s">
        <v>107</v>
      </c>
      <c r="C794" s="19" t="s">
        <v>108</v>
      </c>
      <c r="D794" s="18" t="s">
        <v>1482</v>
      </c>
      <c r="E794" s="19" t="s">
        <v>217</v>
      </c>
      <c r="F794" s="18" t="s">
        <v>110</v>
      </c>
      <c r="G794" s="18" t="s">
        <v>111</v>
      </c>
      <c r="H794" s="19" t="s">
        <v>112</v>
      </c>
      <c r="I794" s="18" t="s">
        <v>113</v>
      </c>
      <c r="J794" s="19" t="s">
        <v>114</v>
      </c>
      <c r="K794" s="19" t="s">
        <v>115</v>
      </c>
      <c r="L794" s="18" t="s">
        <v>116</v>
      </c>
      <c r="M794" s="18" t="s">
        <v>1419</v>
      </c>
      <c r="N794" s="18" t="s">
        <v>118</v>
      </c>
      <c r="O794" s="20">
        <v>119000</v>
      </c>
      <c r="P794" s="20">
        <v>80920</v>
      </c>
      <c r="Q794" s="20">
        <v>1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32</v>
      </c>
      <c r="X794" s="20">
        <v>0</v>
      </c>
      <c r="Y794" s="20">
        <v>0</v>
      </c>
      <c r="Z794" s="20">
        <v>0</v>
      </c>
      <c r="AA794" s="20">
        <v>0</v>
      </c>
      <c r="AB794" s="20">
        <v>5950</v>
      </c>
      <c r="AC794" s="20">
        <v>119000</v>
      </c>
      <c r="AD794" s="20">
        <v>80920</v>
      </c>
      <c r="AE794" s="20">
        <v>0</v>
      </c>
      <c r="AF794" s="20">
        <v>5950</v>
      </c>
      <c r="AG794" s="20">
        <v>113050</v>
      </c>
      <c r="AH794" s="20">
        <v>80920</v>
      </c>
      <c r="AI794" s="20">
        <v>29209</v>
      </c>
      <c r="AJ794" s="20">
        <v>2921</v>
      </c>
      <c r="AK794" s="20">
        <v>32130</v>
      </c>
    </row>
    <row r="795" spans="1:37" ht="24" x14ac:dyDescent="0.3">
      <c r="A795" s="18" t="s">
        <v>2384</v>
      </c>
      <c r="B795" s="18" t="s">
        <v>107</v>
      </c>
      <c r="C795" s="19" t="s">
        <v>108</v>
      </c>
      <c r="D795" s="18" t="s">
        <v>1484</v>
      </c>
      <c r="E795" s="19" t="s">
        <v>208</v>
      </c>
      <c r="F795" s="18" t="s">
        <v>110</v>
      </c>
      <c r="G795" s="18" t="s">
        <v>111</v>
      </c>
      <c r="H795" s="19" t="s">
        <v>112</v>
      </c>
      <c r="I795" s="18" t="s">
        <v>113</v>
      </c>
      <c r="J795" s="19" t="s">
        <v>114</v>
      </c>
      <c r="K795" s="19" t="s">
        <v>115</v>
      </c>
      <c r="L795" s="18" t="s">
        <v>116</v>
      </c>
      <c r="M795" s="18" t="s">
        <v>1419</v>
      </c>
      <c r="N795" s="18" t="s">
        <v>118</v>
      </c>
      <c r="O795" s="20">
        <v>119000</v>
      </c>
      <c r="P795" s="20">
        <v>80920</v>
      </c>
      <c r="Q795" s="20">
        <v>1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32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119000</v>
      </c>
      <c r="AD795" s="20">
        <v>80920</v>
      </c>
      <c r="AE795" s="20">
        <v>0</v>
      </c>
      <c r="AF795" s="20">
        <v>0</v>
      </c>
      <c r="AG795" s="20">
        <v>119000</v>
      </c>
      <c r="AH795" s="20">
        <v>80920</v>
      </c>
      <c r="AI795" s="20">
        <v>34618</v>
      </c>
      <c r="AJ795" s="20">
        <v>3462</v>
      </c>
      <c r="AK795" s="20">
        <v>38080</v>
      </c>
    </row>
    <row r="796" spans="1:37" ht="24" x14ac:dyDescent="0.3">
      <c r="A796" s="18" t="s">
        <v>2385</v>
      </c>
      <c r="B796" s="18" t="s">
        <v>107</v>
      </c>
      <c r="C796" s="19" t="s">
        <v>108</v>
      </c>
      <c r="D796" s="18" t="s">
        <v>1491</v>
      </c>
      <c r="E796" s="19" t="s">
        <v>664</v>
      </c>
      <c r="F796" s="18" t="s">
        <v>110</v>
      </c>
      <c r="G796" s="18" t="s">
        <v>111</v>
      </c>
      <c r="H796" s="19" t="s">
        <v>112</v>
      </c>
      <c r="I796" s="18" t="s">
        <v>113</v>
      </c>
      <c r="J796" s="19" t="s">
        <v>114</v>
      </c>
      <c r="K796" s="19" t="s">
        <v>115</v>
      </c>
      <c r="L796" s="18" t="s">
        <v>116</v>
      </c>
      <c r="M796" s="18" t="s">
        <v>1419</v>
      </c>
      <c r="N796" s="18" t="s">
        <v>118</v>
      </c>
      <c r="O796" s="20">
        <v>119000</v>
      </c>
      <c r="P796" s="20">
        <v>80920</v>
      </c>
      <c r="Q796" s="20">
        <v>1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32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119000</v>
      </c>
      <c r="AD796" s="20">
        <v>80920</v>
      </c>
      <c r="AE796" s="20">
        <v>0</v>
      </c>
      <c r="AF796" s="20">
        <v>0</v>
      </c>
      <c r="AG796" s="20">
        <v>119000</v>
      </c>
      <c r="AH796" s="20">
        <v>80920</v>
      </c>
      <c r="AI796" s="20">
        <v>34618</v>
      </c>
      <c r="AJ796" s="20">
        <v>3462</v>
      </c>
      <c r="AK796" s="20">
        <v>38080</v>
      </c>
    </row>
    <row r="797" spans="1:37" ht="24" x14ac:dyDescent="0.3">
      <c r="A797" s="18" t="s">
        <v>2386</v>
      </c>
      <c r="B797" s="18" t="s">
        <v>107</v>
      </c>
      <c r="C797" s="19" t="s">
        <v>108</v>
      </c>
      <c r="D797" s="18" t="s">
        <v>1493</v>
      </c>
      <c r="E797" s="19" t="s">
        <v>1184</v>
      </c>
      <c r="F797" s="18" t="s">
        <v>110</v>
      </c>
      <c r="G797" s="18" t="s">
        <v>111</v>
      </c>
      <c r="H797" s="19" t="s">
        <v>112</v>
      </c>
      <c r="I797" s="18" t="s">
        <v>113</v>
      </c>
      <c r="J797" s="19" t="s">
        <v>114</v>
      </c>
      <c r="K797" s="19" t="s">
        <v>151</v>
      </c>
      <c r="L797" s="18" t="s">
        <v>116</v>
      </c>
      <c r="M797" s="18" t="s">
        <v>1419</v>
      </c>
      <c r="N797" s="18" t="s">
        <v>118</v>
      </c>
      <c r="O797" s="20">
        <v>119000</v>
      </c>
      <c r="P797" s="20">
        <v>80920</v>
      </c>
      <c r="Q797" s="20">
        <v>1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20">
        <v>32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119000</v>
      </c>
      <c r="AD797" s="20">
        <v>80920</v>
      </c>
      <c r="AE797" s="20">
        <v>0</v>
      </c>
      <c r="AF797" s="20">
        <v>0</v>
      </c>
      <c r="AG797" s="20">
        <v>119000</v>
      </c>
      <c r="AH797" s="20">
        <v>80920</v>
      </c>
      <c r="AI797" s="20">
        <v>34618</v>
      </c>
      <c r="AJ797" s="20">
        <v>3462</v>
      </c>
      <c r="AK797" s="20">
        <v>38080</v>
      </c>
    </row>
    <row r="798" spans="1:37" ht="24" x14ac:dyDescent="0.3">
      <c r="A798" s="18" t="s">
        <v>2387</v>
      </c>
      <c r="B798" s="18" t="s">
        <v>107</v>
      </c>
      <c r="C798" s="19" t="s">
        <v>108</v>
      </c>
      <c r="D798" s="18" t="s">
        <v>1495</v>
      </c>
      <c r="E798" s="19" t="s">
        <v>1496</v>
      </c>
      <c r="F798" s="18" t="s">
        <v>110</v>
      </c>
      <c r="G798" s="18" t="s">
        <v>111</v>
      </c>
      <c r="H798" s="19" t="s">
        <v>112</v>
      </c>
      <c r="I798" s="18" t="s">
        <v>113</v>
      </c>
      <c r="J798" s="19" t="s">
        <v>114</v>
      </c>
      <c r="K798" s="19" t="s">
        <v>115</v>
      </c>
      <c r="L798" s="18" t="s">
        <v>116</v>
      </c>
      <c r="M798" s="18" t="s">
        <v>1419</v>
      </c>
      <c r="N798" s="18" t="s">
        <v>118</v>
      </c>
      <c r="O798" s="20">
        <v>119000</v>
      </c>
      <c r="P798" s="20">
        <v>80920</v>
      </c>
      <c r="Q798" s="20">
        <v>1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32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119000</v>
      </c>
      <c r="AD798" s="20">
        <v>80920</v>
      </c>
      <c r="AE798" s="20">
        <v>0</v>
      </c>
      <c r="AF798" s="20">
        <v>0</v>
      </c>
      <c r="AG798" s="20">
        <v>119000</v>
      </c>
      <c r="AH798" s="20">
        <v>80920</v>
      </c>
      <c r="AI798" s="20">
        <v>34618</v>
      </c>
      <c r="AJ798" s="20">
        <v>3462</v>
      </c>
      <c r="AK798" s="20">
        <v>38080</v>
      </c>
    </row>
    <row r="799" spans="1:37" ht="24" x14ac:dyDescent="0.3">
      <c r="A799" s="18" t="s">
        <v>2388</v>
      </c>
      <c r="B799" s="18" t="s">
        <v>107</v>
      </c>
      <c r="C799" s="19" t="s">
        <v>108</v>
      </c>
      <c r="D799" s="18" t="s">
        <v>1663</v>
      </c>
      <c r="E799" s="19" t="s">
        <v>1664</v>
      </c>
      <c r="F799" s="18" t="s">
        <v>110</v>
      </c>
      <c r="G799" s="18" t="s">
        <v>111</v>
      </c>
      <c r="H799" s="19" t="s">
        <v>112</v>
      </c>
      <c r="I799" s="18" t="s">
        <v>113</v>
      </c>
      <c r="J799" s="19" t="s">
        <v>114</v>
      </c>
      <c r="K799" s="19" t="s">
        <v>115</v>
      </c>
      <c r="L799" s="18" t="s">
        <v>116</v>
      </c>
      <c r="M799" s="18" t="s">
        <v>1419</v>
      </c>
      <c r="N799" s="18" t="s">
        <v>118</v>
      </c>
      <c r="O799" s="20">
        <v>119000</v>
      </c>
      <c r="P799" s="20">
        <v>80920</v>
      </c>
      <c r="Q799" s="20">
        <v>1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32</v>
      </c>
      <c r="X799" s="20">
        <v>20230</v>
      </c>
      <c r="Y799" s="20">
        <v>0</v>
      </c>
      <c r="Z799" s="20">
        <v>0</v>
      </c>
      <c r="AA799" s="20">
        <v>0</v>
      </c>
      <c r="AB799" s="20">
        <v>0</v>
      </c>
      <c r="AC799" s="20">
        <v>119000</v>
      </c>
      <c r="AD799" s="20">
        <v>80920</v>
      </c>
      <c r="AE799" s="20">
        <v>0</v>
      </c>
      <c r="AF799" s="20">
        <v>20230</v>
      </c>
      <c r="AG799" s="20">
        <v>98770</v>
      </c>
      <c r="AH799" s="20">
        <v>80920</v>
      </c>
      <c r="AI799" s="20">
        <v>16227</v>
      </c>
      <c r="AJ799" s="20">
        <v>1623</v>
      </c>
      <c r="AK799" s="20">
        <v>17850</v>
      </c>
    </row>
    <row r="800" spans="1:37" ht="24" x14ac:dyDescent="0.3">
      <c r="A800" s="18" t="s">
        <v>2389</v>
      </c>
      <c r="B800" s="18" t="s">
        <v>107</v>
      </c>
      <c r="C800" s="19" t="s">
        <v>108</v>
      </c>
      <c r="D800" s="18" t="s">
        <v>2390</v>
      </c>
      <c r="E800" s="19" t="s">
        <v>2391</v>
      </c>
      <c r="F800" s="18" t="s">
        <v>110</v>
      </c>
      <c r="G800" s="18" t="s">
        <v>111</v>
      </c>
      <c r="H800" s="19" t="s">
        <v>112</v>
      </c>
      <c r="I800" s="18" t="s">
        <v>113</v>
      </c>
      <c r="J800" s="19" t="s">
        <v>114</v>
      </c>
      <c r="K800" s="19" t="s">
        <v>115</v>
      </c>
      <c r="L800" s="18" t="s">
        <v>116</v>
      </c>
      <c r="M800" s="18" t="s">
        <v>1419</v>
      </c>
      <c r="N800" s="18" t="s">
        <v>118</v>
      </c>
      <c r="O800" s="20">
        <v>119000</v>
      </c>
      <c r="P800" s="20">
        <v>80920</v>
      </c>
      <c r="Q800" s="20">
        <v>1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32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119000</v>
      </c>
      <c r="AD800" s="20">
        <v>80920</v>
      </c>
      <c r="AE800" s="20">
        <v>0</v>
      </c>
      <c r="AF800" s="20">
        <v>0</v>
      </c>
      <c r="AG800" s="20">
        <v>119000</v>
      </c>
      <c r="AH800" s="20">
        <v>80920</v>
      </c>
      <c r="AI800" s="20">
        <v>34618</v>
      </c>
      <c r="AJ800" s="20">
        <v>3462</v>
      </c>
      <c r="AK800" s="20">
        <v>38080</v>
      </c>
    </row>
    <row r="801" spans="1:37" ht="24" x14ac:dyDescent="0.3">
      <c r="A801" s="18" t="s">
        <v>2392</v>
      </c>
      <c r="B801" s="18" t="s">
        <v>107</v>
      </c>
      <c r="C801" s="19" t="s">
        <v>108</v>
      </c>
      <c r="D801" s="18" t="s">
        <v>2393</v>
      </c>
      <c r="E801" s="19" t="s">
        <v>517</v>
      </c>
      <c r="F801" s="18" t="s">
        <v>110</v>
      </c>
      <c r="G801" s="18" t="s">
        <v>111</v>
      </c>
      <c r="H801" s="19" t="s">
        <v>112</v>
      </c>
      <c r="I801" s="18" t="s">
        <v>113</v>
      </c>
      <c r="J801" s="19" t="s">
        <v>114</v>
      </c>
      <c r="K801" s="19" t="s">
        <v>115</v>
      </c>
      <c r="L801" s="18" t="s">
        <v>116</v>
      </c>
      <c r="M801" s="18" t="s">
        <v>1419</v>
      </c>
      <c r="N801" s="18" t="s">
        <v>118</v>
      </c>
      <c r="O801" s="20">
        <v>119000</v>
      </c>
      <c r="P801" s="20">
        <v>80920</v>
      </c>
      <c r="Q801" s="20">
        <v>1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32</v>
      </c>
      <c r="X801" s="20">
        <v>0</v>
      </c>
      <c r="Y801" s="20">
        <v>0</v>
      </c>
      <c r="Z801" s="20">
        <v>0</v>
      </c>
      <c r="AA801" s="20">
        <v>0</v>
      </c>
      <c r="AB801" s="20">
        <v>5950</v>
      </c>
      <c r="AC801" s="20">
        <v>119000</v>
      </c>
      <c r="AD801" s="20">
        <v>80920</v>
      </c>
      <c r="AE801" s="20">
        <v>0</v>
      </c>
      <c r="AF801" s="20">
        <v>5950</v>
      </c>
      <c r="AG801" s="20">
        <v>113050</v>
      </c>
      <c r="AH801" s="20">
        <v>80920</v>
      </c>
      <c r="AI801" s="20">
        <v>29209</v>
      </c>
      <c r="AJ801" s="20">
        <v>2921</v>
      </c>
      <c r="AK801" s="20">
        <v>32130</v>
      </c>
    </row>
    <row r="802" spans="1:37" ht="24" x14ac:dyDescent="0.3">
      <c r="A802" s="18" t="s">
        <v>2394</v>
      </c>
      <c r="B802" s="18" t="s">
        <v>107</v>
      </c>
      <c r="C802" s="19" t="s">
        <v>108</v>
      </c>
      <c r="D802" s="18" t="s">
        <v>2395</v>
      </c>
      <c r="E802" s="19" t="s">
        <v>1870</v>
      </c>
      <c r="F802" s="18" t="s">
        <v>110</v>
      </c>
      <c r="G802" s="18" t="s">
        <v>111</v>
      </c>
      <c r="H802" s="19" t="s">
        <v>112</v>
      </c>
      <c r="I802" s="18" t="s">
        <v>113</v>
      </c>
      <c r="J802" s="19" t="s">
        <v>114</v>
      </c>
      <c r="K802" s="19" t="s">
        <v>115</v>
      </c>
      <c r="L802" s="18" t="s">
        <v>116</v>
      </c>
      <c r="M802" s="18" t="s">
        <v>1419</v>
      </c>
      <c r="N802" s="18" t="s">
        <v>118</v>
      </c>
      <c r="O802" s="20">
        <v>119000</v>
      </c>
      <c r="P802" s="20">
        <v>80920</v>
      </c>
      <c r="Q802" s="20">
        <v>1</v>
      </c>
      <c r="R802" s="20">
        <v>0</v>
      </c>
      <c r="S802" s="20">
        <v>0</v>
      </c>
      <c r="T802" s="20">
        <v>0</v>
      </c>
      <c r="U802" s="20">
        <v>0</v>
      </c>
      <c r="V802" s="20">
        <v>0</v>
      </c>
      <c r="W802" s="20">
        <v>32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20">
        <v>119000</v>
      </c>
      <c r="AD802" s="20">
        <v>80920</v>
      </c>
      <c r="AE802" s="20">
        <v>0</v>
      </c>
      <c r="AF802" s="20">
        <v>0</v>
      </c>
      <c r="AG802" s="20">
        <v>119000</v>
      </c>
      <c r="AH802" s="20">
        <v>80920</v>
      </c>
      <c r="AI802" s="20">
        <v>34618</v>
      </c>
      <c r="AJ802" s="20">
        <v>3462</v>
      </c>
      <c r="AK802" s="20">
        <v>38080</v>
      </c>
    </row>
    <row r="803" spans="1:37" ht="24" x14ac:dyDescent="0.3">
      <c r="A803" s="18" t="s">
        <v>2396</v>
      </c>
      <c r="B803" s="18" t="s">
        <v>107</v>
      </c>
      <c r="C803" s="19" t="s">
        <v>108</v>
      </c>
      <c r="D803" s="18" t="s">
        <v>2397</v>
      </c>
      <c r="E803" s="19" t="s">
        <v>2398</v>
      </c>
      <c r="F803" s="18" t="s">
        <v>110</v>
      </c>
      <c r="G803" s="18" t="s">
        <v>111</v>
      </c>
      <c r="H803" s="19" t="s">
        <v>112</v>
      </c>
      <c r="I803" s="18" t="s">
        <v>113</v>
      </c>
      <c r="J803" s="19" t="s">
        <v>114</v>
      </c>
      <c r="K803" s="19" t="s">
        <v>115</v>
      </c>
      <c r="L803" s="18" t="s">
        <v>116</v>
      </c>
      <c r="M803" s="18" t="s">
        <v>1419</v>
      </c>
      <c r="N803" s="18" t="s">
        <v>118</v>
      </c>
      <c r="O803" s="20">
        <v>119000</v>
      </c>
      <c r="P803" s="20">
        <v>80920</v>
      </c>
      <c r="Q803" s="20">
        <v>1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32</v>
      </c>
      <c r="X803" s="20">
        <v>0</v>
      </c>
      <c r="Y803" s="20">
        <v>0</v>
      </c>
      <c r="Z803" s="20">
        <v>0</v>
      </c>
      <c r="AA803" s="20">
        <v>0</v>
      </c>
      <c r="AB803" s="20">
        <v>0</v>
      </c>
      <c r="AC803" s="20">
        <v>119000</v>
      </c>
      <c r="AD803" s="20">
        <v>80920</v>
      </c>
      <c r="AE803" s="20">
        <v>0</v>
      </c>
      <c r="AF803" s="20">
        <v>0</v>
      </c>
      <c r="AG803" s="20">
        <v>119000</v>
      </c>
      <c r="AH803" s="20">
        <v>80920</v>
      </c>
      <c r="AI803" s="20">
        <v>34618</v>
      </c>
      <c r="AJ803" s="20">
        <v>3462</v>
      </c>
      <c r="AK803" s="20">
        <v>38080</v>
      </c>
    </row>
    <row r="804" spans="1:37" ht="24" x14ac:dyDescent="0.3">
      <c r="A804" s="18" t="s">
        <v>2399</v>
      </c>
      <c r="B804" s="18" t="s">
        <v>107</v>
      </c>
      <c r="C804" s="19" t="s">
        <v>108</v>
      </c>
      <c r="D804" s="18" t="s">
        <v>2400</v>
      </c>
      <c r="E804" s="19" t="s">
        <v>2401</v>
      </c>
      <c r="F804" s="18" t="s">
        <v>110</v>
      </c>
      <c r="G804" s="18" t="s">
        <v>111</v>
      </c>
      <c r="H804" s="19" t="s">
        <v>112</v>
      </c>
      <c r="I804" s="18" t="s">
        <v>113</v>
      </c>
      <c r="J804" s="19" t="s">
        <v>114</v>
      </c>
      <c r="K804" s="19" t="s">
        <v>115</v>
      </c>
      <c r="L804" s="18" t="s">
        <v>116</v>
      </c>
      <c r="M804" s="18" t="s">
        <v>1419</v>
      </c>
      <c r="N804" s="18" t="s">
        <v>118</v>
      </c>
      <c r="O804" s="20">
        <v>119000</v>
      </c>
      <c r="P804" s="20">
        <v>80920</v>
      </c>
      <c r="Q804" s="20">
        <v>1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32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119000</v>
      </c>
      <c r="AD804" s="20">
        <v>80920</v>
      </c>
      <c r="AE804" s="20">
        <v>0</v>
      </c>
      <c r="AF804" s="20">
        <v>0</v>
      </c>
      <c r="AG804" s="20">
        <v>119000</v>
      </c>
      <c r="AH804" s="20">
        <v>80920</v>
      </c>
      <c r="AI804" s="20">
        <v>34618</v>
      </c>
      <c r="AJ804" s="20">
        <v>3462</v>
      </c>
      <c r="AK804" s="20">
        <v>38080</v>
      </c>
    </row>
    <row r="805" spans="1:37" ht="24" x14ac:dyDescent="0.3">
      <c r="A805" s="18" t="s">
        <v>2402</v>
      </c>
      <c r="B805" s="18" t="s">
        <v>107</v>
      </c>
      <c r="C805" s="19" t="s">
        <v>108</v>
      </c>
      <c r="D805" s="18" t="s">
        <v>2403</v>
      </c>
      <c r="E805" s="19" t="s">
        <v>217</v>
      </c>
      <c r="F805" s="18" t="s">
        <v>110</v>
      </c>
      <c r="G805" s="18" t="s">
        <v>111</v>
      </c>
      <c r="H805" s="19" t="s">
        <v>112</v>
      </c>
      <c r="I805" s="18" t="s">
        <v>113</v>
      </c>
      <c r="J805" s="19" t="s">
        <v>114</v>
      </c>
      <c r="K805" s="19" t="s">
        <v>115</v>
      </c>
      <c r="L805" s="18" t="s">
        <v>116</v>
      </c>
      <c r="M805" s="18" t="s">
        <v>1419</v>
      </c>
      <c r="N805" s="18" t="s">
        <v>118</v>
      </c>
      <c r="O805" s="20">
        <v>119000</v>
      </c>
      <c r="P805" s="20">
        <v>80920</v>
      </c>
      <c r="Q805" s="20">
        <v>1</v>
      </c>
      <c r="R805" s="20">
        <v>0</v>
      </c>
      <c r="S805" s="20">
        <v>0</v>
      </c>
      <c r="T805" s="20">
        <v>0</v>
      </c>
      <c r="U805" s="20">
        <v>0</v>
      </c>
      <c r="V805" s="20">
        <v>0</v>
      </c>
      <c r="W805" s="20">
        <v>32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119000</v>
      </c>
      <c r="AD805" s="20">
        <v>80920</v>
      </c>
      <c r="AE805" s="20">
        <v>0</v>
      </c>
      <c r="AF805" s="20">
        <v>0</v>
      </c>
      <c r="AG805" s="20">
        <v>119000</v>
      </c>
      <c r="AH805" s="20">
        <v>80920</v>
      </c>
      <c r="AI805" s="20">
        <v>34618</v>
      </c>
      <c r="AJ805" s="20">
        <v>3462</v>
      </c>
      <c r="AK805" s="20">
        <v>38080</v>
      </c>
    </row>
    <row r="806" spans="1:37" ht="24" x14ac:dyDescent="0.3">
      <c r="A806" s="18" t="s">
        <v>2404</v>
      </c>
      <c r="B806" s="18" t="s">
        <v>107</v>
      </c>
      <c r="C806" s="19" t="s">
        <v>108</v>
      </c>
      <c r="D806" s="18" t="s">
        <v>2405</v>
      </c>
      <c r="E806" s="19" t="s">
        <v>235</v>
      </c>
      <c r="F806" s="18" t="s">
        <v>110</v>
      </c>
      <c r="G806" s="18" t="s">
        <v>111</v>
      </c>
      <c r="H806" s="19" t="s">
        <v>112</v>
      </c>
      <c r="I806" s="18" t="s">
        <v>113</v>
      </c>
      <c r="J806" s="19" t="s">
        <v>114</v>
      </c>
      <c r="K806" s="19" t="s">
        <v>115</v>
      </c>
      <c r="L806" s="18" t="s">
        <v>116</v>
      </c>
      <c r="M806" s="18" t="s">
        <v>1419</v>
      </c>
      <c r="N806" s="18" t="s">
        <v>118</v>
      </c>
      <c r="O806" s="20">
        <v>119000</v>
      </c>
      <c r="P806" s="20">
        <v>80920</v>
      </c>
      <c r="Q806" s="20">
        <v>1</v>
      </c>
      <c r="R806" s="20">
        <v>0</v>
      </c>
      <c r="S806" s="20">
        <v>0</v>
      </c>
      <c r="T806" s="20">
        <v>0</v>
      </c>
      <c r="U806" s="20">
        <v>0</v>
      </c>
      <c r="V806" s="20">
        <v>0</v>
      </c>
      <c r="W806" s="20">
        <v>32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119000</v>
      </c>
      <c r="AD806" s="20">
        <v>80920</v>
      </c>
      <c r="AE806" s="20">
        <v>0</v>
      </c>
      <c r="AF806" s="20">
        <v>0</v>
      </c>
      <c r="AG806" s="20">
        <v>119000</v>
      </c>
      <c r="AH806" s="20">
        <v>80920</v>
      </c>
      <c r="AI806" s="20">
        <v>34618</v>
      </c>
      <c r="AJ806" s="20">
        <v>3462</v>
      </c>
      <c r="AK806" s="20">
        <v>38080</v>
      </c>
    </row>
    <row r="807" spans="1:37" ht="24" x14ac:dyDescent="0.3">
      <c r="A807" s="18" t="s">
        <v>2406</v>
      </c>
      <c r="B807" s="18" t="s">
        <v>107</v>
      </c>
      <c r="C807" s="19" t="s">
        <v>108</v>
      </c>
      <c r="D807" s="18" t="s">
        <v>2407</v>
      </c>
      <c r="E807" s="19" t="s">
        <v>496</v>
      </c>
      <c r="F807" s="18" t="s">
        <v>110</v>
      </c>
      <c r="G807" s="18" t="s">
        <v>111</v>
      </c>
      <c r="H807" s="19" t="s">
        <v>112</v>
      </c>
      <c r="I807" s="18" t="s">
        <v>113</v>
      </c>
      <c r="J807" s="19" t="s">
        <v>114</v>
      </c>
      <c r="K807" s="19" t="s">
        <v>115</v>
      </c>
      <c r="L807" s="18" t="s">
        <v>116</v>
      </c>
      <c r="M807" s="18" t="s">
        <v>1419</v>
      </c>
      <c r="N807" s="18" t="s">
        <v>118</v>
      </c>
      <c r="O807" s="20">
        <v>119000</v>
      </c>
      <c r="P807" s="20">
        <v>80920</v>
      </c>
      <c r="Q807" s="20">
        <v>1</v>
      </c>
      <c r="R807" s="20">
        <v>0</v>
      </c>
      <c r="S807" s="20">
        <v>0</v>
      </c>
      <c r="T807" s="20">
        <v>0</v>
      </c>
      <c r="U807" s="20">
        <v>0</v>
      </c>
      <c r="V807" s="20">
        <v>0</v>
      </c>
      <c r="W807" s="20">
        <v>32</v>
      </c>
      <c r="X807" s="20">
        <v>0</v>
      </c>
      <c r="Y807" s="20">
        <v>0</v>
      </c>
      <c r="Z807" s="20">
        <v>0</v>
      </c>
      <c r="AA807" s="20">
        <v>0</v>
      </c>
      <c r="AB807" s="20">
        <v>5950</v>
      </c>
      <c r="AC807" s="20">
        <v>119000</v>
      </c>
      <c r="AD807" s="20">
        <v>80920</v>
      </c>
      <c r="AE807" s="20">
        <v>0</v>
      </c>
      <c r="AF807" s="20">
        <v>5950</v>
      </c>
      <c r="AG807" s="20">
        <v>113050</v>
      </c>
      <c r="AH807" s="20">
        <v>80920</v>
      </c>
      <c r="AI807" s="20">
        <v>29209</v>
      </c>
      <c r="AJ807" s="20">
        <v>2921</v>
      </c>
      <c r="AK807" s="20">
        <v>32130</v>
      </c>
    </row>
    <row r="808" spans="1:37" ht="24" x14ac:dyDescent="0.3">
      <c r="A808" s="18" t="s">
        <v>2408</v>
      </c>
      <c r="B808" s="18" t="s">
        <v>107</v>
      </c>
      <c r="C808" s="19" t="s">
        <v>108</v>
      </c>
      <c r="D808" s="18" t="s">
        <v>2409</v>
      </c>
      <c r="E808" s="19" t="s">
        <v>169</v>
      </c>
      <c r="F808" s="18" t="s">
        <v>110</v>
      </c>
      <c r="G808" s="18" t="s">
        <v>111</v>
      </c>
      <c r="H808" s="19" t="s">
        <v>112</v>
      </c>
      <c r="I808" s="18" t="s">
        <v>113</v>
      </c>
      <c r="J808" s="19" t="s">
        <v>114</v>
      </c>
      <c r="K808" s="19" t="s">
        <v>115</v>
      </c>
      <c r="L808" s="18" t="s">
        <v>116</v>
      </c>
      <c r="M808" s="18" t="s">
        <v>1419</v>
      </c>
      <c r="N808" s="18" t="s">
        <v>118</v>
      </c>
      <c r="O808" s="20">
        <v>119000</v>
      </c>
      <c r="P808" s="20">
        <v>80920</v>
      </c>
      <c r="Q808" s="20">
        <v>1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32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119000</v>
      </c>
      <c r="AD808" s="20">
        <v>80920</v>
      </c>
      <c r="AE808" s="20">
        <v>0</v>
      </c>
      <c r="AF808" s="20">
        <v>0</v>
      </c>
      <c r="AG808" s="20">
        <v>119000</v>
      </c>
      <c r="AH808" s="20">
        <v>80920</v>
      </c>
      <c r="AI808" s="20">
        <v>34618</v>
      </c>
      <c r="AJ808" s="20">
        <v>3462</v>
      </c>
      <c r="AK808" s="20">
        <v>38080</v>
      </c>
    </row>
    <row r="809" spans="1:37" ht="24" x14ac:dyDescent="0.3">
      <c r="A809" s="18" t="s">
        <v>2410</v>
      </c>
      <c r="B809" s="18" t="s">
        <v>107</v>
      </c>
      <c r="C809" s="19" t="s">
        <v>108</v>
      </c>
      <c r="D809" s="18" t="s">
        <v>2411</v>
      </c>
      <c r="E809" s="19" t="s">
        <v>411</v>
      </c>
      <c r="F809" s="18" t="s">
        <v>110</v>
      </c>
      <c r="G809" s="18" t="s">
        <v>111</v>
      </c>
      <c r="H809" s="19" t="s">
        <v>112</v>
      </c>
      <c r="I809" s="18" t="s">
        <v>113</v>
      </c>
      <c r="J809" s="19" t="s">
        <v>114</v>
      </c>
      <c r="K809" s="19" t="s">
        <v>115</v>
      </c>
      <c r="L809" s="18" t="s">
        <v>116</v>
      </c>
      <c r="M809" s="18" t="s">
        <v>1419</v>
      </c>
      <c r="N809" s="18" t="s">
        <v>118</v>
      </c>
      <c r="O809" s="20">
        <v>119000</v>
      </c>
      <c r="P809" s="20">
        <v>80920</v>
      </c>
      <c r="Q809" s="20">
        <v>1</v>
      </c>
      <c r="R809" s="20">
        <v>0</v>
      </c>
      <c r="S809" s="20">
        <v>0</v>
      </c>
      <c r="T809" s="20">
        <v>0</v>
      </c>
      <c r="U809" s="20">
        <v>0</v>
      </c>
      <c r="V809" s="20">
        <v>0</v>
      </c>
      <c r="W809" s="20">
        <v>32</v>
      </c>
      <c r="X809" s="20">
        <v>0</v>
      </c>
      <c r="Y809" s="20">
        <v>0</v>
      </c>
      <c r="Z809" s="20">
        <v>0</v>
      </c>
      <c r="AA809" s="20">
        <v>0</v>
      </c>
      <c r="AB809" s="20">
        <v>0</v>
      </c>
      <c r="AC809" s="20">
        <v>119000</v>
      </c>
      <c r="AD809" s="20">
        <v>80920</v>
      </c>
      <c r="AE809" s="20">
        <v>0</v>
      </c>
      <c r="AF809" s="20">
        <v>0</v>
      </c>
      <c r="AG809" s="20">
        <v>119000</v>
      </c>
      <c r="AH809" s="20">
        <v>80920</v>
      </c>
      <c r="AI809" s="20">
        <v>34618</v>
      </c>
      <c r="AJ809" s="20">
        <v>3462</v>
      </c>
      <c r="AK809" s="20">
        <v>38080</v>
      </c>
    </row>
    <row r="810" spans="1:37" ht="24" x14ac:dyDescent="0.3">
      <c r="A810" s="18" t="s">
        <v>2412</v>
      </c>
      <c r="B810" s="18" t="s">
        <v>107</v>
      </c>
      <c r="C810" s="19" t="s">
        <v>108</v>
      </c>
      <c r="D810" s="18" t="s">
        <v>2413</v>
      </c>
      <c r="E810" s="19" t="s">
        <v>2414</v>
      </c>
      <c r="F810" s="18" t="s">
        <v>110</v>
      </c>
      <c r="G810" s="18" t="s">
        <v>111</v>
      </c>
      <c r="H810" s="19" t="s">
        <v>112</v>
      </c>
      <c r="I810" s="18" t="s">
        <v>113</v>
      </c>
      <c r="J810" s="19" t="s">
        <v>114</v>
      </c>
      <c r="K810" s="19" t="s">
        <v>115</v>
      </c>
      <c r="L810" s="18" t="s">
        <v>116</v>
      </c>
      <c r="M810" s="18" t="s">
        <v>1419</v>
      </c>
      <c r="N810" s="18" t="s">
        <v>118</v>
      </c>
      <c r="O810" s="20">
        <v>119000</v>
      </c>
      <c r="P810" s="20">
        <v>80920</v>
      </c>
      <c r="Q810" s="20">
        <v>1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32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119000</v>
      </c>
      <c r="AD810" s="20">
        <v>80920</v>
      </c>
      <c r="AE810" s="20">
        <v>0</v>
      </c>
      <c r="AF810" s="20">
        <v>0</v>
      </c>
      <c r="AG810" s="20">
        <v>119000</v>
      </c>
      <c r="AH810" s="20">
        <v>80920</v>
      </c>
      <c r="AI810" s="20">
        <v>34618</v>
      </c>
      <c r="AJ810" s="20">
        <v>3462</v>
      </c>
      <c r="AK810" s="20">
        <v>38080</v>
      </c>
    </row>
    <row r="811" spans="1:37" ht="24" x14ac:dyDescent="0.3">
      <c r="A811" s="18" t="s">
        <v>2415</v>
      </c>
      <c r="B811" s="18" t="s">
        <v>107</v>
      </c>
      <c r="C811" s="19" t="s">
        <v>108</v>
      </c>
      <c r="D811" s="18" t="s">
        <v>2416</v>
      </c>
      <c r="E811" s="19" t="s">
        <v>773</v>
      </c>
      <c r="F811" s="18" t="s">
        <v>110</v>
      </c>
      <c r="G811" s="18" t="s">
        <v>111</v>
      </c>
      <c r="H811" s="19" t="s">
        <v>112</v>
      </c>
      <c r="I811" s="18" t="s">
        <v>113</v>
      </c>
      <c r="J811" s="19" t="s">
        <v>114</v>
      </c>
      <c r="K811" s="19" t="s">
        <v>123</v>
      </c>
      <c r="L811" s="18" t="s">
        <v>116</v>
      </c>
      <c r="M811" s="18" t="s">
        <v>1419</v>
      </c>
      <c r="N811" s="18" t="s">
        <v>118</v>
      </c>
      <c r="O811" s="20">
        <v>119000</v>
      </c>
      <c r="P811" s="20">
        <v>80920</v>
      </c>
      <c r="Q811" s="20">
        <v>1</v>
      </c>
      <c r="R811" s="20">
        <v>0</v>
      </c>
      <c r="S811" s="20">
        <v>0</v>
      </c>
      <c r="T811" s="20">
        <v>0</v>
      </c>
      <c r="U811" s="20">
        <v>0</v>
      </c>
      <c r="V811" s="20">
        <v>0</v>
      </c>
      <c r="W811" s="20">
        <v>32</v>
      </c>
      <c r="X811" s="20">
        <v>0</v>
      </c>
      <c r="Y811" s="20">
        <v>5950</v>
      </c>
      <c r="Z811" s="20">
        <v>0</v>
      </c>
      <c r="AA811" s="20">
        <v>0</v>
      </c>
      <c r="AB811" s="20">
        <v>0</v>
      </c>
      <c r="AC811" s="20">
        <v>119000</v>
      </c>
      <c r="AD811" s="20">
        <v>80920</v>
      </c>
      <c r="AE811" s="20">
        <v>0</v>
      </c>
      <c r="AF811" s="20">
        <v>5950</v>
      </c>
      <c r="AG811" s="20">
        <v>113050</v>
      </c>
      <c r="AH811" s="20">
        <v>80920</v>
      </c>
      <c r="AI811" s="20">
        <v>29209</v>
      </c>
      <c r="AJ811" s="20">
        <v>2921</v>
      </c>
      <c r="AK811" s="20">
        <v>32130</v>
      </c>
    </row>
    <row r="812" spans="1:37" ht="24" x14ac:dyDescent="0.3">
      <c r="A812" s="18" t="s">
        <v>2417</v>
      </c>
      <c r="B812" s="18" t="s">
        <v>107</v>
      </c>
      <c r="C812" s="19" t="s">
        <v>108</v>
      </c>
      <c r="D812" s="18" t="s">
        <v>2418</v>
      </c>
      <c r="E812" s="19" t="s">
        <v>217</v>
      </c>
      <c r="F812" s="18" t="s">
        <v>110</v>
      </c>
      <c r="G812" s="18" t="s">
        <v>111</v>
      </c>
      <c r="H812" s="19" t="s">
        <v>112</v>
      </c>
      <c r="I812" s="18" t="s">
        <v>113</v>
      </c>
      <c r="J812" s="19" t="s">
        <v>114</v>
      </c>
      <c r="K812" s="19" t="s">
        <v>115</v>
      </c>
      <c r="L812" s="18" t="s">
        <v>116</v>
      </c>
      <c r="M812" s="18" t="s">
        <v>1419</v>
      </c>
      <c r="N812" s="18" t="s">
        <v>118</v>
      </c>
      <c r="O812" s="20">
        <v>119000</v>
      </c>
      <c r="P812" s="20">
        <v>80920</v>
      </c>
      <c r="Q812" s="20">
        <v>1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32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119000</v>
      </c>
      <c r="AD812" s="20">
        <v>80920</v>
      </c>
      <c r="AE812" s="20">
        <v>0</v>
      </c>
      <c r="AF812" s="20">
        <v>0</v>
      </c>
      <c r="AG812" s="20">
        <v>119000</v>
      </c>
      <c r="AH812" s="20">
        <v>80920</v>
      </c>
      <c r="AI812" s="20">
        <v>34618</v>
      </c>
      <c r="AJ812" s="20">
        <v>3462</v>
      </c>
      <c r="AK812" s="20">
        <v>38080</v>
      </c>
    </row>
    <row r="813" spans="1:37" ht="24" x14ac:dyDescent="0.3">
      <c r="A813" s="18" t="s">
        <v>2419</v>
      </c>
      <c r="B813" s="18" t="s">
        <v>107</v>
      </c>
      <c r="C813" s="19" t="s">
        <v>108</v>
      </c>
      <c r="D813" s="18" t="s">
        <v>2420</v>
      </c>
      <c r="E813" s="19" t="s">
        <v>2179</v>
      </c>
      <c r="F813" s="18" t="s">
        <v>110</v>
      </c>
      <c r="G813" s="18" t="s">
        <v>111</v>
      </c>
      <c r="H813" s="19" t="s">
        <v>112</v>
      </c>
      <c r="I813" s="18" t="s">
        <v>113</v>
      </c>
      <c r="J813" s="19" t="s">
        <v>114</v>
      </c>
      <c r="K813" s="19" t="s">
        <v>115</v>
      </c>
      <c r="L813" s="18" t="s">
        <v>116</v>
      </c>
      <c r="M813" s="18" t="s">
        <v>1419</v>
      </c>
      <c r="N813" s="18" t="s">
        <v>118</v>
      </c>
      <c r="O813" s="20">
        <v>119000</v>
      </c>
      <c r="P813" s="20">
        <v>80920</v>
      </c>
      <c r="Q813" s="20">
        <v>1</v>
      </c>
      <c r="R813" s="20">
        <v>0</v>
      </c>
      <c r="S813" s="20">
        <v>0</v>
      </c>
      <c r="T813" s="20">
        <v>0</v>
      </c>
      <c r="U813" s="20">
        <v>0</v>
      </c>
      <c r="V813" s="20">
        <v>0</v>
      </c>
      <c r="W813" s="20">
        <v>32</v>
      </c>
      <c r="X813" s="20">
        <v>0</v>
      </c>
      <c r="Y813" s="20">
        <v>0</v>
      </c>
      <c r="Z813" s="20">
        <v>0</v>
      </c>
      <c r="AA813" s="20">
        <v>0</v>
      </c>
      <c r="AB813" s="20">
        <v>0</v>
      </c>
      <c r="AC813" s="20">
        <v>119000</v>
      </c>
      <c r="AD813" s="20">
        <v>80920</v>
      </c>
      <c r="AE813" s="20">
        <v>0</v>
      </c>
      <c r="AF813" s="20">
        <v>0</v>
      </c>
      <c r="AG813" s="20">
        <v>119000</v>
      </c>
      <c r="AH813" s="20">
        <v>80920</v>
      </c>
      <c r="AI813" s="20">
        <v>34618</v>
      </c>
      <c r="AJ813" s="20">
        <v>3462</v>
      </c>
      <c r="AK813" s="20">
        <v>38080</v>
      </c>
    </row>
    <row r="814" spans="1:37" ht="24" x14ac:dyDescent="0.3">
      <c r="A814" s="18" t="s">
        <v>2421</v>
      </c>
      <c r="B814" s="18" t="s">
        <v>107</v>
      </c>
      <c r="C814" s="19" t="s">
        <v>108</v>
      </c>
      <c r="D814" s="18" t="s">
        <v>2422</v>
      </c>
      <c r="E814" s="19" t="s">
        <v>2423</v>
      </c>
      <c r="F814" s="18" t="s">
        <v>110</v>
      </c>
      <c r="G814" s="18" t="s">
        <v>111</v>
      </c>
      <c r="H814" s="19" t="s">
        <v>112</v>
      </c>
      <c r="I814" s="18" t="s">
        <v>113</v>
      </c>
      <c r="J814" s="19" t="s">
        <v>114</v>
      </c>
      <c r="K814" s="19" t="s">
        <v>151</v>
      </c>
      <c r="L814" s="18" t="s">
        <v>116</v>
      </c>
      <c r="M814" s="18" t="s">
        <v>1419</v>
      </c>
      <c r="N814" s="18" t="s">
        <v>118</v>
      </c>
      <c r="O814" s="20">
        <v>119000</v>
      </c>
      <c r="P814" s="20">
        <v>80920</v>
      </c>
      <c r="Q814" s="20">
        <v>1</v>
      </c>
      <c r="R814" s="20">
        <v>0</v>
      </c>
      <c r="S814" s="20">
        <v>0</v>
      </c>
      <c r="T814" s="20">
        <v>0</v>
      </c>
      <c r="U814" s="20">
        <v>0</v>
      </c>
      <c r="V814" s="20">
        <v>0</v>
      </c>
      <c r="W814" s="20">
        <v>32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119000</v>
      </c>
      <c r="AD814" s="20">
        <v>80920</v>
      </c>
      <c r="AE814" s="20">
        <v>0</v>
      </c>
      <c r="AF814" s="20">
        <v>0</v>
      </c>
      <c r="AG814" s="20">
        <v>119000</v>
      </c>
      <c r="AH814" s="20">
        <v>80920</v>
      </c>
      <c r="AI814" s="20">
        <v>34618</v>
      </c>
      <c r="AJ814" s="20">
        <v>3462</v>
      </c>
      <c r="AK814" s="20">
        <v>38080</v>
      </c>
    </row>
    <row r="815" spans="1:37" ht="24" x14ac:dyDescent="0.3">
      <c r="A815" s="18" t="s">
        <v>2424</v>
      </c>
      <c r="B815" s="18" t="s">
        <v>107</v>
      </c>
      <c r="C815" s="19" t="s">
        <v>108</v>
      </c>
      <c r="D815" s="18" t="s">
        <v>2425</v>
      </c>
      <c r="E815" s="19" t="s">
        <v>181</v>
      </c>
      <c r="F815" s="18" t="s">
        <v>110</v>
      </c>
      <c r="G815" s="18" t="s">
        <v>111</v>
      </c>
      <c r="H815" s="19" t="s">
        <v>112</v>
      </c>
      <c r="I815" s="18" t="s">
        <v>113</v>
      </c>
      <c r="J815" s="19" t="s">
        <v>114</v>
      </c>
      <c r="K815" s="19" t="s">
        <v>115</v>
      </c>
      <c r="L815" s="18" t="s">
        <v>116</v>
      </c>
      <c r="M815" s="18" t="s">
        <v>1419</v>
      </c>
      <c r="N815" s="18" t="s">
        <v>118</v>
      </c>
      <c r="O815" s="20">
        <v>119000</v>
      </c>
      <c r="P815" s="20">
        <v>80920</v>
      </c>
      <c r="Q815" s="20">
        <v>1</v>
      </c>
      <c r="R815" s="20">
        <v>0</v>
      </c>
      <c r="S815" s="20">
        <v>0</v>
      </c>
      <c r="T815" s="20">
        <v>0</v>
      </c>
      <c r="U815" s="20">
        <v>0</v>
      </c>
      <c r="V815" s="20">
        <v>0</v>
      </c>
      <c r="W815" s="20">
        <v>32</v>
      </c>
      <c r="X815" s="20">
        <v>0</v>
      </c>
      <c r="Y815" s="20">
        <v>0</v>
      </c>
      <c r="Z815" s="20">
        <v>0</v>
      </c>
      <c r="AA815" s="20">
        <v>0</v>
      </c>
      <c r="AB815" s="20">
        <v>5950</v>
      </c>
      <c r="AC815" s="20">
        <v>119000</v>
      </c>
      <c r="AD815" s="20">
        <v>80920</v>
      </c>
      <c r="AE815" s="20">
        <v>0</v>
      </c>
      <c r="AF815" s="20">
        <v>5950</v>
      </c>
      <c r="AG815" s="20">
        <v>113050</v>
      </c>
      <c r="AH815" s="20">
        <v>80920</v>
      </c>
      <c r="AI815" s="20">
        <v>29209</v>
      </c>
      <c r="AJ815" s="20">
        <v>2921</v>
      </c>
      <c r="AK815" s="20">
        <v>32130</v>
      </c>
    </row>
    <row r="816" spans="1:37" ht="24" x14ac:dyDescent="0.3">
      <c r="A816" s="18" t="s">
        <v>2426</v>
      </c>
      <c r="B816" s="18" t="s">
        <v>107</v>
      </c>
      <c r="C816" s="19" t="s">
        <v>108</v>
      </c>
      <c r="D816" s="18" t="s">
        <v>1515</v>
      </c>
      <c r="E816" s="19" t="s">
        <v>1516</v>
      </c>
      <c r="F816" s="18" t="s">
        <v>110</v>
      </c>
      <c r="G816" s="18" t="s">
        <v>111</v>
      </c>
      <c r="H816" s="19" t="s">
        <v>112</v>
      </c>
      <c r="I816" s="18" t="s">
        <v>113</v>
      </c>
      <c r="J816" s="19" t="s">
        <v>114</v>
      </c>
      <c r="K816" s="19" t="s">
        <v>115</v>
      </c>
      <c r="L816" s="18" t="s">
        <v>116</v>
      </c>
      <c r="M816" s="18" t="s">
        <v>1419</v>
      </c>
      <c r="N816" s="18" t="s">
        <v>118</v>
      </c>
      <c r="O816" s="20">
        <v>119000</v>
      </c>
      <c r="P816" s="20">
        <v>80920</v>
      </c>
      <c r="Q816" s="20">
        <v>1</v>
      </c>
      <c r="R816" s="20">
        <v>0</v>
      </c>
      <c r="S816" s="20">
        <v>0</v>
      </c>
      <c r="T816" s="20">
        <v>0</v>
      </c>
      <c r="U816" s="20">
        <v>0</v>
      </c>
      <c r="V816" s="20">
        <v>0</v>
      </c>
      <c r="W816" s="20">
        <v>32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119000</v>
      </c>
      <c r="AD816" s="20">
        <v>80920</v>
      </c>
      <c r="AE816" s="20">
        <v>0</v>
      </c>
      <c r="AF816" s="20">
        <v>0</v>
      </c>
      <c r="AG816" s="20">
        <v>119000</v>
      </c>
      <c r="AH816" s="20">
        <v>80920</v>
      </c>
      <c r="AI816" s="20">
        <v>34618</v>
      </c>
      <c r="AJ816" s="20">
        <v>3462</v>
      </c>
      <c r="AK816" s="20">
        <v>38080</v>
      </c>
    </row>
    <row r="817" spans="1:37" ht="24" x14ac:dyDescent="0.3">
      <c r="A817" s="18" t="s">
        <v>2427</v>
      </c>
      <c r="B817" s="18" t="s">
        <v>107</v>
      </c>
      <c r="C817" s="19" t="s">
        <v>108</v>
      </c>
      <c r="D817" s="18" t="s">
        <v>1557</v>
      </c>
      <c r="E817" s="19" t="s">
        <v>1312</v>
      </c>
      <c r="F817" s="18" t="s">
        <v>110</v>
      </c>
      <c r="G817" s="18" t="s">
        <v>111</v>
      </c>
      <c r="H817" s="19" t="s">
        <v>112</v>
      </c>
      <c r="I817" s="18" t="s">
        <v>113</v>
      </c>
      <c r="J817" s="19" t="s">
        <v>114</v>
      </c>
      <c r="K817" s="19" t="s">
        <v>115</v>
      </c>
      <c r="L817" s="18" t="s">
        <v>116</v>
      </c>
      <c r="M817" s="18" t="s">
        <v>1419</v>
      </c>
      <c r="N817" s="18" t="s">
        <v>118</v>
      </c>
      <c r="O817" s="20">
        <v>119000</v>
      </c>
      <c r="P817" s="20">
        <v>80920</v>
      </c>
      <c r="Q817" s="20">
        <v>1</v>
      </c>
      <c r="R817" s="20">
        <v>0</v>
      </c>
      <c r="S817" s="20">
        <v>0</v>
      </c>
      <c r="T817" s="20">
        <v>0</v>
      </c>
      <c r="U817" s="20">
        <v>0</v>
      </c>
      <c r="V817" s="20">
        <v>0</v>
      </c>
      <c r="W817" s="20">
        <v>32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119000</v>
      </c>
      <c r="AD817" s="20">
        <v>80920</v>
      </c>
      <c r="AE817" s="20">
        <v>0</v>
      </c>
      <c r="AF817" s="20">
        <v>0</v>
      </c>
      <c r="AG817" s="20">
        <v>119000</v>
      </c>
      <c r="AH817" s="20">
        <v>80920</v>
      </c>
      <c r="AI817" s="20">
        <v>34618</v>
      </c>
      <c r="AJ817" s="20">
        <v>3462</v>
      </c>
      <c r="AK817" s="20">
        <v>38080</v>
      </c>
    </row>
    <row r="818" spans="1:37" ht="24" x14ac:dyDescent="0.3">
      <c r="A818" s="18" t="s">
        <v>2428</v>
      </c>
      <c r="B818" s="18" t="s">
        <v>107</v>
      </c>
      <c r="C818" s="19" t="s">
        <v>108</v>
      </c>
      <c r="D818" s="18" t="s">
        <v>1621</v>
      </c>
      <c r="E818" s="19" t="s">
        <v>773</v>
      </c>
      <c r="F818" s="18" t="s">
        <v>110</v>
      </c>
      <c r="G818" s="18" t="s">
        <v>111</v>
      </c>
      <c r="H818" s="19" t="s">
        <v>112</v>
      </c>
      <c r="I818" s="18" t="s">
        <v>113</v>
      </c>
      <c r="J818" s="19" t="s">
        <v>114</v>
      </c>
      <c r="K818" s="19" t="s">
        <v>115</v>
      </c>
      <c r="L818" s="18" t="s">
        <v>116</v>
      </c>
      <c r="M818" s="18" t="s">
        <v>1419</v>
      </c>
      <c r="N818" s="18" t="s">
        <v>118</v>
      </c>
      <c r="O818" s="20">
        <v>119000</v>
      </c>
      <c r="P818" s="20">
        <v>80920</v>
      </c>
      <c r="Q818" s="20">
        <v>1</v>
      </c>
      <c r="R818" s="20">
        <v>0</v>
      </c>
      <c r="S818" s="20">
        <v>0</v>
      </c>
      <c r="T818" s="20">
        <v>0</v>
      </c>
      <c r="U818" s="20">
        <v>0</v>
      </c>
      <c r="V818" s="20">
        <v>0</v>
      </c>
      <c r="W818" s="20">
        <v>32</v>
      </c>
      <c r="X818" s="20">
        <v>0</v>
      </c>
      <c r="Y818" s="20">
        <v>0</v>
      </c>
      <c r="Z818" s="20">
        <v>0</v>
      </c>
      <c r="AA818" s="20">
        <v>0</v>
      </c>
      <c r="AB818" s="20">
        <v>0</v>
      </c>
      <c r="AC818" s="20">
        <v>119000</v>
      </c>
      <c r="AD818" s="20">
        <v>80920</v>
      </c>
      <c r="AE818" s="20">
        <v>0</v>
      </c>
      <c r="AF818" s="20">
        <v>0</v>
      </c>
      <c r="AG818" s="20">
        <v>119000</v>
      </c>
      <c r="AH818" s="20">
        <v>80920</v>
      </c>
      <c r="AI818" s="20">
        <v>34618</v>
      </c>
      <c r="AJ818" s="20">
        <v>3462</v>
      </c>
      <c r="AK818" s="20">
        <v>38080</v>
      </c>
    </row>
    <row r="819" spans="1:37" ht="24" x14ac:dyDescent="0.3">
      <c r="A819" s="18" t="s">
        <v>2429</v>
      </c>
      <c r="B819" s="18" t="s">
        <v>107</v>
      </c>
      <c r="C819" s="19" t="s">
        <v>108</v>
      </c>
      <c r="D819" s="18" t="s">
        <v>1522</v>
      </c>
      <c r="E819" s="19" t="s">
        <v>401</v>
      </c>
      <c r="F819" s="18" t="s">
        <v>110</v>
      </c>
      <c r="G819" s="18" t="s">
        <v>111</v>
      </c>
      <c r="H819" s="19" t="s">
        <v>112</v>
      </c>
      <c r="I819" s="18" t="s">
        <v>113</v>
      </c>
      <c r="J819" s="19" t="s">
        <v>114</v>
      </c>
      <c r="K819" s="19" t="s">
        <v>115</v>
      </c>
      <c r="L819" s="18" t="s">
        <v>116</v>
      </c>
      <c r="M819" s="18" t="s">
        <v>1419</v>
      </c>
      <c r="N819" s="18" t="s">
        <v>118</v>
      </c>
      <c r="O819" s="20">
        <v>119000</v>
      </c>
      <c r="P819" s="20">
        <v>80920</v>
      </c>
      <c r="Q819" s="20">
        <v>1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32</v>
      </c>
      <c r="X819" s="20">
        <v>0</v>
      </c>
      <c r="Y819" s="20">
        <v>0</v>
      </c>
      <c r="Z819" s="20">
        <v>0</v>
      </c>
      <c r="AA819" s="20">
        <v>0</v>
      </c>
      <c r="AB819" s="20">
        <v>0</v>
      </c>
      <c r="AC819" s="20">
        <v>119000</v>
      </c>
      <c r="AD819" s="20">
        <v>80920</v>
      </c>
      <c r="AE819" s="20">
        <v>0</v>
      </c>
      <c r="AF819" s="20">
        <v>0</v>
      </c>
      <c r="AG819" s="20">
        <v>119000</v>
      </c>
      <c r="AH819" s="20">
        <v>80920</v>
      </c>
      <c r="AI819" s="20">
        <v>34618</v>
      </c>
      <c r="AJ819" s="20">
        <v>3462</v>
      </c>
      <c r="AK819" s="20">
        <v>38080</v>
      </c>
    </row>
    <row r="820" spans="1:37" ht="24" x14ac:dyDescent="0.3">
      <c r="A820" s="18" t="s">
        <v>2430</v>
      </c>
      <c r="B820" s="18" t="s">
        <v>107</v>
      </c>
      <c r="C820" s="19" t="s">
        <v>108</v>
      </c>
      <c r="D820" s="18" t="s">
        <v>1524</v>
      </c>
      <c r="E820" s="19" t="s">
        <v>1525</v>
      </c>
      <c r="F820" s="18" t="s">
        <v>110</v>
      </c>
      <c r="G820" s="18" t="s">
        <v>111</v>
      </c>
      <c r="H820" s="19" t="s">
        <v>112</v>
      </c>
      <c r="I820" s="18" t="s">
        <v>113</v>
      </c>
      <c r="J820" s="19" t="s">
        <v>114</v>
      </c>
      <c r="K820" s="19" t="s">
        <v>115</v>
      </c>
      <c r="L820" s="18" t="s">
        <v>116</v>
      </c>
      <c r="M820" s="18" t="s">
        <v>1419</v>
      </c>
      <c r="N820" s="18" t="s">
        <v>118</v>
      </c>
      <c r="O820" s="20">
        <v>119000</v>
      </c>
      <c r="P820" s="20">
        <v>80920</v>
      </c>
      <c r="Q820" s="20">
        <v>1</v>
      </c>
      <c r="R820" s="20">
        <v>0</v>
      </c>
      <c r="S820" s="20">
        <v>0</v>
      </c>
      <c r="T820" s="20">
        <v>0</v>
      </c>
      <c r="U820" s="20">
        <v>0</v>
      </c>
      <c r="V820" s="20">
        <v>0</v>
      </c>
      <c r="W820" s="20">
        <v>32</v>
      </c>
      <c r="X820" s="20">
        <v>0</v>
      </c>
      <c r="Y820" s="20">
        <v>10000</v>
      </c>
      <c r="Z820" s="20">
        <v>0</v>
      </c>
      <c r="AA820" s="20">
        <v>0</v>
      </c>
      <c r="AB820" s="20">
        <v>0</v>
      </c>
      <c r="AC820" s="20">
        <v>119000</v>
      </c>
      <c r="AD820" s="20">
        <v>80920</v>
      </c>
      <c r="AE820" s="20">
        <v>0</v>
      </c>
      <c r="AF820" s="20">
        <v>10000</v>
      </c>
      <c r="AG820" s="20">
        <v>109000</v>
      </c>
      <c r="AH820" s="20">
        <v>80920</v>
      </c>
      <c r="AI820" s="20">
        <v>25527</v>
      </c>
      <c r="AJ820" s="20">
        <v>2553</v>
      </c>
      <c r="AK820" s="20">
        <v>28080</v>
      </c>
    </row>
    <row r="821" spans="1:37" ht="24" x14ac:dyDescent="0.3">
      <c r="A821" s="18" t="s">
        <v>2431</v>
      </c>
      <c r="B821" s="18" t="s">
        <v>107</v>
      </c>
      <c r="C821" s="19" t="s">
        <v>108</v>
      </c>
      <c r="D821" s="18" t="s">
        <v>1527</v>
      </c>
      <c r="E821" s="19" t="s">
        <v>1528</v>
      </c>
      <c r="F821" s="18" t="s">
        <v>110</v>
      </c>
      <c r="G821" s="18" t="s">
        <v>111</v>
      </c>
      <c r="H821" s="19" t="s">
        <v>112</v>
      </c>
      <c r="I821" s="18" t="s">
        <v>113</v>
      </c>
      <c r="J821" s="19" t="s">
        <v>114</v>
      </c>
      <c r="K821" s="19" t="s">
        <v>123</v>
      </c>
      <c r="L821" s="18" t="s">
        <v>116</v>
      </c>
      <c r="M821" s="18" t="s">
        <v>1419</v>
      </c>
      <c r="N821" s="18" t="s">
        <v>118</v>
      </c>
      <c r="O821" s="20">
        <v>119000</v>
      </c>
      <c r="P821" s="20">
        <v>80920</v>
      </c>
      <c r="Q821" s="20">
        <v>1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32</v>
      </c>
      <c r="X821" s="20">
        <v>0</v>
      </c>
      <c r="Y821" s="20">
        <v>5950</v>
      </c>
      <c r="Z821" s="20">
        <v>0</v>
      </c>
      <c r="AA821" s="20">
        <v>0</v>
      </c>
      <c r="AB821" s="20">
        <v>0</v>
      </c>
      <c r="AC821" s="20">
        <v>119000</v>
      </c>
      <c r="AD821" s="20">
        <v>80920</v>
      </c>
      <c r="AE821" s="20">
        <v>0</v>
      </c>
      <c r="AF821" s="20">
        <v>5950</v>
      </c>
      <c r="AG821" s="20">
        <v>113050</v>
      </c>
      <c r="AH821" s="20">
        <v>80920</v>
      </c>
      <c r="AI821" s="20">
        <v>29209</v>
      </c>
      <c r="AJ821" s="20">
        <v>2921</v>
      </c>
      <c r="AK821" s="20">
        <v>32130</v>
      </c>
    </row>
    <row r="822" spans="1:37" ht="24" x14ac:dyDescent="0.3">
      <c r="A822" s="18" t="s">
        <v>2432</v>
      </c>
      <c r="B822" s="18" t="s">
        <v>107</v>
      </c>
      <c r="C822" s="19" t="s">
        <v>108</v>
      </c>
      <c r="D822" s="18" t="s">
        <v>1562</v>
      </c>
      <c r="E822" s="19" t="s">
        <v>199</v>
      </c>
      <c r="F822" s="18" t="s">
        <v>110</v>
      </c>
      <c r="G822" s="18" t="s">
        <v>111</v>
      </c>
      <c r="H822" s="19" t="s">
        <v>112</v>
      </c>
      <c r="I822" s="18" t="s">
        <v>113</v>
      </c>
      <c r="J822" s="19" t="s">
        <v>114</v>
      </c>
      <c r="K822" s="19" t="s">
        <v>123</v>
      </c>
      <c r="L822" s="18" t="s">
        <v>116</v>
      </c>
      <c r="M822" s="18" t="s">
        <v>1419</v>
      </c>
      <c r="N822" s="18" t="s">
        <v>118</v>
      </c>
      <c r="O822" s="20">
        <v>119000</v>
      </c>
      <c r="P822" s="20">
        <v>80920</v>
      </c>
      <c r="Q822" s="20">
        <v>1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32</v>
      </c>
      <c r="X822" s="20">
        <v>0</v>
      </c>
      <c r="Y822" s="20">
        <v>5950</v>
      </c>
      <c r="Z822" s="20">
        <v>0</v>
      </c>
      <c r="AA822" s="20">
        <v>0</v>
      </c>
      <c r="AB822" s="20">
        <v>0</v>
      </c>
      <c r="AC822" s="20">
        <v>119000</v>
      </c>
      <c r="AD822" s="20">
        <v>80920</v>
      </c>
      <c r="AE822" s="20">
        <v>0</v>
      </c>
      <c r="AF822" s="20">
        <v>5950</v>
      </c>
      <c r="AG822" s="20">
        <v>113050</v>
      </c>
      <c r="AH822" s="20">
        <v>80920</v>
      </c>
      <c r="AI822" s="20">
        <v>29209</v>
      </c>
      <c r="AJ822" s="20">
        <v>2921</v>
      </c>
      <c r="AK822" s="20">
        <v>32130</v>
      </c>
    </row>
    <row r="823" spans="1:37" ht="24" x14ac:dyDescent="0.3">
      <c r="A823" s="18" t="s">
        <v>2433</v>
      </c>
      <c r="B823" s="18" t="s">
        <v>107</v>
      </c>
      <c r="C823" s="19" t="s">
        <v>108</v>
      </c>
      <c r="D823" s="18" t="s">
        <v>1564</v>
      </c>
      <c r="E823" s="19" t="s">
        <v>721</v>
      </c>
      <c r="F823" s="18" t="s">
        <v>110</v>
      </c>
      <c r="G823" s="18" t="s">
        <v>111</v>
      </c>
      <c r="H823" s="19" t="s">
        <v>112</v>
      </c>
      <c r="I823" s="18" t="s">
        <v>113</v>
      </c>
      <c r="J823" s="19" t="s">
        <v>114</v>
      </c>
      <c r="K823" s="19" t="s">
        <v>115</v>
      </c>
      <c r="L823" s="18" t="s">
        <v>116</v>
      </c>
      <c r="M823" s="18" t="s">
        <v>1419</v>
      </c>
      <c r="N823" s="18" t="s">
        <v>118</v>
      </c>
      <c r="O823" s="20">
        <v>119000</v>
      </c>
      <c r="P823" s="20">
        <v>80920</v>
      </c>
      <c r="Q823" s="20">
        <v>1</v>
      </c>
      <c r="R823" s="20">
        <v>0</v>
      </c>
      <c r="S823" s="20">
        <v>0</v>
      </c>
      <c r="T823" s="20">
        <v>0</v>
      </c>
      <c r="U823" s="20">
        <v>0</v>
      </c>
      <c r="V823" s="20">
        <v>0</v>
      </c>
      <c r="W823" s="20">
        <v>32</v>
      </c>
      <c r="X823" s="20">
        <v>0</v>
      </c>
      <c r="Y823" s="20">
        <v>0</v>
      </c>
      <c r="Z823" s="20">
        <v>0</v>
      </c>
      <c r="AA823" s="20">
        <v>0</v>
      </c>
      <c r="AB823" s="20">
        <v>0</v>
      </c>
      <c r="AC823" s="20">
        <v>119000</v>
      </c>
      <c r="AD823" s="20">
        <v>80920</v>
      </c>
      <c r="AE823" s="20">
        <v>0</v>
      </c>
      <c r="AF823" s="20">
        <v>0</v>
      </c>
      <c r="AG823" s="20">
        <v>119000</v>
      </c>
      <c r="AH823" s="20">
        <v>80920</v>
      </c>
      <c r="AI823" s="20">
        <v>34618</v>
      </c>
      <c r="AJ823" s="20">
        <v>3462</v>
      </c>
      <c r="AK823" s="20">
        <v>38080</v>
      </c>
    </row>
    <row r="824" spans="1:37" ht="24" x14ac:dyDescent="0.3">
      <c r="A824" s="18" t="s">
        <v>2434</v>
      </c>
      <c r="B824" s="18" t="s">
        <v>107</v>
      </c>
      <c r="C824" s="19" t="s">
        <v>108</v>
      </c>
      <c r="D824" s="18" t="s">
        <v>1569</v>
      </c>
      <c r="E824" s="19" t="s">
        <v>366</v>
      </c>
      <c r="F824" s="18" t="s">
        <v>110</v>
      </c>
      <c r="G824" s="18" t="s">
        <v>111</v>
      </c>
      <c r="H824" s="19" t="s">
        <v>112</v>
      </c>
      <c r="I824" s="18" t="s">
        <v>113</v>
      </c>
      <c r="J824" s="19" t="s">
        <v>114</v>
      </c>
      <c r="K824" s="19" t="s">
        <v>123</v>
      </c>
      <c r="L824" s="18" t="s">
        <v>116</v>
      </c>
      <c r="M824" s="18" t="s">
        <v>1419</v>
      </c>
      <c r="N824" s="18" t="s">
        <v>118</v>
      </c>
      <c r="O824" s="20">
        <v>119000</v>
      </c>
      <c r="P824" s="20">
        <v>80920</v>
      </c>
      <c r="Q824" s="20">
        <v>1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32</v>
      </c>
      <c r="X824" s="20">
        <v>0</v>
      </c>
      <c r="Y824" s="20">
        <v>5950</v>
      </c>
      <c r="Z824" s="20">
        <v>0</v>
      </c>
      <c r="AA824" s="20">
        <v>0</v>
      </c>
      <c r="AB824" s="20">
        <v>0</v>
      </c>
      <c r="AC824" s="20">
        <v>119000</v>
      </c>
      <c r="AD824" s="20">
        <v>80920</v>
      </c>
      <c r="AE824" s="20">
        <v>0</v>
      </c>
      <c r="AF824" s="20">
        <v>5950</v>
      </c>
      <c r="AG824" s="20">
        <v>113050</v>
      </c>
      <c r="AH824" s="20">
        <v>80920</v>
      </c>
      <c r="AI824" s="20">
        <v>29209</v>
      </c>
      <c r="AJ824" s="20">
        <v>2921</v>
      </c>
      <c r="AK824" s="20">
        <v>32130</v>
      </c>
    </row>
    <row r="825" spans="1:37" ht="24" x14ac:dyDescent="0.3">
      <c r="A825" s="18" t="s">
        <v>2435</v>
      </c>
      <c r="B825" s="18" t="s">
        <v>107</v>
      </c>
      <c r="C825" s="19" t="s">
        <v>108</v>
      </c>
      <c r="D825" s="18" t="s">
        <v>1571</v>
      </c>
      <c r="E825" s="19" t="s">
        <v>1572</v>
      </c>
      <c r="F825" s="18" t="s">
        <v>110</v>
      </c>
      <c r="G825" s="18" t="s">
        <v>111</v>
      </c>
      <c r="H825" s="19" t="s">
        <v>112</v>
      </c>
      <c r="I825" s="18" t="s">
        <v>113</v>
      </c>
      <c r="J825" s="19" t="s">
        <v>114</v>
      </c>
      <c r="K825" s="19" t="s">
        <v>115</v>
      </c>
      <c r="L825" s="18" t="s">
        <v>116</v>
      </c>
      <c r="M825" s="18" t="s">
        <v>1419</v>
      </c>
      <c r="N825" s="18" t="s">
        <v>118</v>
      </c>
      <c r="O825" s="20">
        <v>119000</v>
      </c>
      <c r="P825" s="20">
        <v>80920</v>
      </c>
      <c r="Q825" s="20">
        <v>1</v>
      </c>
      <c r="R825" s="20">
        <v>0</v>
      </c>
      <c r="S825" s="20">
        <v>0</v>
      </c>
      <c r="T825" s="20">
        <v>0</v>
      </c>
      <c r="U825" s="20">
        <v>0</v>
      </c>
      <c r="V825" s="20">
        <v>0</v>
      </c>
      <c r="W825" s="20">
        <v>32</v>
      </c>
      <c r="X825" s="20">
        <v>0</v>
      </c>
      <c r="Y825" s="20">
        <v>0</v>
      </c>
      <c r="Z825" s="20">
        <v>0</v>
      </c>
      <c r="AA825" s="20">
        <v>0</v>
      </c>
      <c r="AB825" s="20">
        <v>0</v>
      </c>
      <c r="AC825" s="20">
        <v>119000</v>
      </c>
      <c r="AD825" s="20">
        <v>80920</v>
      </c>
      <c r="AE825" s="20">
        <v>0</v>
      </c>
      <c r="AF825" s="20">
        <v>0</v>
      </c>
      <c r="AG825" s="20">
        <v>119000</v>
      </c>
      <c r="AH825" s="20">
        <v>80920</v>
      </c>
      <c r="AI825" s="20">
        <v>34618</v>
      </c>
      <c r="AJ825" s="20">
        <v>3462</v>
      </c>
      <c r="AK825" s="20">
        <v>38080</v>
      </c>
    </row>
    <row r="826" spans="1:37" ht="24" x14ac:dyDescent="0.3">
      <c r="A826" s="18" t="s">
        <v>2436</v>
      </c>
      <c r="B826" s="18" t="s">
        <v>107</v>
      </c>
      <c r="C826" s="19" t="s">
        <v>108</v>
      </c>
      <c r="D826" s="18" t="s">
        <v>1574</v>
      </c>
      <c r="E826" s="19" t="s">
        <v>746</v>
      </c>
      <c r="F826" s="18" t="s">
        <v>110</v>
      </c>
      <c r="G826" s="18" t="s">
        <v>111</v>
      </c>
      <c r="H826" s="19" t="s">
        <v>112</v>
      </c>
      <c r="I826" s="18" t="s">
        <v>113</v>
      </c>
      <c r="J826" s="19" t="s">
        <v>114</v>
      </c>
      <c r="K826" s="19" t="s">
        <v>115</v>
      </c>
      <c r="L826" s="18" t="s">
        <v>116</v>
      </c>
      <c r="M826" s="18" t="s">
        <v>1419</v>
      </c>
      <c r="N826" s="18" t="s">
        <v>118</v>
      </c>
      <c r="O826" s="20">
        <v>119000</v>
      </c>
      <c r="P826" s="20">
        <v>80920</v>
      </c>
      <c r="Q826" s="20">
        <v>1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32</v>
      </c>
      <c r="X826" s="20">
        <v>0</v>
      </c>
      <c r="Y826" s="20">
        <v>0</v>
      </c>
      <c r="Z826" s="20">
        <v>0</v>
      </c>
      <c r="AA826" s="20">
        <v>0</v>
      </c>
      <c r="AB826" s="20">
        <v>0</v>
      </c>
      <c r="AC826" s="20">
        <v>119000</v>
      </c>
      <c r="AD826" s="20">
        <v>80920</v>
      </c>
      <c r="AE826" s="20">
        <v>0</v>
      </c>
      <c r="AF826" s="20">
        <v>0</v>
      </c>
      <c r="AG826" s="20">
        <v>119000</v>
      </c>
      <c r="AH826" s="20">
        <v>80920</v>
      </c>
      <c r="AI826" s="20">
        <v>34618</v>
      </c>
      <c r="AJ826" s="20">
        <v>3462</v>
      </c>
      <c r="AK826" s="20">
        <v>38080</v>
      </c>
    </row>
    <row r="827" spans="1:37" ht="24" x14ac:dyDescent="0.3">
      <c r="A827" s="18" t="s">
        <v>2437</v>
      </c>
      <c r="B827" s="18" t="s">
        <v>107</v>
      </c>
      <c r="C827" s="19" t="s">
        <v>108</v>
      </c>
      <c r="D827" s="18" t="s">
        <v>1653</v>
      </c>
      <c r="E827" s="19" t="s">
        <v>636</v>
      </c>
      <c r="F827" s="18" t="s">
        <v>110</v>
      </c>
      <c r="G827" s="18" t="s">
        <v>111</v>
      </c>
      <c r="H827" s="19" t="s">
        <v>112</v>
      </c>
      <c r="I827" s="18" t="s">
        <v>113</v>
      </c>
      <c r="J827" s="19" t="s">
        <v>114</v>
      </c>
      <c r="K827" s="19" t="s">
        <v>115</v>
      </c>
      <c r="L827" s="18" t="s">
        <v>116</v>
      </c>
      <c r="M827" s="18" t="s">
        <v>1419</v>
      </c>
      <c r="N827" s="18" t="s">
        <v>118</v>
      </c>
      <c r="O827" s="20">
        <v>119000</v>
      </c>
      <c r="P827" s="20">
        <v>80920</v>
      </c>
      <c r="Q827" s="20">
        <v>1</v>
      </c>
      <c r="R827" s="20">
        <v>0</v>
      </c>
      <c r="S827" s="20">
        <v>0</v>
      </c>
      <c r="T827" s="20">
        <v>0</v>
      </c>
      <c r="U827" s="20">
        <v>0</v>
      </c>
      <c r="V827" s="20">
        <v>0</v>
      </c>
      <c r="W827" s="20">
        <v>32</v>
      </c>
      <c r="X827" s="20">
        <v>20230</v>
      </c>
      <c r="Y827" s="20">
        <v>0</v>
      </c>
      <c r="Z827" s="20">
        <v>0</v>
      </c>
      <c r="AA827" s="20">
        <v>0</v>
      </c>
      <c r="AB827" s="20">
        <v>0</v>
      </c>
      <c r="AC827" s="20">
        <v>119000</v>
      </c>
      <c r="AD827" s="20">
        <v>80920</v>
      </c>
      <c r="AE827" s="20">
        <v>0</v>
      </c>
      <c r="AF827" s="20">
        <v>20230</v>
      </c>
      <c r="AG827" s="20">
        <v>98770</v>
      </c>
      <c r="AH827" s="20">
        <v>80920</v>
      </c>
      <c r="AI827" s="20">
        <v>16227</v>
      </c>
      <c r="AJ827" s="20">
        <v>1623</v>
      </c>
      <c r="AK827" s="20">
        <v>17850</v>
      </c>
    </row>
    <row r="828" spans="1:37" ht="24" x14ac:dyDescent="0.3">
      <c r="A828" s="18" t="s">
        <v>2438</v>
      </c>
      <c r="B828" s="18" t="s">
        <v>107</v>
      </c>
      <c r="C828" s="19" t="s">
        <v>108</v>
      </c>
      <c r="D828" s="18" t="s">
        <v>1576</v>
      </c>
      <c r="E828" s="19" t="s">
        <v>426</v>
      </c>
      <c r="F828" s="18" t="s">
        <v>110</v>
      </c>
      <c r="G828" s="18" t="s">
        <v>111</v>
      </c>
      <c r="H828" s="19" t="s">
        <v>112</v>
      </c>
      <c r="I828" s="18" t="s">
        <v>113</v>
      </c>
      <c r="J828" s="19" t="s">
        <v>114</v>
      </c>
      <c r="K828" s="19" t="s">
        <v>123</v>
      </c>
      <c r="L828" s="18" t="s">
        <v>116</v>
      </c>
      <c r="M828" s="18" t="s">
        <v>1419</v>
      </c>
      <c r="N828" s="18" t="s">
        <v>118</v>
      </c>
      <c r="O828" s="20">
        <v>119000</v>
      </c>
      <c r="P828" s="20">
        <v>80920</v>
      </c>
      <c r="Q828" s="20">
        <v>1</v>
      </c>
      <c r="R828" s="20">
        <v>0</v>
      </c>
      <c r="S828" s="20">
        <v>0</v>
      </c>
      <c r="T828" s="20">
        <v>0</v>
      </c>
      <c r="U828" s="20">
        <v>0</v>
      </c>
      <c r="V828" s="20">
        <v>0</v>
      </c>
      <c r="W828" s="20">
        <v>32</v>
      </c>
      <c r="X828" s="20">
        <v>0</v>
      </c>
      <c r="Y828" s="20">
        <v>10000</v>
      </c>
      <c r="Z828" s="20">
        <v>0</v>
      </c>
      <c r="AA828" s="20">
        <v>0</v>
      </c>
      <c r="AB828" s="20">
        <v>0</v>
      </c>
      <c r="AC828" s="20">
        <v>119000</v>
      </c>
      <c r="AD828" s="20">
        <v>80920</v>
      </c>
      <c r="AE828" s="20">
        <v>0</v>
      </c>
      <c r="AF828" s="20">
        <v>10000</v>
      </c>
      <c r="AG828" s="20">
        <v>109000</v>
      </c>
      <c r="AH828" s="20">
        <v>80920</v>
      </c>
      <c r="AI828" s="20">
        <v>25527</v>
      </c>
      <c r="AJ828" s="20">
        <v>2553</v>
      </c>
      <c r="AK828" s="20">
        <v>28080</v>
      </c>
    </row>
    <row r="829" spans="1:37" ht="24" x14ac:dyDescent="0.3">
      <c r="A829" s="18" t="s">
        <v>2439</v>
      </c>
      <c r="B829" s="18" t="s">
        <v>107</v>
      </c>
      <c r="C829" s="19" t="s">
        <v>108</v>
      </c>
      <c r="D829" s="18" t="s">
        <v>1578</v>
      </c>
      <c r="E829" s="19" t="s">
        <v>786</v>
      </c>
      <c r="F829" s="18" t="s">
        <v>110</v>
      </c>
      <c r="G829" s="18" t="s">
        <v>111</v>
      </c>
      <c r="H829" s="19" t="s">
        <v>112</v>
      </c>
      <c r="I829" s="18" t="s">
        <v>113</v>
      </c>
      <c r="J829" s="19" t="s">
        <v>114</v>
      </c>
      <c r="K829" s="19" t="s">
        <v>123</v>
      </c>
      <c r="L829" s="18" t="s">
        <v>116</v>
      </c>
      <c r="M829" s="18" t="s">
        <v>1419</v>
      </c>
      <c r="N829" s="18" t="s">
        <v>118</v>
      </c>
      <c r="O829" s="20">
        <v>119000</v>
      </c>
      <c r="P829" s="20">
        <v>80920</v>
      </c>
      <c r="Q829" s="20">
        <v>1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32</v>
      </c>
      <c r="X829" s="20">
        <v>0</v>
      </c>
      <c r="Y829" s="20">
        <v>5950</v>
      </c>
      <c r="Z829" s="20">
        <v>0</v>
      </c>
      <c r="AA829" s="20">
        <v>0</v>
      </c>
      <c r="AB829" s="20">
        <v>0</v>
      </c>
      <c r="AC829" s="20">
        <v>119000</v>
      </c>
      <c r="AD829" s="20">
        <v>80920</v>
      </c>
      <c r="AE829" s="20">
        <v>0</v>
      </c>
      <c r="AF829" s="20">
        <v>5950</v>
      </c>
      <c r="AG829" s="20">
        <v>113050</v>
      </c>
      <c r="AH829" s="20">
        <v>80920</v>
      </c>
      <c r="AI829" s="20">
        <v>29209</v>
      </c>
      <c r="AJ829" s="20">
        <v>2921</v>
      </c>
      <c r="AK829" s="20">
        <v>32130</v>
      </c>
    </row>
    <row r="830" spans="1:37" ht="24" x14ac:dyDescent="0.3">
      <c r="A830" s="18" t="s">
        <v>2440</v>
      </c>
      <c r="B830" s="18" t="s">
        <v>107</v>
      </c>
      <c r="C830" s="19" t="s">
        <v>108</v>
      </c>
      <c r="D830" s="18" t="s">
        <v>1661</v>
      </c>
      <c r="E830" s="19" t="s">
        <v>721</v>
      </c>
      <c r="F830" s="18" t="s">
        <v>110</v>
      </c>
      <c r="G830" s="18" t="s">
        <v>111</v>
      </c>
      <c r="H830" s="19" t="s">
        <v>112</v>
      </c>
      <c r="I830" s="18" t="s">
        <v>113</v>
      </c>
      <c r="J830" s="19" t="s">
        <v>114</v>
      </c>
      <c r="K830" s="19" t="s">
        <v>151</v>
      </c>
      <c r="L830" s="18" t="s">
        <v>116</v>
      </c>
      <c r="M830" s="18" t="s">
        <v>1419</v>
      </c>
      <c r="N830" s="18" t="s">
        <v>118</v>
      </c>
      <c r="O830" s="20">
        <v>119000</v>
      </c>
      <c r="P830" s="20">
        <v>80920</v>
      </c>
      <c r="Q830" s="20">
        <v>1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32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119000</v>
      </c>
      <c r="AD830" s="20">
        <v>80920</v>
      </c>
      <c r="AE830" s="20">
        <v>0</v>
      </c>
      <c r="AF830" s="20">
        <v>0</v>
      </c>
      <c r="AG830" s="20">
        <v>119000</v>
      </c>
      <c r="AH830" s="20">
        <v>80920</v>
      </c>
      <c r="AI830" s="20">
        <v>34618</v>
      </c>
      <c r="AJ830" s="20">
        <v>3462</v>
      </c>
      <c r="AK830" s="20">
        <v>38080</v>
      </c>
    </row>
    <row r="831" spans="1:37" ht="24" x14ac:dyDescent="0.3">
      <c r="A831" s="18" t="s">
        <v>2441</v>
      </c>
      <c r="B831" s="18" t="s">
        <v>107</v>
      </c>
      <c r="C831" s="19" t="s">
        <v>108</v>
      </c>
      <c r="D831" s="18" t="s">
        <v>1580</v>
      </c>
      <c r="E831" s="19" t="s">
        <v>1581</v>
      </c>
      <c r="F831" s="18" t="s">
        <v>110</v>
      </c>
      <c r="G831" s="18" t="s">
        <v>111</v>
      </c>
      <c r="H831" s="19" t="s">
        <v>112</v>
      </c>
      <c r="I831" s="18" t="s">
        <v>113</v>
      </c>
      <c r="J831" s="19" t="s">
        <v>114</v>
      </c>
      <c r="K831" s="19" t="s">
        <v>115</v>
      </c>
      <c r="L831" s="18" t="s">
        <v>116</v>
      </c>
      <c r="M831" s="18" t="s">
        <v>1419</v>
      </c>
      <c r="N831" s="18" t="s">
        <v>118</v>
      </c>
      <c r="O831" s="20">
        <v>119000</v>
      </c>
      <c r="P831" s="20">
        <v>80920</v>
      </c>
      <c r="Q831" s="20">
        <v>1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32</v>
      </c>
      <c r="X831" s="20">
        <v>0</v>
      </c>
      <c r="Y831" s="20">
        <v>0</v>
      </c>
      <c r="Z831" s="20">
        <v>0</v>
      </c>
      <c r="AA831" s="20">
        <v>0</v>
      </c>
      <c r="AB831" s="20">
        <v>0</v>
      </c>
      <c r="AC831" s="20">
        <v>119000</v>
      </c>
      <c r="AD831" s="20">
        <v>80920</v>
      </c>
      <c r="AE831" s="20">
        <v>0</v>
      </c>
      <c r="AF831" s="20">
        <v>0</v>
      </c>
      <c r="AG831" s="20">
        <v>119000</v>
      </c>
      <c r="AH831" s="20">
        <v>80920</v>
      </c>
      <c r="AI831" s="20">
        <v>34618</v>
      </c>
      <c r="AJ831" s="20">
        <v>3462</v>
      </c>
      <c r="AK831" s="20">
        <v>38080</v>
      </c>
    </row>
    <row r="832" spans="1:37" ht="24" x14ac:dyDescent="0.3">
      <c r="A832" s="18" t="s">
        <v>2442</v>
      </c>
      <c r="B832" s="18" t="s">
        <v>107</v>
      </c>
      <c r="C832" s="19" t="s">
        <v>108</v>
      </c>
      <c r="D832" s="18" t="s">
        <v>1538</v>
      </c>
      <c r="E832" s="19" t="s">
        <v>1539</v>
      </c>
      <c r="F832" s="18" t="s">
        <v>110</v>
      </c>
      <c r="G832" s="18" t="s">
        <v>111</v>
      </c>
      <c r="H832" s="19" t="s">
        <v>112</v>
      </c>
      <c r="I832" s="18" t="s">
        <v>113</v>
      </c>
      <c r="J832" s="19" t="s">
        <v>114</v>
      </c>
      <c r="K832" s="19" t="s">
        <v>115</v>
      </c>
      <c r="L832" s="18" t="s">
        <v>116</v>
      </c>
      <c r="M832" s="18" t="s">
        <v>1419</v>
      </c>
      <c r="N832" s="18" t="s">
        <v>118</v>
      </c>
      <c r="O832" s="20">
        <v>119000</v>
      </c>
      <c r="P832" s="20">
        <v>80920</v>
      </c>
      <c r="Q832" s="20">
        <v>1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32</v>
      </c>
      <c r="X832" s="20">
        <v>0</v>
      </c>
      <c r="Y832" s="20">
        <v>0</v>
      </c>
      <c r="Z832" s="20">
        <v>0</v>
      </c>
      <c r="AA832" s="20">
        <v>0</v>
      </c>
      <c r="AB832" s="20">
        <v>0</v>
      </c>
      <c r="AC832" s="20">
        <v>119000</v>
      </c>
      <c r="AD832" s="20">
        <v>80920</v>
      </c>
      <c r="AE832" s="20">
        <v>0</v>
      </c>
      <c r="AF832" s="20">
        <v>0</v>
      </c>
      <c r="AG832" s="20">
        <v>119000</v>
      </c>
      <c r="AH832" s="20">
        <v>80920</v>
      </c>
      <c r="AI832" s="20">
        <v>34618</v>
      </c>
      <c r="AJ832" s="20">
        <v>3462</v>
      </c>
      <c r="AK832" s="20">
        <v>38080</v>
      </c>
    </row>
    <row r="833" spans="1:37" ht="24" x14ac:dyDescent="0.3">
      <c r="A833" s="18" t="s">
        <v>2443</v>
      </c>
      <c r="B833" s="18" t="s">
        <v>107</v>
      </c>
      <c r="C833" s="19" t="s">
        <v>108</v>
      </c>
      <c r="D833" s="18" t="s">
        <v>1509</v>
      </c>
      <c r="E833" s="19" t="s">
        <v>690</v>
      </c>
      <c r="F833" s="18" t="s">
        <v>110</v>
      </c>
      <c r="G833" s="18" t="s">
        <v>111</v>
      </c>
      <c r="H833" s="19" t="s">
        <v>112</v>
      </c>
      <c r="I833" s="18" t="s">
        <v>113</v>
      </c>
      <c r="J833" s="19" t="s">
        <v>114</v>
      </c>
      <c r="K833" s="19" t="s">
        <v>115</v>
      </c>
      <c r="L833" s="18" t="s">
        <v>116</v>
      </c>
      <c r="M833" s="18" t="s">
        <v>1419</v>
      </c>
      <c r="N833" s="18" t="s">
        <v>118</v>
      </c>
      <c r="O833" s="20">
        <v>119000</v>
      </c>
      <c r="P833" s="20">
        <v>80920</v>
      </c>
      <c r="Q833" s="20">
        <v>1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32</v>
      </c>
      <c r="X833" s="20">
        <v>0</v>
      </c>
      <c r="Y833" s="20">
        <v>0</v>
      </c>
      <c r="Z833" s="20">
        <v>0</v>
      </c>
      <c r="AA833" s="20">
        <v>0</v>
      </c>
      <c r="AB833" s="20">
        <v>0</v>
      </c>
      <c r="AC833" s="20">
        <v>119000</v>
      </c>
      <c r="AD833" s="20">
        <v>80920</v>
      </c>
      <c r="AE833" s="20">
        <v>0</v>
      </c>
      <c r="AF833" s="20">
        <v>0</v>
      </c>
      <c r="AG833" s="20">
        <v>119000</v>
      </c>
      <c r="AH833" s="20">
        <v>80920</v>
      </c>
      <c r="AI833" s="20">
        <v>34618</v>
      </c>
      <c r="AJ833" s="20">
        <v>3462</v>
      </c>
      <c r="AK833" s="20">
        <v>38080</v>
      </c>
    </row>
    <row r="834" spans="1:37" ht="24" x14ac:dyDescent="0.3">
      <c r="A834" s="18" t="s">
        <v>2444</v>
      </c>
      <c r="B834" s="18" t="s">
        <v>107</v>
      </c>
      <c r="C834" s="19" t="s">
        <v>108</v>
      </c>
      <c r="D834" s="18" t="s">
        <v>1594</v>
      </c>
      <c r="E834" s="19" t="s">
        <v>169</v>
      </c>
      <c r="F834" s="18" t="s">
        <v>110</v>
      </c>
      <c r="G834" s="18" t="s">
        <v>111</v>
      </c>
      <c r="H834" s="19" t="s">
        <v>112</v>
      </c>
      <c r="I834" s="18" t="s">
        <v>113</v>
      </c>
      <c r="J834" s="19" t="s">
        <v>114</v>
      </c>
      <c r="K834" s="19" t="s">
        <v>115</v>
      </c>
      <c r="L834" s="18" t="s">
        <v>116</v>
      </c>
      <c r="M834" s="18" t="s">
        <v>1419</v>
      </c>
      <c r="N834" s="18" t="s">
        <v>118</v>
      </c>
      <c r="O834" s="20">
        <v>119000</v>
      </c>
      <c r="P834" s="20">
        <v>80920</v>
      </c>
      <c r="Q834" s="20">
        <v>2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32</v>
      </c>
      <c r="X834" s="20">
        <v>0</v>
      </c>
      <c r="Y834" s="20">
        <v>0</v>
      </c>
      <c r="Z834" s="20">
        <v>0</v>
      </c>
      <c r="AA834" s="20">
        <v>0</v>
      </c>
      <c r="AB834" s="20">
        <v>0</v>
      </c>
      <c r="AC834" s="20">
        <v>238000</v>
      </c>
      <c r="AD834" s="20">
        <v>161840</v>
      </c>
      <c r="AE834" s="20">
        <v>0</v>
      </c>
      <c r="AF834" s="20">
        <v>0</v>
      </c>
      <c r="AG834" s="20">
        <v>238000</v>
      </c>
      <c r="AH834" s="20">
        <v>161840</v>
      </c>
      <c r="AI834" s="20">
        <v>69236</v>
      </c>
      <c r="AJ834" s="20">
        <v>6924</v>
      </c>
      <c r="AK834" s="20">
        <v>76160</v>
      </c>
    </row>
    <row r="835" spans="1:37" ht="24" x14ac:dyDescent="0.3">
      <c r="A835" s="18" t="s">
        <v>2445</v>
      </c>
      <c r="B835" s="18" t="s">
        <v>107</v>
      </c>
      <c r="C835" s="19" t="s">
        <v>108</v>
      </c>
      <c r="D835" s="18" t="s">
        <v>1554</v>
      </c>
      <c r="E835" s="19" t="s">
        <v>1555</v>
      </c>
      <c r="F835" s="18" t="s">
        <v>110</v>
      </c>
      <c r="G835" s="18" t="s">
        <v>111</v>
      </c>
      <c r="H835" s="19" t="s">
        <v>112</v>
      </c>
      <c r="I835" s="18" t="s">
        <v>113</v>
      </c>
      <c r="J835" s="19" t="s">
        <v>114</v>
      </c>
      <c r="K835" s="19" t="s">
        <v>151</v>
      </c>
      <c r="L835" s="18" t="s">
        <v>116</v>
      </c>
      <c r="M835" s="18" t="s">
        <v>1419</v>
      </c>
      <c r="N835" s="18" t="s">
        <v>118</v>
      </c>
      <c r="O835" s="20">
        <v>119000</v>
      </c>
      <c r="P835" s="20">
        <v>80920</v>
      </c>
      <c r="Q835" s="20">
        <v>1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20">
        <v>32</v>
      </c>
      <c r="X835" s="20">
        <v>0</v>
      </c>
      <c r="Y835" s="20">
        <v>0</v>
      </c>
      <c r="Z835" s="20">
        <v>0</v>
      </c>
      <c r="AA835" s="20">
        <v>0</v>
      </c>
      <c r="AB835" s="20">
        <v>0</v>
      </c>
      <c r="AC835" s="20">
        <v>119000</v>
      </c>
      <c r="AD835" s="20">
        <v>80920</v>
      </c>
      <c r="AE835" s="20">
        <v>0</v>
      </c>
      <c r="AF835" s="20">
        <v>0</v>
      </c>
      <c r="AG835" s="20">
        <v>119000</v>
      </c>
      <c r="AH835" s="20">
        <v>80920</v>
      </c>
      <c r="AI835" s="20">
        <v>34618</v>
      </c>
      <c r="AJ835" s="20">
        <v>3462</v>
      </c>
      <c r="AK835" s="20">
        <v>38080</v>
      </c>
    </row>
    <row r="836" spans="1:37" ht="24" x14ac:dyDescent="0.3">
      <c r="A836" s="18" t="s">
        <v>2446</v>
      </c>
      <c r="B836" s="18" t="s">
        <v>107</v>
      </c>
      <c r="C836" s="19" t="s">
        <v>108</v>
      </c>
      <c r="D836" s="18" t="s">
        <v>1634</v>
      </c>
      <c r="E836" s="19" t="s">
        <v>1635</v>
      </c>
      <c r="F836" s="18" t="s">
        <v>110</v>
      </c>
      <c r="G836" s="18" t="s">
        <v>111</v>
      </c>
      <c r="H836" s="19" t="s">
        <v>112</v>
      </c>
      <c r="I836" s="18" t="s">
        <v>113</v>
      </c>
      <c r="J836" s="19" t="s">
        <v>114</v>
      </c>
      <c r="K836" s="19" t="s">
        <v>115</v>
      </c>
      <c r="L836" s="18" t="s">
        <v>116</v>
      </c>
      <c r="M836" s="18" t="s">
        <v>1419</v>
      </c>
      <c r="N836" s="18" t="s">
        <v>118</v>
      </c>
      <c r="O836" s="20">
        <v>119000</v>
      </c>
      <c r="P836" s="20">
        <v>80920</v>
      </c>
      <c r="Q836" s="20">
        <v>1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32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119000</v>
      </c>
      <c r="AD836" s="20">
        <v>80920</v>
      </c>
      <c r="AE836" s="20">
        <v>0</v>
      </c>
      <c r="AF836" s="20">
        <v>0</v>
      </c>
      <c r="AG836" s="20">
        <v>119000</v>
      </c>
      <c r="AH836" s="20">
        <v>80920</v>
      </c>
      <c r="AI836" s="20">
        <v>34618</v>
      </c>
      <c r="AJ836" s="20">
        <v>3462</v>
      </c>
      <c r="AK836" s="20">
        <v>38080</v>
      </c>
    </row>
    <row r="837" spans="1:37" ht="24" x14ac:dyDescent="0.3">
      <c r="A837" s="18" t="s">
        <v>2447</v>
      </c>
      <c r="B837" s="18" t="s">
        <v>107</v>
      </c>
      <c r="C837" s="19" t="s">
        <v>108</v>
      </c>
      <c r="D837" s="18" t="s">
        <v>1640</v>
      </c>
      <c r="E837" s="19" t="s">
        <v>320</v>
      </c>
      <c r="F837" s="18" t="s">
        <v>110</v>
      </c>
      <c r="G837" s="18" t="s">
        <v>111</v>
      </c>
      <c r="H837" s="19" t="s">
        <v>112</v>
      </c>
      <c r="I837" s="18" t="s">
        <v>113</v>
      </c>
      <c r="J837" s="19" t="s">
        <v>114</v>
      </c>
      <c r="K837" s="19" t="s">
        <v>115</v>
      </c>
      <c r="L837" s="18" t="s">
        <v>116</v>
      </c>
      <c r="M837" s="18" t="s">
        <v>1419</v>
      </c>
      <c r="N837" s="18" t="s">
        <v>118</v>
      </c>
      <c r="O837" s="20">
        <v>119000</v>
      </c>
      <c r="P837" s="20">
        <v>80920</v>
      </c>
      <c r="Q837" s="20">
        <v>1</v>
      </c>
      <c r="R837" s="20">
        <v>0</v>
      </c>
      <c r="S837" s="20">
        <v>0</v>
      </c>
      <c r="T837" s="20">
        <v>0</v>
      </c>
      <c r="U837" s="20">
        <v>0</v>
      </c>
      <c r="V837" s="20">
        <v>0</v>
      </c>
      <c r="W837" s="20">
        <v>32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119000</v>
      </c>
      <c r="AD837" s="20">
        <v>80920</v>
      </c>
      <c r="AE837" s="20">
        <v>0</v>
      </c>
      <c r="AF837" s="20">
        <v>0</v>
      </c>
      <c r="AG837" s="20">
        <v>119000</v>
      </c>
      <c r="AH837" s="20">
        <v>80920</v>
      </c>
      <c r="AI837" s="20">
        <v>34618</v>
      </c>
      <c r="AJ837" s="20">
        <v>3462</v>
      </c>
      <c r="AK837" s="20">
        <v>38080</v>
      </c>
    </row>
    <row r="838" spans="1:37" ht="24" x14ac:dyDescent="0.3">
      <c r="A838" s="18" t="s">
        <v>2448</v>
      </c>
      <c r="B838" s="18" t="s">
        <v>107</v>
      </c>
      <c r="C838" s="19" t="s">
        <v>108</v>
      </c>
      <c r="D838" s="18" t="s">
        <v>1647</v>
      </c>
      <c r="E838" s="19" t="s">
        <v>1648</v>
      </c>
      <c r="F838" s="18" t="s">
        <v>110</v>
      </c>
      <c r="G838" s="18" t="s">
        <v>111</v>
      </c>
      <c r="H838" s="19" t="s">
        <v>112</v>
      </c>
      <c r="I838" s="18" t="s">
        <v>113</v>
      </c>
      <c r="J838" s="19" t="s">
        <v>114</v>
      </c>
      <c r="K838" s="19" t="s">
        <v>115</v>
      </c>
      <c r="L838" s="18" t="s">
        <v>116</v>
      </c>
      <c r="M838" s="18" t="s">
        <v>1419</v>
      </c>
      <c r="N838" s="18" t="s">
        <v>118</v>
      </c>
      <c r="O838" s="20">
        <v>119000</v>
      </c>
      <c r="P838" s="20">
        <v>80920</v>
      </c>
      <c r="Q838" s="20">
        <v>2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20">
        <v>32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238000</v>
      </c>
      <c r="AD838" s="20">
        <v>161840</v>
      </c>
      <c r="AE838" s="20">
        <v>0</v>
      </c>
      <c r="AF838" s="20">
        <v>0</v>
      </c>
      <c r="AG838" s="20">
        <v>238000</v>
      </c>
      <c r="AH838" s="20">
        <v>161840</v>
      </c>
      <c r="AI838" s="20">
        <v>69236</v>
      </c>
      <c r="AJ838" s="20">
        <v>6924</v>
      </c>
      <c r="AK838" s="20">
        <v>76160</v>
      </c>
    </row>
    <row r="839" spans="1:37" ht="24" x14ac:dyDescent="0.3">
      <c r="A839" s="18" t="s">
        <v>2449</v>
      </c>
      <c r="B839" s="18" t="s">
        <v>107</v>
      </c>
      <c r="C839" s="19" t="s">
        <v>108</v>
      </c>
      <c r="D839" s="18" t="s">
        <v>1650</v>
      </c>
      <c r="E839" s="19" t="s">
        <v>1651</v>
      </c>
      <c r="F839" s="18" t="s">
        <v>110</v>
      </c>
      <c r="G839" s="18" t="s">
        <v>111</v>
      </c>
      <c r="H839" s="19" t="s">
        <v>112</v>
      </c>
      <c r="I839" s="18" t="s">
        <v>113</v>
      </c>
      <c r="J839" s="19" t="s">
        <v>114</v>
      </c>
      <c r="K839" s="19" t="s">
        <v>115</v>
      </c>
      <c r="L839" s="18" t="s">
        <v>116</v>
      </c>
      <c r="M839" s="18" t="s">
        <v>1419</v>
      </c>
      <c r="N839" s="18" t="s">
        <v>118</v>
      </c>
      <c r="O839" s="20">
        <v>119000</v>
      </c>
      <c r="P839" s="20">
        <v>80920</v>
      </c>
      <c r="Q839" s="20">
        <v>1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32</v>
      </c>
      <c r="X839" s="20">
        <v>0</v>
      </c>
      <c r="Y839" s="20">
        <v>0</v>
      </c>
      <c r="Z839" s="20">
        <v>0</v>
      </c>
      <c r="AA839" s="20">
        <v>0</v>
      </c>
      <c r="AB839" s="20">
        <v>5950</v>
      </c>
      <c r="AC839" s="20">
        <v>119000</v>
      </c>
      <c r="AD839" s="20">
        <v>80920</v>
      </c>
      <c r="AE839" s="20">
        <v>0</v>
      </c>
      <c r="AF839" s="20">
        <v>5950</v>
      </c>
      <c r="AG839" s="20">
        <v>113050</v>
      </c>
      <c r="AH839" s="20">
        <v>80920</v>
      </c>
      <c r="AI839" s="20">
        <v>29209</v>
      </c>
      <c r="AJ839" s="20">
        <v>2921</v>
      </c>
      <c r="AK839" s="20">
        <v>32130</v>
      </c>
    </row>
    <row r="840" spans="1:37" ht="24" x14ac:dyDescent="0.3">
      <c r="A840" s="18" t="s">
        <v>2450</v>
      </c>
      <c r="B840" s="18" t="s">
        <v>107</v>
      </c>
      <c r="C840" s="19" t="s">
        <v>108</v>
      </c>
      <c r="D840" s="18" t="s">
        <v>1468</v>
      </c>
      <c r="E840" s="19" t="s">
        <v>721</v>
      </c>
      <c r="F840" s="18" t="s">
        <v>110</v>
      </c>
      <c r="G840" s="18" t="s">
        <v>111</v>
      </c>
      <c r="H840" s="19" t="s">
        <v>112</v>
      </c>
      <c r="I840" s="18" t="s">
        <v>113</v>
      </c>
      <c r="J840" s="19" t="s">
        <v>114</v>
      </c>
      <c r="K840" s="19" t="s">
        <v>151</v>
      </c>
      <c r="L840" s="18" t="s">
        <v>116</v>
      </c>
      <c r="M840" s="18" t="s">
        <v>1419</v>
      </c>
      <c r="N840" s="18" t="s">
        <v>118</v>
      </c>
      <c r="O840" s="20">
        <v>119000</v>
      </c>
      <c r="P840" s="20">
        <v>80920</v>
      </c>
      <c r="Q840" s="20">
        <v>1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32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119000</v>
      </c>
      <c r="AD840" s="20">
        <v>80920</v>
      </c>
      <c r="AE840" s="20">
        <v>0</v>
      </c>
      <c r="AF840" s="20">
        <v>0</v>
      </c>
      <c r="AG840" s="20">
        <v>119000</v>
      </c>
      <c r="AH840" s="20">
        <v>80920</v>
      </c>
      <c r="AI840" s="20">
        <v>34618</v>
      </c>
      <c r="AJ840" s="20">
        <v>3462</v>
      </c>
      <c r="AK840" s="20">
        <v>38080</v>
      </c>
    </row>
    <row r="841" spans="1:37" ht="24" x14ac:dyDescent="0.3">
      <c r="A841" s="18" t="s">
        <v>2451</v>
      </c>
      <c r="B841" s="18" t="s">
        <v>107</v>
      </c>
      <c r="C841" s="19" t="s">
        <v>108</v>
      </c>
      <c r="D841" s="18" t="s">
        <v>1474</v>
      </c>
      <c r="E841" s="19" t="s">
        <v>1475</v>
      </c>
      <c r="F841" s="18" t="s">
        <v>110</v>
      </c>
      <c r="G841" s="18" t="s">
        <v>111</v>
      </c>
      <c r="H841" s="19" t="s">
        <v>112</v>
      </c>
      <c r="I841" s="18" t="s">
        <v>113</v>
      </c>
      <c r="J841" s="19" t="s">
        <v>114</v>
      </c>
      <c r="K841" s="19" t="s">
        <v>115</v>
      </c>
      <c r="L841" s="18" t="s">
        <v>116</v>
      </c>
      <c r="M841" s="18" t="s">
        <v>1419</v>
      </c>
      <c r="N841" s="18" t="s">
        <v>118</v>
      </c>
      <c r="O841" s="20">
        <v>119000</v>
      </c>
      <c r="P841" s="20">
        <v>80920</v>
      </c>
      <c r="Q841" s="20">
        <v>1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32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119000</v>
      </c>
      <c r="AD841" s="20">
        <v>80920</v>
      </c>
      <c r="AE841" s="20">
        <v>0</v>
      </c>
      <c r="AF841" s="20">
        <v>0</v>
      </c>
      <c r="AG841" s="20">
        <v>119000</v>
      </c>
      <c r="AH841" s="20">
        <v>80920</v>
      </c>
      <c r="AI841" s="20">
        <v>34618</v>
      </c>
      <c r="AJ841" s="20">
        <v>3462</v>
      </c>
      <c r="AK841" s="20">
        <v>38080</v>
      </c>
    </row>
    <row r="842" spans="1:37" ht="24" x14ac:dyDescent="0.3">
      <c r="A842" s="18" t="s">
        <v>2452</v>
      </c>
      <c r="B842" s="18" t="s">
        <v>107</v>
      </c>
      <c r="C842" s="19" t="s">
        <v>108</v>
      </c>
      <c r="D842" s="18" t="s">
        <v>1566</v>
      </c>
      <c r="E842" s="19" t="s">
        <v>1567</v>
      </c>
      <c r="F842" s="18" t="s">
        <v>110</v>
      </c>
      <c r="G842" s="18" t="s">
        <v>111</v>
      </c>
      <c r="H842" s="19" t="s">
        <v>112</v>
      </c>
      <c r="I842" s="18" t="s">
        <v>113</v>
      </c>
      <c r="J842" s="19" t="s">
        <v>114</v>
      </c>
      <c r="K842" s="19" t="s">
        <v>115</v>
      </c>
      <c r="L842" s="18" t="s">
        <v>116</v>
      </c>
      <c r="M842" s="18" t="s">
        <v>1419</v>
      </c>
      <c r="N842" s="18" t="s">
        <v>118</v>
      </c>
      <c r="O842" s="20">
        <v>119000</v>
      </c>
      <c r="P842" s="20">
        <v>80920</v>
      </c>
      <c r="Q842" s="20">
        <v>1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32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119000</v>
      </c>
      <c r="AD842" s="20">
        <v>80920</v>
      </c>
      <c r="AE842" s="20">
        <v>0</v>
      </c>
      <c r="AF842" s="20">
        <v>0</v>
      </c>
      <c r="AG842" s="20">
        <v>119000</v>
      </c>
      <c r="AH842" s="20">
        <v>80920</v>
      </c>
      <c r="AI842" s="20">
        <v>34618</v>
      </c>
      <c r="AJ842" s="20">
        <v>3462</v>
      </c>
      <c r="AK842" s="20">
        <v>38080</v>
      </c>
    </row>
    <row r="843" spans="1:37" ht="24" x14ac:dyDescent="0.3">
      <c r="A843" s="18" t="s">
        <v>2453</v>
      </c>
      <c r="B843" s="18" t="s">
        <v>107</v>
      </c>
      <c r="C843" s="19" t="s">
        <v>108</v>
      </c>
      <c r="D843" s="18" t="s">
        <v>1655</v>
      </c>
      <c r="E843" s="19" t="s">
        <v>1656</v>
      </c>
      <c r="F843" s="18" t="s">
        <v>110</v>
      </c>
      <c r="G843" s="18" t="s">
        <v>111</v>
      </c>
      <c r="H843" s="19" t="s">
        <v>112</v>
      </c>
      <c r="I843" s="18" t="s">
        <v>113</v>
      </c>
      <c r="J843" s="19" t="s">
        <v>114</v>
      </c>
      <c r="K843" s="19" t="s">
        <v>115</v>
      </c>
      <c r="L843" s="18" t="s">
        <v>116</v>
      </c>
      <c r="M843" s="18" t="s">
        <v>1419</v>
      </c>
      <c r="N843" s="18" t="s">
        <v>118</v>
      </c>
      <c r="O843" s="20">
        <v>119000</v>
      </c>
      <c r="P843" s="20">
        <v>80920</v>
      </c>
      <c r="Q843" s="20">
        <v>1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32</v>
      </c>
      <c r="X843" s="20">
        <v>0</v>
      </c>
      <c r="Y843" s="20">
        <v>0</v>
      </c>
      <c r="Z843" s="20">
        <v>0</v>
      </c>
      <c r="AA843" s="20">
        <v>0</v>
      </c>
      <c r="AB843" s="20">
        <v>0</v>
      </c>
      <c r="AC843" s="20">
        <v>119000</v>
      </c>
      <c r="AD843" s="20">
        <v>80920</v>
      </c>
      <c r="AE843" s="20">
        <v>0</v>
      </c>
      <c r="AF843" s="20">
        <v>0</v>
      </c>
      <c r="AG843" s="20">
        <v>119000</v>
      </c>
      <c r="AH843" s="20">
        <v>80920</v>
      </c>
      <c r="AI843" s="20">
        <v>34618</v>
      </c>
      <c r="AJ843" s="20">
        <v>3462</v>
      </c>
      <c r="AK843" s="20">
        <v>38080</v>
      </c>
    </row>
    <row r="844" spans="1:37" ht="24" x14ac:dyDescent="0.3">
      <c r="A844" s="18" t="s">
        <v>2454</v>
      </c>
      <c r="B844" s="18" t="s">
        <v>107</v>
      </c>
      <c r="C844" s="19" t="s">
        <v>108</v>
      </c>
      <c r="D844" s="18" t="s">
        <v>1658</v>
      </c>
      <c r="E844" s="19" t="s">
        <v>1659</v>
      </c>
      <c r="F844" s="18" t="s">
        <v>110</v>
      </c>
      <c r="G844" s="18" t="s">
        <v>111</v>
      </c>
      <c r="H844" s="19" t="s">
        <v>112</v>
      </c>
      <c r="I844" s="18" t="s">
        <v>113</v>
      </c>
      <c r="J844" s="19" t="s">
        <v>114</v>
      </c>
      <c r="K844" s="19" t="s">
        <v>115</v>
      </c>
      <c r="L844" s="18" t="s">
        <v>116</v>
      </c>
      <c r="M844" s="18" t="s">
        <v>1419</v>
      </c>
      <c r="N844" s="18" t="s">
        <v>118</v>
      </c>
      <c r="O844" s="20">
        <v>119000</v>
      </c>
      <c r="P844" s="20">
        <v>80920</v>
      </c>
      <c r="Q844" s="20">
        <v>1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32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119000</v>
      </c>
      <c r="AD844" s="20">
        <v>80920</v>
      </c>
      <c r="AE844" s="20">
        <v>0</v>
      </c>
      <c r="AF844" s="20">
        <v>0</v>
      </c>
      <c r="AG844" s="20">
        <v>119000</v>
      </c>
      <c r="AH844" s="20">
        <v>80920</v>
      </c>
      <c r="AI844" s="20">
        <v>34618</v>
      </c>
      <c r="AJ844" s="20">
        <v>3462</v>
      </c>
      <c r="AK844" s="20">
        <v>38080</v>
      </c>
    </row>
    <row r="845" spans="1:37" ht="24" x14ac:dyDescent="0.3">
      <c r="A845" s="18" t="s">
        <v>2455</v>
      </c>
      <c r="B845" s="18" t="s">
        <v>107</v>
      </c>
      <c r="C845" s="19" t="s">
        <v>108</v>
      </c>
      <c r="D845" s="18" t="s">
        <v>1586</v>
      </c>
      <c r="E845" s="19" t="s">
        <v>1587</v>
      </c>
      <c r="F845" s="18" t="s">
        <v>110</v>
      </c>
      <c r="G845" s="18" t="s">
        <v>111</v>
      </c>
      <c r="H845" s="19" t="s">
        <v>112</v>
      </c>
      <c r="I845" s="18" t="s">
        <v>113</v>
      </c>
      <c r="J845" s="19" t="s">
        <v>114</v>
      </c>
      <c r="K845" s="19" t="s">
        <v>115</v>
      </c>
      <c r="L845" s="18" t="s">
        <v>116</v>
      </c>
      <c r="M845" s="18" t="s">
        <v>1419</v>
      </c>
      <c r="N845" s="18" t="s">
        <v>118</v>
      </c>
      <c r="O845" s="20">
        <v>119000</v>
      </c>
      <c r="P845" s="20">
        <v>80920</v>
      </c>
      <c r="Q845" s="20">
        <v>1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32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119000</v>
      </c>
      <c r="AD845" s="20">
        <v>80920</v>
      </c>
      <c r="AE845" s="20">
        <v>0</v>
      </c>
      <c r="AF845" s="20">
        <v>0</v>
      </c>
      <c r="AG845" s="20">
        <v>119000</v>
      </c>
      <c r="AH845" s="20">
        <v>80920</v>
      </c>
      <c r="AI845" s="20">
        <v>34618</v>
      </c>
      <c r="AJ845" s="20">
        <v>3462</v>
      </c>
      <c r="AK845" s="20">
        <v>38080</v>
      </c>
    </row>
    <row r="846" spans="1:37" ht="24" x14ac:dyDescent="0.3">
      <c r="A846" s="18" t="s">
        <v>2456</v>
      </c>
      <c r="B846" s="18" t="s">
        <v>107</v>
      </c>
      <c r="C846" s="19" t="s">
        <v>108</v>
      </c>
      <c r="D846" s="18" t="s">
        <v>1443</v>
      </c>
      <c r="E846" s="19" t="s">
        <v>1444</v>
      </c>
      <c r="F846" s="18" t="s">
        <v>110</v>
      </c>
      <c r="G846" s="18" t="s">
        <v>111</v>
      </c>
      <c r="H846" s="19" t="s">
        <v>112</v>
      </c>
      <c r="I846" s="18" t="s">
        <v>113</v>
      </c>
      <c r="J846" s="19" t="s">
        <v>114</v>
      </c>
      <c r="K846" s="19" t="s">
        <v>115</v>
      </c>
      <c r="L846" s="18" t="s">
        <v>116</v>
      </c>
      <c r="M846" s="18" t="s">
        <v>1419</v>
      </c>
      <c r="N846" s="18" t="s">
        <v>118</v>
      </c>
      <c r="O846" s="20">
        <v>119000</v>
      </c>
      <c r="P846" s="20">
        <v>80920</v>
      </c>
      <c r="Q846" s="20">
        <v>1</v>
      </c>
      <c r="R846" s="20">
        <v>0</v>
      </c>
      <c r="S846" s="20">
        <v>0</v>
      </c>
      <c r="T846" s="20">
        <v>0</v>
      </c>
      <c r="U846" s="20">
        <v>0</v>
      </c>
      <c r="V846" s="20">
        <v>0</v>
      </c>
      <c r="W846" s="20">
        <v>32</v>
      </c>
      <c r="X846" s="20">
        <v>23800</v>
      </c>
      <c r="Y846" s="20">
        <v>0</v>
      </c>
      <c r="Z846" s="20">
        <v>0</v>
      </c>
      <c r="AA846" s="20">
        <v>0</v>
      </c>
      <c r="AB846" s="20">
        <v>0</v>
      </c>
      <c r="AC846" s="20">
        <v>119000</v>
      </c>
      <c r="AD846" s="20">
        <v>80920</v>
      </c>
      <c r="AE846" s="20">
        <v>0</v>
      </c>
      <c r="AF846" s="20">
        <v>23800</v>
      </c>
      <c r="AG846" s="20">
        <v>95200</v>
      </c>
      <c r="AH846" s="20">
        <v>80920</v>
      </c>
      <c r="AI846" s="20">
        <v>12982</v>
      </c>
      <c r="AJ846" s="20">
        <v>1298</v>
      </c>
      <c r="AK846" s="20">
        <v>14280</v>
      </c>
    </row>
    <row r="847" spans="1:37" ht="24" x14ac:dyDescent="0.3">
      <c r="A847" s="18" t="s">
        <v>2457</v>
      </c>
      <c r="B847" s="18" t="s">
        <v>107</v>
      </c>
      <c r="C847" s="19" t="s">
        <v>108</v>
      </c>
      <c r="D847" s="18" t="s">
        <v>1456</v>
      </c>
      <c r="E847" s="19" t="s">
        <v>315</v>
      </c>
      <c r="F847" s="18" t="s">
        <v>110</v>
      </c>
      <c r="G847" s="18" t="s">
        <v>111</v>
      </c>
      <c r="H847" s="19" t="s">
        <v>112</v>
      </c>
      <c r="I847" s="18" t="s">
        <v>113</v>
      </c>
      <c r="J847" s="19" t="s">
        <v>114</v>
      </c>
      <c r="K847" s="19" t="s">
        <v>115</v>
      </c>
      <c r="L847" s="18" t="s">
        <v>116</v>
      </c>
      <c r="M847" s="18" t="s">
        <v>1419</v>
      </c>
      <c r="N847" s="18" t="s">
        <v>118</v>
      </c>
      <c r="O847" s="20">
        <v>119000</v>
      </c>
      <c r="P847" s="20">
        <v>80920</v>
      </c>
      <c r="Q847" s="20">
        <v>1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32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119000</v>
      </c>
      <c r="AD847" s="20">
        <v>80920</v>
      </c>
      <c r="AE847" s="20">
        <v>0</v>
      </c>
      <c r="AF847" s="20">
        <v>0</v>
      </c>
      <c r="AG847" s="20">
        <v>119000</v>
      </c>
      <c r="AH847" s="20">
        <v>80920</v>
      </c>
      <c r="AI847" s="20">
        <v>34618</v>
      </c>
      <c r="AJ847" s="20">
        <v>3462</v>
      </c>
      <c r="AK847" s="20">
        <v>38080</v>
      </c>
    </row>
    <row r="848" spans="1:37" ht="24" x14ac:dyDescent="0.3">
      <c r="A848" s="18" t="s">
        <v>2458</v>
      </c>
      <c r="B848" s="18" t="s">
        <v>107</v>
      </c>
      <c r="C848" s="19" t="s">
        <v>108</v>
      </c>
      <c r="D848" s="18" t="s">
        <v>1486</v>
      </c>
      <c r="E848" s="19" t="s">
        <v>328</v>
      </c>
      <c r="F848" s="18" t="s">
        <v>110</v>
      </c>
      <c r="G848" s="18" t="s">
        <v>111</v>
      </c>
      <c r="H848" s="19" t="s">
        <v>112</v>
      </c>
      <c r="I848" s="18" t="s">
        <v>113</v>
      </c>
      <c r="J848" s="19" t="s">
        <v>114</v>
      </c>
      <c r="K848" s="19" t="s">
        <v>151</v>
      </c>
      <c r="L848" s="18" t="s">
        <v>116</v>
      </c>
      <c r="M848" s="18" t="s">
        <v>1419</v>
      </c>
      <c r="N848" s="18" t="s">
        <v>118</v>
      </c>
      <c r="O848" s="20">
        <v>119000</v>
      </c>
      <c r="P848" s="20">
        <v>80920</v>
      </c>
      <c r="Q848" s="20">
        <v>2</v>
      </c>
      <c r="R848" s="20">
        <v>0</v>
      </c>
      <c r="S848" s="20">
        <v>0</v>
      </c>
      <c r="T848" s="20">
        <v>0</v>
      </c>
      <c r="U848" s="20">
        <v>0</v>
      </c>
      <c r="V848" s="20">
        <v>0</v>
      </c>
      <c r="W848" s="20">
        <v>32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238000</v>
      </c>
      <c r="AD848" s="20">
        <v>161840</v>
      </c>
      <c r="AE848" s="20">
        <v>0</v>
      </c>
      <c r="AF848" s="20">
        <v>0</v>
      </c>
      <c r="AG848" s="20">
        <v>238000</v>
      </c>
      <c r="AH848" s="20">
        <v>161840</v>
      </c>
      <c r="AI848" s="20">
        <v>69236</v>
      </c>
      <c r="AJ848" s="20">
        <v>6924</v>
      </c>
      <c r="AK848" s="20">
        <v>76160</v>
      </c>
    </row>
    <row r="849" spans="1:37" ht="24" x14ac:dyDescent="0.3">
      <c r="A849" s="18" t="s">
        <v>2459</v>
      </c>
      <c r="B849" s="18" t="s">
        <v>107</v>
      </c>
      <c r="C849" s="19" t="s">
        <v>108</v>
      </c>
      <c r="D849" s="18" t="s">
        <v>1488</v>
      </c>
      <c r="E849" s="19" t="s">
        <v>1489</v>
      </c>
      <c r="F849" s="18" t="s">
        <v>110</v>
      </c>
      <c r="G849" s="18" t="s">
        <v>111</v>
      </c>
      <c r="H849" s="19" t="s">
        <v>112</v>
      </c>
      <c r="I849" s="18" t="s">
        <v>113</v>
      </c>
      <c r="J849" s="19" t="s">
        <v>114</v>
      </c>
      <c r="K849" s="19" t="s">
        <v>115</v>
      </c>
      <c r="L849" s="18" t="s">
        <v>116</v>
      </c>
      <c r="M849" s="18" t="s">
        <v>1419</v>
      </c>
      <c r="N849" s="18" t="s">
        <v>118</v>
      </c>
      <c r="O849" s="20">
        <v>119000</v>
      </c>
      <c r="P849" s="20">
        <v>80920</v>
      </c>
      <c r="Q849" s="20">
        <v>2</v>
      </c>
      <c r="R849" s="20">
        <v>0</v>
      </c>
      <c r="S849" s="20">
        <v>0</v>
      </c>
      <c r="T849" s="20">
        <v>0</v>
      </c>
      <c r="U849" s="20">
        <v>0</v>
      </c>
      <c r="V849" s="20">
        <v>0</v>
      </c>
      <c r="W849" s="20">
        <v>32</v>
      </c>
      <c r="X849" s="20">
        <v>0</v>
      </c>
      <c r="Y849" s="20">
        <v>0</v>
      </c>
      <c r="Z849" s="20">
        <v>0</v>
      </c>
      <c r="AA849" s="20">
        <v>0</v>
      </c>
      <c r="AB849" s="20">
        <v>0</v>
      </c>
      <c r="AC849" s="20">
        <v>238000</v>
      </c>
      <c r="AD849" s="20">
        <v>161840</v>
      </c>
      <c r="AE849" s="20">
        <v>0</v>
      </c>
      <c r="AF849" s="20">
        <v>0</v>
      </c>
      <c r="AG849" s="20">
        <v>238000</v>
      </c>
      <c r="AH849" s="20">
        <v>161840</v>
      </c>
      <c r="AI849" s="20">
        <v>69236</v>
      </c>
      <c r="AJ849" s="20">
        <v>6924</v>
      </c>
      <c r="AK849" s="20">
        <v>76160</v>
      </c>
    </row>
    <row r="850" spans="1:37" ht="24" x14ac:dyDescent="0.3">
      <c r="A850" s="18" t="s">
        <v>2460</v>
      </c>
      <c r="B850" s="18" t="s">
        <v>107</v>
      </c>
      <c r="C850" s="19" t="s">
        <v>108</v>
      </c>
      <c r="D850" s="18" t="s">
        <v>1520</v>
      </c>
      <c r="E850" s="19" t="s">
        <v>721</v>
      </c>
      <c r="F850" s="18" t="s">
        <v>110</v>
      </c>
      <c r="G850" s="18" t="s">
        <v>111</v>
      </c>
      <c r="H850" s="19" t="s">
        <v>112</v>
      </c>
      <c r="I850" s="18" t="s">
        <v>113</v>
      </c>
      <c r="J850" s="19" t="s">
        <v>114</v>
      </c>
      <c r="K850" s="19" t="s">
        <v>123</v>
      </c>
      <c r="L850" s="18" t="s">
        <v>116</v>
      </c>
      <c r="M850" s="18" t="s">
        <v>1419</v>
      </c>
      <c r="N850" s="18" t="s">
        <v>118</v>
      </c>
      <c r="O850" s="20">
        <v>119000</v>
      </c>
      <c r="P850" s="20">
        <v>80920</v>
      </c>
      <c r="Q850" s="20">
        <v>1</v>
      </c>
      <c r="R850" s="20">
        <v>0</v>
      </c>
      <c r="S850" s="20">
        <v>0</v>
      </c>
      <c r="T850" s="20">
        <v>0</v>
      </c>
      <c r="U850" s="20">
        <v>0</v>
      </c>
      <c r="V850" s="20">
        <v>0</v>
      </c>
      <c r="W850" s="20">
        <v>32</v>
      </c>
      <c r="X850" s="20">
        <v>0</v>
      </c>
      <c r="Y850" s="20">
        <v>5950</v>
      </c>
      <c r="Z850" s="20">
        <v>0</v>
      </c>
      <c r="AA850" s="20">
        <v>0</v>
      </c>
      <c r="AB850" s="20">
        <v>0</v>
      </c>
      <c r="AC850" s="20">
        <v>119000</v>
      </c>
      <c r="AD850" s="20">
        <v>80920</v>
      </c>
      <c r="AE850" s="20">
        <v>0</v>
      </c>
      <c r="AF850" s="20">
        <v>5950</v>
      </c>
      <c r="AG850" s="20">
        <v>113050</v>
      </c>
      <c r="AH850" s="20">
        <v>80920</v>
      </c>
      <c r="AI850" s="20">
        <v>29209</v>
      </c>
      <c r="AJ850" s="20">
        <v>2921</v>
      </c>
      <c r="AK850" s="20">
        <v>32130</v>
      </c>
    </row>
    <row r="851" spans="1:37" ht="24" x14ac:dyDescent="0.3">
      <c r="A851" s="18" t="s">
        <v>2461</v>
      </c>
      <c r="B851" s="18" t="s">
        <v>107</v>
      </c>
      <c r="C851" s="19" t="s">
        <v>108</v>
      </c>
      <c r="D851" s="18" t="s">
        <v>2462</v>
      </c>
      <c r="E851" s="19" t="s">
        <v>2463</v>
      </c>
      <c r="F851" s="18" t="s">
        <v>110</v>
      </c>
      <c r="G851" s="18" t="s">
        <v>111</v>
      </c>
      <c r="H851" s="19" t="s">
        <v>112</v>
      </c>
      <c r="I851" s="18" t="s">
        <v>113</v>
      </c>
      <c r="J851" s="19" t="s">
        <v>114</v>
      </c>
      <c r="K851" s="19" t="s">
        <v>151</v>
      </c>
      <c r="L851" s="18" t="s">
        <v>116</v>
      </c>
      <c r="M851" s="18" t="s">
        <v>1419</v>
      </c>
      <c r="N851" s="18" t="s">
        <v>118</v>
      </c>
      <c r="O851" s="20">
        <v>119000</v>
      </c>
      <c r="P851" s="20">
        <v>82110</v>
      </c>
      <c r="Q851" s="20">
        <v>1</v>
      </c>
      <c r="R851" s="20">
        <v>0</v>
      </c>
      <c r="S851" s="20">
        <v>0</v>
      </c>
      <c r="T851" s="20">
        <v>0</v>
      </c>
      <c r="U851" s="20">
        <v>0</v>
      </c>
      <c r="V851" s="20">
        <v>0</v>
      </c>
      <c r="W851" s="20">
        <v>31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119000</v>
      </c>
      <c r="AD851" s="20">
        <v>82110</v>
      </c>
      <c r="AE851" s="20">
        <v>0</v>
      </c>
      <c r="AF851" s="20">
        <v>0</v>
      </c>
      <c r="AG851" s="20">
        <v>119000</v>
      </c>
      <c r="AH851" s="20">
        <v>82110</v>
      </c>
      <c r="AI851" s="20">
        <v>33536</v>
      </c>
      <c r="AJ851" s="20">
        <v>3354</v>
      </c>
      <c r="AK851" s="20">
        <v>36890</v>
      </c>
    </row>
    <row r="852" spans="1:37" ht="24" x14ac:dyDescent="0.3">
      <c r="A852" s="18" t="s">
        <v>2464</v>
      </c>
      <c r="B852" s="18" t="s">
        <v>107</v>
      </c>
      <c r="C852" s="19" t="s">
        <v>108</v>
      </c>
      <c r="D852" s="18" t="s">
        <v>2465</v>
      </c>
      <c r="E852" s="19" t="s">
        <v>2466</v>
      </c>
      <c r="F852" s="18" t="s">
        <v>110</v>
      </c>
      <c r="G852" s="18" t="s">
        <v>111</v>
      </c>
      <c r="H852" s="19" t="s">
        <v>112</v>
      </c>
      <c r="I852" s="18" t="s">
        <v>113</v>
      </c>
      <c r="J852" s="19" t="s">
        <v>114</v>
      </c>
      <c r="K852" s="19" t="s">
        <v>123</v>
      </c>
      <c r="L852" s="18" t="s">
        <v>116</v>
      </c>
      <c r="M852" s="18" t="s">
        <v>1419</v>
      </c>
      <c r="N852" s="18" t="s">
        <v>118</v>
      </c>
      <c r="O852" s="20">
        <v>119000</v>
      </c>
      <c r="P852" s="20">
        <v>80920</v>
      </c>
      <c r="Q852" s="20">
        <v>1</v>
      </c>
      <c r="R852" s="20">
        <v>0</v>
      </c>
      <c r="S852" s="20">
        <v>0</v>
      </c>
      <c r="T852" s="20">
        <v>0</v>
      </c>
      <c r="U852" s="20">
        <v>0</v>
      </c>
      <c r="V852" s="20">
        <v>0</v>
      </c>
      <c r="W852" s="20">
        <v>32</v>
      </c>
      <c r="X852" s="20">
        <v>0</v>
      </c>
      <c r="Y852" s="20">
        <v>5950</v>
      </c>
      <c r="Z852" s="20">
        <v>0</v>
      </c>
      <c r="AA852" s="20">
        <v>0</v>
      </c>
      <c r="AB852" s="20">
        <v>0</v>
      </c>
      <c r="AC852" s="20">
        <v>119000</v>
      </c>
      <c r="AD852" s="20">
        <v>80920</v>
      </c>
      <c r="AE852" s="20">
        <v>0</v>
      </c>
      <c r="AF852" s="20">
        <v>5950</v>
      </c>
      <c r="AG852" s="20">
        <v>113050</v>
      </c>
      <c r="AH852" s="20">
        <v>80920</v>
      </c>
      <c r="AI852" s="20">
        <v>29209</v>
      </c>
      <c r="AJ852" s="20">
        <v>2921</v>
      </c>
      <c r="AK852" s="20">
        <v>32130</v>
      </c>
    </row>
    <row r="853" spans="1:37" ht="24" x14ac:dyDescent="0.3">
      <c r="A853" s="18" t="s">
        <v>2467</v>
      </c>
      <c r="B853" s="18" t="s">
        <v>107</v>
      </c>
      <c r="C853" s="19" t="s">
        <v>108</v>
      </c>
      <c r="D853" s="18" t="s">
        <v>2468</v>
      </c>
      <c r="E853" s="19" t="s">
        <v>411</v>
      </c>
      <c r="F853" s="18" t="s">
        <v>110</v>
      </c>
      <c r="G853" s="18" t="s">
        <v>111</v>
      </c>
      <c r="H853" s="19" t="s">
        <v>112</v>
      </c>
      <c r="I853" s="18" t="s">
        <v>113</v>
      </c>
      <c r="J853" s="19" t="s">
        <v>114</v>
      </c>
      <c r="K853" s="19" t="s">
        <v>115</v>
      </c>
      <c r="L853" s="18" t="s">
        <v>116</v>
      </c>
      <c r="M853" s="18" t="s">
        <v>1419</v>
      </c>
      <c r="N853" s="18" t="s">
        <v>118</v>
      </c>
      <c r="O853" s="20">
        <v>119000</v>
      </c>
      <c r="P853" s="20">
        <v>80920</v>
      </c>
      <c r="Q853" s="20">
        <v>1</v>
      </c>
      <c r="R853" s="20">
        <v>0</v>
      </c>
      <c r="S853" s="20">
        <v>0</v>
      </c>
      <c r="T853" s="20">
        <v>0</v>
      </c>
      <c r="U853" s="20">
        <v>0</v>
      </c>
      <c r="V853" s="20">
        <v>0</v>
      </c>
      <c r="W853" s="20">
        <v>32</v>
      </c>
      <c r="X853" s="20">
        <v>0</v>
      </c>
      <c r="Y853" s="20">
        <v>0</v>
      </c>
      <c r="Z853" s="20">
        <v>0</v>
      </c>
      <c r="AA853" s="20">
        <v>0</v>
      </c>
      <c r="AB853" s="20">
        <v>0</v>
      </c>
      <c r="AC853" s="20">
        <v>119000</v>
      </c>
      <c r="AD853" s="20">
        <v>80920</v>
      </c>
      <c r="AE853" s="20">
        <v>0</v>
      </c>
      <c r="AF853" s="20">
        <v>0</v>
      </c>
      <c r="AG853" s="20">
        <v>119000</v>
      </c>
      <c r="AH853" s="20">
        <v>80920</v>
      </c>
      <c r="AI853" s="20">
        <v>34618</v>
      </c>
      <c r="AJ853" s="20">
        <v>3462</v>
      </c>
      <c r="AK853" s="20">
        <v>38080</v>
      </c>
    </row>
    <row r="854" spans="1:37" ht="24" x14ac:dyDescent="0.3">
      <c r="A854" s="18" t="s">
        <v>2469</v>
      </c>
      <c r="B854" s="18" t="s">
        <v>107</v>
      </c>
      <c r="C854" s="19" t="s">
        <v>108</v>
      </c>
      <c r="D854" s="18" t="s">
        <v>2470</v>
      </c>
      <c r="E854" s="19" t="s">
        <v>614</v>
      </c>
      <c r="F854" s="18" t="s">
        <v>110</v>
      </c>
      <c r="G854" s="18" t="s">
        <v>111</v>
      </c>
      <c r="H854" s="19" t="s">
        <v>112</v>
      </c>
      <c r="I854" s="18" t="s">
        <v>113</v>
      </c>
      <c r="J854" s="19" t="s">
        <v>114</v>
      </c>
      <c r="K854" s="19" t="s">
        <v>115</v>
      </c>
      <c r="L854" s="18" t="s">
        <v>116</v>
      </c>
      <c r="M854" s="18" t="s">
        <v>1419</v>
      </c>
      <c r="N854" s="18" t="s">
        <v>118</v>
      </c>
      <c r="O854" s="20">
        <v>119000</v>
      </c>
      <c r="P854" s="20">
        <v>80920</v>
      </c>
      <c r="Q854" s="20">
        <v>1</v>
      </c>
      <c r="R854" s="20">
        <v>0</v>
      </c>
      <c r="S854" s="20">
        <v>0</v>
      </c>
      <c r="T854" s="20">
        <v>0</v>
      </c>
      <c r="U854" s="20">
        <v>0</v>
      </c>
      <c r="V854" s="20">
        <v>0</v>
      </c>
      <c r="W854" s="20">
        <v>32</v>
      </c>
      <c r="X854" s="20">
        <v>0</v>
      </c>
      <c r="Y854" s="20">
        <v>10000</v>
      </c>
      <c r="Z854" s="20">
        <v>0</v>
      </c>
      <c r="AA854" s="20">
        <v>0</v>
      </c>
      <c r="AB854" s="20">
        <v>0</v>
      </c>
      <c r="AC854" s="20">
        <v>119000</v>
      </c>
      <c r="AD854" s="20">
        <v>80920</v>
      </c>
      <c r="AE854" s="20">
        <v>0</v>
      </c>
      <c r="AF854" s="20">
        <v>10000</v>
      </c>
      <c r="AG854" s="20">
        <v>109000</v>
      </c>
      <c r="AH854" s="20">
        <v>80920</v>
      </c>
      <c r="AI854" s="20">
        <v>25527</v>
      </c>
      <c r="AJ854" s="20">
        <v>2553</v>
      </c>
      <c r="AK854" s="20">
        <v>28080</v>
      </c>
    </row>
    <row r="855" spans="1:37" ht="24" x14ac:dyDescent="0.3">
      <c r="A855" s="18" t="s">
        <v>2471</v>
      </c>
      <c r="B855" s="18" t="s">
        <v>107</v>
      </c>
      <c r="C855" s="19" t="s">
        <v>108</v>
      </c>
      <c r="D855" s="18" t="s">
        <v>2472</v>
      </c>
      <c r="E855" s="19" t="s">
        <v>378</v>
      </c>
      <c r="F855" s="18" t="s">
        <v>110</v>
      </c>
      <c r="G855" s="18" t="s">
        <v>111</v>
      </c>
      <c r="H855" s="19" t="s">
        <v>112</v>
      </c>
      <c r="I855" s="18" t="s">
        <v>113</v>
      </c>
      <c r="J855" s="19" t="s">
        <v>114</v>
      </c>
      <c r="K855" s="19" t="s">
        <v>115</v>
      </c>
      <c r="L855" s="18" t="s">
        <v>116</v>
      </c>
      <c r="M855" s="18" t="s">
        <v>1419</v>
      </c>
      <c r="N855" s="18" t="s">
        <v>118</v>
      </c>
      <c r="O855" s="20">
        <v>119000</v>
      </c>
      <c r="P855" s="20">
        <v>80920</v>
      </c>
      <c r="Q855" s="20">
        <v>1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32</v>
      </c>
      <c r="X855" s="20">
        <v>0</v>
      </c>
      <c r="Y855" s="20">
        <v>0</v>
      </c>
      <c r="Z855" s="20">
        <v>0</v>
      </c>
      <c r="AA855" s="20">
        <v>0</v>
      </c>
      <c r="AB855" s="20">
        <v>0</v>
      </c>
      <c r="AC855" s="20">
        <v>119000</v>
      </c>
      <c r="AD855" s="20">
        <v>80920</v>
      </c>
      <c r="AE855" s="20">
        <v>0</v>
      </c>
      <c r="AF855" s="20">
        <v>0</v>
      </c>
      <c r="AG855" s="20">
        <v>119000</v>
      </c>
      <c r="AH855" s="20">
        <v>80920</v>
      </c>
      <c r="AI855" s="20">
        <v>34618</v>
      </c>
      <c r="AJ855" s="20">
        <v>3462</v>
      </c>
      <c r="AK855" s="20">
        <v>38080</v>
      </c>
    </row>
    <row r="856" spans="1:37" ht="24" x14ac:dyDescent="0.3">
      <c r="A856" s="18" t="s">
        <v>2473</v>
      </c>
      <c r="B856" s="18" t="s">
        <v>107</v>
      </c>
      <c r="C856" s="19" t="s">
        <v>108</v>
      </c>
      <c r="D856" s="18" t="s">
        <v>2474</v>
      </c>
      <c r="E856" s="19" t="s">
        <v>184</v>
      </c>
      <c r="F856" s="18" t="s">
        <v>110</v>
      </c>
      <c r="G856" s="18" t="s">
        <v>111</v>
      </c>
      <c r="H856" s="19" t="s">
        <v>112</v>
      </c>
      <c r="I856" s="18" t="s">
        <v>113</v>
      </c>
      <c r="J856" s="19" t="s">
        <v>114</v>
      </c>
      <c r="K856" s="19" t="s">
        <v>115</v>
      </c>
      <c r="L856" s="18" t="s">
        <v>116</v>
      </c>
      <c r="M856" s="18" t="s">
        <v>1419</v>
      </c>
      <c r="N856" s="18" t="s">
        <v>118</v>
      </c>
      <c r="O856" s="20">
        <v>119000</v>
      </c>
      <c r="P856" s="20">
        <v>80920</v>
      </c>
      <c r="Q856" s="20">
        <v>1</v>
      </c>
      <c r="R856" s="20">
        <v>0</v>
      </c>
      <c r="S856" s="20">
        <v>0</v>
      </c>
      <c r="T856" s="20">
        <v>0</v>
      </c>
      <c r="U856" s="20">
        <v>0</v>
      </c>
      <c r="V856" s="20">
        <v>0</v>
      </c>
      <c r="W856" s="20">
        <v>32</v>
      </c>
      <c r="X856" s="20">
        <v>0</v>
      </c>
      <c r="Y856" s="20">
        <v>0</v>
      </c>
      <c r="Z856" s="20">
        <v>0</v>
      </c>
      <c r="AA856" s="20">
        <v>0</v>
      </c>
      <c r="AB856" s="20">
        <v>0</v>
      </c>
      <c r="AC856" s="20">
        <v>119000</v>
      </c>
      <c r="AD856" s="20">
        <v>80920</v>
      </c>
      <c r="AE856" s="20">
        <v>0</v>
      </c>
      <c r="AF856" s="20">
        <v>0</v>
      </c>
      <c r="AG856" s="20">
        <v>119000</v>
      </c>
      <c r="AH856" s="20">
        <v>80920</v>
      </c>
      <c r="AI856" s="20">
        <v>34618</v>
      </c>
      <c r="AJ856" s="20">
        <v>3462</v>
      </c>
      <c r="AK856" s="20">
        <v>38080</v>
      </c>
    </row>
    <row r="857" spans="1:37" ht="24" x14ac:dyDescent="0.3">
      <c r="A857" s="18" t="s">
        <v>2475</v>
      </c>
      <c r="B857" s="18" t="s">
        <v>107</v>
      </c>
      <c r="C857" s="19" t="s">
        <v>108</v>
      </c>
      <c r="D857" s="18" t="s">
        <v>2476</v>
      </c>
      <c r="E857" s="19" t="s">
        <v>119</v>
      </c>
      <c r="F857" s="18" t="s">
        <v>110</v>
      </c>
      <c r="G857" s="18" t="s">
        <v>111</v>
      </c>
      <c r="H857" s="19" t="s">
        <v>112</v>
      </c>
      <c r="I857" s="18" t="s">
        <v>113</v>
      </c>
      <c r="J857" s="19" t="s">
        <v>114</v>
      </c>
      <c r="K857" s="19" t="s">
        <v>123</v>
      </c>
      <c r="L857" s="18" t="s">
        <v>116</v>
      </c>
      <c r="M857" s="18" t="s">
        <v>1419</v>
      </c>
      <c r="N857" s="18" t="s">
        <v>118</v>
      </c>
      <c r="O857" s="20">
        <v>119000</v>
      </c>
      <c r="P857" s="20">
        <v>80920</v>
      </c>
      <c r="Q857" s="20">
        <v>1</v>
      </c>
      <c r="R857" s="20">
        <v>0</v>
      </c>
      <c r="S857" s="20">
        <v>0</v>
      </c>
      <c r="T857" s="20">
        <v>0</v>
      </c>
      <c r="U857" s="20">
        <v>0</v>
      </c>
      <c r="V857" s="20">
        <v>0</v>
      </c>
      <c r="W857" s="20">
        <v>32</v>
      </c>
      <c r="X857" s="20">
        <v>0</v>
      </c>
      <c r="Y857" s="20">
        <v>5950</v>
      </c>
      <c r="Z857" s="20">
        <v>0</v>
      </c>
      <c r="AA857" s="20">
        <v>0</v>
      </c>
      <c r="AB857" s="20">
        <v>0</v>
      </c>
      <c r="AC857" s="20">
        <v>119000</v>
      </c>
      <c r="AD857" s="20">
        <v>80920</v>
      </c>
      <c r="AE857" s="20">
        <v>0</v>
      </c>
      <c r="AF857" s="20">
        <v>5950</v>
      </c>
      <c r="AG857" s="20">
        <v>113050</v>
      </c>
      <c r="AH857" s="20">
        <v>80920</v>
      </c>
      <c r="AI857" s="20">
        <v>29209</v>
      </c>
      <c r="AJ857" s="20">
        <v>2921</v>
      </c>
      <c r="AK857" s="20">
        <v>32130</v>
      </c>
    </row>
    <row r="858" spans="1:37" ht="24" x14ac:dyDescent="0.3">
      <c r="A858" s="18" t="s">
        <v>2477</v>
      </c>
      <c r="B858" s="18" t="s">
        <v>107</v>
      </c>
      <c r="C858" s="19" t="s">
        <v>108</v>
      </c>
      <c r="D858" s="18" t="s">
        <v>2476</v>
      </c>
      <c r="E858" s="19" t="s">
        <v>119</v>
      </c>
      <c r="F858" s="18" t="s">
        <v>110</v>
      </c>
      <c r="G858" s="18" t="s">
        <v>111</v>
      </c>
      <c r="H858" s="19" t="s">
        <v>112</v>
      </c>
      <c r="I858" s="18" t="s">
        <v>113</v>
      </c>
      <c r="J858" s="19" t="s">
        <v>114</v>
      </c>
      <c r="K858" s="19" t="s">
        <v>123</v>
      </c>
      <c r="L858" s="18" t="s">
        <v>116</v>
      </c>
      <c r="M858" s="18" t="s">
        <v>1419</v>
      </c>
      <c r="N858" s="18" t="s">
        <v>118</v>
      </c>
      <c r="O858" s="20">
        <v>119000</v>
      </c>
      <c r="P858" s="20">
        <v>80920</v>
      </c>
      <c r="Q858" s="20">
        <v>1</v>
      </c>
      <c r="R858" s="20">
        <v>0</v>
      </c>
      <c r="S858" s="20">
        <v>0</v>
      </c>
      <c r="T858" s="20">
        <v>0</v>
      </c>
      <c r="U858" s="20">
        <v>0</v>
      </c>
      <c r="V858" s="20">
        <v>0</v>
      </c>
      <c r="W858" s="20">
        <v>32</v>
      </c>
      <c r="X858" s="20">
        <v>0</v>
      </c>
      <c r="Y858" s="20">
        <v>5950</v>
      </c>
      <c r="Z858" s="20">
        <v>0</v>
      </c>
      <c r="AA858" s="20">
        <v>0</v>
      </c>
      <c r="AB858" s="20">
        <v>0</v>
      </c>
      <c r="AC858" s="20">
        <v>119000</v>
      </c>
      <c r="AD858" s="20">
        <v>80920</v>
      </c>
      <c r="AE858" s="20">
        <v>0</v>
      </c>
      <c r="AF858" s="20">
        <v>5950</v>
      </c>
      <c r="AG858" s="20">
        <v>113050</v>
      </c>
      <c r="AH858" s="20">
        <v>80920</v>
      </c>
      <c r="AI858" s="20">
        <v>29209</v>
      </c>
      <c r="AJ858" s="20">
        <v>2921</v>
      </c>
      <c r="AK858" s="20">
        <v>32130</v>
      </c>
    </row>
    <row r="859" spans="1:37" ht="24" x14ac:dyDescent="0.3">
      <c r="A859" s="18" t="s">
        <v>2478</v>
      </c>
      <c r="B859" s="18" t="s">
        <v>107</v>
      </c>
      <c r="C859" s="19" t="s">
        <v>108</v>
      </c>
      <c r="D859" s="18" t="s">
        <v>2479</v>
      </c>
      <c r="E859" s="19" t="s">
        <v>2480</v>
      </c>
      <c r="F859" s="18" t="s">
        <v>110</v>
      </c>
      <c r="G859" s="18" t="s">
        <v>111</v>
      </c>
      <c r="H859" s="19" t="s">
        <v>112</v>
      </c>
      <c r="I859" s="18" t="s">
        <v>113</v>
      </c>
      <c r="J859" s="19" t="s">
        <v>114</v>
      </c>
      <c r="K859" s="19" t="s">
        <v>115</v>
      </c>
      <c r="L859" s="18" t="s">
        <v>116</v>
      </c>
      <c r="M859" s="18" t="s">
        <v>1419</v>
      </c>
      <c r="N859" s="18" t="s">
        <v>118</v>
      </c>
      <c r="O859" s="20">
        <v>119000</v>
      </c>
      <c r="P859" s="20">
        <v>80920</v>
      </c>
      <c r="Q859" s="20">
        <v>1</v>
      </c>
      <c r="R859" s="20">
        <v>0</v>
      </c>
      <c r="S859" s="20">
        <v>0</v>
      </c>
      <c r="T859" s="20">
        <v>0</v>
      </c>
      <c r="U859" s="20">
        <v>0</v>
      </c>
      <c r="V859" s="20">
        <v>0</v>
      </c>
      <c r="W859" s="20">
        <v>32</v>
      </c>
      <c r="X859" s="20">
        <v>0</v>
      </c>
      <c r="Y859" s="20">
        <v>0</v>
      </c>
      <c r="Z859" s="20">
        <v>0</v>
      </c>
      <c r="AA859" s="20">
        <v>0</v>
      </c>
      <c r="AB859" s="20">
        <v>0</v>
      </c>
      <c r="AC859" s="20">
        <v>119000</v>
      </c>
      <c r="AD859" s="20">
        <v>80920</v>
      </c>
      <c r="AE859" s="20">
        <v>0</v>
      </c>
      <c r="AF859" s="20">
        <v>0</v>
      </c>
      <c r="AG859" s="20">
        <v>119000</v>
      </c>
      <c r="AH859" s="20">
        <v>80920</v>
      </c>
      <c r="AI859" s="20">
        <v>34618</v>
      </c>
      <c r="AJ859" s="20">
        <v>3462</v>
      </c>
      <c r="AK859" s="20">
        <v>38080</v>
      </c>
    </row>
    <row r="860" spans="1:37" ht="24" x14ac:dyDescent="0.3">
      <c r="A860" s="18" t="s">
        <v>2481</v>
      </c>
      <c r="B860" s="18" t="s">
        <v>107</v>
      </c>
      <c r="C860" s="19" t="s">
        <v>108</v>
      </c>
      <c r="D860" s="18" t="s">
        <v>2482</v>
      </c>
      <c r="E860" s="19" t="s">
        <v>2483</v>
      </c>
      <c r="F860" s="18" t="s">
        <v>110</v>
      </c>
      <c r="G860" s="18" t="s">
        <v>111</v>
      </c>
      <c r="H860" s="19" t="s">
        <v>112</v>
      </c>
      <c r="I860" s="18" t="s">
        <v>113</v>
      </c>
      <c r="J860" s="19" t="s">
        <v>114</v>
      </c>
      <c r="K860" s="19" t="s">
        <v>115</v>
      </c>
      <c r="L860" s="18" t="s">
        <v>116</v>
      </c>
      <c r="M860" s="18" t="s">
        <v>1419</v>
      </c>
      <c r="N860" s="18" t="s">
        <v>118</v>
      </c>
      <c r="O860" s="20">
        <v>119000</v>
      </c>
      <c r="P860" s="20">
        <v>80920</v>
      </c>
      <c r="Q860" s="20">
        <v>1</v>
      </c>
      <c r="R860" s="20">
        <v>0</v>
      </c>
      <c r="S860" s="20">
        <v>0</v>
      </c>
      <c r="T860" s="20">
        <v>0</v>
      </c>
      <c r="U860" s="20">
        <v>0</v>
      </c>
      <c r="V860" s="20">
        <v>0</v>
      </c>
      <c r="W860" s="20">
        <v>32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119000</v>
      </c>
      <c r="AD860" s="20">
        <v>80920</v>
      </c>
      <c r="AE860" s="20">
        <v>0</v>
      </c>
      <c r="AF860" s="20">
        <v>0</v>
      </c>
      <c r="AG860" s="20">
        <v>119000</v>
      </c>
      <c r="AH860" s="20">
        <v>80920</v>
      </c>
      <c r="AI860" s="20">
        <v>34618</v>
      </c>
      <c r="AJ860" s="20">
        <v>3462</v>
      </c>
      <c r="AK860" s="20">
        <v>38080</v>
      </c>
    </row>
    <row r="861" spans="1:37" ht="24" x14ac:dyDescent="0.3">
      <c r="A861" s="18" t="s">
        <v>2484</v>
      </c>
      <c r="B861" s="18" t="s">
        <v>107</v>
      </c>
      <c r="C861" s="19" t="s">
        <v>108</v>
      </c>
      <c r="D861" s="18" t="s">
        <v>1515</v>
      </c>
      <c r="E861" s="19" t="s">
        <v>1516</v>
      </c>
      <c r="F861" s="18" t="s">
        <v>110</v>
      </c>
      <c r="G861" s="18" t="s">
        <v>111</v>
      </c>
      <c r="H861" s="19" t="s">
        <v>112</v>
      </c>
      <c r="I861" s="18" t="s">
        <v>113</v>
      </c>
      <c r="J861" s="19" t="s">
        <v>114</v>
      </c>
      <c r="K861" s="19" t="s">
        <v>115</v>
      </c>
      <c r="L861" s="18" t="s">
        <v>116</v>
      </c>
      <c r="M861" s="18" t="s">
        <v>1419</v>
      </c>
      <c r="N861" s="18" t="s">
        <v>118</v>
      </c>
      <c r="O861" s="20">
        <v>119000</v>
      </c>
      <c r="P861" s="20">
        <v>80920</v>
      </c>
      <c r="Q861" s="20">
        <v>1</v>
      </c>
      <c r="R861" s="20">
        <v>0</v>
      </c>
      <c r="S861" s="20">
        <v>0</v>
      </c>
      <c r="T861" s="20">
        <v>0</v>
      </c>
      <c r="U861" s="20">
        <v>0</v>
      </c>
      <c r="V861" s="20">
        <v>0</v>
      </c>
      <c r="W861" s="20">
        <v>32</v>
      </c>
      <c r="X861" s="20">
        <v>0</v>
      </c>
      <c r="Y861" s="20">
        <v>0</v>
      </c>
      <c r="Z861" s="20">
        <v>0</v>
      </c>
      <c r="AA861" s="20">
        <v>0</v>
      </c>
      <c r="AB861" s="20">
        <v>0</v>
      </c>
      <c r="AC861" s="20">
        <v>119000</v>
      </c>
      <c r="AD861" s="20">
        <v>80920</v>
      </c>
      <c r="AE861" s="20">
        <v>0</v>
      </c>
      <c r="AF861" s="20">
        <v>0</v>
      </c>
      <c r="AG861" s="20">
        <v>119000</v>
      </c>
      <c r="AH861" s="20">
        <v>80920</v>
      </c>
      <c r="AI861" s="20">
        <v>34618</v>
      </c>
      <c r="AJ861" s="20">
        <v>3462</v>
      </c>
      <c r="AK861" s="20">
        <v>38080</v>
      </c>
    </row>
    <row r="862" spans="1:37" ht="24" x14ac:dyDescent="0.3">
      <c r="A862" s="18" t="s">
        <v>2485</v>
      </c>
      <c r="B862" s="18" t="s">
        <v>107</v>
      </c>
      <c r="C862" s="19" t="s">
        <v>108</v>
      </c>
      <c r="D862" s="18" t="s">
        <v>2486</v>
      </c>
      <c r="E862" s="19" t="s">
        <v>328</v>
      </c>
      <c r="F862" s="18" t="s">
        <v>110</v>
      </c>
      <c r="G862" s="18" t="s">
        <v>111</v>
      </c>
      <c r="H862" s="19" t="s">
        <v>112</v>
      </c>
      <c r="I862" s="18" t="s">
        <v>113</v>
      </c>
      <c r="J862" s="19" t="s">
        <v>114</v>
      </c>
      <c r="K862" s="19" t="s">
        <v>123</v>
      </c>
      <c r="L862" s="18" t="s">
        <v>116</v>
      </c>
      <c r="M862" s="18" t="s">
        <v>1419</v>
      </c>
      <c r="N862" s="18" t="s">
        <v>118</v>
      </c>
      <c r="O862" s="20">
        <v>119000</v>
      </c>
      <c r="P862" s="20">
        <v>80920</v>
      </c>
      <c r="Q862" s="20">
        <v>1</v>
      </c>
      <c r="R862" s="20">
        <v>0</v>
      </c>
      <c r="S862" s="20">
        <v>0</v>
      </c>
      <c r="T862" s="20">
        <v>0</v>
      </c>
      <c r="U862" s="20">
        <v>0</v>
      </c>
      <c r="V862" s="20">
        <v>0</v>
      </c>
      <c r="W862" s="20">
        <v>32</v>
      </c>
      <c r="X862" s="20">
        <v>0</v>
      </c>
      <c r="Y862" s="20">
        <v>5950</v>
      </c>
      <c r="Z862" s="20">
        <v>0</v>
      </c>
      <c r="AA862" s="20">
        <v>0</v>
      </c>
      <c r="AB862" s="20">
        <v>0</v>
      </c>
      <c r="AC862" s="20">
        <v>119000</v>
      </c>
      <c r="AD862" s="20">
        <v>80920</v>
      </c>
      <c r="AE862" s="20">
        <v>0</v>
      </c>
      <c r="AF862" s="20">
        <v>5950</v>
      </c>
      <c r="AG862" s="20">
        <v>113050</v>
      </c>
      <c r="AH862" s="20">
        <v>80920</v>
      </c>
      <c r="AI862" s="20">
        <v>29209</v>
      </c>
      <c r="AJ862" s="20">
        <v>2921</v>
      </c>
      <c r="AK862" s="20">
        <v>32130</v>
      </c>
    </row>
    <row r="863" spans="1:37" ht="24" x14ac:dyDescent="0.3">
      <c r="A863" s="18" t="s">
        <v>2487</v>
      </c>
      <c r="B863" s="18" t="s">
        <v>107</v>
      </c>
      <c r="C863" s="19" t="s">
        <v>108</v>
      </c>
      <c r="D863" s="18" t="s">
        <v>2488</v>
      </c>
      <c r="E863" s="19" t="s">
        <v>1567</v>
      </c>
      <c r="F863" s="18" t="s">
        <v>110</v>
      </c>
      <c r="G863" s="18" t="s">
        <v>111</v>
      </c>
      <c r="H863" s="19" t="s">
        <v>112</v>
      </c>
      <c r="I863" s="18" t="s">
        <v>113</v>
      </c>
      <c r="J863" s="19" t="s">
        <v>114</v>
      </c>
      <c r="K863" s="19" t="s">
        <v>115</v>
      </c>
      <c r="L863" s="18" t="s">
        <v>116</v>
      </c>
      <c r="M863" s="18" t="s">
        <v>1419</v>
      </c>
      <c r="N863" s="18" t="s">
        <v>118</v>
      </c>
      <c r="O863" s="20">
        <v>119000</v>
      </c>
      <c r="P863" s="20">
        <v>80920</v>
      </c>
      <c r="Q863" s="20">
        <v>1</v>
      </c>
      <c r="R863" s="20">
        <v>0</v>
      </c>
      <c r="S863" s="20">
        <v>0</v>
      </c>
      <c r="T863" s="20">
        <v>0</v>
      </c>
      <c r="U863" s="20">
        <v>0</v>
      </c>
      <c r="V863" s="20">
        <v>0</v>
      </c>
      <c r="W863" s="20">
        <v>32</v>
      </c>
      <c r="X863" s="20">
        <v>0</v>
      </c>
      <c r="Y863" s="20">
        <v>0</v>
      </c>
      <c r="Z863" s="20">
        <v>0</v>
      </c>
      <c r="AA863" s="20">
        <v>0</v>
      </c>
      <c r="AB863" s="20">
        <v>0</v>
      </c>
      <c r="AC863" s="20">
        <v>119000</v>
      </c>
      <c r="AD863" s="20">
        <v>80920</v>
      </c>
      <c r="AE863" s="20">
        <v>0</v>
      </c>
      <c r="AF863" s="20">
        <v>0</v>
      </c>
      <c r="AG863" s="20">
        <v>119000</v>
      </c>
      <c r="AH863" s="20">
        <v>80920</v>
      </c>
      <c r="AI863" s="20">
        <v>34618</v>
      </c>
      <c r="AJ863" s="20">
        <v>3462</v>
      </c>
      <c r="AK863" s="20">
        <v>38080</v>
      </c>
    </row>
    <row r="864" spans="1:37" ht="24" x14ac:dyDescent="0.3">
      <c r="A864" s="18" t="s">
        <v>2489</v>
      </c>
      <c r="B864" s="18" t="s">
        <v>107</v>
      </c>
      <c r="C864" s="19" t="s">
        <v>108</v>
      </c>
      <c r="D864" s="18" t="s">
        <v>2490</v>
      </c>
      <c r="E864" s="19" t="s">
        <v>2491</v>
      </c>
      <c r="F864" s="18" t="s">
        <v>110</v>
      </c>
      <c r="G864" s="18" t="s">
        <v>111</v>
      </c>
      <c r="H864" s="19" t="s">
        <v>112</v>
      </c>
      <c r="I864" s="18" t="s">
        <v>113</v>
      </c>
      <c r="J864" s="19" t="s">
        <v>114</v>
      </c>
      <c r="K864" s="19" t="s">
        <v>115</v>
      </c>
      <c r="L864" s="18" t="s">
        <v>116</v>
      </c>
      <c r="M864" s="18" t="s">
        <v>1419</v>
      </c>
      <c r="N864" s="18" t="s">
        <v>118</v>
      </c>
      <c r="O864" s="20">
        <v>119000</v>
      </c>
      <c r="P864" s="20">
        <v>80920</v>
      </c>
      <c r="Q864" s="20">
        <v>1</v>
      </c>
      <c r="R864" s="20">
        <v>0</v>
      </c>
      <c r="S864" s="20">
        <v>0</v>
      </c>
      <c r="T864" s="20">
        <v>0</v>
      </c>
      <c r="U864" s="20">
        <v>0</v>
      </c>
      <c r="V864" s="20">
        <v>0</v>
      </c>
      <c r="W864" s="20">
        <v>32</v>
      </c>
      <c r="X864" s="20">
        <v>0</v>
      </c>
      <c r="Y864" s="20">
        <v>0</v>
      </c>
      <c r="Z864" s="20">
        <v>0</v>
      </c>
      <c r="AA864" s="20">
        <v>0</v>
      </c>
      <c r="AB864" s="20">
        <v>0</v>
      </c>
      <c r="AC864" s="20">
        <v>119000</v>
      </c>
      <c r="AD864" s="20">
        <v>80920</v>
      </c>
      <c r="AE864" s="20">
        <v>0</v>
      </c>
      <c r="AF864" s="20">
        <v>0</v>
      </c>
      <c r="AG864" s="20">
        <v>119000</v>
      </c>
      <c r="AH864" s="20">
        <v>80920</v>
      </c>
      <c r="AI864" s="20">
        <v>34618</v>
      </c>
      <c r="AJ864" s="20">
        <v>3462</v>
      </c>
      <c r="AK864" s="20">
        <v>38080</v>
      </c>
    </row>
    <row r="865" spans="1:37" ht="24" x14ac:dyDescent="0.3">
      <c r="A865" s="18" t="s">
        <v>2492</v>
      </c>
      <c r="B865" s="18" t="s">
        <v>107</v>
      </c>
      <c r="C865" s="19" t="s">
        <v>108</v>
      </c>
      <c r="D865" s="18" t="s">
        <v>2493</v>
      </c>
      <c r="E865" s="19" t="s">
        <v>614</v>
      </c>
      <c r="F865" s="18" t="s">
        <v>110</v>
      </c>
      <c r="G865" s="18" t="s">
        <v>111</v>
      </c>
      <c r="H865" s="19" t="s">
        <v>112</v>
      </c>
      <c r="I865" s="18" t="s">
        <v>113</v>
      </c>
      <c r="J865" s="19" t="s">
        <v>114</v>
      </c>
      <c r="K865" s="19" t="s">
        <v>115</v>
      </c>
      <c r="L865" s="18" t="s">
        <v>116</v>
      </c>
      <c r="M865" s="18" t="s">
        <v>1419</v>
      </c>
      <c r="N865" s="18" t="s">
        <v>118</v>
      </c>
      <c r="O865" s="20">
        <v>119000</v>
      </c>
      <c r="P865" s="20">
        <v>80920</v>
      </c>
      <c r="Q865" s="20">
        <v>1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32</v>
      </c>
      <c r="X865" s="20">
        <v>17850</v>
      </c>
      <c r="Y865" s="20">
        <v>0</v>
      </c>
      <c r="Z865" s="20">
        <v>0</v>
      </c>
      <c r="AA865" s="20">
        <v>0</v>
      </c>
      <c r="AB865" s="20">
        <v>0</v>
      </c>
      <c r="AC865" s="20">
        <v>119000</v>
      </c>
      <c r="AD865" s="20">
        <v>80920</v>
      </c>
      <c r="AE865" s="20">
        <v>0</v>
      </c>
      <c r="AF865" s="20">
        <v>17850</v>
      </c>
      <c r="AG865" s="20">
        <v>101150</v>
      </c>
      <c r="AH865" s="20">
        <v>80920</v>
      </c>
      <c r="AI865" s="20">
        <v>18391</v>
      </c>
      <c r="AJ865" s="20">
        <v>1839</v>
      </c>
      <c r="AK865" s="20">
        <v>20230</v>
      </c>
    </row>
    <row r="866" spans="1:37" ht="24" x14ac:dyDescent="0.3">
      <c r="A866" s="18" t="s">
        <v>2494</v>
      </c>
      <c r="B866" s="18" t="s">
        <v>107</v>
      </c>
      <c r="C866" s="19" t="s">
        <v>108</v>
      </c>
      <c r="D866" s="18" t="s">
        <v>2495</v>
      </c>
      <c r="E866" s="19" t="s">
        <v>1069</v>
      </c>
      <c r="F866" s="18" t="s">
        <v>110</v>
      </c>
      <c r="G866" s="18" t="s">
        <v>111</v>
      </c>
      <c r="H866" s="19" t="s">
        <v>112</v>
      </c>
      <c r="I866" s="18" t="s">
        <v>113</v>
      </c>
      <c r="J866" s="19" t="s">
        <v>114</v>
      </c>
      <c r="K866" s="19" t="s">
        <v>115</v>
      </c>
      <c r="L866" s="18" t="s">
        <v>116</v>
      </c>
      <c r="M866" s="18" t="s">
        <v>1419</v>
      </c>
      <c r="N866" s="18" t="s">
        <v>118</v>
      </c>
      <c r="O866" s="20">
        <v>119000</v>
      </c>
      <c r="P866" s="20">
        <v>80920</v>
      </c>
      <c r="Q866" s="20">
        <v>1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32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119000</v>
      </c>
      <c r="AD866" s="20">
        <v>80920</v>
      </c>
      <c r="AE866" s="20">
        <v>0</v>
      </c>
      <c r="AF866" s="20">
        <v>0</v>
      </c>
      <c r="AG866" s="20">
        <v>119000</v>
      </c>
      <c r="AH866" s="20">
        <v>80920</v>
      </c>
      <c r="AI866" s="20">
        <v>34618</v>
      </c>
      <c r="AJ866" s="20">
        <v>3462</v>
      </c>
      <c r="AK866" s="20">
        <v>38080</v>
      </c>
    </row>
    <row r="867" spans="1:37" ht="24" x14ac:dyDescent="0.3">
      <c r="A867" s="18" t="s">
        <v>2496</v>
      </c>
      <c r="B867" s="18" t="s">
        <v>107</v>
      </c>
      <c r="C867" s="19" t="s">
        <v>108</v>
      </c>
      <c r="D867" s="18" t="s">
        <v>1530</v>
      </c>
      <c r="E867" s="19" t="s">
        <v>1531</v>
      </c>
      <c r="F867" s="18" t="s">
        <v>110</v>
      </c>
      <c r="G867" s="18" t="s">
        <v>111</v>
      </c>
      <c r="H867" s="19" t="s">
        <v>112</v>
      </c>
      <c r="I867" s="18" t="s">
        <v>113</v>
      </c>
      <c r="J867" s="19" t="s">
        <v>114</v>
      </c>
      <c r="K867" s="19" t="s">
        <v>115</v>
      </c>
      <c r="L867" s="18" t="s">
        <v>116</v>
      </c>
      <c r="M867" s="18" t="s">
        <v>1419</v>
      </c>
      <c r="N867" s="18" t="s">
        <v>118</v>
      </c>
      <c r="O867" s="20">
        <v>119000</v>
      </c>
      <c r="P867" s="20">
        <v>80920</v>
      </c>
      <c r="Q867" s="20">
        <v>1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32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119000</v>
      </c>
      <c r="AD867" s="20">
        <v>80920</v>
      </c>
      <c r="AE867" s="20">
        <v>0</v>
      </c>
      <c r="AF867" s="20">
        <v>0</v>
      </c>
      <c r="AG867" s="20">
        <v>119000</v>
      </c>
      <c r="AH867" s="20">
        <v>80920</v>
      </c>
      <c r="AI867" s="20">
        <v>34618</v>
      </c>
      <c r="AJ867" s="20">
        <v>3462</v>
      </c>
      <c r="AK867" s="20">
        <v>38080</v>
      </c>
    </row>
    <row r="868" spans="1:37" ht="24" x14ac:dyDescent="0.3">
      <c r="A868" s="18" t="s">
        <v>2497</v>
      </c>
      <c r="B868" s="18" t="s">
        <v>107</v>
      </c>
      <c r="C868" s="19" t="s">
        <v>108</v>
      </c>
      <c r="D868" s="18" t="s">
        <v>1533</v>
      </c>
      <c r="E868" s="19" t="s">
        <v>1534</v>
      </c>
      <c r="F868" s="18" t="s">
        <v>110</v>
      </c>
      <c r="G868" s="18" t="s">
        <v>111</v>
      </c>
      <c r="H868" s="19" t="s">
        <v>112</v>
      </c>
      <c r="I868" s="18" t="s">
        <v>113</v>
      </c>
      <c r="J868" s="19" t="s">
        <v>114</v>
      </c>
      <c r="K868" s="19" t="s">
        <v>115</v>
      </c>
      <c r="L868" s="18" t="s">
        <v>116</v>
      </c>
      <c r="M868" s="18" t="s">
        <v>1419</v>
      </c>
      <c r="N868" s="18" t="s">
        <v>118</v>
      </c>
      <c r="O868" s="20">
        <v>119000</v>
      </c>
      <c r="P868" s="20">
        <v>80920</v>
      </c>
      <c r="Q868" s="20">
        <v>1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32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20">
        <v>119000</v>
      </c>
      <c r="AD868" s="20">
        <v>80920</v>
      </c>
      <c r="AE868" s="20">
        <v>0</v>
      </c>
      <c r="AF868" s="20">
        <v>0</v>
      </c>
      <c r="AG868" s="20">
        <v>119000</v>
      </c>
      <c r="AH868" s="20">
        <v>80920</v>
      </c>
      <c r="AI868" s="20">
        <v>34618</v>
      </c>
      <c r="AJ868" s="20">
        <v>3462</v>
      </c>
      <c r="AK868" s="20">
        <v>38080</v>
      </c>
    </row>
    <row r="869" spans="1:37" ht="24" x14ac:dyDescent="0.3">
      <c r="A869" s="18" t="s">
        <v>2498</v>
      </c>
      <c r="B869" s="18" t="s">
        <v>107</v>
      </c>
      <c r="C869" s="19" t="s">
        <v>108</v>
      </c>
      <c r="D869" s="18" t="s">
        <v>1536</v>
      </c>
      <c r="E869" s="19" t="s">
        <v>721</v>
      </c>
      <c r="F869" s="18" t="s">
        <v>110</v>
      </c>
      <c r="G869" s="18" t="s">
        <v>111</v>
      </c>
      <c r="H869" s="19" t="s">
        <v>112</v>
      </c>
      <c r="I869" s="18" t="s">
        <v>113</v>
      </c>
      <c r="J869" s="19" t="s">
        <v>114</v>
      </c>
      <c r="K869" s="19" t="s">
        <v>115</v>
      </c>
      <c r="L869" s="18" t="s">
        <v>116</v>
      </c>
      <c r="M869" s="18" t="s">
        <v>1419</v>
      </c>
      <c r="N869" s="18" t="s">
        <v>118</v>
      </c>
      <c r="O869" s="20">
        <v>119000</v>
      </c>
      <c r="P869" s="20">
        <v>80920</v>
      </c>
      <c r="Q869" s="20">
        <v>1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32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119000</v>
      </c>
      <c r="AD869" s="20">
        <v>80920</v>
      </c>
      <c r="AE869" s="20">
        <v>0</v>
      </c>
      <c r="AF869" s="20">
        <v>0</v>
      </c>
      <c r="AG869" s="20">
        <v>119000</v>
      </c>
      <c r="AH869" s="20">
        <v>80920</v>
      </c>
      <c r="AI869" s="20">
        <v>34618</v>
      </c>
      <c r="AJ869" s="20">
        <v>3462</v>
      </c>
      <c r="AK869" s="20">
        <v>38080</v>
      </c>
    </row>
    <row r="870" spans="1:37" ht="24" x14ac:dyDescent="0.3">
      <c r="A870" s="18" t="s">
        <v>2499</v>
      </c>
      <c r="B870" s="18" t="s">
        <v>107</v>
      </c>
      <c r="C870" s="19" t="s">
        <v>108</v>
      </c>
      <c r="D870" s="18" t="s">
        <v>1541</v>
      </c>
      <c r="E870" s="19" t="s">
        <v>1542</v>
      </c>
      <c r="F870" s="18" t="s">
        <v>110</v>
      </c>
      <c r="G870" s="18" t="s">
        <v>111</v>
      </c>
      <c r="H870" s="19" t="s">
        <v>112</v>
      </c>
      <c r="I870" s="18" t="s">
        <v>113</v>
      </c>
      <c r="J870" s="19" t="s">
        <v>114</v>
      </c>
      <c r="K870" s="19" t="s">
        <v>115</v>
      </c>
      <c r="L870" s="18" t="s">
        <v>116</v>
      </c>
      <c r="M870" s="18" t="s">
        <v>1419</v>
      </c>
      <c r="N870" s="18" t="s">
        <v>118</v>
      </c>
      <c r="O870" s="20">
        <v>119000</v>
      </c>
      <c r="P870" s="20">
        <v>80920</v>
      </c>
      <c r="Q870" s="20">
        <v>1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32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119000</v>
      </c>
      <c r="AD870" s="20">
        <v>80920</v>
      </c>
      <c r="AE870" s="20">
        <v>0</v>
      </c>
      <c r="AF870" s="20">
        <v>0</v>
      </c>
      <c r="AG870" s="20">
        <v>119000</v>
      </c>
      <c r="AH870" s="20">
        <v>80920</v>
      </c>
      <c r="AI870" s="20">
        <v>34618</v>
      </c>
      <c r="AJ870" s="20">
        <v>3462</v>
      </c>
      <c r="AK870" s="20">
        <v>38080</v>
      </c>
    </row>
    <row r="871" spans="1:37" ht="24" x14ac:dyDescent="0.3">
      <c r="A871" s="18" t="s">
        <v>2500</v>
      </c>
      <c r="B871" s="18" t="s">
        <v>107</v>
      </c>
      <c r="C871" s="19" t="s">
        <v>108</v>
      </c>
      <c r="D871" s="18" t="s">
        <v>1544</v>
      </c>
      <c r="E871" s="19" t="s">
        <v>1545</v>
      </c>
      <c r="F871" s="18" t="s">
        <v>110</v>
      </c>
      <c r="G871" s="18" t="s">
        <v>111</v>
      </c>
      <c r="H871" s="19" t="s">
        <v>112</v>
      </c>
      <c r="I871" s="18" t="s">
        <v>113</v>
      </c>
      <c r="J871" s="19" t="s">
        <v>114</v>
      </c>
      <c r="K871" s="19" t="s">
        <v>115</v>
      </c>
      <c r="L871" s="18" t="s">
        <v>116</v>
      </c>
      <c r="M871" s="18" t="s">
        <v>1419</v>
      </c>
      <c r="N871" s="18" t="s">
        <v>118</v>
      </c>
      <c r="O871" s="20">
        <v>119000</v>
      </c>
      <c r="P871" s="20">
        <v>80920</v>
      </c>
      <c r="Q871" s="20">
        <v>1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32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119000</v>
      </c>
      <c r="AD871" s="20">
        <v>80920</v>
      </c>
      <c r="AE871" s="20">
        <v>0</v>
      </c>
      <c r="AF871" s="20">
        <v>0</v>
      </c>
      <c r="AG871" s="20">
        <v>119000</v>
      </c>
      <c r="AH871" s="20">
        <v>80920</v>
      </c>
      <c r="AI871" s="20">
        <v>34618</v>
      </c>
      <c r="AJ871" s="20">
        <v>3462</v>
      </c>
      <c r="AK871" s="20">
        <v>38080</v>
      </c>
    </row>
    <row r="872" spans="1:37" ht="24" x14ac:dyDescent="0.3">
      <c r="A872" s="18" t="s">
        <v>2501</v>
      </c>
      <c r="B872" s="18" t="s">
        <v>107</v>
      </c>
      <c r="C872" s="19" t="s">
        <v>108</v>
      </c>
      <c r="D872" s="18" t="s">
        <v>1511</v>
      </c>
      <c r="E872" s="19" t="s">
        <v>311</v>
      </c>
      <c r="F872" s="18" t="s">
        <v>110</v>
      </c>
      <c r="G872" s="18" t="s">
        <v>111</v>
      </c>
      <c r="H872" s="19" t="s">
        <v>112</v>
      </c>
      <c r="I872" s="18" t="s">
        <v>113</v>
      </c>
      <c r="J872" s="19" t="s">
        <v>114</v>
      </c>
      <c r="K872" s="19" t="s">
        <v>115</v>
      </c>
      <c r="L872" s="18" t="s">
        <v>116</v>
      </c>
      <c r="M872" s="18" t="s">
        <v>1419</v>
      </c>
      <c r="N872" s="18" t="s">
        <v>118</v>
      </c>
      <c r="O872" s="20">
        <v>119000</v>
      </c>
      <c r="P872" s="20">
        <v>80920</v>
      </c>
      <c r="Q872" s="20">
        <v>1</v>
      </c>
      <c r="R872" s="20">
        <v>0</v>
      </c>
      <c r="S872" s="20">
        <v>0</v>
      </c>
      <c r="T872" s="20">
        <v>0</v>
      </c>
      <c r="U872" s="20">
        <v>0</v>
      </c>
      <c r="V872" s="20">
        <v>0</v>
      </c>
      <c r="W872" s="20">
        <v>32</v>
      </c>
      <c r="X872" s="20">
        <v>0</v>
      </c>
      <c r="Y872" s="20">
        <v>0</v>
      </c>
      <c r="Z872" s="20">
        <v>0</v>
      </c>
      <c r="AA872" s="20">
        <v>0</v>
      </c>
      <c r="AB872" s="20">
        <v>0</v>
      </c>
      <c r="AC872" s="20">
        <v>119000</v>
      </c>
      <c r="AD872" s="20">
        <v>80920</v>
      </c>
      <c r="AE872" s="20">
        <v>0</v>
      </c>
      <c r="AF872" s="20">
        <v>0</v>
      </c>
      <c r="AG872" s="20">
        <v>119000</v>
      </c>
      <c r="AH872" s="20">
        <v>80920</v>
      </c>
      <c r="AI872" s="20">
        <v>34618</v>
      </c>
      <c r="AJ872" s="20">
        <v>3462</v>
      </c>
      <c r="AK872" s="20">
        <v>38080</v>
      </c>
    </row>
    <row r="873" spans="1:37" ht="24" x14ac:dyDescent="0.3">
      <c r="A873" s="18" t="s">
        <v>2502</v>
      </c>
      <c r="B873" s="18" t="s">
        <v>107</v>
      </c>
      <c r="C873" s="19" t="s">
        <v>108</v>
      </c>
      <c r="D873" s="18" t="s">
        <v>1547</v>
      </c>
      <c r="E873" s="19" t="s">
        <v>949</v>
      </c>
      <c r="F873" s="18" t="s">
        <v>110</v>
      </c>
      <c r="G873" s="18" t="s">
        <v>111</v>
      </c>
      <c r="H873" s="19" t="s">
        <v>112</v>
      </c>
      <c r="I873" s="18" t="s">
        <v>113</v>
      </c>
      <c r="J873" s="19" t="s">
        <v>114</v>
      </c>
      <c r="K873" s="19" t="s">
        <v>115</v>
      </c>
      <c r="L873" s="18" t="s">
        <v>116</v>
      </c>
      <c r="M873" s="18" t="s">
        <v>1419</v>
      </c>
      <c r="N873" s="18" t="s">
        <v>118</v>
      </c>
      <c r="O873" s="20">
        <v>119000</v>
      </c>
      <c r="P873" s="20">
        <v>80920</v>
      </c>
      <c r="Q873" s="20">
        <v>1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32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119000</v>
      </c>
      <c r="AD873" s="20">
        <v>80920</v>
      </c>
      <c r="AE873" s="20">
        <v>0</v>
      </c>
      <c r="AF873" s="20">
        <v>0</v>
      </c>
      <c r="AG873" s="20">
        <v>119000</v>
      </c>
      <c r="AH873" s="20">
        <v>80920</v>
      </c>
      <c r="AI873" s="20">
        <v>34618</v>
      </c>
      <c r="AJ873" s="20">
        <v>3462</v>
      </c>
      <c r="AK873" s="20">
        <v>38080</v>
      </c>
    </row>
    <row r="874" spans="1:37" ht="24" x14ac:dyDescent="0.3">
      <c r="A874" s="18" t="s">
        <v>2503</v>
      </c>
      <c r="B874" s="18" t="s">
        <v>107</v>
      </c>
      <c r="C874" s="19" t="s">
        <v>108</v>
      </c>
      <c r="D874" s="18" t="s">
        <v>1549</v>
      </c>
      <c r="E874" s="19" t="s">
        <v>1550</v>
      </c>
      <c r="F874" s="18" t="s">
        <v>110</v>
      </c>
      <c r="G874" s="18" t="s">
        <v>111</v>
      </c>
      <c r="H874" s="19" t="s">
        <v>112</v>
      </c>
      <c r="I874" s="18" t="s">
        <v>113</v>
      </c>
      <c r="J874" s="19" t="s">
        <v>114</v>
      </c>
      <c r="K874" s="19" t="s">
        <v>115</v>
      </c>
      <c r="L874" s="18" t="s">
        <v>116</v>
      </c>
      <c r="M874" s="18" t="s">
        <v>1419</v>
      </c>
      <c r="N874" s="18" t="s">
        <v>118</v>
      </c>
      <c r="O874" s="20">
        <v>119000</v>
      </c>
      <c r="P874" s="20">
        <v>80920</v>
      </c>
      <c r="Q874" s="20">
        <v>1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32</v>
      </c>
      <c r="X874" s="20">
        <v>0</v>
      </c>
      <c r="Y874" s="20">
        <v>0</v>
      </c>
      <c r="Z874" s="20">
        <v>0</v>
      </c>
      <c r="AA874" s="20">
        <v>0</v>
      </c>
      <c r="AB874" s="20">
        <v>0</v>
      </c>
      <c r="AC874" s="20">
        <v>119000</v>
      </c>
      <c r="AD874" s="20">
        <v>80920</v>
      </c>
      <c r="AE874" s="20">
        <v>0</v>
      </c>
      <c r="AF874" s="20">
        <v>0</v>
      </c>
      <c r="AG874" s="20">
        <v>119000</v>
      </c>
      <c r="AH874" s="20">
        <v>80920</v>
      </c>
      <c r="AI874" s="20">
        <v>34618</v>
      </c>
      <c r="AJ874" s="20">
        <v>3462</v>
      </c>
      <c r="AK874" s="20">
        <v>38080</v>
      </c>
    </row>
    <row r="875" spans="1:37" ht="24" x14ac:dyDescent="0.3">
      <c r="A875" s="18" t="s">
        <v>2504</v>
      </c>
      <c r="B875" s="18" t="s">
        <v>107</v>
      </c>
      <c r="C875" s="19" t="s">
        <v>108</v>
      </c>
      <c r="D875" s="18" t="s">
        <v>1513</v>
      </c>
      <c r="E875" s="19" t="s">
        <v>420</v>
      </c>
      <c r="F875" s="18" t="s">
        <v>110</v>
      </c>
      <c r="G875" s="18" t="s">
        <v>111</v>
      </c>
      <c r="H875" s="19" t="s">
        <v>112</v>
      </c>
      <c r="I875" s="18" t="s">
        <v>113</v>
      </c>
      <c r="J875" s="19" t="s">
        <v>114</v>
      </c>
      <c r="K875" s="19" t="s">
        <v>151</v>
      </c>
      <c r="L875" s="18" t="s">
        <v>116</v>
      </c>
      <c r="M875" s="18" t="s">
        <v>1419</v>
      </c>
      <c r="N875" s="18" t="s">
        <v>118</v>
      </c>
      <c r="O875" s="20">
        <v>119000</v>
      </c>
      <c r="P875" s="20">
        <v>80920</v>
      </c>
      <c r="Q875" s="20">
        <v>1</v>
      </c>
      <c r="R875" s="20">
        <v>0</v>
      </c>
      <c r="S875" s="20">
        <v>0</v>
      </c>
      <c r="T875" s="20">
        <v>0</v>
      </c>
      <c r="U875" s="20">
        <v>0</v>
      </c>
      <c r="V875" s="20">
        <v>0</v>
      </c>
      <c r="W875" s="20">
        <v>32</v>
      </c>
      <c r="X875" s="20">
        <v>0</v>
      </c>
      <c r="Y875" s="20">
        <v>0</v>
      </c>
      <c r="Z875" s="20">
        <v>0</v>
      </c>
      <c r="AA875" s="20">
        <v>0</v>
      </c>
      <c r="AB875" s="20">
        <v>0</v>
      </c>
      <c r="AC875" s="20">
        <v>119000</v>
      </c>
      <c r="AD875" s="20">
        <v>80920</v>
      </c>
      <c r="AE875" s="20">
        <v>0</v>
      </c>
      <c r="AF875" s="20">
        <v>0</v>
      </c>
      <c r="AG875" s="20">
        <v>119000</v>
      </c>
      <c r="AH875" s="20">
        <v>80920</v>
      </c>
      <c r="AI875" s="20">
        <v>34618</v>
      </c>
      <c r="AJ875" s="20">
        <v>3462</v>
      </c>
      <c r="AK875" s="20">
        <v>38080</v>
      </c>
    </row>
    <row r="876" spans="1:37" ht="24" x14ac:dyDescent="0.3">
      <c r="A876" s="18" t="s">
        <v>2505</v>
      </c>
      <c r="B876" s="18" t="s">
        <v>107</v>
      </c>
      <c r="C876" s="19" t="s">
        <v>108</v>
      </c>
      <c r="D876" s="18" t="s">
        <v>1583</v>
      </c>
      <c r="E876" s="19" t="s">
        <v>1584</v>
      </c>
      <c r="F876" s="18" t="s">
        <v>110</v>
      </c>
      <c r="G876" s="18" t="s">
        <v>111</v>
      </c>
      <c r="H876" s="19" t="s">
        <v>112</v>
      </c>
      <c r="I876" s="18" t="s">
        <v>113</v>
      </c>
      <c r="J876" s="19" t="s">
        <v>114</v>
      </c>
      <c r="K876" s="19" t="s">
        <v>115</v>
      </c>
      <c r="L876" s="18" t="s">
        <v>116</v>
      </c>
      <c r="M876" s="18" t="s">
        <v>1419</v>
      </c>
      <c r="N876" s="18" t="s">
        <v>118</v>
      </c>
      <c r="O876" s="20">
        <v>119000</v>
      </c>
      <c r="P876" s="20">
        <v>80920</v>
      </c>
      <c r="Q876" s="20">
        <v>1</v>
      </c>
      <c r="R876" s="20">
        <v>0</v>
      </c>
      <c r="S876" s="20">
        <v>0</v>
      </c>
      <c r="T876" s="20">
        <v>0</v>
      </c>
      <c r="U876" s="20">
        <v>0</v>
      </c>
      <c r="V876" s="20">
        <v>0</v>
      </c>
      <c r="W876" s="20">
        <v>32</v>
      </c>
      <c r="X876" s="20">
        <v>0</v>
      </c>
      <c r="Y876" s="20">
        <v>0</v>
      </c>
      <c r="Z876" s="20">
        <v>0</v>
      </c>
      <c r="AA876" s="20">
        <v>0</v>
      </c>
      <c r="AB876" s="20">
        <v>0</v>
      </c>
      <c r="AC876" s="20">
        <v>119000</v>
      </c>
      <c r="AD876" s="20">
        <v>80920</v>
      </c>
      <c r="AE876" s="20">
        <v>0</v>
      </c>
      <c r="AF876" s="20">
        <v>0</v>
      </c>
      <c r="AG876" s="20">
        <v>119000</v>
      </c>
      <c r="AH876" s="20">
        <v>80920</v>
      </c>
      <c r="AI876" s="20">
        <v>34618</v>
      </c>
      <c r="AJ876" s="20">
        <v>3462</v>
      </c>
      <c r="AK876" s="20">
        <v>38080</v>
      </c>
    </row>
    <row r="877" spans="1:37" ht="24" x14ac:dyDescent="0.3">
      <c r="A877" s="18" t="s">
        <v>2506</v>
      </c>
      <c r="B877" s="18" t="s">
        <v>107</v>
      </c>
      <c r="C877" s="19" t="s">
        <v>108</v>
      </c>
      <c r="D877" s="18" t="s">
        <v>1589</v>
      </c>
      <c r="E877" s="19" t="s">
        <v>690</v>
      </c>
      <c r="F877" s="18" t="s">
        <v>110</v>
      </c>
      <c r="G877" s="18" t="s">
        <v>111</v>
      </c>
      <c r="H877" s="19" t="s">
        <v>112</v>
      </c>
      <c r="I877" s="18" t="s">
        <v>113</v>
      </c>
      <c r="J877" s="19" t="s">
        <v>114</v>
      </c>
      <c r="K877" s="19" t="s">
        <v>151</v>
      </c>
      <c r="L877" s="18" t="s">
        <v>116</v>
      </c>
      <c r="M877" s="18" t="s">
        <v>1419</v>
      </c>
      <c r="N877" s="18" t="s">
        <v>118</v>
      </c>
      <c r="O877" s="20">
        <v>119000</v>
      </c>
      <c r="P877" s="20">
        <v>80920</v>
      </c>
      <c r="Q877" s="20">
        <v>1</v>
      </c>
      <c r="R877" s="20">
        <v>0</v>
      </c>
      <c r="S877" s="20">
        <v>0</v>
      </c>
      <c r="T877" s="20">
        <v>0</v>
      </c>
      <c r="U877" s="20">
        <v>0</v>
      </c>
      <c r="V877" s="20">
        <v>0</v>
      </c>
      <c r="W877" s="20">
        <v>32</v>
      </c>
      <c r="X877" s="20">
        <v>0</v>
      </c>
      <c r="Y877" s="20">
        <v>0</v>
      </c>
      <c r="Z877" s="20">
        <v>0</v>
      </c>
      <c r="AA877" s="20">
        <v>0</v>
      </c>
      <c r="AB877" s="20">
        <v>0</v>
      </c>
      <c r="AC877" s="20">
        <v>119000</v>
      </c>
      <c r="AD877" s="20">
        <v>80920</v>
      </c>
      <c r="AE877" s="20">
        <v>0</v>
      </c>
      <c r="AF877" s="20">
        <v>0</v>
      </c>
      <c r="AG877" s="20">
        <v>119000</v>
      </c>
      <c r="AH877" s="20">
        <v>80920</v>
      </c>
      <c r="AI877" s="20">
        <v>34618</v>
      </c>
      <c r="AJ877" s="20">
        <v>3462</v>
      </c>
      <c r="AK877" s="20">
        <v>38080</v>
      </c>
    </row>
    <row r="878" spans="1:37" ht="24" x14ac:dyDescent="0.3">
      <c r="A878" s="18" t="s">
        <v>2507</v>
      </c>
      <c r="B878" s="18" t="s">
        <v>107</v>
      </c>
      <c r="C878" s="19" t="s">
        <v>108</v>
      </c>
      <c r="D878" s="18" t="s">
        <v>1591</v>
      </c>
      <c r="E878" s="19" t="s">
        <v>1592</v>
      </c>
      <c r="F878" s="18" t="s">
        <v>110</v>
      </c>
      <c r="G878" s="18" t="s">
        <v>111</v>
      </c>
      <c r="H878" s="19" t="s">
        <v>112</v>
      </c>
      <c r="I878" s="18" t="s">
        <v>113</v>
      </c>
      <c r="J878" s="19" t="s">
        <v>114</v>
      </c>
      <c r="K878" s="19" t="s">
        <v>115</v>
      </c>
      <c r="L878" s="18" t="s">
        <v>116</v>
      </c>
      <c r="M878" s="18" t="s">
        <v>1419</v>
      </c>
      <c r="N878" s="18" t="s">
        <v>118</v>
      </c>
      <c r="O878" s="20">
        <v>119000</v>
      </c>
      <c r="P878" s="20">
        <v>80920</v>
      </c>
      <c r="Q878" s="20">
        <v>1</v>
      </c>
      <c r="R878" s="20">
        <v>0</v>
      </c>
      <c r="S878" s="20">
        <v>0</v>
      </c>
      <c r="T878" s="20">
        <v>0</v>
      </c>
      <c r="U878" s="20">
        <v>0</v>
      </c>
      <c r="V878" s="20">
        <v>0</v>
      </c>
      <c r="W878" s="20">
        <v>32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20">
        <v>119000</v>
      </c>
      <c r="AD878" s="20">
        <v>80920</v>
      </c>
      <c r="AE878" s="20">
        <v>0</v>
      </c>
      <c r="AF878" s="20">
        <v>0</v>
      </c>
      <c r="AG878" s="20">
        <v>119000</v>
      </c>
      <c r="AH878" s="20">
        <v>80920</v>
      </c>
      <c r="AI878" s="20">
        <v>34618</v>
      </c>
      <c r="AJ878" s="20">
        <v>3462</v>
      </c>
      <c r="AK878" s="20">
        <v>38080</v>
      </c>
    </row>
    <row r="879" spans="1:37" ht="24" x14ac:dyDescent="0.3">
      <c r="A879" s="18" t="s">
        <v>2508</v>
      </c>
      <c r="B879" s="18" t="s">
        <v>107</v>
      </c>
      <c r="C879" s="19" t="s">
        <v>108</v>
      </c>
      <c r="D879" s="18" t="s">
        <v>1596</v>
      </c>
      <c r="E879" s="19" t="s">
        <v>1256</v>
      </c>
      <c r="F879" s="18" t="s">
        <v>110</v>
      </c>
      <c r="G879" s="18" t="s">
        <v>111</v>
      </c>
      <c r="H879" s="19" t="s">
        <v>112</v>
      </c>
      <c r="I879" s="18" t="s">
        <v>113</v>
      </c>
      <c r="J879" s="19" t="s">
        <v>114</v>
      </c>
      <c r="K879" s="19" t="s">
        <v>115</v>
      </c>
      <c r="L879" s="18" t="s">
        <v>116</v>
      </c>
      <c r="M879" s="18" t="s">
        <v>1419</v>
      </c>
      <c r="N879" s="18" t="s">
        <v>118</v>
      </c>
      <c r="O879" s="20">
        <v>119000</v>
      </c>
      <c r="P879" s="20">
        <v>80920</v>
      </c>
      <c r="Q879" s="20">
        <v>1</v>
      </c>
      <c r="R879" s="20">
        <v>0</v>
      </c>
      <c r="S879" s="20">
        <v>0</v>
      </c>
      <c r="T879" s="20">
        <v>0</v>
      </c>
      <c r="U879" s="20">
        <v>0</v>
      </c>
      <c r="V879" s="20">
        <v>0</v>
      </c>
      <c r="W879" s="20">
        <v>32</v>
      </c>
      <c r="X879" s="20">
        <v>0</v>
      </c>
      <c r="Y879" s="20">
        <v>0</v>
      </c>
      <c r="Z879" s="20">
        <v>0</v>
      </c>
      <c r="AA879" s="20">
        <v>0</v>
      </c>
      <c r="AB879" s="20">
        <v>5950</v>
      </c>
      <c r="AC879" s="20">
        <v>119000</v>
      </c>
      <c r="AD879" s="20">
        <v>80920</v>
      </c>
      <c r="AE879" s="20">
        <v>0</v>
      </c>
      <c r="AF879" s="20">
        <v>5950</v>
      </c>
      <c r="AG879" s="20">
        <v>113050</v>
      </c>
      <c r="AH879" s="20">
        <v>80920</v>
      </c>
      <c r="AI879" s="20">
        <v>29209</v>
      </c>
      <c r="AJ879" s="20">
        <v>2921</v>
      </c>
      <c r="AK879" s="20">
        <v>32130</v>
      </c>
    </row>
    <row r="880" spans="1:37" ht="24" x14ac:dyDescent="0.3">
      <c r="A880" s="18" t="s">
        <v>2509</v>
      </c>
      <c r="B880" s="18" t="s">
        <v>107</v>
      </c>
      <c r="C880" s="19" t="s">
        <v>108</v>
      </c>
      <c r="D880" s="18" t="s">
        <v>2510</v>
      </c>
      <c r="E880" s="19" t="s">
        <v>2511</v>
      </c>
      <c r="F880" s="18" t="s">
        <v>110</v>
      </c>
      <c r="G880" s="18" t="s">
        <v>111</v>
      </c>
      <c r="H880" s="19" t="s">
        <v>112</v>
      </c>
      <c r="I880" s="18" t="s">
        <v>113</v>
      </c>
      <c r="J880" s="19" t="s">
        <v>114</v>
      </c>
      <c r="K880" s="19" t="s">
        <v>115</v>
      </c>
      <c r="L880" s="18" t="s">
        <v>116</v>
      </c>
      <c r="M880" s="18" t="s">
        <v>2512</v>
      </c>
      <c r="N880" s="18" t="s">
        <v>118</v>
      </c>
      <c r="O880" s="20">
        <v>119000</v>
      </c>
      <c r="P880" s="20">
        <v>80920</v>
      </c>
      <c r="Q880" s="20">
        <v>1</v>
      </c>
      <c r="R880" s="20">
        <v>0</v>
      </c>
      <c r="S880" s="20">
        <v>0</v>
      </c>
      <c r="T880" s="20">
        <v>0</v>
      </c>
      <c r="U880" s="20">
        <v>0</v>
      </c>
      <c r="V880" s="20">
        <v>0</v>
      </c>
      <c r="W880" s="20">
        <v>32</v>
      </c>
      <c r="X880" s="20">
        <v>0</v>
      </c>
      <c r="Y880" s="20">
        <v>0</v>
      </c>
      <c r="Z880" s="20">
        <v>0</v>
      </c>
      <c r="AA880" s="20">
        <v>0</v>
      </c>
      <c r="AB880" s="20">
        <v>5950</v>
      </c>
      <c r="AC880" s="20">
        <v>119000</v>
      </c>
      <c r="AD880" s="20">
        <v>80920</v>
      </c>
      <c r="AE880" s="20">
        <v>0</v>
      </c>
      <c r="AF880" s="20">
        <v>5950</v>
      </c>
      <c r="AG880" s="20">
        <v>113050</v>
      </c>
      <c r="AH880" s="20">
        <v>80920</v>
      </c>
      <c r="AI880" s="20">
        <v>29209</v>
      </c>
      <c r="AJ880" s="20">
        <v>2921</v>
      </c>
      <c r="AK880" s="20">
        <v>32130</v>
      </c>
    </row>
    <row r="881" spans="1:37" ht="24" x14ac:dyDescent="0.3">
      <c r="A881" s="18" t="s">
        <v>2513</v>
      </c>
      <c r="B881" s="18" t="s">
        <v>107</v>
      </c>
      <c r="C881" s="19" t="s">
        <v>108</v>
      </c>
      <c r="D881" s="18" t="s">
        <v>2514</v>
      </c>
      <c r="E881" s="19" t="s">
        <v>109</v>
      </c>
      <c r="F881" s="18" t="s">
        <v>110</v>
      </c>
      <c r="G881" s="18" t="s">
        <v>111</v>
      </c>
      <c r="H881" s="19" t="s">
        <v>112</v>
      </c>
      <c r="I881" s="18" t="s">
        <v>113</v>
      </c>
      <c r="J881" s="19" t="s">
        <v>114</v>
      </c>
      <c r="K881" s="19" t="s">
        <v>115</v>
      </c>
      <c r="L881" s="18" t="s">
        <v>116</v>
      </c>
      <c r="M881" s="18" t="s">
        <v>2512</v>
      </c>
      <c r="N881" s="18" t="s">
        <v>118</v>
      </c>
      <c r="O881" s="20">
        <v>119000</v>
      </c>
      <c r="P881" s="20">
        <v>80920</v>
      </c>
      <c r="Q881" s="20">
        <v>1</v>
      </c>
      <c r="R881" s="20">
        <v>0</v>
      </c>
      <c r="S881" s="20">
        <v>0</v>
      </c>
      <c r="T881" s="20">
        <v>0</v>
      </c>
      <c r="U881" s="20">
        <v>0</v>
      </c>
      <c r="V881" s="20">
        <v>0</v>
      </c>
      <c r="W881" s="20">
        <v>32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119000</v>
      </c>
      <c r="AD881" s="20">
        <v>80920</v>
      </c>
      <c r="AE881" s="20">
        <v>0</v>
      </c>
      <c r="AF881" s="20">
        <v>0</v>
      </c>
      <c r="AG881" s="20">
        <v>119000</v>
      </c>
      <c r="AH881" s="20">
        <v>80920</v>
      </c>
      <c r="AI881" s="20">
        <v>34618</v>
      </c>
      <c r="AJ881" s="20">
        <v>3462</v>
      </c>
      <c r="AK881" s="20">
        <v>38080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CA89-51EB-4808-8504-1D54B482F964}">
  <dimension ref="A1:M1545"/>
  <sheetViews>
    <sheetView showGridLines="0" zoomScale="85" zoomScaleNormal="85" workbookViewId="0">
      <selection activeCell="D32" sqref="D32"/>
    </sheetView>
  </sheetViews>
  <sheetFormatPr defaultRowHeight="16.5" x14ac:dyDescent="0.3"/>
  <cols>
    <col min="1" max="9" width="18.375" customWidth="1"/>
    <col min="10" max="10" width="9.25" bestFit="1" customWidth="1"/>
    <col min="11" max="11" width="13.25" bestFit="1" customWidth="1"/>
    <col min="12" max="12" width="16.375" bestFit="1" customWidth="1"/>
  </cols>
  <sheetData>
    <row r="1" spans="1:13" x14ac:dyDescent="0.3">
      <c r="A1" s="29" t="s">
        <v>2627</v>
      </c>
      <c r="B1" s="29" t="s">
        <v>38</v>
      </c>
      <c r="C1" s="29" t="s">
        <v>77</v>
      </c>
      <c r="D1" s="29" t="s">
        <v>75</v>
      </c>
      <c r="E1" s="29" t="s">
        <v>11</v>
      </c>
      <c r="F1" s="29" t="s">
        <v>39</v>
      </c>
      <c r="G1" s="29" t="s">
        <v>84</v>
      </c>
      <c r="H1" s="29" t="s">
        <v>1785</v>
      </c>
      <c r="I1" s="29" t="s">
        <v>40</v>
      </c>
      <c r="J1" s="29" t="s">
        <v>1808</v>
      </c>
      <c r="K1" s="29" t="s">
        <v>5593</v>
      </c>
      <c r="L1" s="29" t="s">
        <v>68</v>
      </c>
    </row>
    <row r="2" spans="1:13" x14ac:dyDescent="0.3">
      <c r="A2" t="s">
        <v>41</v>
      </c>
      <c r="B2">
        <v>20260204818446</v>
      </c>
      <c r="C2" t="s">
        <v>112</v>
      </c>
      <c r="D2">
        <v>58481090</v>
      </c>
      <c r="E2" s="16" t="s">
        <v>7</v>
      </c>
      <c r="F2" s="3">
        <v>1</v>
      </c>
      <c r="G2" s="3">
        <v>119000</v>
      </c>
      <c r="H2" s="3">
        <v>109000</v>
      </c>
      <c r="I2" s="3">
        <v>82110</v>
      </c>
      <c r="J2" s="3">
        <v>99090.909090909074</v>
      </c>
      <c r="K2" s="25">
        <v>61496</v>
      </c>
      <c r="L2" s="25">
        <v>61496</v>
      </c>
      <c r="M2" t="s">
        <v>42</v>
      </c>
    </row>
    <row r="3" spans="1:13" x14ac:dyDescent="0.3">
      <c r="A3" t="s">
        <v>41</v>
      </c>
      <c r="B3">
        <v>20260204842609</v>
      </c>
      <c r="C3" t="s">
        <v>112</v>
      </c>
      <c r="D3">
        <v>58481090</v>
      </c>
      <c r="E3" s="16" t="s">
        <v>7</v>
      </c>
      <c r="F3" s="3">
        <v>1</v>
      </c>
      <c r="G3" s="3">
        <v>119000</v>
      </c>
      <c r="H3" s="3">
        <v>98800</v>
      </c>
      <c r="I3" s="3">
        <v>82110</v>
      </c>
      <c r="J3" s="3">
        <v>89818.181818181809</v>
      </c>
      <c r="K3" s="25">
        <v>61496</v>
      </c>
      <c r="L3" s="25">
        <v>61496</v>
      </c>
      <c r="M3" t="s">
        <v>43</v>
      </c>
    </row>
    <row r="4" spans="1:13" x14ac:dyDescent="0.3">
      <c r="A4" t="s">
        <v>41</v>
      </c>
      <c r="B4">
        <v>20260205994554</v>
      </c>
      <c r="C4" t="s">
        <v>112</v>
      </c>
      <c r="D4">
        <v>58481090</v>
      </c>
      <c r="E4" s="16" t="s">
        <v>7</v>
      </c>
      <c r="F4" s="3">
        <v>-1</v>
      </c>
      <c r="G4" s="3">
        <v>119000</v>
      </c>
      <c r="H4" s="3">
        <v>-113050</v>
      </c>
      <c r="I4" s="3">
        <v>-82110</v>
      </c>
      <c r="J4" s="3">
        <v>-102772.72727272726</v>
      </c>
      <c r="K4" s="25">
        <v>61496</v>
      </c>
      <c r="L4" s="25">
        <v>-61496</v>
      </c>
      <c r="M4" t="s">
        <v>44</v>
      </c>
    </row>
    <row r="5" spans="1:13" x14ac:dyDescent="0.3">
      <c r="A5" t="s">
        <v>41</v>
      </c>
      <c r="B5">
        <v>20260205994554</v>
      </c>
      <c r="C5" t="s">
        <v>112</v>
      </c>
      <c r="D5">
        <v>58481090</v>
      </c>
      <c r="E5" s="16" t="s">
        <v>7</v>
      </c>
      <c r="F5" s="3">
        <v>1</v>
      </c>
      <c r="G5" s="3">
        <v>119000</v>
      </c>
      <c r="H5" s="3">
        <v>113050</v>
      </c>
      <c r="I5" s="3">
        <v>82110</v>
      </c>
      <c r="J5" s="3">
        <v>102772.72727272726</v>
      </c>
      <c r="K5" s="25">
        <v>61496</v>
      </c>
      <c r="L5" s="25">
        <v>61496</v>
      </c>
    </row>
    <row r="6" spans="1:13" x14ac:dyDescent="0.3">
      <c r="A6" t="s">
        <v>41</v>
      </c>
      <c r="B6">
        <v>20260205974443</v>
      </c>
      <c r="C6" t="s">
        <v>112</v>
      </c>
      <c r="D6">
        <v>58999583</v>
      </c>
      <c r="E6" s="16" t="s">
        <v>7</v>
      </c>
      <c r="F6" s="3">
        <v>1</v>
      </c>
      <c r="G6" s="3">
        <v>119000</v>
      </c>
      <c r="H6" s="3">
        <v>119000</v>
      </c>
      <c r="I6" s="3">
        <v>82110</v>
      </c>
      <c r="J6" s="3">
        <v>108181.81818181818</v>
      </c>
      <c r="K6" s="25">
        <v>61496</v>
      </c>
      <c r="L6" s="25">
        <v>61496</v>
      </c>
      <c r="M6" t="s">
        <v>45</v>
      </c>
    </row>
    <row r="7" spans="1:13" x14ac:dyDescent="0.3">
      <c r="A7" t="s">
        <v>41</v>
      </c>
      <c r="B7">
        <v>20260204816757</v>
      </c>
      <c r="C7" t="s">
        <v>112</v>
      </c>
      <c r="D7">
        <v>58999583</v>
      </c>
      <c r="E7" s="16" t="s">
        <v>7</v>
      </c>
      <c r="F7" s="3">
        <v>1</v>
      </c>
      <c r="G7" s="3">
        <v>119000</v>
      </c>
      <c r="H7" s="3">
        <v>119000</v>
      </c>
      <c r="I7" s="3">
        <v>82110</v>
      </c>
      <c r="J7" s="3">
        <v>108181.81818181818</v>
      </c>
      <c r="K7" s="25">
        <v>61496</v>
      </c>
      <c r="L7" s="25">
        <v>61496</v>
      </c>
      <c r="M7" t="s">
        <v>46</v>
      </c>
    </row>
    <row r="8" spans="1:13" x14ac:dyDescent="0.3">
      <c r="A8" t="s">
        <v>41</v>
      </c>
      <c r="B8">
        <v>20260204838783</v>
      </c>
      <c r="C8" t="s">
        <v>112</v>
      </c>
      <c r="D8">
        <v>58999583</v>
      </c>
      <c r="E8" s="16" t="s">
        <v>7</v>
      </c>
      <c r="F8" s="3">
        <v>1</v>
      </c>
      <c r="G8" s="3">
        <v>119000</v>
      </c>
      <c r="H8" s="3">
        <v>101150</v>
      </c>
      <c r="I8" s="3">
        <v>82110</v>
      </c>
      <c r="J8" s="3">
        <v>91954.545454545441</v>
      </c>
      <c r="K8" s="25">
        <v>61496</v>
      </c>
      <c r="L8" s="25">
        <v>61496</v>
      </c>
      <c r="M8" t="s">
        <v>47</v>
      </c>
    </row>
    <row r="9" spans="1:13" x14ac:dyDescent="0.3">
      <c r="A9" t="s">
        <v>41</v>
      </c>
      <c r="B9">
        <v>20260205993814</v>
      </c>
      <c r="C9" t="s">
        <v>112</v>
      </c>
      <c r="D9">
        <v>58481090</v>
      </c>
      <c r="E9" s="16" t="s">
        <v>7</v>
      </c>
      <c r="F9" s="3">
        <v>2</v>
      </c>
      <c r="G9" s="3">
        <v>119000</v>
      </c>
      <c r="H9" s="3">
        <v>238000</v>
      </c>
      <c r="I9" s="3">
        <v>164220</v>
      </c>
      <c r="J9" s="3">
        <v>216363.63636363635</v>
      </c>
      <c r="K9" s="25">
        <v>61496</v>
      </c>
      <c r="L9" s="25">
        <v>122992</v>
      </c>
    </row>
    <row r="10" spans="1:13" x14ac:dyDescent="0.3">
      <c r="A10" t="s">
        <v>41</v>
      </c>
      <c r="B10">
        <v>20260205994105</v>
      </c>
      <c r="C10" t="s">
        <v>112</v>
      </c>
      <c r="D10">
        <v>58481090</v>
      </c>
      <c r="E10" s="16" t="s">
        <v>7</v>
      </c>
      <c r="F10" s="3">
        <v>1</v>
      </c>
      <c r="G10" s="3">
        <v>119000</v>
      </c>
      <c r="H10" s="3">
        <v>119000</v>
      </c>
      <c r="I10" s="3">
        <v>82110</v>
      </c>
      <c r="J10" s="3">
        <v>108181.81818181818</v>
      </c>
      <c r="K10" s="25">
        <v>61496</v>
      </c>
      <c r="L10" s="25">
        <v>61496</v>
      </c>
      <c r="M10" t="s">
        <v>48</v>
      </c>
    </row>
    <row r="11" spans="1:13" x14ac:dyDescent="0.3">
      <c r="A11" t="s">
        <v>41</v>
      </c>
      <c r="B11">
        <v>20260205995257</v>
      </c>
      <c r="C11" t="s">
        <v>112</v>
      </c>
      <c r="D11">
        <v>58481090</v>
      </c>
      <c r="E11" s="16" t="s">
        <v>7</v>
      </c>
      <c r="F11" s="3">
        <v>1</v>
      </c>
      <c r="G11" s="3">
        <v>119000</v>
      </c>
      <c r="H11" s="3">
        <v>119000</v>
      </c>
      <c r="I11" s="3">
        <v>82110</v>
      </c>
      <c r="J11" s="3">
        <v>108181.81818181818</v>
      </c>
      <c r="K11" s="25">
        <v>61496</v>
      </c>
      <c r="L11" s="25">
        <v>61496</v>
      </c>
    </row>
    <row r="12" spans="1:13" x14ac:dyDescent="0.3">
      <c r="A12" t="s">
        <v>41</v>
      </c>
      <c r="B12">
        <v>20260205993931</v>
      </c>
      <c r="C12" t="s">
        <v>112</v>
      </c>
      <c r="D12">
        <v>58481090</v>
      </c>
      <c r="E12" s="16" t="s">
        <v>7</v>
      </c>
      <c r="F12" s="3">
        <v>1</v>
      </c>
      <c r="G12" s="3">
        <v>119000</v>
      </c>
      <c r="H12" s="3">
        <v>119000</v>
      </c>
      <c r="I12" s="3">
        <v>82110</v>
      </c>
      <c r="J12" s="3">
        <v>108181.81818181818</v>
      </c>
      <c r="K12" s="25">
        <v>61496</v>
      </c>
      <c r="L12" s="25">
        <v>61496</v>
      </c>
    </row>
    <row r="13" spans="1:13" x14ac:dyDescent="0.3">
      <c r="A13" t="s">
        <v>41</v>
      </c>
      <c r="B13">
        <v>20260205992438</v>
      </c>
      <c r="C13" t="s">
        <v>112</v>
      </c>
      <c r="D13">
        <v>58481090</v>
      </c>
      <c r="E13" s="16" t="s">
        <v>7</v>
      </c>
      <c r="F13" s="3">
        <v>1</v>
      </c>
      <c r="G13" s="3">
        <v>119000</v>
      </c>
      <c r="H13" s="3">
        <v>119000</v>
      </c>
      <c r="I13" s="3">
        <v>82110</v>
      </c>
      <c r="J13" s="3">
        <v>108181.81818181818</v>
      </c>
      <c r="K13" s="25">
        <v>61496</v>
      </c>
      <c r="L13" s="25">
        <v>61496</v>
      </c>
    </row>
    <row r="14" spans="1:13" x14ac:dyDescent="0.3">
      <c r="A14" t="s">
        <v>41</v>
      </c>
      <c r="B14">
        <v>20260205992964</v>
      </c>
      <c r="C14" t="s">
        <v>112</v>
      </c>
      <c r="D14">
        <v>58481090</v>
      </c>
      <c r="E14" s="16" t="s">
        <v>7</v>
      </c>
      <c r="F14" s="3">
        <v>1</v>
      </c>
      <c r="G14" s="3">
        <v>119000</v>
      </c>
      <c r="H14" s="3">
        <v>113050</v>
      </c>
      <c r="I14" s="3">
        <v>82110</v>
      </c>
      <c r="J14" s="3">
        <v>102772.72727272726</v>
      </c>
      <c r="K14" s="25">
        <v>61496</v>
      </c>
      <c r="L14" s="25">
        <v>61496</v>
      </c>
    </row>
    <row r="15" spans="1:13" x14ac:dyDescent="0.3">
      <c r="A15" t="s">
        <v>41</v>
      </c>
      <c r="B15">
        <v>20260205995526</v>
      </c>
      <c r="C15" t="s">
        <v>112</v>
      </c>
      <c r="D15">
        <v>58481090</v>
      </c>
      <c r="E15" s="16" t="s">
        <v>7</v>
      </c>
      <c r="F15" s="3">
        <v>1</v>
      </c>
      <c r="G15" s="3">
        <v>119000</v>
      </c>
      <c r="H15" s="3">
        <v>119000</v>
      </c>
      <c r="I15" s="3">
        <v>82110</v>
      </c>
      <c r="J15" s="3">
        <v>108181.81818181818</v>
      </c>
      <c r="K15" s="25">
        <v>61496</v>
      </c>
      <c r="L15" s="25">
        <v>61496</v>
      </c>
    </row>
    <row r="16" spans="1:13" x14ac:dyDescent="0.3">
      <c r="A16" t="s">
        <v>41</v>
      </c>
      <c r="B16">
        <v>20260205995622</v>
      </c>
      <c r="C16" t="s">
        <v>112</v>
      </c>
      <c r="D16">
        <v>58481090</v>
      </c>
      <c r="E16" s="16" t="s">
        <v>7</v>
      </c>
      <c r="F16" s="3">
        <v>1</v>
      </c>
      <c r="G16" s="3">
        <v>119000</v>
      </c>
      <c r="H16" s="3">
        <v>119000</v>
      </c>
      <c r="I16" s="3">
        <v>82110</v>
      </c>
      <c r="J16" s="3">
        <v>108181.81818181818</v>
      </c>
      <c r="K16" s="25">
        <v>61496</v>
      </c>
      <c r="L16" s="25">
        <v>61496</v>
      </c>
    </row>
    <row r="17" spans="1:12" x14ac:dyDescent="0.3">
      <c r="A17" t="s">
        <v>41</v>
      </c>
      <c r="B17">
        <v>20260205997344</v>
      </c>
      <c r="C17" t="s">
        <v>112</v>
      </c>
      <c r="D17">
        <v>58481090</v>
      </c>
      <c r="E17" s="16" t="s">
        <v>7</v>
      </c>
      <c r="F17" s="3">
        <v>1</v>
      </c>
      <c r="G17" s="3">
        <v>119000</v>
      </c>
      <c r="H17" s="3">
        <v>113050</v>
      </c>
      <c r="I17" s="3">
        <v>82110</v>
      </c>
      <c r="J17" s="3">
        <v>102772.72727272726</v>
      </c>
      <c r="K17" s="25">
        <v>61496</v>
      </c>
      <c r="L17" s="25">
        <v>61496</v>
      </c>
    </row>
    <row r="18" spans="1:12" x14ac:dyDescent="0.3">
      <c r="A18" t="s">
        <v>41</v>
      </c>
      <c r="B18">
        <v>20260205995265</v>
      </c>
      <c r="C18" t="s">
        <v>112</v>
      </c>
      <c r="D18">
        <v>58481090</v>
      </c>
      <c r="E18" s="16" t="s">
        <v>7</v>
      </c>
      <c r="F18" s="3">
        <v>1</v>
      </c>
      <c r="G18" s="3">
        <v>119000</v>
      </c>
      <c r="H18" s="3">
        <v>119000</v>
      </c>
      <c r="I18" s="3">
        <v>82110</v>
      </c>
      <c r="J18" s="3">
        <v>108181.81818181818</v>
      </c>
      <c r="K18" s="25">
        <v>61496</v>
      </c>
      <c r="L18" s="25">
        <v>61496</v>
      </c>
    </row>
    <row r="19" spans="1:12" x14ac:dyDescent="0.3">
      <c r="A19" t="s">
        <v>41</v>
      </c>
      <c r="B19">
        <v>20260205994047</v>
      </c>
      <c r="C19" t="s">
        <v>112</v>
      </c>
      <c r="D19">
        <v>58481090</v>
      </c>
      <c r="E19" s="16" t="s">
        <v>7</v>
      </c>
      <c r="F19" s="3">
        <v>1</v>
      </c>
      <c r="G19" s="3">
        <v>119000</v>
      </c>
      <c r="H19" s="3">
        <v>114000</v>
      </c>
      <c r="I19" s="3">
        <v>82110</v>
      </c>
      <c r="J19" s="3">
        <v>103636.36363636365</v>
      </c>
      <c r="K19" s="25">
        <v>61496</v>
      </c>
      <c r="L19" s="25">
        <v>61496</v>
      </c>
    </row>
    <row r="20" spans="1:12" x14ac:dyDescent="0.3">
      <c r="A20" t="s">
        <v>41</v>
      </c>
      <c r="B20">
        <v>20260205995035</v>
      </c>
      <c r="C20" t="s">
        <v>112</v>
      </c>
      <c r="D20">
        <v>58481090</v>
      </c>
      <c r="E20" s="16" t="s">
        <v>7</v>
      </c>
      <c r="F20" s="3">
        <v>1</v>
      </c>
      <c r="G20" s="3">
        <v>119000</v>
      </c>
      <c r="H20" s="3">
        <v>119000</v>
      </c>
      <c r="I20" s="3">
        <v>82110</v>
      </c>
      <c r="J20" s="3">
        <v>108181.81818181818</v>
      </c>
      <c r="K20" s="25">
        <v>61496</v>
      </c>
      <c r="L20" s="25">
        <v>61496</v>
      </c>
    </row>
    <row r="21" spans="1:12" x14ac:dyDescent="0.3">
      <c r="A21" t="s">
        <v>41</v>
      </c>
      <c r="B21">
        <v>20260205994804</v>
      </c>
      <c r="C21" t="s">
        <v>112</v>
      </c>
      <c r="D21">
        <v>58481090</v>
      </c>
      <c r="E21" s="16" t="s">
        <v>7</v>
      </c>
      <c r="F21" s="3">
        <v>1</v>
      </c>
      <c r="G21" s="3">
        <v>119000</v>
      </c>
      <c r="H21" s="3">
        <v>119000</v>
      </c>
      <c r="I21" s="3">
        <v>82110</v>
      </c>
      <c r="J21" s="3">
        <v>108181.81818181818</v>
      </c>
      <c r="K21" s="25">
        <v>61496</v>
      </c>
      <c r="L21" s="25">
        <v>61496</v>
      </c>
    </row>
    <row r="22" spans="1:12" x14ac:dyDescent="0.3">
      <c r="A22" t="s">
        <v>41</v>
      </c>
      <c r="B22">
        <v>20260205993699</v>
      </c>
      <c r="C22" t="s">
        <v>112</v>
      </c>
      <c r="D22">
        <v>58481090</v>
      </c>
      <c r="E22" s="16" t="s">
        <v>7</v>
      </c>
      <c r="F22" s="3">
        <v>1</v>
      </c>
      <c r="G22" s="3">
        <v>119000</v>
      </c>
      <c r="H22" s="3">
        <v>105910</v>
      </c>
      <c r="I22" s="3">
        <v>82110</v>
      </c>
      <c r="J22" s="3">
        <v>96281.818181818177</v>
      </c>
      <c r="K22" s="25">
        <v>61496</v>
      </c>
      <c r="L22" s="25">
        <v>61496</v>
      </c>
    </row>
    <row r="23" spans="1:12" x14ac:dyDescent="0.3">
      <c r="A23" t="s">
        <v>41</v>
      </c>
      <c r="B23">
        <v>20260205995624</v>
      </c>
      <c r="C23" t="s">
        <v>112</v>
      </c>
      <c r="D23">
        <v>58481090</v>
      </c>
      <c r="E23" s="16" t="s">
        <v>7</v>
      </c>
      <c r="F23" s="3">
        <v>1</v>
      </c>
      <c r="G23" s="3">
        <v>119000</v>
      </c>
      <c r="H23" s="3">
        <v>119000</v>
      </c>
      <c r="I23" s="3">
        <v>82110</v>
      </c>
      <c r="J23" s="3">
        <v>108181.81818181818</v>
      </c>
      <c r="K23" s="25">
        <v>61496</v>
      </c>
      <c r="L23" s="25">
        <v>61496</v>
      </c>
    </row>
    <row r="24" spans="1:12" x14ac:dyDescent="0.3">
      <c r="A24" t="s">
        <v>41</v>
      </c>
      <c r="B24">
        <v>20260205994327</v>
      </c>
      <c r="C24" t="s">
        <v>112</v>
      </c>
      <c r="D24">
        <v>58481090</v>
      </c>
      <c r="E24" s="16" t="s">
        <v>7</v>
      </c>
      <c r="F24" s="3">
        <v>1</v>
      </c>
      <c r="G24" s="3">
        <v>119000</v>
      </c>
      <c r="H24" s="3">
        <v>119000</v>
      </c>
      <c r="I24" s="3">
        <v>82110</v>
      </c>
      <c r="J24" s="3">
        <v>108181.81818181818</v>
      </c>
      <c r="K24" s="25">
        <v>61496</v>
      </c>
      <c r="L24" s="25">
        <v>61496</v>
      </c>
    </row>
    <row r="25" spans="1:12" x14ac:dyDescent="0.3">
      <c r="A25" t="s">
        <v>41</v>
      </c>
      <c r="B25">
        <v>20260205994708</v>
      </c>
      <c r="C25" t="s">
        <v>112</v>
      </c>
      <c r="D25">
        <v>58481090</v>
      </c>
      <c r="E25" s="16" t="s">
        <v>7</v>
      </c>
      <c r="F25" s="3">
        <v>1</v>
      </c>
      <c r="G25" s="3">
        <v>119000</v>
      </c>
      <c r="H25" s="3">
        <v>119000</v>
      </c>
      <c r="I25" s="3">
        <v>82110</v>
      </c>
      <c r="J25" s="3">
        <v>108181.81818181818</v>
      </c>
      <c r="K25" s="25">
        <v>61496</v>
      </c>
      <c r="L25" s="25">
        <v>61496</v>
      </c>
    </row>
    <row r="26" spans="1:12" x14ac:dyDescent="0.3">
      <c r="A26" t="s">
        <v>41</v>
      </c>
      <c r="B26">
        <v>20260205994944</v>
      </c>
      <c r="C26" t="s">
        <v>112</v>
      </c>
      <c r="D26">
        <v>58481090</v>
      </c>
      <c r="E26" s="16" t="s">
        <v>7</v>
      </c>
      <c r="F26" s="3">
        <v>1</v>
      </c>
      <c r="G26" s="3">
        <v>119000</v>
      </c>
      <c r="H26" s="3">
        <v>105910</v>
      </c>
      <c r="I26" s="3">
        <v>82110</v>
      </c>
      <c r="J26" s="3">
        <v>96281.818181818177</v>
      </c>
      <c r="K26" s="25">
        <v>61496</v>
      </c>
      <c r="L26" s="25">
        <v>61496</v>
      </c>
    </row>
    <row r="27" spans="1:12" x14ac:dyDescent="0.3">
      <c r="A27" t="s">
        <v>41</v>
      </c>
      <c r="B27">
        <v>20260205993006</v>
      </c>
      <c r="C27" t="s">
        <v>112</v>
      </c>
      <c r="D27">
        <v>58481090</v>
      </c>
      <c r="E27" s="16" t="s">
        <v>7</v>
      </c>
      <c r="F27" s="3">
        <v>1</v>
      </c>
      <c r="G27" s="3">
        <v>119000</v>
      </c>
      <c r="H27" s="3">
        <v>119000</v>
      </c>
      <c r="I27" s="3">
        <v>82110</v>
      </c>
      <c r="J27" s="3">
        <v>108181.81818181818</v>
      </c>
      <c r="K27" s="25">
        <v>61496</v>
      </c>
      <c r="L27" s="25">
        <v>61496</v>
      </c>
    </row>
    <row r="28" spans="1:12" x14ac:dyDescent="0.3">
      <c r="A28" t="s">
        <v>41</v>
      </c>
      <c r="B28">
        <v>20260205993208</v>
      </c>
      <c r="C28" t="s">
        <v>112</v>
      </c>
      <c r="D28">
        <v>58481090</v>
      </c>
      <c r="E28" s="16" t="s">
        <v>7</v>
      </c>
      <c r="F28" s="3">
        <v>1</v>
      </c>
      <c r="G28" s="3">
        <v>119000</v>
      </c>
      <c r="H28" s="3">
        <v>96390</v>
      </c>
      <c r="I28" s="3">
        <v>82110</v>
      </c>
      <c r="J28" s="3">
        <v>87627.272727272721</v>
      </c>
      <c r="K28" s="25">
        <v>61496</v>
      </c>
      <c r="L28" s="25">
        <v>61496</v>
      </c>
    </row>
    <row r="29" spans="1:12" x14ac:dyDescent="0.3">
      <c r="A29" t="s">
        <v>41</v>
      </c>
      <c r="B29">
        <v>20260205994165</v>
      </c>
      <c r="C29" t="s">
        <v>112</v>
      </c>
      <c r="D29">
        <v>58481090</v>
      </c>
      <c r="E29" s="16" t="s">
        <v>7</v>
      </c>
      <c r="F29" s="3">
        <v>1</v>
      </c>
      <c r="G29" s="3">
        <v>119000</v>
      </c>
      <c r="H29" s="3">
        <v>109000</v>
      </c>
      <c r="I29" s="3">
        <v>82110</v>
      </c>
      <c r="J29" s="3">
        <v>99090.909090909074</v>
      </c>
      <c r="K29" s="25">
        <v>61496</v>
      </c>
      <c r="L29" s="25">
        <v>61496</v>
      </c>
    </row>
    <row r="30" spans="1:12" x14ac:dyDescent="0.3">
      <c r="A30" t="s">
        <v>41</v>
      </c>
      <c r="B30">
        <v>20260205994774</v>
      </c>
      <c r="C30" t="s">
        <v>112</v>
      </c>
      <c r="D30">
        <v>58481090</v>
      </c>
      <c r="E30" s="16" t="s">
        <v>7</v>
      </c>
      <c r="F30" s="3">
        <v>1</v>
      </c>
      <c r="G30" s="3">
        <v>119000</v>
      </c>
      <c r="H30" s="3">
        <v>119000</v>
      </c>
      <c r="I30" s="3">
        <v>82110</v>
      </c>
      <c r="J30" s="3">
        <v>108181.81818181818</v>
      </c>
      <c r="K30" s="25">
        <v>61496</v>
      </c>
      <c r="L30" s="25">
        <v>61496</v>
      </c>
    </row>
    <row r="31" spans="1:12" x14ac:dyDescent="0.3">
      <c r="A31" t="s">
        <v>41</v>
      </c>
      <c r="B31">
        <v>20260205993002</v>
      </c>
      <c r="C31" t="s">
        <v>112</v>
      </c>
      <c r="D31">
        <v>58481090</v>
      </c>
      <c r="E31" s="16" t="s">
        <v>7</v>
      </c>
      <c r="F31" s="3">
        <v>1</v>
      </c>
      <c r="G31" s="3">
        <v>119000</v>
      </c>
      <c r="H31" s="3">
        <v>119000</v>
      </c>
      <c r="I31" s="3">
        <v>82110</v>
      </c>
      <c r="J31" s="3">
        <v>108181.81818181818</v>
      </c>
      <c r="K31" s="25">
        <v>61496</v>
      </c>
      <c r="L31" s="25">
        <v>61496</v>
      </c>
    </row>
    <row r="32" spans="1:12" x14ac:dyDescent="0.3">
      <c r="A32" t="s">
        <v>41</v>
      </c>
      <c r="B32">
        <v>20260205995233</v>
      </c>
      <c r="C32" t="s">
        <v>112</v>
      </c>
      <c r="D32">
        <v>58481090</v>
      </c>
      <c r="E32" s="16" t="s">
        <v>7</v>
      </c>
      <c r="F32" s="3">
        <v>1</v>
      </c>
      <c r="G32" s="3">
        <v>119000</v>
      </c>
      <c r="H32" s="3">
        <v>119000</v>
      </c>
      <c r="I32" s="3">
        <v>82110</v>
      </c>
      <c r="J32" s="3">
        <v>108181.81818181818</v>
      </c>
      <c r="K32" s="25">
        <v>61496</v>
      </c>
      <c r="L32" s="25">
        <v>61496</v>
      </c>
    </row>
    <row r="33" spans="1:12" x14ac:dyDescent="0.3">
      <c r="A33" t="s">
        <v>41</v>
      </c>
      <c r="B33">
        <v>20260205995590</v>
      </c>
      <c r="C33" t="s">
        <v>112</v>
      </c>
      <c r="D33">
        <v>58481090</v>
      </c>
      <c r="E33" s="16" t="s">
        <v>7</v>
      </c>
      <c r="F33" s="3">
        <v>1</v>
      </c>
      <c r="G33" s="3">
        <v>119000</v>
      </c>
      <c r="H33" s="3">
        <v>113050</v>
      </c>
      <c r="I33" s="3">
        <v>82110</v>
      </c>
      <c r="J33" s="3">
        <v>102772.72727272726</v>
      </c>
      <c r="K33" s="25">
        <v>61496</v>
      </c>
      <c r="L33" s="25">
        <v>61496</v>
      </c>
    </row>
    <row r="34" spans="1:12" x14ac:dyDescent="0.3">
      <c r="A34" t="s">
        <v>41</v>
      </c>
      <c r="B34">
        <v>20260205994071</v>
      </c>
      <c r="C34" t="s">
        <v>112</v>
      </c>
      <c r="D34">
        <v>58481090</v>
      </c>
      <c r="E34" s="16" t="s">
        <v>7</v>
      </c>
      <c r="F34" s="3">
        <v>1</v>
      </c>
      <c r="G34" s="3">
        <v>119000</v>
      </c>
      <c r="H34" s="3">
        <v>119000</v>
      </c>
      <c r="I34" s="3">
        <v>82110</v>
      </c>
      <c r="J34" s="3">
        <v>108181.81818181818</v>
      </c>
      <c r="K34" s="25">
        <v>61496</v>
      </c>
      <c r="L34" s="25">
        <v>61496</v>
      </c>
    </row>
    <row r="35" spans="1:12" x14ac:dyDescent="0.3">
      <c r="A35" t="s">
        <v>41</v>
      </c>
      <c r="B35">
        <v>20260205995236</v>
      </c>
      <c r="C35" t="s">
        <v>112</v>
      </c>
      <c r="D35">
        <v>58481090</v>
      </c>
      <c r="E35" s="16" t="s">
        <v>7</v>
      </c>
      <c r="F35" s="3">
        <v>1</v>
      </c>
      <c r="G35" s="3">
        <v>119000</v>
      </c>
      <c r="H35" s="3">
        <v>119000</v>
      </c>
      <c r="I35" s="3">
        <v>82110</v>
      </c>
      <c r="J35" s="3">
        <v>108181.81818181818</v>
      </c>
      <c r="K35" s="25">
        <v>61496</v>
      </c>
      <c r="L35" s="25">
        <v>61496</v>
      </c>
    </row>
    <row r="36" spans="1:12" x14ac:dyDescent="0.3">
      <c r="A36" t="s">
        <v>41</v>
      </c>
      <c r="B36">
        <v>20260205992736</v>
      </c>
      <c r="C36" t="s">
        <v>112</v>
      </c>
      <c r="D36">
        <v>58481090</v>
      </c>
      <c r="E36" s="16" t="s">
        <v>7</v>
      </c>
      <c r="F36" s="3">
        <v>1</v>
      </c>
      <c r="G36" s="3">
        <v>119000</v>
      </c>
      <c r="H36" s="3">
        <v>119000</v>
      </c>
      <c r="I36" s="3">
        <v>82110</v>
      </c>
      <c r="J36" s="3">
        <v>108181.81818181818</v>
      </c>
      <c r="K36" s="25">
        <v>61496</v>
      </c>
      <c r="L36" s="25">
        <v>61496</v>
      </c>
    </row>
    <row r="37" spans="1:12" x14ac:dyDescent="0.3">
      <c r="A37" t="s">
        <v>41</v>
      </c>
      <c r="B37">
        <v>20260205993184</v>
      </c>
      <c r="C37" t="s">
        <v>112</v>
      </c>
      <c r="D37">
        <v>58481090</v>
      </c>
      <c r="E37" s="16" t="s">
        <v>7</v>
      </c>
      <c r="F37" s="3">
        <v>1</v>
      </c>
      <c r="G37" s="3">
        <v>119000</v>
      </c>
      <c r="H37" s="3">
        <v>119000</v>
      </c>
      <c r="I37" s="3">
        <v>82110</v>
      </c>
      <c r="J37" s="3">
        <v>108181.81818181818</v>
      </c>
      <c r="K37" s="25">
        <v>61496</v>
      </c>
      <c r="L37" s="25">
        <v>61496</v>
      </c>
    </row>
    <row r="38" spans="1:12" x14ac:dyDescent="0.3">
      <c r="A38" t="s">
        <v>41</v>
      </c>
      <c r="B38">
        <v>20260205994068</v>
      </c>
      <c r="C38" t="s">
        <v>112</v>
      </c>
      <c r="D38">
        <v>58481090</v>
      </c>
      <c r="E38" s="16" t="s">
        <v>7</v>
      </c>
      <c r="F38" s="3">
        <v>1</v>
      </c>
      <c r="G38" s="3">
        <v>119000</v>
      </c>
      <c r="H38" s="3">
        <v>119000</v>
      </c>
      <c r="I38" s="3">
        <v>82110</v>
      </c>
      <c r="J38" s="3">
        <v>108181.81818181818</v>
      </c>
      <c r="K38" s="25">
        <v>61496</v>
      </c>
      <c r="L38" s="25">
        <v>61496</v>
      </c>
    </row>
    <row r="39" spans="1:12" x14ac:dyDescent="0.3">
      <c r="A39" t="s">
        <v>41</v>
      </c>
      <c r="B39">
        <v>20260205994704</v>
      </c>
      <c r="C39" t="s">
        <v>112</v>
      </c>
      <c r="D39">
        <v>58481090</v>
      </c>
      <c r="E39" s="16" t="s">
        <v>7</v>
      </c>
      <c r="F39" s="3">
        <v>1</v>
      </c>
      <c r="G39" s="3">
        <v>119000</v>
      </c>
      <c r="H39" s="3">
        <v>119000</v>
      </c>
      <c r="I39" s="3">
        <v>82110</v>
      </c>
      <c r="J39" s="3">
        <v>108181.81818181818</v>
      </c>
      <c r="K39" s="25">
        <v>61496</v>
      </c>
      <c r="L39" s="25">
        <v>61496</v>
      </c>
    </row>
    <row r="40" spans="1:12" x14ac:dyDescent="0.3">
      <c r="A40" t="s">
        <v>41</v>
      </c>
      <c r="B40">
        <v>20260205993640</v>
      </c>
      <c r="C40" t="s">
        <v>112</v>
      </c>
      <c r="D40">
        <v>58481090</v>
      </c>
      <c r="E40" s="16" t="s">
        <v>7</v>
      </c>
      <c r="F40" s="3">
        <v>1</v>
      </c>
      <c r="G40" s="3">
        <v>119000</v>
      </c>
      <c r="H40" s="3">
        <v>119000</v>
      </c>
      <c r="I40" s="3">
        <v>82110</v>
      </c>
      <c r="J40" s="3">
        <v>108181.81818181818</v>
      </c>
      <c r="K40" s="25">
        <v>61496</v>
      </c>
      <c r="L40" s="25">
        <v>61496</v>
      </c>
    </row>
    <row r="41" spans="1:12" x14ac:dyDescent="0.3">
      <c r="A41" t="s">
        <v>41</v>
      </c>
      <c r="B41">
        <v>20260205994989</v>
      </c>
      <c r="C41" t="s">
        <v>112</v>
      </c>
      <c r="D41">
        <v>58481090</v>
      </c>
      <c r="E41" s="16" t="s">
        <v>7</v>
      </c>
      <c r="F41" s="3">
        <v>1</v>
      </c>
      <c r="G41" s="3">
        <v>119000</v>
      </c>
      <c r="H41" s="3">
        <v>113050</v>
      </c>
      <c r="I41" s="3">
        <v>82110</v>
      </c>
      <c r="J41" s="3">
        <v>102772.72727272726</v>
      </c>
      <c r="K41" s="25">
        <v>61496</v>
      </c>
      <c r="L41" s="25">
        <v>61496</v>
      </c>
    </row>
    <row r="42" spans="1:12" x14ac:dyDescent="0.3">
      <c r="A42" t="s">
        <v>41</v>
      </c>
      <c r="B42">
        <v>20260205993988</v>
      </c>
      <c r="C42" t="s">
        <v>112</v>
      </c>
      <c r="D42">
        <v>58481090</v>
      </c>
      <c r="E42" s="16" t="s">
        <v>7</v>
      </c>
      <c r="F42" s="3">
        <v>1</v>
      </c>
      <c r="G42" s="3">
        <v>119000</v>
      </c>
      <c r="H42" s="3">
        <v>119000</v>
      </c>
      <c r="I42" s="3">
        <v>82110</v>
      </c>
      <c r="J42" s="3">
        <v>108181.81818181818</v>
      </c>
      <c r="K42" s="25">
        <v>61496</v>
      </c>
      <c r="L42" s="25">
        <v>61496</v>
      </c>
    </row>
    <row r="43" spans="1:12" x14ac:dyDescent="0.3">
      <c r="A43" t="s">
        <v>41</v>
      </c>
      <c r="B43">
        <v>20260205995073</v>
      </c>
      <c r="C43" t="s">
        <v>112</v>
      </c>
      <c r="D43">
        <v>58481090</v>
      </c>
      <c r="E43" s="16" t="s">
        <v>7</v>
      </c>
      <c r="F43" s="3">
        <v>1</v>
      </c>
      <c r="G43" s="3">
        <v>119000</v>
      </c>
      <c r="H43" s="3">
        <v>119000</v>
      </c>
      <c r="I43" s="3">
        <v>82110</v>
      </c>
      <c r="J43" s="3">
        <v>108181.81818181818</v>
      </c>
      <c r="K43" s="25">
        <v>61496</v>
      </c>
      <c r="L43" s="25">
        <v>61496</v>
      </c>
    </row>
    <row r="44" spans="1:12" x14ac:dyDescent="0.3">
      <c r="A44" t="s">
        <v>41</v>
      </c>
      <c r="B44">
        <v>20260205993674</v>
      </c>
      <c r="C44" t="s">
        <v>112</v>
      </c>
      <c r="D44">
        <v>58481090</v>
      </c>
      <c r="E44" s="16" t="s">
        <v>7</v>
      </c>
      <c r="F44" s="3">
        <v>1</v>
      </c>
      <c r="G44" s="3">
        <v>119000</v>
      </c>
      <c r="H44" s="3">
        <v>119000</v>
      </c>
      <c r="I44" s="3">
        <v>82110</v>
      </c>
      <c r="J44" s="3">
        <v>108181.81818181818</v>
      </c>
      <c r="K44" s="25">
        <v>61496</v>
      </c>
      <c r="L44" s="25">
        <v>61496</v>
      </c>
    </row>
    <row r="45" spans="1:12" x14ac:dyDescent="0.3">
      <c r="A45" t="s">
        <v>41</v>
      </c>
      <c r="B45">
        <v>20260205993680</v>
      </c>
      <c r="C45" t="s">
        <v>112</v>
      </c>
      <c r="D45">
        <v>58481090</v>
      </c>
      <c r="E45" s="16" t="s">
        <v>7</v>
      </c>
      <c r="F45" s="3">
        <v>1</v>
      </c>
      <c r="G45" s="3">
        <v>119000</v>
      </c>
      <c r="H45" s="3">
        <v>119000</v>
      </c>
      <c r="I45" s="3">
        <v>82110</v>
      </c>
      <c r="J45" s="3">
        <v>108181.81818181818</v>
      </c>
      <c r="K45" s="25">
        <v>61496</v>
      </c>
      <c r="L45" s="25">
        <v>61496</v>
      </c>
    </row>
    <row r="46" spans="1:12" x14ac:dyDescent="0.3">
      <c r="A46" t="s">
        <v>41</v>
      </c>
      <c r="B46">
        <v>20260205993664</v>
      </c>
      <c r="C46" t="s">
        <v>112</v>
      </c>
      <c r="D46">
        <v>58481090</v>
      </c>
      <c r="E46" s="16" t="s">
        <v>7</v>
      </c>
      <c r="F46" s="3">
        <v>1</v>
      </c>
      <c r="G46" s="3">
        <v>119000</v>
      </c>
      <c r="H46" s="3">
        <v>119000</v>
      </c>
      <c r="I46" s="3">
        <v>82110</v>
      </c>
      <c r="J46" s="3">
        <v>108181.81818181818</v>
      </c>
      <c r="K46" s="25">
        <v>61496</v>
      </c>
      <c r="L46" s="25">
        <v>61496</v>
      </c>
    </row>
    <row r="47" spans="1:12" x14ac:dyDescent="0.3">
      <c r="A47" t="s">
        <v>41</v>
      </c>
      <c r="B47">
        <v>20260205993052</v>
      </c>
      <c r="C47" t="s">
        <v>112</v>
      </c>
      <c r="D47">
        <v>58481090</v>
      </c>
      <c r="E47" s="16" t="s">
        <v>7</v>
      </c>
      <c r="F47" s="3">
        <v>1</v>
      </c>
      <c r="G47" s="3">
        <v>119000</v>
      </c>
      <c r="H47" s="3">
        <v>119000</v>
      </c>
      <c r="I47" s="3">
        <v>82110</v>
      </c>
      <c r="J47" s="3">
        <v>108181.81818181818</v>
      </c>
      <c r="K47" s="25">
        <v>61496</v>
      </c>
      <c r="L47" s="25">
        <v>61496</v>
      </c>
    </row>
    <row r="48" spans="1:12" x14ac:dyDescent="0.3">
      <c r="A48" t="s">
        <v>41</v>
      </c>
      <c r="B48">
        <v>20260205995037</v>
      </c>
      <c r="C48" t="s">
        <v>112</v>
      </c>
      <c r="D48">
        <v>58481090</v>
      </c>
      <c r="E48" s="16" t="s">
        <v>7</v>
      </c>
      <c r="F48" s="3">
        <v>1</v>
      </c>
      <c r="G48" s="3">
        <v>119000</v>
      </c>
      <c r="H48" s="3">
        <v>119000</v>
      </c>
      <c r="I48" s="3">
        <v>82110</v>
      </c>
      <c r="J48" s="3">
        <v>108181.81818181818</v>
      </c>
      <c r="K48" s="25">
        <v>61496</v>
      </c>
      <c r="L48" s="25">
        <v>61496</v>
      </c>
    </row>
    <row r="49" spans="1:12" x14ac:dyDescent="0.3">
      <c r="A49" t="s">
        <v>41</v>
      </c>
      <c r="B49">
        <v>20260205995009</v>
      </c>
      <c r="C49" t="s">
        <v>112</v>
      </c>
      <c r="D49">
        <v>58481090</v>
      </c>
      <c r="E49" s="16" t="s">
        <v>7</v>
      </c>
      <c r="F49" s="3">
        <v>1</v>
      </c>
      <c r="G49" s="3">
        <v>119000</v>
      </c>
      <c r="H49" s="3">
        <v>119000</v>
      </c>
      <c r="I49" s="3">
        <v>82110</v>
      </c>
      <c r="J49" s="3">
        <v>108181.81818181818</v>
      </c>
      <c r="K49" s="25">
        <v>61496</v>
      </c>
      <c r="L49" s="25">
        <v>61496</v>
      </c>
    </row>
    <row r="50" spans="1:12" x14ac:dyDescent="0.3">
      <c r="A50" t="s">
        <v>41</v>
      </c>
      <c r="B50">
        <v>20260205994035</v>
      </c>
      <c r="C50" t="s">
        <v>112</v>
      </c>
      <c r="D50">
        <v>58481090</v>
      </c>
      <c r="E50" s="16" t="s">
        <v>7</v>
      </c>
      <c r="F50" s="3">
        <v>1</v>
      </c>
      <c r="G50" s="3">
        <v>119000</v>
      </c>
      <c r="H50" s="3">
        <v>119000</v>
      </c>
      <c r="I50" s="3">
        <v>82110</v>
      </c>
      <c r="J50" s="3">
        <v>108181.81818181818</v>
      </c>
      <c r="K50" s="25">
        <v>61496</v>
      </c>
      <c r="L50" s="25">
        <v>61496</v>
      </c>
    </row>
    <row r="51" spans="1:12" x14ac:dyDescent="0.3">
      <c r="A51" t="s">
        <v>41</v>
      </c>
      <c r="B51">
        <v>20260205995023</v>
      </c>
      <c r="C51" t="s">
        <v>112</v>
      </c>
      <c r="D51">
        <v>58481090</v>
      </c>
      <c r="E51" s="16" t="s">
        <v>7</v>
      </c>
      <c r="F51" s="3">
        <v>1</v>
      </c>
      <c r="G51" s="3">
        <v>119000</v>
      </c>
      <c r="H51" s="3">
        <v>119000</v>
      </c>
      <c r="I51" s="3">
        <v>82110</v>
      </c>
      <c r="J51" s="3">
        <v>108181.81818181818</v>
      </c>
      <c r="K51" s="25">
        <v>61496</v>
      </c>
      <c r="L51" s="25">
        <v>61496</v>
      </c>
    </row>
    <row r="52" spans="1:12" x14ac:dyDescent="0.3">
      <c r="A52" t="s">
        <v>41</v>
      </c>
      <c r="B52">
        <v>20260205994048</v>
      </c>
      <c r="C52" t="s">
        <v>112</v>
      </c>
      <c r="D52">
        <v>58481090</v>
      </c>
      <c r="E52" s="16" t="s">
        <v>7</v>
      </c>
      <c r="F52" s="3">
        <v>1</v>
      </c>
      <c r="G52" s="3">
        <v>119000</v>
      </c>
      <c r="H52" s="3">
        <v>113050</v>
      </c>
      <c r="I52" s="3">
        <v>82110</v>
      </c>
      <c r="J52" s="3">
        <v>102772.72727272726</v>
      </c>
      <c r="K52" s="25">
        <v>61496</v>
      </c>
      <c r="L52" s="25">
        <v>61496</v>
      </c>
    </row>
    <row r="53" spans="1:12" x14ac:dyDescent="0.3">
      <c r="A53" t="s">
        <v>41</v>
      </c>
      <c r="B53">
        <v>20260205993215</v>
      </c>
      <c r="C53" t="s">
        <v>112</v>
      </c>
      <c r="D53">
        <v>58481090</v>
      </c>
      <c r="E53" s="16" t="s">
        <v>7</v>
      </c>
      <c r="F53" s="3">
        <v>1</v>
      </c>
      <c r="G53" s="3">
        <v>119000</v>
      </c>
      <c r="H53" s="3">
        <v>119000</v>
      </c>
      <c r="I53" s="3">
        <v>82110</v>
      </c>
      <c r="J53" s="3">
        <v>108181.81818181818</v>
      </c>
      <c r="K53" s="25">
        <v>61496</v>
      </c>
      <c r="L53" s="25">
        <v>61496</v>
      </c>
    </row>
    <row r="54" spans="1:12" x14ac:dyDescent="0.3">
      <c r="A54" t="s">
        <v>41</v>
      </c>
      <c r="B54">
        <v>20260205993380</v>
      </c>
      <c r="C54" t="s">
        <v>112</v>
      </c>
      <c r="D54">
        <v>58481090</v>
      </c>
      <c r="E54" s="16" t="s">
        <v>7</v>
      </c>
      <c r="F54" s="3">
        <v>1</v>
      </c>
      <c r="G54" s="3">
        <v>119000</v>
      </c>
      <c r="H54" s="3">
        <v>119000</v>
      </c>
      <c r="I54" s="3">
        <v>82110</v>
      </c>
      <c r="J54" s="3">
        <v>108181.81818181818</v>
      </c>
      <c r="K54" s="25">
        <v>61496</v>
      </c>
      <c r="L54" s="25">
        <v>61496</v>
      </c>
    </row>
    <row r="55" spans="1:12" x14ac:dyDescent="0.3">
      <c r="A55" t="s">
        <v>41</v>
      </c>
      <c r="B55">
        <v>20260205995874</v>
      </c>
      <c r="C55" t="s">
        <v>112</v>
      </c>
      <c r="D55">
        <v>58481090</v>
      </c>
      <c r="E55" s="16" t="s">
        <v>7</v>
      </c>
      <c r="F55" s="3">
        <v>1</v>
      </c>
      <c r="G55" s="3">
        <v>119000</v>
      </c>
      <c r="H55" s="3">
        <v>99960</v>
      </c>
      <c r="I55" s="3">
        <v>82110</v>
      </c>
      <c r="J55" s="3">
        <v>90872.727272727265</v>
      </c>
      <c r="K55" s="25">
        <v>61496</v>
      </c>
      <c r="L55" s="25">
        <v>61496</v>
      </c>
    </row>
    <row r="56" spans="1:12" x14ac:dyDescent="0.3">
      <c r="A56" t="s">
        <v>41</v>
      </c>
      <c r="B56">
        <v>20260205995155</v>
      </c>
      <c r="C56" t="s">
        <v>112</v>
      </c>
      <c r="D56">
        <v>58481090</v>
      </c>
      <c r="E56" s="16" t="s">
        <v>7</v>
      </c>
      <c r="F56" s="3">
        <v>1</v>
      </c>
      <c r="G56" s="3">
        <v>119000</v>
      </c>
      <c r="H56" s="3">
        <v>119000</v>
      </c>
      <c r="I56" s="3">
        <v>82110</v>
      </c>
      <c r="J56" s="3">
        <v>108181.81818181818</v>
      </c>
      <c r="K56" s="25">
        <v>61496</v>
      </c>
      <c r="L56" s="25">
        <v>61496</v>
      </c>
    </row>
    <row r="57" spans="1:12" x14ac:dyDescent="0.3">
      <c r="A57" t="s">
        <v>41</v>
      </c>
      <c r="B57">
        <v>20260205994376</v>
      </c>
      <c r="C57" t="s">
        <v>112</v>
      </c>
      <c r="D57">
        <v>58481090</v>
      </c>
      <c r="E57" s="16" t="s">
        <v>7</v>
      </c>
      <c r="F57" s="3">
        <v>1</v>
      </c>
      <c r="G57" s="3">
        <v>119000</v>
      </c>
      <c r="H57" s="3">
        <v>119000</v>
      </c>
      <c r="I57" s="3">
        <v>82110</v>
      </c>
      <c r="J57" s="3">
        <v>108181.81818181818</v>
      </c>
      <c r="K57" s="25">
        <v>61496</v>
      </c>
      <c r="L57" s="25">
        <v>61496</v>
      </c>
    </row>
    <row r="58" spans="1:12" x14ac:dyDescent="0.3">
      <c r="A58" t="s">
        <v>41</v>
      </c>
      <c r="B58">
        <v>20260205994564</v>
      </c>
      <c r="C58" t="s">
        <v>112</v>
      </c>
      <c r="D58">
        <v>58481090</v>
      </c>
      <c r="E58" s="16" t="s">
        <v>7</v>
      </c>
      <c r="F58" s="3">
        <v>1</v>
      </c>
      <c r="G58" s="3">
        <v>119000</v>
      </c>
      <c r="H58" s="3">
        <v>119000</v>
      </c>
      <c r="I58" s="3">
        <v>82110</v>
      </c>
      <c r="J58" s="3">
        <v>108181.81818181818</v>
      </c>
      <c r="K58" s="25">
        <v>61496</v>
      </c>
      <c r="L58" s="25">
        <v>61496</v>
      </c>
    </row>
    <row r="59" spans="1:12" x14ac:dyDescent="0.3">
      <c r="A59" t="s">
        <v>41</v>
      </c>
      <c r="B59">
        <v>20260205994614</v>
      </c>
      <c r="C59" t="s">
        <v>112</v>
      </c>
      <c r="D59">
        <v>58481090</v>
      </c>
      <c r="E59" s="16" t="s">
        <v>7</v>
      </c>
      <c r="F59" s="3">
        <v>1</v>
      </c>
      <c r="G59" s="3">
        <v>119000</v>
      </c>
      <c r="H59" s="3">
        <v>109000</v>
      </c>
      <c r="I59" s="3">
        <v>82110</v>
      </c>
      <c r="J59" s="3">
        <v>99090.909090909074</v>
      </c>
      <c r="K59" s="25">
        <v>61496</v>
      </c>
      <c r="L59" s="25">
        <v>61496</v>
      </c>
    </row>
    <row r="60" spans="1:12" x14ac:dyDescent="0.3">
      <c r="A60" t="s">
        <v>41</v>
      </c>
      <c r="B60">
        <v>20260205993698</v>
      </c>
      <c r="C60" t="s">
        <v>112</v>
      </c>
      <c r="D60">
        <v>58481090</v>
      </c>
      <c r="E60" s="16" t="s">
        <v>7</v>
      </c>
      <c r="F60" s="3">
        <v>1</v>
      </c>
      <c r="G60" s="3">
        <v>119000</v>
      </c>
      <c r="H60" s="3">
        <v>99960</v>
      </c>
      <c r="I60" s="3">
        <v>82110</v>
      </c>
      <c r="J60" s="3">
        <v>90872.727272727265</v>
      </c>
      <c r="K60" s="25">
        <v>61496</v>
      </c>
      <c r="L60" s="25">
        <v>61496</v>
      </c>
    </row>
    <row r="61" spans="1:12" x14ac:dyDescent="0.3">
      <c r="A61" t="s">
        <v>41</v>
      </c>
      <c r="B61">
        <v>20260205992804</v>
      </c>
      <c r="C61" t="s">
        <v>112</v>
      </c>
      <c r="D61">
        <v>58481090</v>
      </c>
      <c r="E61" s="16" t="s">
        <v>7</v>
      </c>
      <c r="F61" s="3">
        <v>1</v>
      </c>
      <c r="G61" s="3">
        <v>119000</v>
      </c>
      <c r="H61" s="3">
        <v>119000</v>
      </c>
      <c r="I61" s="3">
        <v>82110</v>
      </c>
      <c r="J61" s="3">
        <v>108181.81818181818</v>
      </c>
      <c r="K61" s="25">
        <v>61496</v>
      </c>
      <c r="L61" s="25">
        <v>61496</v>
      </c>
    </row>
    <row r="62" spans="1:12" x14ac:dyDescent="0.3">
      <c r="A62" t="s">
        <v>41</v>
      </c>
      <c r="B62">
        <v>20260205992800</v>
      </c>
      <c r="C62" t="s">
        <v>112</v>
      </c>
      <c r="D62">
        <v>58481090</v>
      </c>
      <c r="E62" s="16" t="s">
        <v>7</v>
      </c>
      <c r="F62" s="3">
        <v>1</v>
      </c>
      <c r="G62" s="3">
        <v>119000</v>
      </c>
      <c r="H62" s="3">
        <v>113050</v>
      </c>
      <c r="I62" s="3">
        <v>82110</v>
      </c>
      <c r="J62" s="3">
        <v>102772.72727272726</v>
      </c>
      <c r="K62" s="25">
        <v>61496</v>
      </c>
      <c r="L62" s="25">
        <v>61496</v>
      </c>
    </row>
    <row r="63" spans="1:12" x14ac:dyDescent="0.3">
      <c r="A63" t="s">
        <v>41</v>
      </c>
      <c r="B63">
        <v>20260205994317</v>
      </c>
      <c r="C63" t="s">
        <v>112</v>
      </c>
      <c r="D63">
        <v>58481090</v>
      </c>
      <c r="E63" s="16" t="s">
        <v>7</v>
      </c>
      <c r="F63" s="3">
        <v>1</v>
      </c>
      <c r="G63" s="3">
        <v>119000</v>
      </c>
      <c r="H63" s="3">
        <v>113050</v>
      </c>
      <c r="I63" s="3">
        <v>82110</v>
      </c>
      <c r="J63" s="3">
        <v>102772.72727272726</v>
      </c>
      <c r="K63" s="25">
        <v>61496</v>
      </c>
      <c r="L63" s="25">
        <v>61496</v>
      </c>
    </row>
    <row r="64" spans="1:12" x14ac:dyDescent="0.3">
      <c r="A64" t="s">
        <v>41</v>
      </c>
      <c r="B64">
        <v>20260205992772</v>
      </c>
      <c r="C64" t="s">
        <v>112</v>
      </c>
      <c r="D64">
        <v>58481090</v>
      </c>
      <c r="E64" s="16" t="s">
        <v>7</v>
      </c>
      <c r="F64" s="3">
        <v>1</v>
      </c>
      <c r="G64" s="3">
        <v>119000</v>
      </c>
      <c r="H64" s="3">
        <v>119000</v>
      </c>
      <c r="I64" s="3">
        <v>82110</v>
      </c>
      <c r="J64" s="3">
        <v>108181.81818181818</v>
      </c>
      <c r="K64" s="25">
        <v>61496</v>
      </c>
      <c r="L64" s="25">
        <v>61496</v>
      </c>
    </row>
    <row r="65" spans="1:12" x14ac:dyDescent="0.3">
      <c r="A65" t="s">
        <v>41</v>
      </c>
      <c r="B65">
        <v>20260205995383</v>
      </c>
      <c r="C65" t="s">
        <v>112</v>
      </c>
      <c r="D65">
        <v>58481090</v>
      </c>
      <c r="E65" s="16" t="s">
        <v>7</v>
      </c>
      <c r="F65" s="3">
        <v>1</v>
      </c>
      <c r="G65" s="3">
        <v>119000</v>
      </c>
      <c r="H65" s="3">
        <v>119000</v>
      </c>
      <c r="I65" s="3">
        <v>82110</v>
      </c>
      <c r="J65" s="3">
        <v>108181.81818181818</v>
      </c>
      <c r="K65" s="25">
        <v>61496</v>
      </c>
      <c r="L65" s="25">
        <v>61496</v>
      </c>
    </row>
    <row r="66" spans="1:12" x14ac:dyDescent="0.3">
      <c r="A66" t="s">
        <v>41</v>
      </c>
      <c r="B66">
        <v>20260205994159</v>
      </c>
      <c r="C66" t="s">
        <v>112</v>
      </c>
      <c r="D66">
        <v>58481090</v>
      </c>
      <c r="E66" s="16" t="s">
        <v>7</v>
      </c>
      <c r="F66" s="3">
        <v>1</v>
      </c>
      <c r="G66" s="3">
        <v>119000</v>
      </c>
      <c r="H66" s="3">
        <v>119000</v>
      </c>
      <c r="I66" s="3">
        <v>82110</v>
      </c>
      <c r="J66" s="3">
        <v>108181.81818181818</v>
      </c>
      <c r="K66" s="25">
        <v>61496</v>
      </c>
      <c r="L66" s="25">
        <v>61496</v>
      </c>
    </row>
    <row r="67" spans="1:12" x14ac:dyDescent="0.3">
      <c r="A67" t="s">
        <v>41</v>
      </c>
      <c r="B67">
        <v>20260205994198</v>
      </c>
      <c r="C67" t="s">
        <v>112</v>
      </c>
      <c r="D67">
        <v>58481090</v>
      </c>
      <c r="E67" s="16" t="s">
        <v>7</v>
      </c>
      <c r="F67" s="3">
        <v>1</v>
      </c>
      <c r="G67" s="3">
        <v>119000</v>
      </c>
      <c r="H67" s="3">
        <v>119000</v>
      </c>
      <c r="I67" s="3">
        <v>82110</v>
      </c>
      <c r="J67" s="3">
        <v>108181.81818181818</v>
      </c>
      <c r="K67" s="25">
        <v>61496</v>
      </c>
      <c r="L67" s="25">
        <v>61496</v>
      </c>
    </row>
    <row r="68" spans="1:12" x14ac:dyDescent="0.3">
      <c r="A68" t="s">
        <v>41</v>
      </c>
      <c r="B68">
        <v>20260205994768</v>
      </c>
      <c r="C68" t="s">
        <v>112</v>
      </c>
      <c r="D68">
        <v>58481090</v>
      </c>
      <c r="E68" s="16" t="s">
        <v>7</v>
      </c>
      <c r="F68" s="3">
        <v>1</v>
      </c>
      <c r="G68" s="3">
        <v>119000</v>
      </c>
      <c r="H68" s="3">
        <v>119000</v>
      </c>
      <c r="I68" s="3">
        <v>82110</v>
      </c>
      <c r="J68" s="3">
        <v>108181.81818181818</v>
      </c>
      <c r="K68" s="25">
        <v>61496</v>
      </c>
      <c r="L68" s="25">
        <v>61496</v>
      </c>
    </row>
    <row r="69" spans="1:12" x14ac:dyDescent="0.3">
      <c r="A69" t="s">
        <v>41</v>
      </c>
      <c r="B69">
        <v>20260205994818</v>
      </c>
      <c r="C69" t="s">
        <v>112</v>
      </c>
      <c r="D69">
        <v>58481090</v>
      </c>
      <c r="E69" s="16" t="s">
        <v>7</v>
      </c>
      <c r="F69" s="3">
        <v>1</v>
      </c>
      <c r="G69" s="3">
        <v>119000</v>
      </c>
      <c r="H69" s="3">
        <v>119000</v>
      </c>
      <c r="I69" s="3">
        <v>82110</v>
      </c>
      <c r="J69" s="3">
        <v>108181.81818181818</v>
      </c>
      <c r="K69" s="25">
        <v>61496</v>
      </c>
      <c r="L69" s="25">
        <v>61496</v>
      </c>
    </row>
    <row r="70" spans="1:12" x14ac:dyDescent="0.3">
      <c r="A70" t="s">
        <v>41</v>
      </c>
      <c r="B70">
        <v>20260205992872</v>
      </c>
      <c r="C70" t="s">
        <v>112</v>
      </c>
      <c r="D70">
        <v>58481090</v>
      </c>
      <c r="E70" s="16" t="s">
        <v>7</v>
      </c>
      <c r="F70" s="3">
        <v>1</v>
      </c>
      <c r="G70" s="3">
        <v>119000</v>
      </c>
      <c r="H70" s="3">
        <v>119000</v>
      </c>
      <c r="I70" s="3">
        <v>82110</v>
      </c>
      <c r="J70" s="3">
        <v>108181.81818181818</v>
      </c>
      <c r="K70" s="25">
        <v>61496</v>
      </c>
      <c r="L70" s="25">
        <v>61496</v>
      </c>
    </row>
    <row r="71" spans="1:12" x14ac:dyDescent="0.3">
      <c r="A71" t="s">
        <v>41</v>
      </c>
      <c r="B71">
        <v>20260205995552</v>
      </c>
      <c r="C71" t="s">
        <v>112</v>
      </c>
      <c r="D71">
        <v>58481090</v>
      </c>
      <c r="E71" s="16" t="s">
        <v>7</v>
      </c>
      <c r="F71" s="3">
        <v>1</v>
      </c>
      <c r="G71" s="3">
        <v>119000</v>
      </c>
      <c r="H71" s="3">
        <v>119000</v>
      </c>
      <c r="I71" s="3">
        <v>82110</v>
      </c>
      <c r="J71" s="3">
        <v>108181.81818181818</v>
      </c>
      <c r="K71" s="25">
        <v>61496</v>
      </c>
      <c r="L71" s="25">
        <v>61496</v>
      </c>
    </row>
    <row r="72" spans="1:12" x14ac:dyDescent="0.3">
      <c r="A72" t="s">
        <v>41</v>
      </c>
      <c r="B72">
        <v>20260205995516</v>
      </c>
      <c r="C72" t="s">
        <v>112</v>
      </c>
      <c r="D72">
        <v>58481090</v>
      </c>
      <c r="E72" s="16" t="s">
        <v>7</v>
      </c>
      <c r="F72" s="3">
        <v>1</v>
      </c>
      <c r="G72" s="3">
        <v>119000</v>
      </c>
      <c r="H72" s="3">
        <v>119000</v>
      </c>
      <c r="I72" s="3">
        <v>82110</v>
      </c>
      <c r="J72" s="3">
        <v>108181.81818181818</v>
      </c>
      <c r="K72" s="25">
        <v>61496</v>
      </c>
      <c r="L72" s="25">
        <v>61496</v>
      </c>
    </row>
    <row r="73" spans="1:12" x14ac:dyDescent="0.3">
      <c r="A73" t="s">
        <v>41</v>
      </c>
      <c r="B73">
        <v>20260205994953</v>
      </c>
      <c r="C73" t="s">
        <v>112</v>
      </c>
      <c r="D73">
        <v>58481090</v>
      </c>
      <c r="E73" s="16" t="s">
        <v>7</v>
      </c>
      <c r="F73" s="3">
        <v>1</v>
      </c>
      <c r="G73" s="3">
        <v>119000</v>
      </c>
      <c r="H73" s="3">
        <v>99960</v>
      </c>
      <c r="I73" s="3">
        <v>82110</v>
      </c>
      <c r="J73" s="3">
        <v>90872.727272727265</v>
      </c>
      <c r="K73" s="25">
        <v>61496</v>
      </c>
      <c r="L73" s="25">
        <v>61496</v>
      </c>
    </row>
    <row r="74" spans="1:12" x14ac:dyDescent="0.3">
      <c r="A74" t="s">
        <v>41</v>
      </c>
      <c r="B74">
        <v>20260205995058</v>
      </c>
      <c r="C74" t="s">
        <v>112</v>
      </c>
      <c r="D74">
        <v>58481090</v>
      </c>
      <c r="E74" s="16" t="s">
        <v>7</v>
      </c>
      <c r="F74" s="3">
        <v>1</v>
      </c>
      <c r="G74" s="3">
        <v>119000</v>
      </c>
      <c r="H74" s="3">
        <v>108300</v>
      </c>
      <c r="I74" s="3">
        <v>82110</v>
      </c>
      <c r="J74" s="3">
        <v>98454.545454545441</v>
      </c>
      <c r="K74" s="25">
        <v>61496</v>
      </c>
      <c r="L74" s="25">
        <v>61496</v>
      </c>
    </row>
    <row r="75" spans="1:12" x14ac:dyDescent="0.3">
      <c r="A75" t="s">
        <v>41</v>
      </c>
      <c r="B75">
        <v>20260205995012</v>
      </c>
      <c r="C75" t="s">
        <v>112</v>
      </c>
      <c r="D75">
        <v>58481090</v>
      </c>
      <c r="E75" s="16" t="s">
        <v>7</v>
      </c>
      <c r="F75" s="3">
        <v>1</v>
      </c>
      <c r="G75" s="3">
        <v>119000</v>
      </c>
      <c r="H75" s="3">
        <v>119000</v>
      </c>
      <c r="I75" s="3">
        <v>82110</v>
      </c>
      <c r="J75" s="3">
        <v>108181.81818181818</v>
      </c>
      <c r="K75" s="25">
        <v>61496</v>
      </c>
      <c r="L75" s="25">
        <v>61496</v>
      </c>
    </row>
    <row r="76" spans="1:12" x14ac:dyDescent="0.3">
      <c r="A76" t="s">
        <v>41</v>
      </c>
      <c r="B76">
        <v>20260205993890</v>
      </c>
      <c r="C76" t="s">
        <v>112</v>
      </c>
      <c r="D76">
        <v>58481090</v>
      </c>
      <c r="E76" s="16" t="s">
        <v>7</v>
      </c>
      <c r="F76" s="3">
        <v>1</v>
      </c>
      <c r="G76" s="3">
        <v>119000</v>
      </c>
      <c r="H76" s="3">
        <v>119000</v>
      </c>
      <c r="I76" s="3">
        <v>82110</v>
      </c>
      <c r="J76" s="3">
        <v>108181.81818181818</v>
      </c>
      <c r="K76" s="25">
        <v>61496</v>
      </c>
      <c r="L76" s="25">
        <v>61496</v>
      </c>
    </row>
    <row r="77" spans="1:12" x14ac:dyDescent="0.3">
      <c r="A77" t="s">
        <v>41</v>
      </c>
      <c r="B77">
        <v>20260205993358</v>
      </c>
      <c r="C77" t="s">
        <v>112</v>
      </c>
      <c r="D77">
        <v>58481090</v>
      </c>
      <c r="E77" s="16" t="s">
        <v>7</v>
      </c>
      <c r="F77" s="3">
        <v>1</v>
      </c>
      <c r="G77" s="3">
        <v>119000</v>
      </c>
      <c r="H77" s="3">
        <v>109000</v>
      </c>
      <c r="I77" s="3">
        <v>82110</v>
      </c>
      <c r="J77" s="3">
        <v>99090.909090909074</v>
      </c>
      <c r="K77" s="25">
        <v>61496</v>
      </c>
      <c r="L77" s="25">
        <v>61496</v>
      </c>
    </row>
    <row r="78" spans="1:12" x14ac:dyDescent="0.3">
      <c r="A78" t="s">
        <v>41</v>
      </c>
      <c r="B78">
        <v>20260205992456</v>
      </c>
      <c r="C78" t="s">
        <v>112</v>
      </c>
      <c r="D78">
        <v>58481090</v>
      </c>
      <c r="E78" s="16" t="s">
        <v>7</v>
      </c>
      <c r="F78" s="3">
        <v>1</v>
      </c>
      <c r="G78" s="3">
        <v>119000</v>
      </c>
      <c r="H78" s="3">
        <v>119000</v>
      </c>
      <c r="I78" s="3">
        <v>82110</v>
      </c>
      <c r="J78" s="3">
        <v>108181.81818181818</v>
      </c>
      <c r="K78" s="25">
        <v>61496</v>
      </c>
      <c r="L78" s="25">
        <v>61496</v>
      </c>
    </row>
    <row r="79" spans="1:12" x14ac:dyDescent="0.3">
      <c r="A79" t="s">
        <v>41</v>
      </c>
      <c r="B79">
        <v>20260205993113</v>
      </c>
      <c r="C79" t="s">
        <v>112</v>
      </c>
      <c r="D79">
        <v>58481090</v>
      </c>
      <c r="E79" s="16" t="s">
        <v>7</v>
      </c>
      <c r="F79" s="3">
        <v>1</v>
      </c>
      <c r="G79" s="3">
        <v>119000</v>
      </c>
      <c r="H79" s="3">
        <v>119000</v>
      </c>
      <c r="I79" s="3">
        <v>82110</v>
      </c>
      <c r="J79" s="3">
        <v>108181.81818181818</v>
      </c>
      <c r="K79" s="25">
        <v>61496</v>
      </c>
      <c r="L79" s="25">
        <v>61496</v>
      </c>
    </row>
    <row r="80" spans="1:12" x14ac:dyDescent="0.3">
      <c r="A80" t="s">
        <v>41</v>
      </c>
      <c r="B80">
        <v>20260205995687</v>
      </c>
      <c r="C80" t="s">
        <v>112</v>
      </c>
      <c r="D80">
        <v>58481090</v>
      </c>
      <c r="E80" s="16" t="s">
        <v>7</v>
      </c>
      <c r="F80" s="3">
        <v>2</v>
      </c>
      <c r="G80" s="3">
        <v>119000</v>
      </c>
      <c r="H80" s="3">
        <v>238000</v>
      </c>
      <c r="I80" s="3">
        <v>164220</v>
      </c>
      <c r="J80" s="3">
        <v>216363.63636363635</v>
      </c>
      <c r="K80" s="25">
        <v>61496</v>
      </c>
      <c r="L80" s="25">
        <v>122992</v>
      </c>
    </row>
    <row r="81" spans="1:12" x14ac:dyDescent="0.3">
      <c r="A81" t="s">
        <v>41</v>
      </c>
      <c r="B81">
        <v>20260205995005</v>
      </c>
      <c r="C81" t="s">
        <v>112</v>
      </c>
      <c r="D81">
        <v>58481090</v>
      </c>
      <c r="E81" s="16" t="s">
        <v>7</v>
      </c>
      <c r="F81" s="3">
        <v>1</v>
      </c>
      <c r="G81" s="3">
        <v>119000</v>
      </c>
      <c r="H81" s="3">
        <v>119000</v>
      </c>
      <c r="I81" s="3">
        <v>82110</v>
      </c>
      <c r="J81" s="3">
        <v>108181.81818181818</v>
      </c>
      <c r="K81" s="25">
        <v>61496</v>
      </c>
      <c r="L81" s="25">
        <v>61496</v>
      </c>
    </row>
    <row r="82" spans="1:12" x14ac:dyDescent="0.3">
      <c r="A82" t="s">
        <v>41</v>
      </c>
      <c r="B82">
        <v>20260205992457</v>
      </c>
      <c r="C82" t="s">
        <v>112</v>
      </c>
      <c r="D82">
        <v>58481090</v>
      </c>
      <c r="E82" s="16" t="s">
        <v>7</v>
      </c>
      <c r="F82" s="3">
        <v>1</v>
      </c>
      <c r="G82" s="3">
        <v>119000</v>
      </c>
      <c r="H82" s="3">
        <v>119000</v>
      </c>
      <c r="I82" s="3">
        <v>82110</v>
      </c>
      <c r="J82" s="3">
        <v>108181.81818181818</v>
      </c>
      <c r="K82" s="25">
        <v>61496</v>
      </c>
      <c r="L82" s="25">
        <v>61496</v>
      </c>
    </row>
    <row r="83" spans="1:12" x14ac:dyDescent="0.3">
      <c r="A83" t="s">
        <v>41</v>
      </c>
      <c r="B83">
        <v>20260205992975</v>
      </c>
      <c r="C83" t="s">
        <v>112</v>
      </c>
      <c r="D83">
        <v>58481090</v>
      </c>
      <c r="E83" s="16" t="s">
        <v>7</v>
      </c>
      <c r="F83" s="3">
        <v>1</v>
      </c>
      <c r="G83" s="3">
        <v>119000</v>
      </c>
      <c r="H83" s="3">
        <v>99960</v>
      </c>
      <c r="I83" s="3">
        <v>82110</v>
      </c>
      <c r="J83" s="3">
        <v>90872.727272727265</v>
      </c>
      <c r="K83" s="25">
        <v>61496</v>
      </c>
      <c r="L83" s="25">
        <v>61496</v>
      </c>
    </row>
    <row r="84" spans="1:12" x14ac:dyDescent="0.3">
      <c r="A84" t="s">
        <v>41</v>
      </c>
      <c r="B84">
        <v>20260205994074</v>
      </c>
      <c r="C84" t="s">
        <v>112</v>
      </c>
      <c r="D84">
        <v>58481090</v>
      </c>
      <c r="E84" s="16" t="s">
        <v>7</v>
      </c>
      <c r="F84" s="3">
        <v>1</v>
      </c>
      <c r="G84" s="3">
        <v>119000</v>
      </c>
      <c r="H84" s="3">
        <v>119000</v>
      </c>
      <c r="I84" s="3">
        <v>82110</v>
      </c>
      <c r="J84" s="3">
        <v>108181.81818181818</v>
      </c>
      <c r="K84" s="25">
        <v>61496</v>
      </c>
      <c r="L84" s="25">
        <v>61496</v>
      </c>
    </row>
    <row r="85" spans="1:12" x14ac:dyDescent="0.3">
      <c r="A85" t="s">
        <v>41</v>
      </c>
      <c r="B85">
        <v>20260205996186</v>
      </c>
      <c r="C85" t="s">
        <v>112</v>
      </c>
      <c r="D85">
        <v>58481090</v>
      </c>
      <c r="E85" s="16" t="s">
        <v>7</v>
      </c>
      <c r="F85" s="3">
        <v>1</v>
      </c>
      <c r="G85" s="3">
        <v>119000</v>
      </c>
      <c r="H85" s="3">
        <v>109000</v>
      </c>
      <c r="I85" s="3">
        <v>82110</v>
      </c>
      <c r="J85" s="3">
        <v>99090.909090909074</v>
      </c>
      <c r="K85" s="25">
        <v>61496</v>
      </c>
      <c r="L85" s="25">
        <v>61496</v>
      </c>
    </row>
    <row r="86" spans="1:12" x14ac:dyDescent="0.3">
      <c r="A86" t="s">
        <v>41</v>
      </c>
      <c r="B86">
        <v>20260205993929</v>
      </c>
      <c r="C86" t="s">
        <v>112</v>
      </c>
      <c r="D86">
        <v>58481090</v>
      </c>
      <c r="E86" s="16" t="s">
        <v>7</v>
      </c>
      <c r="F86" s="3">
        <v>1</v>
      </c>
      <c r="G86" s="3">
        <v>119000</v>
      </c>
      <c r="H86" s="3">
        <v>119000</v>
      </c>
      <c r="I86" s="3">
        <v>82110</v>
      </c>
      <c r="J86" s="3">
        <v>108181.81818181818</v>
      </c>
      <c r="K86" s="25">
        <v>61496</v>
      </c>
      <c r="L86" s="25">
        <v>61496</v>
      </c>
    </row>
    <row r="87" spans="1:12" x14ac:dyDescent="0.3">
      <c r="A87" t="s">
        <v>41</v>
      </c>
      <c r="B87">
        <v>20260205992859</v>
      </c>
      <c r="C87" t="s">
        <v>112</v>
      </c>
      <c r="D87">
        <v>58481090</v>
      </c>
      <c r="E87" s="16" t="s">
        <v>7</v>
      </c>
      <c r="F87" s="3">
        <v>1</v>
      </c>
      <c r="G87" s="3">
        <v>119000</v>
      </c>
      <c r="H87" s="3">
        <v>119000</v>
      </c>
      <c r="I87" s="3">
        <v>82110</v>
      </c>
      <c r="J87" s="3">
        <v>108181.81818181818</v>
      </c>
      <c r="K87" s="25">
        <v>61496</v>
      </c>
      <c r="L87" s="25">
        <v>61496</v>
      </c>
    </row>
    <row r="88" spans="1:12" x14ac:dyDescent="0.3">
      <c r="A88" t="s">
        <v>41</v>
      </c>
      <c r="B88">
        <v>20260205995584</v>
      </c>
      <c r="C88" t="s">
        <v>112</v>
      </c>
      <c r="D88">
        <v>58481090</v>
      </c>
      <c r="E88" s="16" t="s">
        <v>7</v>
      </c>
      <c r="F88" s="3">
        <v>1</v>
      </c>
      <c r="G88" s="3">
        <v>119000</v>
      </c>
      <c r="H88" s="3">
        <v>101150</v>
      </c>
      <c r="I88" s="3">
        <v>82110</v>
      </c>
      <c r="J88" s="3">
        <v>91954.545454545441</v>
      </c>
      <c r="K88" s="25">
        <v>61496</v>
      </c>
      <c r="L88" s="25">
        <v>61496</v>
      </c>
    </row>
    <row r="89" spans="1:12" x14ac:dyDescent="0.3">
      <c r="A89" t="s">
        <v>41</v>
      </c>
      <c r="B89">
        <v>20260205995161</v>
      </c>
      <c r="C89" t="s">
        <v>112</v>
      </c>
      <c r="D89">
        <v>58481090</v>
      </c>
      <c r="E89" s="16" t="s">
        <v>7</v>
      </c>
      <c r="F89" s="3">
        <v>1</v>
      </c>
      <c r="G89" s="3">
        <v>119000</v>
      </c>
      <c r="H89" s="3">
        <v>119000</v>
      </c>
      <c r="I89" s="3">
        <v>82110</v>
      </c>
      <c r="J89" s="3">
        <v>108181.81818181818</v>
      </c>
      <c r="K89" s="25">
        <v>61496</v>
      </c>
      <c r="L89" s="25">
        <v>61496</v>
      </c>
    </row>
    <row r="90" spans="1:12" x14ac:dyDescent="0.3">
      <c r="A90" t="s">
        <v>41</v>
      </c>
      <c r="B90">
        <v>20260205995658</v>
      </c>
      <c r="C90" t="s">
        <v>112</v>
      </c>
      <c r="D90">
        <v>58481090</v>
      </c>
      <c r="E90" s="16" t="s">
        <v>7</v>
      </c>
      <c r="F90" s="3">
        <v>1</v>
      </c>
      <c r="G90" s="3">
        <v>119000</v>
      </c>
      <c r="H90" s="3">
        <v>113050</v>
      </c>
      <c r="I90" s="3">
        <v>82110</v>
      </c>
      <c r="J90" s="3">
        <v>102772.72727272726</v>
      </c>
      <c r="K90" s="25">
        <v>61496</v>
      </c>
      <c r="L90" s="25">
        <v>61496</v>
      </c>
    </row>
    <row r="91" spans="1:12" x14ac:dyDescent="0.3">
      <c r="A91" t="s">
        <v>41</v>
      </c>
      <c r="B91">
        <v>20260205995042</v>
      </c>
      <c r="C91" t="s">
        <v>112</v>
      </c>
      <c r="D91">
        <v>58481090</v>
      </c>
      <c r="E91" s="16" t="s">
        <v>7</v>
      </c>
      <c r="F91" s="3">
        <v>1</v>
      </c>
      <c r="G91" s="3">
        <v>119000</v>
      </c>
      <c r="H91" s="3">
        <v>109000</v>
      </c>
      <c r="I91" s="3">
        <v>82110</v>
      </c>
      <c r="J91" s="3">
        <v>99090.909090909074</v>
      </c>
      <c r="K91" s="25">
        <v>61496</v>
      </c>
      <c r="L91" s="25">
        <v>61496</v>
      </c>
    </row>
    <row r="92" spans="1:12" x14ac:dyDescent="0.3">
      <c r="A92" t="s">
        <v>41</v>
      </c>
      <c r="B92">
        <v>20260205994885</v>
      </c>
      <c r="C92" t="s">
        <v>112</v>
      </c>
      <c r="D92">
        <v>58481090</v>
      </c>
      <c r="E92" s="16" t="s">
        <v>7</v>
      </c>
      <c r="F92" s="3">
        <v>1</v>
      </c>
      <c r="G92" s="3">
        <v>119000</v>
      </c>
      <c r="H92" s="3">
        <v>119000</v>
      </c>
      <c r="I92" s="3">
        <v>82110</v>
      </c>
      <c r="J92" s="3">
        <v>108181.81818181818</v>
      </c>
      <c r="K92" s="25">
        <v>61496</v>
      </c>
      <c r="L92" s="25">
        <v>61496</v>
      </c>
    </row>
    <row r="93" spans="1:12" x14ac:dyDescent="0.3">
      <c r="A93" t="s">
        <v>41</v>
      </c>
      <c r="B93">
        <v>20260205993437</v>
      </c>
      <c r="C93" t="s">
        <v>112</v>
      </c>
      <c r="D93">
        <v>58481090</v>
      </c>
      <c r="E93" s="16" t="s">
        <v>7</v>
      </c>
      <c r="F93" s="3">
        <v>1</v>
      </c>
      <c r="G93" s="3">
        <v>119000</v>
      </c>
      <c r="H93" s="3">
        <v>119000</v>
      </c>
      <c r="I93" s="3">
        <v>82110</v>
      </c>
      <c r="J93" s="3">
        <v>108181.81818181818</v>
      </c>
      <c r="K93" s="25">
        <v>61496</v>
      </c>
      <c r="L93" s="25">
        <v>61496</v>
      </c>
    </row>
    <row r="94" spans="1:12" x14ac:dyDescent="0.3">
      <c r="A94" t="s">
        <v>41</v>
      </c>
      <c r="B94">
        <v>20260205993036</v>
      </c>
      <c r="C94" t="s">
        <v>112</v>
      </c>
      <c r="D94">
        <v>58481090</v>
      </c>
      <c r="E94" s="16" t="s">
        <v>7</v>
      </c>
      <c r="F94" s="3">
        <v>1</v>
      </c>
      <c r="G94" s="3">
        <v>119000</v>
      </c>
      <c r="H94" s="3">
        <v>99960</v>
      </c>
      <c r="I94" s="3">
        <v>82110</v>
      </c>
      <c r="J94" s="3">
        <v>90872.727272727265</v>
      </c>
      <c r="K94" s="25">
        <v>61496</v>
      </c>
      <c r="L94" s="25">
        <v>61496</v>
      </c>
    </row>
    <row r="95" spans="1:12" x14ac:dyDescent="0.3">
      <c r="A95" t="s">
        <v>41</v>
      </c>
      <c r="B95">
        <v>20260205995472</v>
      </c>
      <c r="C95" t="s">
        <v>112</v>
      </c>
      <c r="D95">
        <v>58481090</v>
      </c>
      <c r="E95" s="16" t="s">
        <v>7</v>
      </c>
      <c r="F95" s="3">
        <v>1</v>
      </c>
      <c r="G95" s="3">
        <v>119000</v>
      </c>
      <c r="H95" s="3">
        <v>113050</v>
      </c>
      <c r="I95" s="3">
        <v>82110</v>
      </c>
      <c r="J95" s="3">
        <v>102772.72727272726</v>
      </c>
      <c r="K95" s="25">
        <v>61496</v>
      </c>
      <c r="L95" s="25">
        <v>61496</v>
      </c>
    </row>
    <row r="96" spans="1:12" x14ac:dyDescent="0.3">
      <c r="A96" t="s">
        <v>41</v>
      </c>
      <c r="B96">
        <v>20260205992483</v>
      </c>
      <c r="C96" t="s">
        <v>112</v>
      </c>
      <c r="D96">
        <v>58481090</v>
      </c>
      <c r="E96" s="16" t="s">
        <v>7</v>
      </c>
      <c r="F96" s="3">
        <v>1</v>
      </c>
      <c r="G96" s="3">
        <v>119000</v>
      </c>
      <c r="H96" s="3">
        <v>109000</v>
      </c>
      <c r="I96" s="3">
        <v>82110</v>
      </c>
      <c r="J96" s="3">
        <v>99090.909090909074</v>
      </c>
      <c r="K96" s="25">
        <v>61496</v>
      </c>
      <c r="L96" s="25">
        <v>61496</v>
      </c>
    </row>
    <row r="97" spans="1:12" x14ac:dyDescent="0.3">
      <c r="A97" t="s">
        <v>41</v>
      </c>
      <c r="B97">
        <v>20260205995325</v>
      </c>
      <c r="C97" t="s">
        <v>112</v>
      </c>
      <c r="D97">
        <v>58481090</v>
      </c>
      <c r="E97" s="16" t="s">
        <v>7</v>
      </c>
      <c r="F97" s="3">
        <v>1</v>
      </c>
      <c r="G97" s="3">
        <v>119000</v>
      </c>
      <c r="H97" s="3">
        <v>119000</v>
      </c>
      <c r="I97" s="3">
        <v>82110</v>
      </c>
      <c r="J97" s="3">
        <v>108181.81818181818</v>
      </c>
      <c r="K97" s="25">
        <v>61496</v>
      </c>
      <c r="L97" s="25">
        <v>61496</v>
      </c>
    </row>
    <row r="98" spans="1:12" x14ac:dyDescent="0.3">
      <c r="A98" t="s">
        <v>41</v>
      </c>
      <c r="B98">
        <v>20260205992634</v>
      </c>
      <c r="C98" t="s">
        <v>112</v>
      </c>
      <c r="D98">
        <v>58481090</v>
      </c>
      <c r="E98" s="16" t="s">
        <v>7</v>
      </c>
      <c r="F98" s="3">
        <v>1</v>
      </c>
      <c r="G98" s="3">
        <v>119000</v>
      </c>
      <c r="H98" s="3">
        <v>119000</v>
      </c>
      <c r="I98" s="3">
        <v>82110</v>
      </c>
      <c r="J98" s="3">
        <v>108181.81818181818</v>
      </c>
      <c r="K98" s="25">
        <v>61496</v>
      </c>
      <c r="L98" s="25">
        <v>61496</v>
      </c>
    </row>
    <row r="99" spans="1:12" x14ac:dyDescent="0.3">
      <c r="A99" t="s">
        <v>41</v>
      </c>
      <c r="B99">
        <v>20260205994152</v>
      </c>
      <c r="C99" t="s">
        <v>112</v>
      </c>
      <c r="D99">
        <v>58481090</v>
      </c>
      <c r="E99" s="16" t="s">
        <v>7</v>
      </c>
      <c r="F99" s="3">
        <v>1</v>
      </c>
      <c r="G99" s="3">
        <v>119000</v>
      </c>
      <c r="H99" s="3">
        <v>119000</v>
      </c>
      <c r="I99" s="3">
        <v>82110</v>
      </c>
      <c r="J99" s="3">
        <v>108181.81818181818</v>
      </c>
      <c r="K99" s="25">
        <v>61496</v>
      </c>
      <c r="L99" s="25">
        <v>61496</v>
      </c>
    </row>
    <row r="100" spans="1:12" x14ac:dyDescent="0.3">
      <c r="A100" t="s">
        <v>41</v>
      </c>
      <c r="B100">
        <v>20260205995109</v>
      </c>
      <c r="C100" t="s">
        <v>112</v>
      </c>
      <c r="D100">
        <v>58481090</v>
      </c>
      <c r="E100" s="16" t="s">
        <v>7</v>
      </c>
      <c r="F100" s="3">
        <v>1</v>
      </c>
      <c r="G100" s="3">
        <v>119000</v>
      </c>
      <c r="H100" s="3">
        <v>119000</v>
      </c>
      <c r="I100" s="3">
        <v>82110</v>
      </c>
      <c r="J100" s="3">
        <v>108181.81818181818</v>
      </c>
      <c r="K100" s="25">
        <v>61496</v>
      </c>
      <c r="L100" s="25">
        <v>61496</v>
      </c>
    </row>
    <row r="101" spans="1:12" x14ac:dyDescent="0.3">
      <c r="A101" t="s">
        <v>41</v>
      </c>
      <c r="B101">
        <v>20260205994273</v>
      </c>
      <c r="C101" t="s">
        <v>112</v>
      </c>
      <c r="D101">
        <v>58481090</v>
      </c>
      <c r="E101" s="16" t="s">
        <v>7</v>
      </c>
      <c r="F101" s="3">
        <v>1</v>
      </c>
      <c r="G101" s="3">
        <v>119000</v>
      </c>
      <c r="H101" s="3">
        <v>119000</v>
      </c>
      <c r="I101" s="3">
        <v>82110</v>
      </c>
      <c r="J101" s="3">
        <v>108181.81818181818</v>
      </c>
      <c r="K101" s="25">
        <v>61496</v>
      </c>
      <c r="L101" s="25">
        <v>61496</v>
      </c>
    </row>
    <row r="102" spans="1:12" x14ac:dyDescent="0.3">
      <c r="A102" t="s">
        <v>41</v>
      </c>
      <c r="B102">
        <v>20260205995097</v>
      </c>
      <c r="C102" t="s">
        <v>112</v>
      </c>
      <c r="D102">
        <v>58481090</v>
      </c>
      <c r="E102" s="16" t="s">
        <v>7</v>
      </c>
      <c r="F102" s="3">
        <v>1</v>
      </c>
      <c r="G102" s="3">
        <v>119000</v>
      </c>
      <c r="H102" s="3">
        <v>119000</v>
      </c>
      <c r="I102" s="3">
        <v>82110</v>
      </c>
      <c r="J102" s="3">
        <v>108181.81818181818</v>
      </c>
      <c r="K102" s="25">
        <v>61496</v>
      </c>
      <c r="L102" s="25">
        <v>61496</v>
      </c>
    </row>
    <row r="103" spans="1:12" x14ac:dyDescent="0.3">
      <c r="A103" t="s">
        <v>41</v>
      </c>
      <c r="B103">
        <v>20260205995180</v>
      </c>
      <c r="C103" t="s">
        <v>112</v>
      </c>
      <c r="D103">
        <v>58481090</v>
      </c>
      <c r="E103" s="16" t="s">
        <v>7</v>
      </c>
      <c r="F103" s="3">
        <v>1</v>
      </c>
      <c r="G103" s="3">
        <v>119000</v>
      </c>
      <c r="H103" s="3">
        <v>96390</v>
      </c>
      <c r="I103" s="3">
        <v>82110</v>
      </c>
      <c r="J103" s="3">
        <v>87627.272727272721</v>
      </c>
      <c r="K103" s="25">
        <v>61496</v>
      </c>
      <c r="L103" s="25">
        <v>61496</v>
      </c>
    </row>
    <row r="104" spans="1:12" x14ac:dyDescent="0.3">
      <c r="A104" t="s">
        <v>41</v>
      </c>
      <c r="B104">
        <v>20260205992870</v>
      </c>
      <c r="C104" t="s">
        <v>112</v>
      </c>
      <c r="D104">
        <v>58481090</v>
      </c>
      <c r="E104" s="16" t="s">
        <v>7</v>
      </c>
      <c r="F104" s="3">
        <v>1</v>
      </c>
      <c r="G104" s="3">
        <v>119000</v>
      </c>
      <c r="H104" s="3">
        <v>119000</v>
      </c>
      <c r="I104" s="3">
        <v>82110</v>
      </c>
      <c r="J104" s="3">
        <v>108181.81818181818</v>
      </c>
      <c r="K104" s="25">
        <v>61496</v>
      </c>
      <c r="L104" s="25">
        <v>61496</v>
      </c>
    </row>
    <row r="105" spans="1:12" x14ac:dyDescent="0.3">
      <c r="A105" t="s">
        <v>41</v>
      </c>
      <c r="B105">
        <v>20260205992940</v>
      </c>
      <c r="C105" t="s">
        <v>112</v>
      </c>
      <c r="D105">
        <v>58481090</v>
      </c>
      <c r="E105" s="16" t="s">
        <v>7</v>
      </c>
      <c r="F105" s="3">
        <v>1</v>
      </c>
      <c r="G105" s="3">
        <v>119000</v>
      </c>
      <c r="H105" s="3">
        <v>119000</v>
      </c>
      <c r="I105" s="3">
        <v>82110</v>
      </c>
      <c r="J105" s="3">
        <v>108181.81818181818</v>
      </c>
      <c r="K105" s="25">
        <v>61496</v>
      </c>
      <c r="L105" s="25">
        <v>61496</v>
      </c>
    </row>
    <row r="106" spans="1:12" x14ac:dyDescent="0.3">
      <c r="A106" t="s">
        <v>41</v>
      </c>
      <c r="B106">
        <v>20260205993059</v>
      </c>
      <c r="C106" t="s">
        <v>112</v>
      </c>
      <c r="D106">
        <v>58481090</v>
      </c>
      <c r="E106" s="16" t="s">
        <v>7</v>
      </c>
      <c r="F106" s="3">
        <v>1</v>
      </c>
      <c r="G106" s="3">
        <v>119000</v>
      </c>
      <c r="H106" s="3">
        <v>119000</v>
      </c>
      <c r="I106" s="3">
        <v>82110</v>
      </c>
      <c r="J106" s="3">
        <v>108181.81818181818</v>
      </c>
      <c r="K106" s="25">
        <v>61496</v>
      </c>
      <c r="L106" s="25">
        <v>61496</v>
      </c>
    </row>
    <row r="107" spans="1:12" x14ac:dyDescent="0.3">
      <c r="A107" t="s">
        <v>41</v>
      </c>
      <c r="B107">
        <v>20260205993112</v>
      </c>
      <c r="C107" t="s">
        <v>112</v>
      </c>
      <c r="D107">
        <v>58481090</v>
      </c>
      <c r="E107" s="16" t="s">
        <v>7</v>
      </c>
      <c r="F107" s="3">
        <v>1</v>
      </c>
      <c r="G107" s="3">
        <v>119000</v>
      </c>
      <c r="H107" s="3">
        <v>119000</v>
      </c>
      <c r="I107" s="3">
        <v>82110</v>
      </c>
      <c r="J107" s="3">
        <v>108181.81818181818</v>
      </c>
      <c r="K107" s="25">
        <v>61496</v>
      </c>
      <c r="L107" s="25">
        <v>61496</v>
      </c>
    </row>
    <row r="108" spans="1:12" x14ac:dyDescent="0.3">
      <c r="A108" t="s">
        <v>41</v>
      </c>
      <c r="B108">
        <v>20260205993255</v>
      </c>
      <c r="C108" t="s">
        <v>112</v>
      </c>
      <c r="D108">
        <v>58481090</v>
      </c>
      <c r="E108" s="16" t="s">
        <v>7</v>
      </c>
      <c r="F108" s="3">
        <v>1</v>
      </c>
      <c r="G108" s="3">
        <v>119000</v>
      </c>
      <c r="H108" s="3">
        <v>101150</v>
      </c>
      <c r="I108" s="3">
        <v>82110</v>
      </c>
      <c r="J108" s="3">
        <v>91954.545454545441</v>
      </c>
      <c r="K108" s="25">
        <v>61496</v>
      </c>
      <c r="L108" s="25">
        <v>61496</v>
      </c>
    </row>
    <row r="109" spans="1:12" x14ac:dyDescent="0.3">
      <c r="A109" t="s">
        <v>41</v>
      </c>
      <c r="B109">
        <v>20260205996361</v>
      </c>
      <c r="C109" t="s">
        <v>112</v>
      </c>
      <c r="D109">
        <v>58481090</v>
      </c>
      <c r="E109" s="16" t="s">
        <v>7</v>
      </c>
      <c r="F109" s="3">
        <v>1</v>
      </c>
      <c r="G109" s="3">
        <v>119000</v>
      </c>
      <c r="H109" s="3">
        <v>113050</v>
      </c>
      <c r="I109" s="3">
        <v>82110</v>
      </c>
      <c r="J109" s="3">
        <v>102772.72727272726</v>
      </c>
      <c r="K109" s="25">
        <v>61496</v>
      </c>
      <c r="L109" s="25">
        <v>61496</v>
      </c>
    </row>
    <row r="110" spans="1:12" x14ac:dyDescent="0.3">
      <c r="A110" t="s">
        <v>41</v>
      </c>
      <c r="B110">
        <v>20260205993934</v>
      </c>
      <c r="C110" t="s">
        <v>112</v>
      </c>
      <c r="D110">
        <v>58481090</v>
      </c>
      <c r="E110" s="16" t="s">
        <v>7</v>
      </c>
      <c r="F110" s="3">
        <v>1</v>
      </c>
      <c r="G110" s="3">
        <v>119000</v>
      </c>
      <c r="H110" s="3">
        <v>119000</v>
      </c>
      <c r="I110" s="3">
        <v>82110</v>
      </c>
      <c r="J110" s="3">
        <v>108181.81818181818</v>
      </c>
      <c r="K110" s="25">
        <v>61496</v>
      </c>
      <c r="L110" s="25">
        <v>61496</v>
      </c>
    </row>
    <row r="111" spans="1:12" x14ac:dyDescent="0.3">
      <c r="A111" t="s">
        <v>41</v>
      </c>
      <c r="B111">
        <v>20260205994400</v>
      </c>
      <c r="C111" t="s">
        <v>112</v>
      </c>
      <c r="D111">
        <v>58481090</v>
      </c>
      <c r="E111" s="16" t="s">
        <v>7</v>
      </c>
      <c r="F111" s="3">
        <v>1</v>
      </c>
      <c r="G111" s="3">
        <v>119000</v>
      </c>
      <c r="H111" s="3">
        <v>119000</v>
      </c>
      <c r="I111" s="3">
        <v>82110</v>
      </c>
      <c r="J111" s="3">
        <v>108181.81818181818</v>
      </c>
      <c r="K111" s="25">
        <v>61496</v>
      </c>
      <c r="L111" s="25">
        <v>61496</v>
      </c>
    </row>
    <row r="112" spans="1:12" x14ac:dyDescent="0.3">
      <c r="A112" t="s">
        <v>41</v>
      </c>
      <c r="B112">
        <v>20260205994653</v>
      </c>
      <c r="C112" t="s">
        <v>112</v>
      </c>
      <c r="D112">
        <v>58481090</v>
      </c>
      <c r="E112" s="16" t="s">
        <v>7</v>
      </c>
      <c r="F112" s="3">
        <v>1</v>
      </c>
      <c r="G112" s="3">
        <v>119000</v>
      </c>
      <c r="H112" s="3">
        <v>119000</v>
      </c>
      <c r="I112" s="3">
        <v>82110</v>
      </c>
      <c r="J112" s="3">
        <v>108181.81818181818</v>
      </c>
      <c r="K112" s="25">
        <v>61496</v>
      </c>
      <c r="L112" s="25">
        <v>61496</v>
      </c>
    </row>
    <row r="113" spans="1:12" x14ac:dyDescent="0.3">
      <c r="A113" t="s">
        <v>41</v>
      </c>
      <c r="B113">
        <v>20260205993867</v>
      </c>
      <c r="C113" t="s">
        <v>112</v>
      </c>
      <c r="D113">
        <v>58481090</v>
      </c>
      <c r="E113" s="16" t="s">
        <v>7</v>
      </c>
      <c r="F113" s="3">
        <v>1</v>
      </c>
      <c r="G113" s="3">
        <v>119000</v>
      </c>
      <c r="H113" s="3">
        <v>119000</v>
      </c>
      <c r="I113" s="3">
        <v>82110</v>
      </c>
      <c r="J113" s="3">
        <v>108181.81818181818</v>
      </c>
      <c r="K113" s="25">
        <v>61496</v>
      </c>
      <c r="L113" s="25">
        <v>61496</v>
      </c>
    </row>
    <row r="114" spans="1:12" x14ac:dyDescent="0.3">
      <c r="A114" t="s">
        <v>41</v>
      </c>
      <c r="B114">
        <v>20260205993852</v>
      </c>
      <c r="C114" t="s">
        <v>112</v>
      </c>
      <c r="D114">
        <v>58481090</v>
      </c>
      <c r="E114" s="16" t="s">
        <v>7</v>
      </c>
      <c r="F114" s="3">
        <v>1</v>
      </c>
      <c r="G114" s="3">
        <v>119000</v>
      </c>
      <c r="H114" s="3">
        <v>119000</v>
      </c>
      <c r="I114" s="3">
        <v>82110</v>
      </c>
      <c r="J114" s="3">
        <v>108181.81818181818</v>
      </c>
      <c r="K114" s="25">
        <v>61496</v>
      </c>
      <c r="L114" s="25">
        <v>61496</v>
      </c>
    </row>
    <row r="115" spans="1:12" x14ac:dyDescent="0.3">
      <c r="A115" t="s">
        <v>41</v>
      </c>
      <c r="B115">
        <v>20260205992712</v>
      </c>
      <c r="C115" t="s">
        <v>112</v>
      </c>
      <c r="D115">
        <v>58481090</v>
      </c>
      <c r="E115" s="16" t="s">
        <v>7</v>
      </c>
      <c r="F115" s="3">
        <v>1</v>
      </c>
      <c r="G115" s="3">
        <v>119000</v>
      </c>
      <c r="H115" s="3">
        <v>99960</v>
      </c>
      <c r="I115" s="3">
        <v>82110</v>
      </c>
      <c r="J115" s="3">
        <v>90872.727272727265</v>
      </c>
      <c r="K115" s="25">
        <v>61496</v>
      </c>
      <c r="L115" s="25">
        <v>61496</v>
      </c>
    </row>
    <row r="116" spans="1:12" x14ac:dyDescent="0.3">
      <c r="A116" t="s">
        <v>41</v>
      </c>
      <c r="B116">
        <v>20260205993266</v>
      </c>
      <c r="C116" t="s">
        <v>112</v>
      </c>
      <c r="D116">
        <v>58481090</v>
      </c>
      <c r="E116" s="16" t="s">
        <v>7</v>
      </c>
      <c r="F116" s="3">
        <v>1</v>
      </c>
      <c r="G116" s="3">
        <v>119000</v>
      </c>
      <c r="H116" s="3">
        <v>119000</v>
      </c>
      <c r="I116" s="3">
        <v>82110</v>
      </c>
      <c r="J116" s="3">
        <v>108181.81818181818</v>
      </c>
      <c r="K116" s="25">
        <v>61496</v>
      </c>
      <c r="L116" s="25">
        <v>61496</v>
      </c>
    </row>
    <row r="117" spans="1:12" x14ac:dyDescent="0.3">
      <c r="A117" t="s">
        <v>41</v>
      </c>
      <c r="B117">
        <v>20260205994296</v>
      </c>
      <c r="C117" t="s">
        <v>112</v>
      </c>
      <c r="D117">
        <v>58481090</v>
      </c>
      <c r="E117" s="16" t="s">
        <v>7</v>
      </c>
      <c r="F117" s="3">
        <v>1</v>
      </c>
      <c r="G117" s="3">
        <v>119000</v>
      </c>
      <c r="H117" s="3">
        <v>119000</v>
      </c>
      <c r="I117" s="3">
        <v>82110</v>
      </c>
      <c r="J117" s="3">
        <v>108181.81818181818</v>
      </c>
      <c r="K117" s="25">
        <v>61496</v>
      </c>
      <c r="L117" s="25">
        <v>61496</v>
      </c>
    </row>
    <row r="118" spans="1:12" x14ac:dyDescent="0.3">
      <c r="A118" t="s">
        <v>41</v>
      </c>
      <c r="B118">
        <v>20260205994429</v>
      </c>
      <c r="C118" t="s">
        <v>112</v>
      </c>
      <c r="D118">
        <v>58481090</v>
      </c>
      <c r="E118" s="16" t="s">
        <v>7</v>
      </c>
      <c r="F118" s="3">
        <v>1</v>
      </c>
      <c r="G118" s="3">
        <v>119000</v>
      </c>
      <c r="H118" s="3">
        <v>119000</v>
      </c>
      <c r="I118" s="3">
        <v>82110</v>
      </c>
      <c r="J118" s="3">
        <v>108181.81818181818</v>
      </c>
      <c r="K118" s="25">
        <v>61496</v>
      </c>
      <c r="L118" s="25">
        <v>61496</v>
      </c>
    </row>
    <row r="119" spans="1:12" x14ac:dyDescent="0.3">
      <c r="A119" t="s">
        <v>41</v>
      </c>
      <c r="B119">
        <v>20260205993269</v>
      </c>
      <c r="C119" t="s">
        <v>112</v>
      </c>
      <c r="D119">
        <v>58481090</v>
      </c>
      <c r="E119" s="16" t="s">
        <v>7</v>
      </c>
      <c r="F119" s="3">
        <v>1</v>
      </c>
      <c r="G119" s="3">
        <v>119000</v>
      </c>
      <c r="H119" s="3">
        <v>119000</v>
      </c>
      <c r="I119" s="3">
        <v>82110</v>
      </c>
      <c r="J119" s="3">
        <v>108181.81818181818</v>
      </c>
      <c r="K119" s="25">
        <v>61496</v>
      </c>
      <c r="L119" s="25">
        <v>61496</v>
      </c>
    </row>
    <row r="120" spans="1:12" x14ac:dyDescent="0.3">
      <c r="A120" t="s">
        <v>41</v>
      </c>
      <c r="B120">
        <v>20260205992567</v>
      </c>
      <c r="C120" t="s">
        <v>112</v>
      </c>
      <c r="D120">
        <v>58481090</v>
      </c>
      <c r="E120" s="16" t="s">
        <v>7</v>
      </c>
      <c r="F120" s="3">
        <v>1</v>
      </c>
      <c r="G120" s="3">
        <v>119000</v>
      </c>
      <c r="H120" s="3">
        <v>109000</v>
      </c>
      <c r="I120" s="3">
        <v>82110</v>
      </c>
      <c r="J120" s="3">
        <v>99090.909090909074</v>
      </c>
      <c r="K120" s="25">
        <v>61496</v>
      </c>
      <c r="L120" s="25">
        <v>61496</v>
      </c>
    </row>
    <row r="121" spans="1:12" x14ac:dyDescent="0.3">
      <c r="A121" t="s">
        <v>41</v>
      </c>
      <c r="B121">
        <v>20260205993710</v>
      </c>
      <c r="C121" t="s">
        <v>112</v>
      </c>
      <c r="D121">
        <v>58481090</v>
      </c>
      <c r="E121" s="16" t="s">
        <v>7</v>
      </c>
      <c r="F121" s="3">
        <v>1</v>
      </c>
      <c r="G121" s="3">
        <v>119000</v>
      </c>
      <c r="H121" s="3">
        <v>119000</v>
      </c>
      <c r="I121" s="3">
        <v>82110</v>
      </c>
      <c r="J121" s="3">
        <v>108181.81818181818</v>
      </c>
      <c r="K121" s="25">
        <v>61496</v>
      </c>
      <c r="L121" s="25">
        <v>61496</v>
      </c>
    </row>
    <row r="122" spans="1:12" x14ac:dyDescent="0.3">
      <c r="A122" t="s">
        <v>41</v>
      </c>
      <c r="B122">
        <v>20260205995307</v>
      </c>
      <c r="C122" t="s">
        <v>112</v>
      </c>
      <c r="D122">
        <v>58481090</v>
      </c>
      <c r="E122" s="16" t="s">
        <v>7</v>
      </c>
      <c r="F122" s="3">
        <v>1</v>
      </c>
      <c r="G122" s="3">
        <v>119000</v>
      </c>
      <c r="H122" s="3">
        <v>113050</v>
      </c>
      <c r="I122" s="3">
        <v>82110</v>
      </c>
      <c r="J122" s="3">
        <v>102772.72727272726</v>
      </c>
      <c r="K122" s="25">
        <v>61496</v>
      </c>
      <c r="L122" s="25">
        <v>61496</v>
      </c>
    </row>
    <row r="123" spans="1:12" x14ac:dyDescent="0.3">
      <c r="A123" t="s">
        <v>41</v>
      </c>
      <c r="B123">
        <v>20260205995613</v>
      </c>
      <c r="C123" t="s">
        <v>112</v>
      </c>
      <c r="D123">
        <v>58481090</v>
      </c>
      <c r="E123" s="16" t="s">
        <v>7</v>
      </c>
      <c r="F123" s="3">
        <v>1</v>
      </c>
      <c r="G123" s="3">
        <v>119000</v>
      </c>
      <c r="H123" s="3">
        <v>119000</v>
      </c>
      <c r="I123" s="3">
        <v>82110</v>
      </c>
      <c r="J123" s="3">
        <v>108181.81818181818</v>
      </c>
      <c r="K123" s="25">
        <v>61496</v>
      </c>
      <c r="L123" s="25">
        <v>61496</v>
      </c>
    </row>
    <row r="124" spans="1:12" x14ac:dyDescent="0.3">
      <c r="A124" t="s">
        <v>41</v>
      </c>
      <c r="B124">
        <v>20260205002375</v>
      </c>
      <c r="C124" t="s">
        <v>112</v>
      </c>
      <c r="D124">
        <v>58481090</v>
      </c>
      <c r="E124" s="16" t="s">
        <v>7</v>
      </c>
      <c r="F124" s="3">
        <v>1</v>
      </c>
      <c r="G124" s="3">
        <v>119000</v>
      </c>
      <c r="H124" s="3">
        <v>119000</v>
      </c>
      <c r="I124" s="3">
        <v>82110</v>
      </c>
      <c r="J124" s="3">
        <v>108181.81818181818</v>
      </c>
      <c r="K124" s="25">
        <v>61496</v>
      </c>
      <c r="L124" s="25">
        <v>61496</v>
      </c>
    </row>
    <row r="125" spans="1:12" x14ac:dyDescent="0.3">
      <c r="A125" t="s">
        <v>41</v>
      </c>
      <c r="B125">
        <v>20260205994008</v>
      </c>
      <c r="C125" t="s">
        <v>112</v>
      </c>
      <c r="D125">
        <v>58481090</v>
      </c>
      <c r="E125" s="16" t="s">
        <v>7</v>
      </c>
      <c r="F125" s="3">
        <v>1</v>
      </c>
      <c r="G125" s="3">
        <v>119000</v>
      </c>
      <c r="H125" s="3">
        <v>109000</v>
      </c>
      <c r="I125" s="3">
        <v>82110</v>
      </c>
      <c r="J125" s="3">
        <v>99090.909090909074</v>
      </c>
      <c r="K125" s="25">
        <v>61496</v>
      </c>
      <c r="L125" s="25">
        <v>61496</v>
      </c>
    </row>
    <row r="126" spans="1:12" x14ac:dyDescent="0.3">
      <c r="A126" t="s">
        <v>41</v>
      </c>
      <c r="B126">
        <v>20260205993800</v>
      </c>
      <c r="C126" t="s">
        <v>112</v>
      </c>
      <c r="D126">
        <v>58481090</v>
      </c>
      <c r="E126" s="16" t="s">
        <v>7</v>
      </c>
      <c r="F126" s="3">
        <v>1</v>
      </c>
      <c r="G126" s="3">
        <v>119000</v>
      </c>
      <c r="H126" s="3">
        <v>119000</v>
      </c>
      <c r="I126" s="3">
        <v>82110</v>
      </c>
      <c r="J126" s="3">
        <v>108181.81818181818</v>
      </c>
      <c r="K126" s="25">
        <v>61496</v>
      </c>
      <c r="L126" s="25">
        <v>61496</v>
      </c>
    </row>
    <row r="127" spans="1:12" x14ac:dyDescent="0.3">
      <c r="A127" t="s">
        <v>41</v>
      </c>
      <c r="B127">
        <v>20260206644091</v>
      </c>
      <c r="C127" t="s">
        <v>112</v>
      </c>
      <c r="D127">
        <v>58481090</v>
      </c>
      <c r="E127" s="16" t="s">
        <v>7</v>
      </c>
      <c r="F127" s="3">
        <v>1</v>
      </c>
      <c r="G127" s="3">
        <v>119000</v>
      </c>
      <c r="H127" s="3">
        <v>113050</v>
      </c>
      <c r="I127" s="3">
        <v>82110</v>
      </c>
      <c r="J127" s="3">
        <v>102772.72727272726</v>
      </c>
      <c r="K127" s="25">
        <v>61496</v>
      </c>
      <c r="L127" s="25">
        <v>61496</v>
      </c>
    </row>
    <row r="128" spans="1:12" x14ac:dyDescent="0.3">
      <c r="A128" t="s">
        <v>41</v>
      </c>
      <c r="B128">
        <v>20260205995701</v>
      </c>
      <c r="C128" t="s">
        <v>112</v>
      </c>
      <c r="D128">
        <v>58481090</v>
      </c>
      <c r="E128" s="16" t="s">
        <v>7</v>
      </c>
      <c r="F128" s="3">
        <v>1</v>
      </c>
      <c r="G128" s="3">
        <v>119000</v>
      </c>
      <c r="H128" s="3">
        <v>119000</v>
      </c>
      <c r="I128" s="3">
        <v>82110</v>
      </c>
      <c r="J128" s="3">
        <v>108181.81818181818</v>
      </c>
      <c r="K128" s="25">
        <v>61496</v>
      </c>
      <c r="L128" s="25">
        <v>61496</v>
      </c>
    </row>
    <row r="129" spans="1:12" x14ac:dyDescent="0.3">
      <c r="A129" t="s">
        <v>41</v>
      </c>
      <c r="B129">
        <v>20260205995459</v>
      </c>
      <c r="C129" t="s">
        <v>112</v>
      </c>
      <c r="D129">
        <v>58481090</v>
      </c>
      <c r="E129" s="16" t="s">
        <v>7</v>
      </c>
      <c r="F129" s="3">
        <v>1</v>
      </c>
      <c r="G129" s="3">
        <v>119000</v>
      </c>
      <c r="H129" s="3">
        <v>99960</v>
      </c>
      <c r="I129" s="3">
        <v>82110</v>
      </c>
      <c r="J129" s="3">
        <v>90872.727272727265</v>
      </c>
      <c r="K129" s="25">
        <v>61496</v>
      </c>
      <c r="L129" s="25">
        <v>61496</v>
      </c>
    </row>
    <row r="130" spans="1:12" x14ac:dyDescent="0.3">
      <c r="A130" t="s">
        <v>41</v>
      </c>
      <c r="B130">
        <v>20260205993710</v>
      </c>
      <c r="C130" t="s">
        <v>112</v>
      </c>
      <c r="D130">
        <v>58481090</v>
      </c>
      <c r="E130" s="16" t="s">
        <v>7</v>
      </c>
      <c r="F130" s="3">
        <v>1</v>
      </c>
      <c r="G130" s="3">
        <v>119000</v>
      </c>
      <c r="H130" s="3">
        <v>119000</v>
      </c>
      <c r="I130" s="3">
        <v>82110</v>
      </c>
      <c r="J130" s="3">
        <v>108181.81818181818</v>
      </c>
      <c r="K130" s="25">
        <v>61496</v>
      </c>
      <c r="L130" s="25">
        <v>61496</v>
      </c>
    </row>
    <row r="131" spans="1:12" x14ac:dyDescent="0.3">
      <c r="A131" t="s">
        <v>41</v>
      </c>
      <c r="B131">
        <v>20260205005766</v>
      </c>
      <c r="C131" t="s">
        <v>112</v>
      </c>
      <c r="D131">
        <v>58481090</v>
      </c>
      <c r="E131" s="16" t="s">
        <v>7</v>
      </c>
      <c r="F131" s="3">
        <v>1</v>
      </c>
      <c r="G131" s="3">
        <v>119000</v>
      </c>
      <c r="H131" s="3">
        <v>119000</v>
      </c>
      <c r="I131" s="3">
        <v>82110</v>
      </c>
      <c r="J131" s="3">
        <v>108181.81818181818</v>
      </c>
      <c r="K131" s="25">
        <v>61496</v>
      </c>
      <c r="L131" s="25">
        <v>61496</v>
      </c>
    </row>
    <row r="132" spans="1:12" x14ac:dyDescent="0.3">
      <c r="A132" t="s">
        <v>41</v>
      </c>
      <c r="B132">
        <v>20260205995598</v>
      </c>
      <c r="C132" t="s">
        <v>112</v>
      </c>
      <c r="D132">
        <v>58481090</v>
      </c>
      <c r="E132" s="16" t="s">
        <v>7</v>
      </c>
      <c r="F132" s="3">
        <v>1</v>
      </c>
      <c r="G132" s="3">
        <v>119000</v>
      </c>
      <c r="H132" s="3">
        <v>119000</v>
      </c>
      <c r="I132" s="3">
        <v>82110</v>
      </c>
      <c r="J132" s="3">
        <v>108181.81818181818</v>
      </c>
      <c r="K132" s="25">
        <v>61496</v>
      </c>
      <c r="L132" s="25">
        <v>61496</v>
      </c>
    </row>
    <row r="133" spans="1:12" x14ac:dyDescent="0.3">
      <c r="A133" t="s">
        <v>41</v>
      </c>
      <c r="B133">
        <v>20260205994093</v>
      </c>
      <c r="C133" t="s">
        <v>112</v>
      </c>
      <c r="D133">
        <v>58481090</v>
      </c>
      <c r="E133" s="16" t="s">
        <v>7</v>
      </c>
      <c r="F133" s="3">
        <v>1</v>
      </c>
      <c r="G133" s="3">
        <v>119000</v>
      </c>
      <c r="H133" s="3">
        <v>119000</v>
      </c>
      <c r="I133" s="3">
        <v>82110</v>
      </c>
      <c r="J133" s="3">
        <v>108181.81818181818</v>
      </c>
      <c r="K133" s="25">
        <v>61496</v>
      </c>
      <c r="L133" s="25">
        <v>61496</v>
      </c>
    </row>
    <row r="134" spans="1:12" x14ac:dyDescent="0.3">
      <c r="A134" t="s">
        <v>41</v>
      </c>
      <c r="B134">
        <v>20260205994741</v>
      </c>
      <c r="C134" t="s">
        <v>112</v>
      </c>
      <c r="D134">
        <v>58481090</v>
      </c>
      <c r="E134" s="16" t="s">
        <v>7</v>
      </c>
      <c r="F134" s="3">
        <v>1</v>
      </c>
      <c r="G134" s="3">
        <v>119000</v>
      </c>
      <c r="H134" s="3">
        <v>109000</v>
      </c>
      <c r="I134" s="3">
        <v>82110</v>
      </c>
      <c r="J134" s="3">
        <v>99090.909090909074</v>
      </c>
      <c r="K134" s="25">
        <v>61496</v>
      </c>
      <c r="L134" s="25">
        <v>61496</v>
      </c>
    </row>
    <row r="135" spans="1:12" x14ac:dyDescent="0.3">
      <c r="A135" t="s">
        <v>41</v>
      </c>
      <c r="B135">
        <v>20260205993823</v>
      </c>
      <c r="C135" t="s">
        <v>112</v>
      </c>
      <c r="D135">
        <v>58481090</v>
      </c>
      <c r="E135" s="16" t="s">
        <v>7</v>
      </c>
      <c r="F135" s="3">
        <v>1</v>
      </c>
      <c r="G135" s="3">
        <v>119000</v>
      </c>
      <c r="H135" s="3">
        <v>119000</v>
      </c>
      <c r="I135" s="3">
        <v>82110</v>
      </c>
      <c r="J135" s="3">
        <v>108181.81818181818</v>
      </c>
      <c r="K135" s="25">
        <v>61496</v>
      </c>
      <c r="L135" s="25">
        <v>61496</v>
      </c>
    </row>
    <row r="136" spans="1:12" x14ac:dyDescent="0.3">
      <c r="A136" t="s">
        <v>41</v>
      </c>
      <c r="B136">
        <v>20260205993746</v>
      </c>
      <c r="C136" t="s">
        <v>112</v>
      </c>
      <c r="D136">
        <v>58481090</v>
      </c>
      <c r="E136" s="16" t="s">
        <v>7</v>
      </c>
      <c r="F136" s="3">
        <v>2</v>
      </c>
      <c r="G136" s="3">
        <v>119000</v>
      </c>
      <c r="H136" s="3">
        <v>238000</v>
      </c>
      <c r="I136" s="3">
        <v>164220</v>
      </c>
      <c r="J136" s="3">
        <v>216363.63636363635</v>
      </c>
      <c r="K136" s="25">
        <v>61496</v>
      </c>
      <c r="L136" s="25">
        <v>122992</v>
      </c>
    </row>
    <row r="137" spans="1:12" x14ac:dyDescent="0.3">
      <c r="A137" t="s">
        <v>41</v>
      </c>
      <c r="B137">
        <v>20260205993743</v>
      </c>
      <c r="C137" t="s">
        <v>112</v>
      </c>
      <c r="D137">
        <v>58481090</v>
      </c>
      <c r="E137" s="16" t="s">
        <v>7</v>
      </c>
      <c r="F137" s="3">
        <v>1</v>
      </c>
      <c r="G137" s="3">
        <v>119000</v>
      </c>
      <c r="H137" s="3">
        <v>119000</v>
      </c>
      <c r="I137" s="3">
        <v>82110</v>
      </c>
      <c r="J137" s="3">
        <v>108181.81818181818</v>
      </c>
      <c r="K137" s="25">
        <v>61496</v>
      </c>
      <c r="L137" s="25">
        <v>61496</v>
      </c>
    </row>
    <row r="138" spans="1:12" x14ac:dyDescent="0.3">
      <c r="A138" t="s">
        <v>41</v>
      </c>
      <c r="B138">
        <v>20260205993518</v>
      </c>
      <c r="C138" t="s">
        <v>112</v>
      </c>
      <c r="D138">
        <v>58481090</v>
      </c>
      <c r="E138" s="16" t="s">
        <v>7</v>
      </c>
      <c r="F138" s="3">
        <v>1</v>
      </c>
      <c r="G138" s="3">
        <v>119000</v>
      </c>
      <c r="H138" s="3">
        <v>99960</v>
      </c>
      <c r="I138" s="3">
        <v>82110</v>
      </c>
      <c r="J138" s="3">
        <v>90872.727272727265</v>
      </c>
      <c r="K138" s="25">
        <v>61496</v>
      </c>
      <c r="L138" s="25">
        <v>61496</v>
      </c>
    </row>
    <row r="139" spans="1:12" x14ac:dyDescent="0.3">
      <c r="A139" t="s">
        <v>41</v>
      </c>
      <c r="B139">
        <v>20260205993886</v>
      </c>
      <c r="C139" t="s">
        <v>112</v>
      </c>
      <c r="D139">
        <v>58481090</v>
      </c>
      <c r="E139" s="16" t="s">
        <v>7</v>
      </c>
      <c r="F139" s="3">
        <v>1</v>
      </c>
      <c r="G139" s="3">
        <v>119000</v>
      </c>
      <c r="H139" s="3">
        <v>119000</v>
      </c>
      <c r="I139" s="3">
        <v>82110</v>
      </c>
      <c r="J139" s="3">
        <v>108181.81818181818</v>
      </c>
      <c r="K139" s="25">
        <v>61496</v>
      </c>
      <c r="L139" s="25">
        <v>61496</v>
      </c>
    </row>
    <row r="140" spans="1:12" x14ac:dyDescent="0.3">
      <c r="A140" t="s">
        <v>41</v>
      </c>
      <c r="B140">
        <v>20260205993347</v>
      </c>
      <c r="C140" t="s">
        <v>112</v>
      </c>
      <c r="D140">
        <v>58481090</v>
      </c>
      <c r="E140" s="16" t="s">
        <v>7</v>
      </c>
      <c r="F140" s="3">
        <v>1</v>
      </c>
      <c r="G140" s="3">
        <v>119000</v>
      </c>
      <c r="H140" s="3">
        <v>109000</v>
      </c>
      <c r="I140" s="3">
        <v>82110</v>
      </c>
      <c r="J140" s="3">
        <v>99090.909090909074</v>
      </c>
      <c r="K140" s="25">
        <v>61496</v>
      </c>
      <c r="L140" s="25">
        <v>61496</v>
      </c>
    </row>
    <row r="141" spans="1:12" x14ac:dyDescent="0.3">
      <c r="A141" t="s">
        <v>41</v>
      </c>
      <c r="B141">
        <v>20260205992569</v>
      </c>
      <c r="C141" t="s">
        <v>112</v>
      </c>
      <c r="D141">
        <v>58481090</v>
      </c>
      <c r="E141" s="16" t="s">
        <v>7</v>
      </c>
      <c r="F141" s="3">
        <v>1</v>
      </c>
      <c r="G141" s="3">
        <v>119000</v>
      </c>
      <c r="H141" s="3">
        <v>119000</v>
      </c>
      <c r="I141" s="3">
        <v>82110</v>
      </c>
      <c r="J141" s="3">
        <v>108181.81818181818</v>
      </c>
      <c r="K141" s="25">
        <v>61496</v>
      </c>
      <c r="L141" s="25">
        <v>61496</v>
      </c>
    </row>
    <row r="142" spans="1:12" x14ac:dyDescent="0.3">
      <c r="A142" t="s">
        <v>41</v>
      </c>
      <c r="B142">
        <v>20260205992662</v>
      </c>
      <c r="C142" t="s">
        <v>112</v>
      </c>
      <c r="D142">
        <v>58481090</v>
      </c>
      <c r="E142" s="16" t="s">
        <v>7</v>
      </c>
      <c r="F142" s="3">
        <v>1</v>
      </c>
      <c r="G142" s="3">
        <v>119000</v>
      </c>
      <c r="H142" s="3">
        <v>119000</v>
      </c>
      <c r="I142" s="3">
        <v>82110</v>
      </c>
      <c r="J142" s="3">
        <v>108181.81818181818</v>
      </c>
      <c r="K142" s="25">
        <v>61496</v>
      </c>
      <c r="L142" s="25">
        <v>61496</v>
      </c>
    </row>
    <row r="143" spans="1:12" x14ac:dyDescent="0.3">
      <c r="A143" t="s">
        <v>41</v>
      </c>
      <c r="B143">
        <v>20260205993291</v>
      </c>
      <c r="C143" t="s">
        <v>112</v>
      </c>
      <c r="D143">
        <v>58481090</v>
      </c>
      <c r="E143" s="16" t="s">
        <v>7</v>
      </c>
      <c r="F143" s="3">
        <v>1</v>
      </c>
      <c r="G143" s="3">
        <v>119000</v>
      </c>
      <c r="H143" s="3">
        <v>119000</v>
      </c>
      <c r="I143" s="3">
        <v>82110</v>
      </c>
      <c r="J143" s="3">
        <v>108181.81818181818</v>
      </c>
      <c r="K143" s="25">
        <v>61496</v>
      </c>
      <c r="L143" s="25">
        <v>61496</v>
      </c>
    </row>
    <row r="144" spans="1:12" x14ac:dyDescent="0.3">
      <c r="A144" t="s">
        <v>41</v>
      </c>
      <c r="B144">
        <v>20260205995260</v>
      </c>
      <c r="C144" t="s">
        <v>112</v>
      </c>
      <c r="D144">
        <v>58481090</v>
      </c>
      <c r="E144" s="16" t="s">
        <v>7</v>
      </c>
      <c r="F144" s="3">
        <v>1</v>
      </c>
      <c r="G144" s="3">
        <v>119000</v>
      </c>
      <c r="H144" s="3">
        <v>119000</v>
      </c>
      <c r="I144" s="3">
        <v>82110</v>
      </c>
      <c r="J144" s="3">
        <v>108181.81818181818</v>
      </c>
      <c r="K144" s="25">
        <v>61496</v>
      </c>
      <c r="L144" s="25">
        <v>61496</v>
      </c>
    </row>
    <row r="145" spans="1:12" x14ac:dyDescent="0.3">
      <c r="A145" t="s">
        <v>41</v>
      </c>
      <c r="B145">
        <v>20260205995397</v>
      </c>
      <c r="C145" t="s">
        <v>112</v>
      </c>
      <c r="D145">
        <v>58481090</v>
      </c>
      <c r="E145" s="16" t="s">
        <v>7</v>
      </c>
      <c r="F145" s="3">
        <v>1</v>
      </c>
      <c r="G145" s="3">
        <v>119000</v>
      </c>
      <c r="H145" s="3">
        <v>119000</v>
      </c>
      <c r="I145" s="3">
        <v>82110</v>
      </c>
      <c r="J145" s="3">
        <v>108181.81818181818</v>
      </c>
      <c r="K145" s="25">
        <v>61496</v>
      </c>
      <c r="L145" s="25">
        <v>61496</v>
      </c>
    </row>
    <row r="146" spans="1:12" x14ac:dyDescent="0.3">
      <c r="A146" t="s">
        <v>41</v>
      </c>
      <c r="B146">
        <v>20260205997063</v>
      </c>
      <c r="C146" t="s">
        <v>112</v>
      </c>
      <c r="D146">
        <v>58481090</v>
      </c>
      <c r="E146" s="16" t="s">
        <v>7</v>
      </c>
      <c r="F146" s="3">
        <v>1</v>
      </c>
      <c r="G146" s="3">
        <v>119000</v>
      </c>
      <c r="H146" s="3">
        <v>119000</v>
      </c>
      <c r="I146" s="3">
        <v>82110</v>
      </c>
      <c r="J146" s="3">
        <v>108181.81818181818</v>
      </c>
      <c r="K146" s="25">
        <v>61496</v>
      </c>
      <c r="L146" s="25">
        <v>61496</v>
      </c>
    </row>
    <row r="147" spans="1:12" x14ac:dyDescent="0.3">
      <c r="A147" t="s">
        <v>41</v>
      </c>
      <c r="B147">
        <v>20260205994666</v>
      </c>
      <c r="C147" t="s">
        <v>112</v>
      </c>
      <c r="D147">
        <v>58481090</v>
      </c>
      <c r="E147" s="16" t="s">
        <v>7</v>
      </c>
      <c r="F147" s="3">
        <v>1</v>
      </c>
      <c r="G147" s="3">
        <v>119000</v>
      </c>
      <c r="H147" s="3">
        <v>119000</v>
      </c>
      <c r="I147" s="3">
        <v>82110</v>
      </c>
      <c r="J147" s="3">
        <v>108181.81818181818</v>
      </c>
      <c r="K147" s="25">
        <v>61496</v>
      </c>
      <c r="L147" s="25">
        <v>61496</v>
      </c>
    </row>
    <row r="148" spans="1:12" x14ac:dyDescent="0.3">
      <c r="A148" t="s">
        <v>41</v>
      </c>
      <c r="B148">
        <v>20260206628960</v>
      </c>
      <c r="C148" t="s">
        <v>112</v>
      </c>
      <c r="D148">
        <v>58481090</v>
      </c>
      <c r="E148" s="16" t="s">
        <v>7</v>
      </c>
      <c r="F148" s="3">
        <v>1</v>
      </c>
      <c r="G148" s="3">
        <v>119000</v>
      </c>
      <c r="H148" s="3">
        <v>119000</v>
      </c>
      <c r="I148" s="3">
        <v>82110</v>
      </c>
      <c r="J148" s="3">
        <v>108181.81818181818</v>
      </c>
      <c r="K148" s="25">
        <v>61496</v>
      </c>
      <c r="L148" s="25">
        <v>61496</v>
      </c>
    </row>
    <row r="149" spans="1:12" x14ac:dyDescent="0.3">
      <c r="A149" t="s">
        <v>41</v>
      </c>
      <c r="B149">
        <v>20260205995524</v>
      </c>
      <c r="C149" t="s">
        <v>112</v>
      </c>
      <c r="D149">
        <v>58481090</v>
      </c>
      <c r="E149" s="16" t="s">
        <v>7</v>
      </c>
      <c r="F149" s="3">
        <v>1</v>
      </c>
      <c r="G149" s="3">
        <v>119000</v>
      </c>
      <c r="H149" s="3">
        <v>119000</v>
      </c>
      <c r="I149" s="3">
        <v>82110</v>
      </c>
      <c r="J149" s="3">
        <v>108181.81818181818</v>
      </c>
      <c r="K149" s="25">
        <v>61496</v>
      </c>
      <c r="L149" s="25">
        <v>61496</v>
      </c>
    </row>
    <row r="150" spans="1:12" x14ac:dyDescent="0.3">
      <c r="A150" t="s">
        <v>41</v>
      </c>
      <c r="B150">
        <v>20260205994107</v>
      </c>
      <c r="C150" t="s">
        <v>112</v>
      </c>
      <c r="D150">
        <v>58481090</v>
      </c>
      <c r="E150" s="16" t="s">
        <v>7</v>
      </c>
      <c r="F150" s="3">
        <v>1</v>
      </c>
      <c r="G150" s="3">
        <v>119000</v>
      </c>
      <c r="H150" s="3">
        <v>119000</v>
      </c>
      <c r="I150" s="3">
        <v>82110</v>
      </c>
      <c r="J150" s="3">
        <v>108181.81818181818</v>
      </c>
      <c r="K150" s="25">
        <v>61496</v>
      </c>
      <c r="L150" s="25">
        <v>61496</v>
      </c>
    </row>
    <row r="151" spans="1:12" x14ac:dyDescent="0.3">
      <c r="A151" t="s">
        <v>41</v>
      </c>
      <c r="B151">
        <v>20260205995032</v>
      </c>
      <c r="C151" t="s">
        <v>112</v>
      </c>
      <c r="D151">
        <v>58481090</v>
      </c>
      <c r="E151" s="16" t="s">
        <v>7</v>
      </c>
      <c r="F151" s="3">
        <v>1</v>
      </c>
      <c r="G151" s="3">
        <v>119000</v>
      </c>
      <c r="H151" s="3">
        <v>119000</v>
      </c>
      <c r="I151" s="3">
        <v>82110</v>
      </c>
      <c r="J151" s="3">
        <v>108181.81818181818</v>
      </c>
      <c r="K151" s="25">
        <v>61496</v>
      </c>
      <c r="L151" s="25">
        <v>61496</v>
      </c>
    </row>
    <row r="152" spans="1:12" x14ac:dyDescent="0.3">
      <c r="A152" t="s">
        <v>41</v>
      </c>
      <c r="B152">
        <v>20260205995095</v>
      </c>
      <c r="C152" t="s">
        <v>112</v>
      </c>
      <c r="D152">
        <v>58481090</v>
      </c>
      <c r="E152" s="16" t="s">
        <v>7</v>
      </c>
      <c r="F152" s="3">
        <v>1</v>
      </c>
      <c r="G152" s="3">
        <v>119000</v>
      </c>
      <c r="H152" s="3">
        <v>119000</v>
      </c>
      <c r="I152" s="3">
        <v>82110</v>
      </c>
      <c r="J152" s="3">
        <v>108181.81818181818</v>
      </c>
      <c r="K152" s="25">
        <v>61496</v>
      </c>
      <c r="L152" s="25">
        <v>61496</v>
      </c>
    </row>
    <row r="153" spans="1:12" x14ac:dyDescent="0.3">
      <c r="A153" t="s">
        <v>41</v>
      </c>
      <c r="B153">
        <v>20260205994275</v>
      </c>
      <c r="C153" t="s">
        <v>112</v>
      </c>
      <c r="D153">
        <v>58481090</v>
      </c>
      <c r="E153" s="16" t="s">
        <v>7</v>
      </c>
      <c r="F153" s="3">
        <v>1</v>
      </c>
      <c r="G153" s="3">
        <v>119000</v>
      </c>
      <c r="H153" s="3">
        <v>119000</v>
      </c>
      <c r="I153" s="3">
        <v>82110</v>
      </c>
      <c r="J153" s="3">
        <v>108181.81818181818</v>
      </c>
      <c r="K153" s="25">
        <v>61496</v>
      </c>
      <c r="L153" s="25">
        <v>61496</v>
      </c>
    </row>
    <row r="154" spans="1:12" x14ac:dyDescent="0.3">
      <c r="A154" t="s">
        <v>41</v>
      </c>
      <c r="B154">
        <v>20260205994238</v>
      </c>
      <c r="C154" t="s">
        <v>112</v>
      </c>
      <c r="D154">
        <v>58481090</v>
      </c>
      <c r="E154" s="16" t="s">
        <v>7</v>
      </c>
      <c r="F154" s="3">
        <v>1</v>
      </c>
      <c r="G154" s="3">
        <v>119000</v>
      </c>
      <c r="H154" s="3">
        <v>119000</v>
      </c>
      <c r="I154" s="3">
        <v>82110</v>
      </c>
      <c r="J154" s="3">
        <v>108181.81818181818</v>
      </c>
      <c r="K154" s="25">
        <v>61496</v>
      </c>
      <c r="L154" s="25">
        <v>61496</v>
      </c>
    </row>
    <row r="155" spans="1:12" x14ac:dyDescent="0.3">
      <c r="A155" t="s">
        <v>41</v>
      </c>
      <c r="B155">
        <v>20260206629059</v>
      </c>
      <c r="C155" t="s">
        <v>112</v>
      </c>
      <c r="D155">
        <v>58481090</v>
      </c>
      <c r="E155" s="16" t="s">
        <v>7</v>
      </c>
      <c r="F155" s="3">
        <v>1</v>
      </c>
      <c r="G155" s="3">
        <v>119000</v>
      </c>
      <c r="H155" s="3">
        <v>119000</v>
      </c>
      <c r="I155" s="3">
        <v>82110</v>
      </c>
      <c r="J155" s="3">
        <v>108181.81818181818</v>
      </c>
      <c r="K155" s="25">
        <v>61496</v>
      </c>
      <c r="L155" s="25">
        <v>61496</v>
      </c>
    </row>
    <row r="156" spans="1:12" x14ac:dyDescent="0.3">
      <c r="A156" t="s">
        <v>41</v>
      </c>
      <c r="B156">
        <v>20260205997716</v>
      </c>
      <c r="C156" t="s">
        <v>112</v>
      </c>
      <c r="D156">
        <v>58481090</v>
      </c>
      <c r="E156" s="16" t="s">
        <v>7</v>
      </c>
      <c r="F156" s="3">
        <v>1</v>
      </c>
      <c r="G156" s="3">
        <v>119000</v>
      </c>
      <c r="H156" s="3">
        <v>114000</v>
      </c>
      <c r="I156" s="3">
        <v>82110</v>
      </c>
      <c r="J156" s="3">
        <v>103636.36363636365</v>
      </c>
      <c r="K156" s="25">
        <v>61496</v>
      </c>
      <c r="L156" s="25">
        <v>61496</v>
      </c>
    </row>
    <row r="157" spans="1:12" x14ac:dyDescent="0.3">
      <c r="A157" t="s">
        <v>41</v>
      </c>
      <c r="B157">
        <v>20260205994854</v>
      </c>
      <c r="C157" t="s">
        <v>112</v>
      </c>
      <c r="D157">
        <v>58481090</v>
      </c>
      <c r="E157" s="16" t="s">
        <v>7</v>
      </c>
      <c r="F157" s="3">
        <v>1</v>
      </c>
      <c r="G157" s="3">
        <v>119000</v>
      </c>
      <c r="H157" s="3">
        <v>119000</v>
      </c>
      <c r="I157" s="3">
        <v>82110</v>
      </c>
      <c r="J157" s="3">
        <v>108181.81818181818</v>
      </c>
      <c r="K157" s="25">
        <v>61496</v>
      </c>
      <c r="L157" s="25">
        <v>61496</v>
      </c>
    </row>
    <row r="158" spans="1:12" x14ac:dyDescent="0.3">
      <c r="A158" t="s">
        <v>41</v>
      </c>
      <c r="B158">
        <v>20260205995046</v>
      </c>
      <c r="C158" t="s">
        <v>112</v>
      </c>
      <c r="D158">
        <v>58481090</v>
      </c>
      <c r="E158" s="16" t="s">
        <v>7</v>
      </c>
      <c r="F158" s="3">
        <v>1</v>
      </c>
      <c r="G158" s="3">
        <v>119000</v>
      </c>
      <c r="H158" s="3">
        <v>119000</v>
      </c>
      <c r="I158" s="3">
        <v>82110</v>
      </c>
      <c r="J158" s="3">
        <v>108181.81818181818</v>
      </c>
      <c r="K158" s="25">
        <v>61496</v>
      </c>
      <c r="L158" s="25">
        <v>61496</v>
      </c>
    </row>
    <row r="159" spans="1:12" x14ac:dyDescent="0.3">
      <c r="A159" t="s">
        <v>41</v>
      </c>
      <c r="B159">
        <v>20260205992812</v>
      </c>
      <c r="C159" t="s">
        <v>112</v>
      </c>
      <c r="D159">
        <v>58481090</v>
      </c>
      <c r="E159" s="16" t="s">
        <v>7</v>
      </c>
      <c r="F159" s="3">
        <v>1</v>
      </c>
      <c r="G159" s="3">
        <v>119000</v>
      </c>
      <c r="H159" s="3">
        <v>119000</v>
      </c>
      <c r="I159" s="3">
        <v>82110</v>
      </c>
      <c r="J159" s="3">
        <v>108181.81818181818</v>
      </c>
      <c r="K159" s="25">
        <v>61496</v>
      </c>
      <c r="L159" s="25">
        <v>61496</v>
      </c>
    </row>
    <row r="160" spans="1:12" x14ac:dyDescent="0.3">
      <c r="A160" t="s">
        <v>41</v>
      </c>
      <c r="B160">
        <v>20260205993048</v>
      </c>
      <c r="C160" t="s">
        <v>112</v>
      </c>
      <c r="D160">
        <v>58481090</v>
      </c>
      <c r="E160" s="16" t="s">
        <v>7</v>
      </c>
      <c r="F160" s="3">
        <v>1</v>
      </c>
      <c r="G160" s="3">
        <v>119000</v>
      </c>
      <c r="H160" s="3">
        <v>119000</v>
      </c>
      <c r="I160" s="3">
        <v>82110</v>
      </c>
      <c r="J160" s="3">
        <v>108181.81818181818</v>
      </c>
      <c r="K160" s="25">
        <v>61496</v>
      </c>
      <c r="L160" s="25">
        <v>61496</v>
      </c>
    </row>
    <row r="161" spans="1:12" x14ac:dyDescent="0.3">
      <c r="A161" t="s">
        <v>41</v>
      </c>
      <c r="B161">
        <v>20260205993092</v>
      </c>
      <c r="C161" t="s">
        <v>112</v>
      </c>
      <c r="D161">
        <v>58481090</v>
      </c>
      <c r="E161" s="16" t="s">
        <v>7</v>
      </c>
      <c r="F161" s="3">
        <v>1</v>
      </c>
      <c r="G161" s="3">
        <v>119000</v>
      </c>
      <c r="H161" s="3">
        <v>119000</v>
      </c>
      <c r="I161" s="3">
        <v>82110</v>
      </c>
      <c r="J161" s="3">
        <v>108181.81818181818</v>
      </c>
      <c r="K161" s="25">
        <v>61496</v>
      </c>
      <c r="L161" s="25">
        <v>61496</v>
      </c>
    </row>
    <row r="162" spans="1:12" x14ac:dyDescent="0.3">
      <c r="A162" t="s">
        <v>41</v>
      </c>
      <c r="B162">
        <v>20260205993598</v>
      </c>
      <c r="C162" t="s">
        <v>112</v>
      </c>
      <c r="D162">
        <v>58481090</v>
      </c>
      <c r="E162" s="16" t="s">
        <v>7</v>
      </c>
      <c r="F162" s="3">
        <v>1</v>
      </c>
      <c r="G162" s="3">
        <v>119000</v>
      </c>
      <c r="H162" s="3">
        <v>119000</v>
      </c>
      <c r="I162" s="3">
        <v>82110</v>
      </c>
      <c r="J162" s="3">
        <v>108181.81818181818</v>
      </c>
      <c r="K162" s="25">
        <v>61496</v>
      </c>
      <c r="L162" s="25">
        <v>61496</v>
      </c>
    </row>
    <row r="163" spans="1:12" x14ac:dyDescent="0.3">
      <c r="A163" t="s">
        <v>41</v>
      </c>
      <c r="B163">
        <v>20260205995045</v>
      </c>
      <c r="C163" t="s">
        <v>112</v>
      </c>
      <c r="D163">
        <v>58481090</v>
      </c>
      <c r="E163" s="16" t="s">
        <v>7</v>
      </c>
      <c r="F163" s="3">
        <v>1</v>
      </c>
      <c r="G163" s="3">
        <v>119000</v>
      </c>
      <c r="H163" s="3">
        <v>119000</v>
      </c>
      <c r="I163" s="3">
        <v>82110</v>
      </c>
      <c r="J163" s="3">
        <v>108181.81818181818</v>
      </c>
      <c r="K163" s="25">
        <v>61496</v>
      </c>
      <c r="L163" s="25">
        <v>61496</v>
      </c>
    </row>
    <row r="164" spans="1:12" x14ac:dyDescent="0.3">
      <c r="A164" t="s">
        <v>41</v>
      </c>
      <c r="B164">
        <v>20260205993918</v>
      </c>
      <c r="C164" t="s">
        <v>112</v>
      </c>
      <c r="D164">
        <v>58481090</v>
      </c>
      <c r="E164" s="16" t="s">
        <v>7</v>
      </c>
      <c r="F164" s="3">
        <v>1</v>
      </c>
      <c r="G164" s="3">
        <v>119000</v>
      </c>
      <c r="H164" s="3">
        <v>99960</v>
      </c>
      <c r="I164" s="3">
        <v>82110</v>
      </c>
      <c r="J164" s="3">
        <v>90872.727272727265</v>
      </c>
      <c r="K164" s="25">
        <v>61496</v>
      </c>
      <c r="L164" s="25">
        <v>61496</v>
      </c>
    </row>
    <row r="165" spans="1:12" x14ac:dyDescent="0.3">
      <c r="A165" t="s">
        <v>41</v>
      </c>
      <c r="B165">
        <v>20260205995159</v>
      </c>
      <c r="C165" t="s">
        <v>112</v>
      </c>
      <c r="D165">
        <v>58481090</v>
      </c>
      <c r="E165" s="16" t="s">
        <v>7</v>
      </c>
      <c r="F165" s="3">
        <v>1</v>
      </c>
      <c r="G165" s="3">
        <v>119000</v>
      </c>
      <c r="H165" s="3">
        <v>119000</v>
      </c>
      <c r="I165" s="3">
        <v>82110</v>
      </c>
      <c r="J165" s="3">
        <v>108181.81818181818</v>
      </c>
      <c r="K165" s="25">
        <v>61496</v>
      </c>
      <c r="L165" s="25">
        <v>61496</v>
      </c>
    </row>
    <row r="166" spans="1:12" x14ac:dyDescent="0.3">
      <c r="A166" t="s">
        <v>41</v>
      </c>
      <c r="B166">
        <v>20260205995312</v>
      </c>
      <c r="C166" t="s">
        <v>112</v>
      </c>
      <c r="D166">
        <v>58481090</v>
      </c>
      <c r="E166" s="16" t="s">
        <v>7</v>
      </c>
      <c r="F166" s="3">
        <v>1</v>
      </c>
      <c r="G166" s="3">
        <v>119000</v>
      </c>
      <c r="H166" s="3">
        <v>119000</v>
      </c>
      <c r="I166" s="3">
        <v>82110</v>
      </c>
      <c r="J166" s="3">
        <v>108181.81818181818</v>
      </c>
      <c r="K166" s="25">
        <v>61496</v>
      </c>
      <c r="L166" s="25">
        <v>61496</v>
      </c>
    </row>
    <row r="167" spans="1:12" x14ac:dyDescent="0.3">
      <c r="A167" t="s">
        <v>41</v>
      </c>
      <c r="B167">
        <v>20260205994825</v>
      </c>
      <c r="C167" t="s">
        <v>112</v>
      </c>
      <c r="D167">
        <v>58481090</v>
      </c>
      <c r="E167" s="16" t="s">
        <v>7</v>
      </c>
      <c r="F167" s="3">
        <v>1</v>
      </c>
      <c r="G167" s="3">
        <v>119000</v>
      </c>
      <c r="H167" s="3">
        <v>119000</v>
      </c>
      <c r="I167" s="3">
        <v>82110</v>
      </c>
      <c r="J167" s="3">
        <v>108181.81818181818</v>
      </c>
      <c r="K167" s="25">
        <v>61496</v>
      </c>
      <c r="L167" s="25">
        <v>61496</v>
      </c>
    </row>
    <row r="168" spans="1:12" x14ac:dyDescent="0.3">
      <c r="A168" t="s">
        <v>41</v>
      </c>
      <c r="B168">
        <v>20260205994949</v>
      </c>
      <c r="C168" t="s">
        <v>112</v>
      </c>
      <c r="D168">
        <v>58481090</v>
      </c>
      <c r="E168" s="16" t="s">
        <v>7</v>
      </c>
      <c r="F168" s="3">
        <v>1</v>
      </c>
      <c r="G168" s="3">
        <v>119000</v>
      </c>
      <c r="H168" s="3">
        <v>103550</v>
      </c>
      <c r="I168" s="3">
        <v>82110</v>
      </c>
      <c r="J168" s="3">
        <v>94136.363636363647</v>
      </c>
      <c r="K168" s="25">
        <v>61496</v>
      </c>
      <c r="L168" s="25">
        <v>61496</v>
      </c>
    </row>
    <row r="169" spans="1:12" x14ac:dyDescent="0.3">
      <c r="A169" t="s">
        <v>41</v>
      </c>
      <c r="B169">
        <v>20260205994979</v>
      </c>
      <c r="C169" t="s">
        <v>112</v>
      </c>
      <c r="D169">
        <v>58481090</v>
      </c>
      <c r="E169" s="16" t="s">
        <v>7</v>
      </c>
      <c r="F169" s="3">
        <v>1</v>
      </c>
      <c r="G169" s="3">
        <v>119000</v>
      </c>
      <c r="H169" s="3">
        <v>119000</v>
      </c>
      <c r="I169" s="3">
        <v>82110</v>
      </c>
      <c r="J169" s="3">
        <v>108181.81818181818</v>
      </c>
      <c r="K169" s="25">
        <v>61496</v>
      </c>
      <c r="L169" s="25">
        <v>61496</v>
      </c>
    </row>
    <row r="170" spans="1:12" x14ac:dyDescent="0.3">
      <c r="A170" t="s">
        <v>41</v>
      </c>
      <c r="B170">
        <v>20260205993513</v>
      </c>
      <c r="C170" t="s">
        <v>112</v>
      </c>
      <c r="D170">
        <v>58481090</v>
      </c>
      <c r="E170" s="16" t="s">
        <v>7</v>
      </c>
      <c r="F170" s="3">
        <v>1</v>
      </c>
      <c r="G170" s="3">
        <v>119000</v>
      </c>
      <c r="H170" s="3">
        <v>96390</v>
      </c>
      <c r="I170" s="3">
        <v>82110</v>
      </c>
      <c r="J170" s="3">
        <v>87627.272727272721</v>
      </c>
      <c r="K170" s="25">
        <v>61496</v>
      </c>
      <c r="L170" s="25">
        <v>61496</v>
      </c>
    </row>
    <row r="171" spans="1:12" x14ac:dyDescent="0.3">
      <c r="A171" t="s">
        <v>41</v>
      </c>
      <c r="B171">
        <v>20260205995604</v>
      </c>
      <c r="C171" t="s">
        <v>112</v>
      </c>
      <c r="D171">
        <v>58481090</v>
      </c>
      <c r="E171" s="16" t="s">
        <v>7</v>
      </c>
      <c r="F171" s="3">
        <v>1</v>
      </c>
      <c r="G171" s="3">
        <v>119000</v>
      </c>
      <c r="H171" s="3">
        <v>119000</v>
      </c>
      <c r="I171" s="3">
        <v>82110</v>
      </c>
      <c r="J171" s="3">
        <v>108181.81818181818</v>
      </c>
      <c r="K171" s="25">
        <v>61496</v>
      </c>
      <c r="L171" s="25">
        <v>61496</v>
      </c>
    </row>
    <row r="172" spans="1:12" x14ac:dyDescent="0.3">
      <c r="A172" t="s">
        <v>41</v>
      </c>
      <c r="B172">
        <v>20260205995517</v>
      </c>
      <c r="C172" t="s">
        <v>112</v>
      </c>
      <c r="D172">
        <v>58481090</v>
      </c>
      <c r="E172" s="16" t="s">
        <v>7</v>
      </c>
      <c r="F172" s="3">
        <v>1</v>
      </c>
      <c r="G172" s="3">
        <v>119000</v>
      </c>
      <c r="H172" s="3">
        <v>105910</v>
      </c>
      <c r="I172" s="3">
        <v>82110</v>
      </c>
      <c r="J172" s="3">
        <v>96281.818181818177</v>
      </c>
      <c r="K172" s="25">
        <v>61496</v>
      </c>
      <c r="L172" s="25">
        <v>61496</v>
      </c>
    </row>
    <row r="173" spans="1:12" x14ac:dyDescent="0.3">
      <c r="A173" t="s">
        <v>41</v>
      </c>
      <c r="B173">
        <v>20260205995098</v>
      </c>
      <c r="C173" t="s">
        <v>112</v>
      </c>
      <c r="D173">
        <v>58481090</v>
      </c>
      <c r="E173" s="16" t="s">
        <v>7</v>
      </c>
      <c r="F173" s="3">
        <v>1</v>
      </c>
      <c r="G173" s="3">
        <v>119000</v>
      </c>
      <c r="H173" s="3">
        <v>119000</v>
      </c>
      <c r="I173" s="3">
        <v>82110</v>
      </c>
      <c r="J173" s="3">
        <v>108181.81818181818</v>
      </c>
      <c r="K173" s="25">
        <v>61496</v>
      </c>
      <c r="L173" s="25">
        <v>61496</v>
      </c>
    </row>
    <row r="174" spans="1:12" x14ac:dyDescent="0.3">
      <c r="A174" t="s">
        <v>41</v>
      </c>
      <c r="B174">
        <v>20260205994449</v>
      </c>
      <c r="C174" t="s">
        <v>112</v>
      </c>
      <c r="D174">
        <v>58481090</v>
      </c>
      <c r="E174" s="16" t="s">
        <v>7</v>
      </c>
      <c r="F174" s="3">
        <v>1</v>
      </c>
      <c r="G174" s="3">
        <v>119000</v>
      </c>
      <c r="H174" s="3">
        <v>119000</v>
      </c>
      <c r="I174" s="3">
        <v>82110</v>
      </c>
      <c r="J174" s="3">
        <v>108181.81818181818</v>
      </c>
      <c r="K174" s="25">
        <v>61496</v>
      </c>
      <c r="L174" s="25">
        <v>61496</v>
      </c>
    </row>
    <row r="175" spans="1:12" x14ac:dyDescent="0.3">
      <c r="A175" t="s">
        <v>41</v>
      </c>
      <c r="B175">
        <v>20260205993692</v>
      </c>
      <c r="C175" t="s">
        <v>112</v>
      </c>
      <c r="D175">
        <v>58481090</v>
      </c>
      <c r="E175" s="16" t="s">
        <v>7</v>
      </c>
      <c r="F175" s="3">
        <v>1</v>
      </c>
      <c r="G175" s="3">
        <v>119000</v>
      </c>
      <c r="H175" s="3">
        <v>119000</v>
      </c>
      <c r="I175" s="3">
        <v>82110</v>
      </c>
      <c r="J175" s="3">
        <v>108181.81818181818</v>
      </c>
      <c r="K175" s="25">
        <v>61496</v>
      </c>
      <c r="L175" s="25">
        <v>61496</v>
      </c>
    </row>
    <row r="176" spans="1:12" x14ac:dyDescent="0.3">
      <c r="A176" t="s">
        <v>41</v>
      </c>
      <c r="B176">
        <v>20260205994013</v>
      </c>
      <c r="C176" t="s">
        <v>112</v>
      </c>
      <c r="D176">
        <v>58481090</v>
      </c>
      <c r="E176" s="16" t="s">
        <v>7</v>
      </c>
      <c r="F176" s="3">
        <v>1</v>
      </c>
      <c r="G176" s="3">
        <v>119000</v>
      </c>
      <c r="H176" s="3">
        <v>113050</v>
      </c>
      <c r="I176" s="3">
        <v>82110</v>
      </c>
      <c r="J176" s="3">
        <v>102772.72727272726</v>
      </c>
      <c r="K176" s="25">
        <v>61496</v>
      </c>
      <c r="L176" s="25">
        <v>61496</v>
      </c>
    </row>
    <row r="177" spans="1:12" x14ac:dyDescent="0.3">
      <c r="A177" t="s">
        <v>41</v>
      </c>
      <c r="B177">
        <v>20260205993305</v>
      </c>
      <c r="C177" t="s">
        <v>112</v>
      </c>
      <c r="D177">
        <v>58481090</v>
      </c>
      <c r="E177" s="16" t="s">
        <v>7</v>
      </c>
      <c r="F177" s="3">
        <v>1</v>
      </c>
      <c r="G177" s="3">
        <v>119000</v>
      </c>
      <c r="H177" s="3">
        <v>113050</v>
      </c>
      <c r="I177" s="3">
        <v>82110</v>
      </c>
      <c r="J177" s="3">
        <v>102772.72727272726</v>
      </c>
      <c r="K177" s="25">
        <v>61496</v>
      </c>
      <c r="L177" s="25">
        <v>61496</v>
      </c>
    </row>
    <row r="178" spans="1:12" x14ac:dyDescent="0.3">
      <c r="A178" t="s">
        <v>41</v>
      </c>
      <c r="B178">
        <v>20260205992338</v>
      </c>
      <c r="C178" t="s">
        <v>112</v>
      </c>
      <c r="D178">
        <v>58481090</v>
      </c>
      <c r="E178" s="16" t="s">
        <v>7</v>
      </c>
      <c r="F178" s="3">
        <v>1</v>
      </c>
      <c r="G178" s="3">
        <v>119000</v>
      </c>
      <c r="H178" s="3">
        <v>119000</v>
      </c>
      <c r="I178" s="3">
        <v>82110</v>
      </c>
      <c r="J178" s="3">
        <v>108181.81818181818</v>
      </c>
      <c r="K178" s="25">
        <v>61496</v>
      </c>
      <c r="L178" s="25">
        <v>61496</v>
      </c>
    </row>
    <row r="179" spans="1:12" x14ac:dyDescent="0.3">
      <c r="A179" t="s">
        <v>41</v>
      </c>
      <c r="B179">
        <v>20260205992763</v>
      </c>
      <c r="C179" t="s">
        <v>112</v>
      </c>
      <c r="D179">
        <v>58481090</v>
      </c>
      <c r="E179" s="16" t="s">
        <v>7</v>
      </c>
      <c r="F179" s="3">
        <v>1</v>
      </c>
      <c r="G179" s="3">
        <v>119000</v>
      </c>
      <c r="H179" s="3">
        <v>119000</v>
      </c>
      <c r="I179" s="3">
        <v>82110</v>
      </c>
      <c r="J179" s="3">
        <v>108181.81818181818</v>
      </c>
      <c r="K179" s="25">
        <v>61496</v>
      </c>
      <c r="L179" s="25">
        <v>61496</v>
      </c>
    </row>
    <row r="180" spans="1:12" x14ac:dyDescent="0.3">
      <c r="A180" t="s">
        <v>41</v>
      </c>
      <c r="B180">
        <v>20260205992914</v>
      </c>
      <c r="C180" t="s">
        <v>112</v>
      </c>
      <c r="D180">
        <v>58481090</v>
      </c>
      <c r="E180" s="16" t="s">
        <v>7</v>
      </c>
      <c r="F180" s="3">
        <v>1</v>
      </c>
      <c r="G180" s="3">
        <v>119000</v>
      </c>
      <c r="H180" s="3">
        <v>119000</v>
      </c>
      <c r="I180" s="3">
        <v>82110</v>
      </c>
      <c r="J180" s="3">
        <v>108181.81818181818</v>
      </c>
      <c r="K180" s="25">
        <v>61496</v>
      </c>
      <c r="L180" s="25">
        <v>61496</v>
      </c>
    </row>
    <row r="181" spans="1:12" x14ac:dyDescent="0.3">
      <c r="A181" t="s">
        <v>41</v>
      </c>
      <c r="B181">
        <v>20260205992756</v>
      </c>
      <c r="C181" t="s">
        <v>112</v>
      </c>
      <c r="D181">
        <v>58481090</v>
      </c>
      <c r="E181" s="16" t="s">
        <v>7</v>
      </c>
      <c r="F181" s="3">
        <v>2</v>
      </c>
      <c r="G181" s="3">
        <v>119000</v>
      </c>
      <c r="H181" s="3">
        <v>192780</v>
      </c>
      <c r="I181" s="3">
        <v>164220</v>
      </c>
      <c r="J181" s="3">
        <v>175254.54545454544</v>
      </c>
      <c r="K181" s="25">
        <v>61496</v>
      </c>
      <c r="L181" s="25">
        <v>122992</v>
      </c>
    </row>
    <row r="182" spans="1:12" x14ac:dyDescent="0.3">
      <c r="A182" t="s">
        <v>41</v>
      </c>
      <c r="B182">
        <v>20260205993968</v>
      </c>
      <c r="C182" t="s">
        <v>112</v>
      </c>
      <c r="D182">
        <v>58481090</v>
      </c>
      <c r="E182" s="16" t="s">
        <v>7</v>
      </c>
      <c r="F182" s="3">
        <v>1</v>
      </c>
      <c r="G182" s="3">
        <v>119000</v>
      </c>
      <c r="H182" s="3">
        <v>119000</v>
      </c>
      <c r="I182" s="3">
        <v>82110</v>
      </c>
      <c r="J182" s="3">
        <v>108181.81818181818</v>
      </c>
      <c r="K182" s="25">
        <v>61496</v>
      </c>
      <c r="L182" s="25">
        <v>61496</v>
      </c>
    </row>
    <row r="183" spans="1:12" x14ac:dyDescent="0.3">
      <c r="A183" t="s">
        <v>41</v>
      </c>
      <c r="B183">
        <v>20260205994732</v>
      </c>
      <c r="C183" t="s">
        <v>112</v>
      </c>
      <c r="D183">
        <v>58481090</v>
      </c>
      <c r="E183" s="16" t="s">
        <v>7</v>
      </c>
      <c r="F183" s="3">
        <v>1</v>
      </c>
      <c r="G183" s="3">
        <v>119000</v>
      </c>
      <c r="H183" s="3">
        <v>119000</v>
      </c>
      <c r="I183" s="3">
        <v>82110</v>
      </c>
      <c r="J183" s="3">
        <v>108181.81818181818</v>
      </c>
      <c r="K183" s="25">
        <v>61496</v>
      </c>
      <c r="L183" s="25">
        <v>61496</v>
      </c>
    </row>
    <row r="184" spans="1:12" x14ac:dyDescent="0.3">
      <c r="A184" t="s">
        <v>41</v>
      </c>
      <c r="B184">
        <v>20260205994658</v>
      </c>
      <c r="C184" t="s">
        <v>112</v>
      </c>
      <c r="D184">
        <v>58481090</v>
      </c>
      <c r="E184" s="16" t="s">
        <v>7</v>
      </c>
      <c r="F184" s="3">
        <v>1</v>
      </c>
      <c r="G184" s="3">
        <v>119000</v>
      </c>
      <c r="H184" s="3">
        <v>119000</v>
      </c>
      <c r="I184" s="3">
        <v>82110</v>
      </c>
      <c r="J184" s="3">
        <v>108181.81818181818</v>
      </c>
      <c r="K184" s="25">
        <v>61496</v>
      </c>
      <c r="L184" s="25">
        <v>61496</v>
      </c>
    </row>
    <row r="185" spans="1:12" x14ac:dyDescent="0.3">
      <c r="A185" t="s">
        <v>41</v>
      </c>
      <c r="B185">
        <v>20260205994878</v>
      </c>
      <c r="C185" t="s">
        <v>112</v>
      </c>
      <c r="D185">
        <v>58481090</v>
      </c>
      <c r="E185" s="16" t="s">
        <v>7</v>
      </c>
      <c r="F185" s="3">
        <v>1</v>
      </c>
      <c r="G185" s="3">
        <v>119000</v>
      </c>
      <c r="H185" s="3">
        <v>113050</v>
      </c>
      <c r="I185" s="3">
        <v>82110</v>
      </c>
      <c r="J185" s="3">
        <v>102772.72727272726</v>
      </c>
      <c r="K185" s="25">
        <v>61496</v>
      </c>
      <c r="L185" s="25">
        <v>61496</v>
      </c>
    </row>
    <row r="186" spans="1:12" x14ac:dyDescent="0.3">
      <c r="A186" t="s">
        <v>41</v>
      </c>
      <c r="B186">
        <v>20260205996662</v>
      </c>
      <c r="C186" t="s">
        <v>112</v>
      </c>
      <c r="D186">
        <v>58481090</v>
      </c>
      <c r="E186" s="16" t="s">
        <v>7</v>
      </c>
      <c r="F186" s="3">
        <v>1</v>
      </c>
      <c r="G186" s="3">
        <v>119000</v>
      </c>
      <c r="H186" s="3">
        <v>109000</v>
      </c>
      <c r="I186" s="3">
        <v>82110</v>
      </c>
      <c r="J186" s="3">
        <v>99090.909090909074</v>
      </c>
      <c r="K186" s="25">
        <v>61496</v>
      </c>
      <c r="L186" s="25">
        <v>61496</v>
      </c>
    </row>
    <row r="187" spans="1:12" x14ac:dyDescent="0.3">
      <c r="A187" t="s">
        <v>41</v>
      </c>
      <c r="B187">
        <v>20260205994173</v>
      </c>
      <c r="C187" t="s">
        <v>112</v>
      </c>
      <c r="D187">
        <v>58481090</v>
      </c>
      <c r="E187" s="16" t="s">
        <v>7</v>
      </c>
      <c r="F187" s="3">
        <v>1</v>
      </c>
      <c r="G187" s="3">
        <v>119000</v>
      </c>
      <c r="H187" s="3">
        <v>105910</v>
      </c>
      <c r="I187" s="3">
        <v>82110</v>
      </c>
      <c r="J187" s="3">
        <v>96281.818181818177</v>
      </c>
      <c r="K187" s="25">
        <v>61496</v>
      </c>
      <c r="L187" s="25">
        <v>61496</v>
      </c>
    </row>
    <row r="188" spans="1:12" x14ac:dyDescent="0.3">
      <c r="A188" t="s">
        <v>41</v>
      </c>
      <c r="B188">
        <v>20260205992741</v>
      </c>
      <c r="C188" t="s">
        <v>112</v>
      </c>
      <c r="D188">
        <v>58481090</v>
      </c>
      <c r="E188" s="16" t="s">
        <v>7</v>
      </c>
      <c r="F188" s="3">
        <v>1</v>
      </c>
      <c r="G188" s="3">
        <v>119000</v>
      </c>
      <c r="H188" s="3">
        <v>119000</v>
      </c>
      <c r="I188" s="3">
        <v>82110</v>
      </c>
      <c r="J188" s="3">
        <v>108181.81818181818</v>
      </c>
      <c r="K188" s="25">
        <v>61496</v>
      </c>
      <c r="L188" s="25">
        <v>61496</v>
      </c>
    </row>
    <row r="189" spans="1:12" x14ac:dyDescent="0.3">
      <c r="A189" t="s">
        <v>41</v>
      </c>
      <c r="B189">
        <v>20260205992734</v>
      </c>
      <c r="C189" t="s">
        <v>112</v>
      </c>
      <c r="D189">
        <v>58481090</v>
      </c>
      <c r="E189" s="16" t="s">
        <v>7</v>
      </c>
      <c r="F189" s="3">
        <v>1</v>
      </c>
      <c r="G189" s="3">
        <v>119000</v>
      </c>
      <c r="H189" s="3">
        <v>119000</v>
      </c>
      <c r="I189" s="3">
        <v>82110</v>
      </c>
      <c r="J189" s="3">
        <v>108181.81818181818</v>
      </c>
      <c r="K189" s="25">
        <v>61496</v>
      </c>
      <c r="L189" s="25">
        <v>61496</v>
      </c>
    </row>
    <row r="190" spans="1:12" x14ac:dyDescent="0.3">
      <c r="A190" t="s">
        <v>41</v>
      </c>
      <c r="B190">
        <v>20260205992797</v>
      </c>
      <c r="C190" t="s">
        <v>112</v>
      </c>
      <c r="D190">
        <v>58481090</v>
      </c>
      <c r="E190" s="16" t="s">
        <v>7</v>
      </c>
      <c r="F190" s="3">
        <v>1</v>
      </c>
      <c r="G190" s="3">
        <v>119000</v>
      </c>
      <c r="H190" s="3">
        <v>105910</v>
      </c>
      <c r="I190" s="3">
        <v>82110</v>
      </c>
      <c r="J190" s="3">
        <v>96281.818181818177</v>
      </c>
      <c r="K190" s="25">
        <v>61496</v>
      </c>
      <c r="L190" s="25">
        <v>61496</v>
      </c>
    </row>
    <row r="191" spans="1:12" x14ac:dyDescent="0.3">
      <c r="A191" t="s">
        <v>41</v>
      </c>
      <c r="B191">
        <v>20260205994648</v>
      </c>
      <c r="C191" t="s">
        <v>112</v>
      </c>
      <c r="D191">
        <v>58481090</v>
      </c>
      <c r="E191" s="16" t="s">
        <v>7</v>
      </c>
      <c r="F191" s="3">
        <v>1</v>
      </c>
      <c r="G191" s="3">
        <v>119000</v>
      </c>
      <c r="H191" s="3">
        <v>119000</v>
      </c>
      <c r="I191" s="3">
        <v>82110</v>
      </c>
      <c r="J191" s="3">
        <v>108181.81818181818</v>
      </c>
      <c r="K191" s="25">
        <v>61496</v>
      </c>
      <c r="L191" s="25">
        <v>61496</v>
      </c>
    </row>
    <row r="192" spans="1:12" x14ac:dyDescent="0.3">
      <c r="A192" t="s">
        <v>41</v>
      </c>
      <c r="B192">
        <v>20260205995119</v>
      </c>
      <c r="C192" t="s">
        <v>112</v>
      </c>
      <c r="D192">
        <v>58481090</v>
      </c>
      <c r="E192" s="16" t="s">
        <v>7</v>
      </c>
      <c r="F192" s="3">
        <v>1</v>
      </c>
      <c r="G192" s="3">
        <v>119000</v>
      </c>
      <c r="H192" s="3">
        <v>109000</v>
      </c>
      <c r="I192" s="3">
        <v>82110</v>
      </c>
      <c r="J192" s="3">
        <v>99090.909090909074</v>
      </c>
      <c r="K192" s="25">
        <v>61496</v>
      </c>
      <c r="L192" s="25">
        <v>61496</v>
      </c>
    </row>
    <row r="193" spans="1:12" x14ac:dyDescent="0.3">
      <c r="A193" t="s">
        <v>41</v>
      </c>
      <c r="B193">
        <v>20260205994118</v>
      </c>
      <c r="C193" t="s">
        <v>112</v>
      </c>
      <c r="D193">
        <v>58481090</v>
      </c>
      <c r="E193" s="16" t="s">
        <v>7</v>
      </c>
      <c r="F193" s="3">
        <v>1</v>
      </c>
      <c r="G193" s="3">
        <v>119000</v>
      </c>
      <c r="H193" s="3">
        <v>119000</v>
      </c>
      <c r="I193" s="3">
        <v>82110</v>
      </c>
      <c r="J193" s="3">
        <v>108181.81818181818</v>
      </c>
      <c r="K193" s="25">
        <v>61496</v>
      </c>
      <c r="L193" s="25">
        <v>61496</v>
      </c>
    </row>
    <row r="194" spans="1:12" x14ac:dyDescent="0.3">
      <c r="A194" t="s">
        <v>41</v>
      </c>
      <c r="B194">
        <v>20260205993710</v>
      </c>
      <c r="C194" t="s">
        <v>112</v>
      </c>
      <c r="D194">
        <v>58481090</v>
      </c>
      <c r="E194" s="16" t="s">
        <v>7</v>
      </c>
      <c r="F194" s="3">
        <v>1</v>
      </c>
      <c r="G194" s="3">
        <v>119000</v>
      </c>
      <c r="H194" s="3">
        <v>119000</v>
      </c>
      <c r="I194" s="3">
        <v>82110</v>
      </c>
      <c r="J194" s="3">
        <v>108181.81818181818</v>
      </c>
      <c r="K194" s="25">
        <v>61496</v>
      </c>
      <c r="L194" s="25">
        <v>61496</v>
      </c>
    </row>
    <row r="195" spans="1:12" x14ac:dyDescent="0.3">
      <c r="A195" t="s">
        <v>41</v>
      </c>
      <c r="B195">
        <v>20260205993710</v>
      </c>
      <c r="C195" t="s">
        <v>112</v>
      </c>
      <c r="D195">
        <v>58481090</v>
      </c>
      <c r="E195" s="16" t="s">
        <v>7</v>
      </c>
      <c r="F195" s="3">
        <v>1</v>
      </c>
      <c r="G195" s="3">
        <v>119000</v>
      </c>
      <c r="H195" s="3">
        <v>119000</v>
      </c>
      <c r="I195" s="3">
        <v>82110</v>
      </c>
      <c r="J195" s="3">
        <v>108181.81818181818</v>
      </c>
      <c r="K195" s="25">
        <v>61496</v>
      </c>
      <c r="L195" s="25">
        <v>61496</v>
      </c>
    </row>
    <row r="196" spans="1:12" x14ac:dyDescent="0.3">
      <c r="A196" t="s">
        <v>41</v>
      </c>
      <c r="B196">
        <v>20260205994226</v>
      </c>
      <c r="C196" t="s">
        <v>112</v>
      </c>
      <c r="D196">
        <v>58481090</v>
      </c>
      <c r="E196" s="16" t="s">
        <v>7</v>
      </c>
      <c r="F196" s="3">
        <v>1</v>
      </c>
      <c r="G196" s="3">
        <v>119000</v>
      </c>
      <c r="H196" s="3">
        <v>119000</v>
      </c>
      <c r="I196" s="3">
        <v>82110</v>
      </c>
      <c r="J196" s="3">
        <v>108181.81818181818</v>
      </c>
      <c r="K196" s="25">
        <v>61496</v>
      </c>
      <c r="L196" s="25">
        <v>61496</v>
      </c>
    </row>
    <row r="197" spans="1:12" x14ac:dyDescent="0.3">
      <c r="A197" t="s">
        <v>41</v>
      </c>
      <c r="B197">
        <v>20260205995392</v>
      </c>
      <c r="C197" t="s">
        <v>112</v>
      </c>
      <c r="D197">
        <v>58481090</v>
      </c>
      <c r="E197" s="16" t="s">
        <v>7</v>
      </c>
      <c r="F197" s="3">
        <v>1</v>
      </c>
      <c r="G197" s="3">
        <v>119000</v>
      </c>
      <c r="H197" s="3">
        <v>119000</v>
      </c>
      <c r="I197" s="3">
        <v>82110</v>
      </c>
      <c r="J197" s="3">
        <v>108181.81818181818</v>
      </c>
      <c r="K197" s="25">
        <v>61496</v>
      </c>
      <c r="L197" s="25">
        <v>61496</v>
      </c>
    </row>
    <row r="198" spans="1:12" x14ac:dyDescent="0.3">
      <c r="A198" t="s">
        <v>41</v>
      </c>
      <c r="B198">
        <v>20260205994445</v>
      </c>
      <c r="C198" t="s">
        <v>112</v>
      </c>
      <c r="D198">
        <v>58481090</v>
      </c>
      <c r="E198" s="16" t="s">
        <v>7</v>
      </c>
      <c r="F198" s="3">
        <v>1</v>
      </c>
      <c r="G198" s="3">
        <v>119000</v>
      </c>
      <c r="H198" s="3">
        <v>119000</v>
      </c>
      <c r="I198" s="3">
        <v>82110</v>
      </c>
      <c r="J198" s="3">
        <v>108181.81818181818</v>
      </c>
      <c r="K198" s="25">
        <v>61496</v>
      </c>
      <c r="L198" s="25">
        <v>61496</v>
      </c>
    </row>
    <row r="199" spans="1:12" x14ac:dyDescent="0.3">
      <c r="A199" t="s">
        <v>41</v>
      </c>
      <c r="B199">
        <v>20260205994636</v>
      </c>
      <c r="C199" t="s">
        <v>112</v>
      </c>
      <c r="D199">
        <v>58481090</v>
      </c>
      <c r="E199" s="16" t="s">
        <v>7</v>
      </c>
      <c r="F199" s="3">
        <v>1</v>
      </c>
      <c r="G199" s="3">
        <v>119000</v>
      </c>
      <c r="H199" s="3">
        <v>119000</v>
      </c>
      <c r="I199" s="3">
        <v>82110</v>
      </c>
      <c r="J199" s="3">
        <v>108181.81818181818</v>
      </c>
      <c r="K199" s="25">
        <v>61496</v>
      </c>
      <c r="L199" s="25">
        <v>61496</v>
      </c>
    </row>
    <row r="200" spans="1:12" x14ac:dyDescent="0.3">
      <c r="A200" t="s">
        <v>41</v>
      </c>
      <c r="B200">
        <v>20260205993543</v>
      </c>
      <c r="C200" t="s">
        <v>112</v>
      </c>
      <c r="D200">
        <v>58481090</v>
      </c>
      <c r="E200" s="16" t="s">
        <v>7</v>
      </c>
      <c r="F200" s="3">
        <v>1</v>
      </c>
      <c r="G200" s="3">
        <v>119000</v>
      </c>
      <c r="H200" s="3">
        <v>119000</v>
      </c>
      <c r="I200" s="3">
        <v>82110</v>
      </c>
      <c r="J200" s="3">
        <v>108181.81818181818</v>
      </c>
      <c r="K200" s="25">
        <v>61496</v>
      </c>
      <c r="L200" s="25">
        <v>61496</v>
      </c>
    </row>
    <row r="201" spans="1:12" x14ac:dyDescent="0.3">
      <c r="A201" t="s">
        <v>41</v>
      </c>
      <c r="B201">
        <v>20260205994834</v>
      </c>
      <c r="C201" t="s">
        <v>112</v>
      </c>
      <c r="D201">
        <v>58481090</v>
      </c>
      <c r="E201" s="16" t="s">
        <v>7</v>
      </c>
      <c r="F201" s="3">
        <v>1</v>
      </c>
      <c r="G201" s="3">
        <v>119000</v>
      </c>
      <c r="H201" s="3">
        <v>119000</v>
      </c>
      <c r="I201" s="3">
        <v>82110</v>
      </c>
      <c r="J201" s="3">
        <v>108181.81818181818</v>
      </c>
      <c r="K201" s="25">
        <v>61496</v>
      </c>
      <c r="L201" s="25">
        <v>61496</v>
      </c>
    </row>
    <row r="202" spans="1:12" x14ac:dyDescent="0.3">
      <c r="A202" t="s">
        <v>41</v>
      </c>
      <c r="B202">
        <v>20260205993877</v>
      </c>
      <c r="C202" t="s">
        <v>112</v>
      </c>
      <c r="D202">
        <v>58481090</v>
      </c>
      <c r="E202" s="16" t="s">
        <v>7</v>
      </c>
      <c r="F202" s="3">
        <v>1</v>
      </c>
      <c r="G202" s="3">
        <v>119000</v>
      </c>
      <c r="H202" s="3">
        <v>119000</v>
      </c>
      <c r="I202" s="3">
        <v>82110</v>
      </c>
      <c r="J202" s="3">
        <v>108181.81818181818</v>
      </c>
      <c r="K202" s="25">
        <v>61496</v>
      </c>
      <c r="L202" s="25">
        <v>61496</v>
      </c>
    </row>
    <row r="203" spans="1:12" x14ac:dyDescent="0.3">
      <c r="A203" t="s">
        <v>41</v>
      </c>
      <c r="B203">
        <v>20260205993908</v>
      </c>
      <c r="C203" t="s">
        <v>112</v>
      </c>
      <c r="D203">
        <v>58481090</v>
      </c>
      <c r="E203" s="16" t="s">
        <v>7</v>
      </c>
      <c r="F203" s="3">
        <v>1</v>
      </c>
      <c r="G203" s="3">
        <v>119000</v>
      </c>
      <c r="H203" s="3">
        <v>119000</v>
      </c>
      <c r="I203" s="3">
        <v>82110</v>
      </c>
      <c r="J203" s="3">
        <v>108181.81818181818</v>
      </c>
      <c r="K203" s="25">
        <v>61496</v>
      </c>
      <c r="L203" s="25">
        <v>61496</v>
      </c>
    </row>
    <row r="204" spans="1:12" x14ac:dyDescent="0.3">
      <c r="A204" t="s">
        <v>41</v>
      </c>
      <c r="B204">
        <v>20260205993875</v>
      </c>
      <c r="C204" t="s">
        <v>112</v>
      </c>
      <c r="D204">
        <v>58481090</v>
      </c>
      <c r="E204" s="16" t="s">
        <v>7</v>
      </c>
      <c r="F204" s="3">
        <v>1</v>
      </c>
      <c r="G204" s="3">
        <v>119000</v>
      </c>
      <c r="H204" s="3">
        <v>113050</v>
      </c>
      <c r="I204" s="3">
        <v>82110</v>
      </c>
      <c r="J204" s="3">
        <v>102772.72727272726</v>
      </c>
      <c r="K204" s="25">
        <v>61496</v>
      </c>
      <c r="L204" s="25">
        <v>61496</v>
      </c>
    </row>
    <row r="205" spans="1:12" x14ac:dyDescent="0.3">
      <c r="A205" t="s">
        <v>41</v>
      </c>
      <c r="B205">
        <v>20260205993960</v>
      </c>
      <c r="C205" t="s">
        <v>112</v>
      </c>
      <c r="D205">
        <v>58481090</v>
      </c>
      <c r="E205" s="16" t="s">
        <v>7</v>
      </c>
      <c r="F205" s="3">
        <v>1</v>
      </c>
      <c r="G205" s="3">
        <v>119000</v>
      </c>
      <c r="H205" s="3">
        <v>119000</v>
      </c>
      <c r="I205" s="3">
        <v>82110</v>
      </c>
      <c r="J205" s="3">
        <v>108181.81818181818</v>
      </c>
      <c r="K205" s="25">
        <v>61496</v>
      </c>
      <c r="L205" s="25">
        <v>61496</v>
      </c>
    </row>
    <row r="206" spans="1:12" x14ac:dyDescent="0.3">
      <c r="A206" t="s">
        <v>41</v>
      </c>
      <c r="B206">
        <v>20260205992628</v>
      </c>
      <c r="C206" t="s">
        <v>112</v>
      </c>
      <c r="D206">
        <v>58481090</v>
      </c>
      <c r="E206" s="16" t="s">
        <v>7</v>
      </c>
      <c r="F206" s="3">
        <v>1</v>
      </c>
      <c r="G206" s="3">
        <v>119000</v>
      </c>
      <c r="H206" s="3">
        <v>119000</v>
      </c>
      <c r="I206" s="3">
        <v>82110</v>
      </c>
      <c r="J206" s="3">
        <v>108181.81818181818</v>
      </c>
      <c r="K206" s="25">
        <v>61496</v>
      </c>
      <c r="L206" s="25">
        <v>61496</v>
      </c>
    </row>
    <row r="207" spans="1:12" x14ac:dyDescent="0.3">
      <c r="A207" t="s">
        <v>41</v>
      </c>
      <c r="B207">
        <v>20260205992776</v>
      </c>
      <c r="C207" t="s">
        <v>112</v>
      </c>
      <c r="D207">
        <v>58481090</v>
      </c>
      <c r="E207" s="16" t="s">
        <v>7</v>
      </c>
      <c r="F207" s="3">
        <v>1</v>
      </c>
      <c r="G207" s="3">
        <v>119000</v>
      </c>
      <c r="H207" s="3">
        <v>119000</v>
      </c>
      <c r="I207" s="3">
        <v>82110</v>
      </c>
      <c r="J207" s="3">
        <v>108181.81818181818</v>
      </c>
      <c r="K207" s="25">
        <v>61496</v>
      </c>
      <c r="L207" s="25">
        <v>61496</v>
      </c>
    </row>
    <row r="208" spans="1:12" x14ac:dyDescent="0.3">
      <c r="A208" t="s">
        <v>41</v>
      </c>
      <c r="B208">
        <v>20260205992776</v>
      </c>
      <c r="C208" t="s">
        <v>112</v>
      </c>
      <c r="D208">
        <v>58481090</v>
      </c>
      <c r="E208" s="16" t="s">
        <v>7</v>
      </c>
      <c r="F208" s="3">
        <v>1</v>
      </c>
      <c r="G208" s="3">
        <v>119000</v>
      </c>
      <c r="H208" s="3">
        <v>119000</v>
      </c>
      <c r="I208" s="3">
        <v>82110</v>
      </c>
      <c r="J208" s="3">
        <v>108181.81818181818</v>
      </c>
      <c r="K208" s="25">
        <v>61496</v>
      </c>
      <c r="L208" s="25">
        <v>61496</v>
      </c>
    </row>
    <row r="209" spans="1:12" x14ac:dyDescent="0.3">
      <c r="A209" t="s">
        <v>41</v>
      </c>
      <c r="B209">
        <v>20260205992904</v>
      </c>
      <c r="C209" t="s">
        <v>112</v>
      </c>
      <c r="D209">
        <v>58481090</v>
      </c>
      <c r="E209" s="16" t="s">
        <v>7</v>
      </c>
      <c r="F209" s="3">
        <v>1</v>
      </c>
      <c r="G209" s="3">
        <v>119000</v>
      </c>
      <c r="H209" s="3">
        <v>119000</v>
      </c>
      <c r="I209" s="3">
        <v>82110</v>
      </c>
      <c r="J209" s="3">
        <v>108181.81818181818</v>
      </c>
      <c r="K209" s="25">
        <v>61496</v>
      </c>
      <c r="L209" s="25">
        <v>61496</v>
      </c>
    </row>
    <row r="210" spans="1:12" x14ac:dyDescent="0.3">
      <c r="A210" t="s">
        <v>41</v>
      </c>
      <c r="B210">
        <v>20260205992898</v>
      </c>
      <c r="C210" t="s">
        <v>112</v>
      </c>
      <c r="D210">
        <v>58481090</v>
      </c>
      <c r="E210" s="16" t="s">
        <v>7</v>
      </c>
      <c r="F210" s="3">
        <v>1</v>
      </c>
      <c r="G210" s="3">
        <v>119000</v>
      </c>
      <c r="H210" s="3">
        <v>113050</v>
      </c>
      <c r="I210" s="3">
        <v>82110</v>
      </c>
      <c r="J210" s="3">
        <v>102772.72727272726</v>
      </c>
      <c r="K210" s="25">
        <v>61496</v>
      </c>
      <c r="L210" s="25">
        <v>61496</v>
      </c>
    </row>
    <row r="211" spans="1:12" x14ac:dyDescent="0.3">
      <c r="A211" t="s">
        <v>41</v>
      </c>
      <c r="B211">
        <v>20260205993183</v>
      </c>
      <c r="C211" t="s">
        <v>112</v>
      </c>
      <c r="D211">
        <v>58481090</v>
      </c>
      <c r="E211" s="16" t="s">
        <v>7</v>
      </c>
      <c r="F211" s="3">
        <v>1</v>
      </c>
      <c r="G211" s="3">
        <v>119000</v>
      </c>
      <c r="H211" s="3">
        <v>119000</v>
      </c>
      <c r="I211" s="3">
        <v>82110</v>
      </c>
      <c r="J211" s="3">
        <v>108181.81818181818</v>
      </c>
      <c r="K211" s="25">
        <v>61496</v>
      </c>
      <c r="L211" s="25">
        <v>61496</v>
      </c>
    </row>
    <row r="212" spans="1:12" x14ac:dyDescent="0.3">
      <c r="A212" t="s">
        <v>41</v>
      </c>
      <c r="B212">
        <v>20260205993148</v>
      </c>
      <c r="C212" t="s">
        <v>112</v>
      </c>
      <c r="D212">
        <v>58481090</v>
      </c>
      <c r="E212" s="16" t="s">
        <v>7</v>
      </c>
      <c r="F212" s="3">
        <v>1</v>
      </c>
      <c r="G212" s="3">
        <v>119000</v>
      </c>
      <c r="H212" s="3">
        <v>119000</v>
      </c>
      <c r="I212" s="3">
        <v>82110</v>
      </c>
      <c r="J212" s="3">
        <v>108181.81818181818</v>
      </c>
      <c r="K212" s="25">
        <v>61496</v>
      </c>
      <c r="L212" s="25">
        <v>61496</v>
      </c>
    </row>
    <row r="213" spans="1:12" x14ac:dyDescent="0.3">
      <c r="A213" t="s">
        <v>41</v>
      </c>
      <c r="B213">
        <v>20260205993058</v>
      </c>
      <c r="C213" t="s">
        <v>112</v>
      </c>
      <c r="D213">
        <v>58481090</v>
      </c>
      <c r="E213" s="16" t="s">
        <v>7</v>
      </c>
      <c r="F213" s="3">
        <v>1</v>
      </c>
      <c r="G213" s="3">
        <v>119000</v>
      </c>
      <c r="H213" s="3">
        <v>119000</v>
      </c>
      <c r="I213" s="3">
        <v>82110</v>
      </c>
      <c r="J213" s="3">
        <v>108181.81818181818</v>
      </c>
      <c r="K213" s="25">
        <v>61496</v>
      </c>
      <c r="L213" s="25">
        <v>61496</v>
      </c>
    </row>
    <row r="214" spans="1:12" x14ac:dyDescent="0.3">
      <c r="A214" t="s">
        <v>41</v>
      </c>
      <c r="B214">
        <v>20260205996079</v>
      </c>
      <c r="C214" t="s">
        <v>112</v>
      </c>
      <c r="D214">
        <v>58481090</v>
      </c>
      <c r="E214" s="16" t="s">
        <v>7</v>
      </c>
      <c r="F214" s="3">
        <v>1</v>
      </c>
      <c r="G214" s="3">
        <v>119000</v>
      </c>
      <c r="H214" s="3">
        <v>119000</v>
      </c>
      <c r="I214" s="3">
        <v>82110</v>
      </c>
      <c r="J214" s="3">
        <v>108181.81818181818</v>
      </c>
      <c r="K214" s="25">
        <v>61496</v>
      </c>
      <c r="L214" s="25">
        <v>61496</v>
      </c>
    </row>
    <row r="215" spans="1:12" x14ac:dyDescent="0.3">
      <c r="A215" t="s">
        <v>41</v>
      </c>
      <c r="B215">
        <v>20260205993619</v>
      </c>
      <c r="C215" t="s">
        <v>112</v>
      </c>
      <c r="D215">
        <v>58481090</v>
      </c>
      <c r="E215" s="16" t="s">
        <v>7</v>
      </c>
      <c r="F215" s="3">
        <v>1</v>
      </c>
      <c r="G215" s="3">
        <v>119000</v>
      </c>
      <c r="H215" s="3">
        <v>119000</v>
      </c>
      <c r="I215" s="3">
        <v>82110</v>
      </c>
      <c r="J215" s="3">
        <v>108181.81818181818</v>
      </c>
      <c r="K215" s="25">
        <v>61496</v>
      </c>
      <c r="L215" s="25">
        <v>61496</v>
      </c>
    </row>
    <row r="216" spans="1:12" x14ac:dyDescent="0.3">
      <c r="A216" t="s">
        <v>41</v>
      </c>
      <c r="B216">
        <v>20260205994384</v>
      </c>
      <c r="C216" t="s">
        <v>112</v>
      </c>
      <c r="D216">
        <v>58481090</v>
      </c>
      <c r="E216" s="16" t="s">
        <v>7</v>
      </c>
      <c r="F216" s="3">
        <v>1</v>
      </c>
      <c r="G216" s="3">
        <v>119000</v>
      </c>
      <c r="H216" s="3">
        <v>105910</v>
      </c>
      <c r="I216" s="3">
        <v>82110</v>
      </c>
      <c r="J216" s="3">
        <v>96281.818181818177</v>
      </c>
      <c r="K216" s="25">
        <v>61496</v>
      </c>
      <c r="L216" s="25">
        <v>61496</v>
      </c>
    </row>
    <row r="217" spans="1:12" x14ac:dyDescent="0.3">
      <c r="A217" t="s">
        <v>41</v>
      </c>
      <c r="B217">
        <v>20260205994642</v>
      </c>
      <c r="C217" t="s">
        <v>112</v>
      </c>
      <c r="D217">
        <v>58481090</v>
      </c>
      <c r="E217" s="16" t="s">
        <v>7</v>
      </c>
      <c r="F217" s="3">
        <v>1</v>
      </c>
      <c r="G217" s="3">
        <v>119000</v>
      </c>
      <c r="H217" s="3">
        <v>119000</v>
      </c>
      <c r="I217" s="3">
        <v>82110</v>
      </c>
      <c r="J217" s="3">
        <v>108181.81818181818</v>
      </c>
      <c r="K217" s="25">
        <v>61496</v>
      </c>
      <c r="L217" s="25">
        <v>61496</v>
      </c>
    </row>
    <row r="218" spans="1:12" x14ac:dyDescent="0.3">
      <c r="A218" t="s">
        <v>41</v>
      </c>
      <c r="B218">
        <v>20260205993790</v>
      </c>
      <c r="C218" t="s">
        <v>112</v>
      </c>
      <c r="D218">
        <v>58481090</v>
      </c>
      <c r="E218" s="16" t="s">
        <v>7</v>
      </c>
      <c r="F218" s="3">
        <v>1</v>
      </c>
      <c r="G218" s="3">
        <v>119000</v>
      </c>
      <c r="H218" s="3">
        <v>119000</v>
      </c>
      <c r="I218" s="3">
        <v>82110</v>
      </c>
      <c r="J218" s="3">
        <v>108181.81818181818</v>
      </c>
      <c r="K218" s="25">
        <v>61496</v>
      </c>
      <c r="L218" s="25">
        <v>61496</v>
      </c>
    </row>
    <row r="219" spans="1:12" x14ac:dyDescent="0.3">
      <c r="A219" t="s">
        <v>41</v>
      </c>
      <c r="B219">
        <v>20260205993178</v>
      </c>
      <c r="C219" t="s">
        <v>112</v>
      </c>
      <c r="D219">
        <v>58481090</v>
      </c>
      <c r="E219" s="16" t="s">
        <v>7</v>
      </c>
      <c r="F219" s="3">
        <v>1</v>
      </c>
      <c r="G219" s="3">
        <v>119000</v>
      </c>
      <c r="H219" s="3">
        <v>109000</v>
      </c>
      <c r="I219" s="3">
        <v>82110</v>
      </c>
      <c r="J219" s="3">
        <v>99090.909090909074</v>
      </c>
      <c r="K219" s="25">
        <v>61496</v>
      </c>
      <c r="L219" s="25">
        <v>61496</v>
      </c>
    </row>
    <row r="220" spans="1:12" x14ac:dyDescent="0.3">
      <c r="A220" t="s">
        <v>41</v>
      </c>
      <c r="B220">
        <v>20260205995500</v>
      </c>
      <c r="C220" t="s">
        <v>112</v>
      </c>
      <c r="D220">
        <v>58481090</v>
      </c>
      <c r="E220" s="16" t="s">
        <v>7</v>
      </c>
      <c r="F220" s="3">
        <v>1</v>
      </c>
      <c r="G220" s="3">
        <v>119000</v>
      </c>
      <c r="H220" s="3">
        <v>119000</v>
      </c>
      <c r="I220" s="3">
        <v>82110</v>
      </c>
      <c r="J220" s="3">
        <v>108181.81818181818</v>
      </c>
      <c r="K220" s="25">
        <v>61496</v>
      </c>
      <c r="L220" s="25">
        <v>61496</v>
      </c>
    </row>
    <row r="221" spans="1:12" x14ac:dyDescent="0.3">
      <c r="A221" t="s">
        <v>41</v>
      </c>
      <c r="B221">
        <v>20260205995571</v>
      </c>
      <c r="C221" t="s">
        <v>112</v>
      </c>
      <c r="D221">
        <v>58481090</v>
      </c>
      <c r="E221" s="16" t="s">
        <v>7</v>
      </c>
      <c r="F221" s="3">
        <v>1</v>
      </c>
      <c r="G221" s="3">
        <v>119000</v>
      </c>
      <c r="H221" s="3">
        <v>101150</v>
      </c>
      <c r="I221" s="3">
        <v>82110</v>
      </c>
      <c r="J221" s="3">
        <v>91954.545454545441</v>
      </c>
      <c r="K221" s="25">
        <v>61496</v>
      </c>
      <c r="L221" s="25">
        <v>61496</v>
      </c>
    </row>
    <row r="222" spans="1:12" x14ac:dyDescent="0.3">
      <c r="A222" t="s">
        <v>41</v>
      </c>
      <c r="B222">
        <v>20260205994980</v>
      </c>
      <c r="C222" t="s">
        <v>112</v>
      </c>
      <c r="D222">
        <v>58481090</v>
      </c>
      <c r="E222" s="16" t="s">
        <v>7</v>
      </c>
      <c r="F222" s="3">
        <v>1</v>
      </c>
      <c r="G222" s="3">
        <v>119000</v>
      </c>
      <c r="H222" s="3">
        <v>119000</v>
      </c>
      <c r="I222" s="3">
        <v>82110</v>
      </c>
      <c r="J222" s="3">
        <v>108181.81818181818</v>
      </c>
      <c r="K222" s="25">
        <v>61496</v>
      </c>
      <c r="L222" s="25">
        <v>61496</v>
      </c>
    </row>
    <row r="223" spans="1:12" x14ac:dyDescent="0.3">
      <c r="A223" t="s">
        <v>41</v>
      </c>
      <c r="B223">
        <v>20260205992733</v>
      </c>
      <c r="C223" t="s">
        <v>112</v>
      </c>
      <c r="D223">
        <v>58481090</v>
      </c>
      <c r="E223" s="16" t="s">
        <v>7</v>
      </c>
      <c r="F223" s="3">
        <v>1</v>
      </c>
      <c r="G223" s="3">
        <v>119000</v>
      </c>
      <c r="H223" s="3">
        <v>119000</v>
      </c>
      <c r="I223" s="3">
        <v>82110</v>
      </c>
      <c r="J223" s="3">
        <v>108181.81818181818</v>
      </c>
      <c r="K223" s="25">
        <v>61496</v>
      </c>
      <c r="L223" s="25">
        <v>61496</v>
      </c>
    </row>
    <row r="224" spans="1:12" x14ac:dyDescent="0.3">
      <c r="A224" t="s">
        <v>41</v>
      </c>
      <c r="B224">
        <v>20260205992956</v>
      </c>
      <c r="C224" t="s">
        <v>112</v>
      </c>
      <c r="D224">
        <v>58481090</v>
      </c>
      <c r="E224" s="16" t="s">
        <v>7</v>
      </c>
      <c r="F224" s="3">
        <v>1</v>
      </c>
      <c r="G224" s="3">
        <v>119000</v>
      </c>
      <c r="H224" s="3">
        <v>119000</v>
      </c>
      <c r="I224" s="3">
        <v>82110</v>
      </c>
      <c r="J224" s="3">
        <v>108181.81818181818</v>
      </c>
      <c r="K224" s="25">
        <v>61496</v>
      </c>
      <c r="L224" s="25">
        <v>61496</v>
      </c>
    </row>
    <row r="225" spans="1:12" x14ac:dyDescent="0.3">
      <c r="A225" t="s">
        <v>41</v>
      </c>
      <c r="B225">
        <v>20260205994593</v>
      </c>
      <c r="C225" t="s">
        <v>112</v>
      </c>
      <c r="D225">
        <v>58481090</v>
      </c>
      <c r="E225" s="16" t="s">
        <v>7</v>
      </c>
      <c r="F225" s="3">
        <v>1</v>
      </c>
      <c r="G225" s="3">
        <v>119000</v>
      </c>
      <c r="H225" s="3">
        <v>119000</v>
      </c>
      <c r="I225" s="3">
        <v>82110</v>
      </c>
      <c r="J225" s="3">
        <v>108181.81818181818</v>
      </c>
      <c r="K225" s="25">
        <v>61496</v>
      </c>
      <c r="L225" s="25">
        <v>61496</v>
      </c>
    </row>
    <row r="226" spans="1:12" x14ac:dyDescent="0.3">
      <c r="A226" t="s">
        <v>41</v>
      </c>
      <c r="B226">
        <v>20260205994146</v>
      </c>
      <c r="C226" t="s">
        <v>112</v>
      </c>
      <c r="D226">
        <v>58481090</v>
      </c>
      <c r="E226" s="16" t="s">
        <v>7</v>
      </c>
      <c r="F226" s="3">
        <v>1</v>
      </c>
      <c r="G226" s="3">
        <v>119000</v>
      </c>
      <c r="H226" s="3">
        <v>119000</v>
      </c>
      <c r="I226" s="3">
        <v>82110</v>
      </c>
      <c r="J226" s="3">
        <v>108181.81818181818</v>
      </c>
      <c r="K226" s="25">
        <v>61496</v>
      </c>
      <c r="L226" s="25">
        <v>61496</v>
      </c>
    </row>
    <row r="227" spans="1:12" x14ac:dyDescent="0.3">
      <c r="A227" t="s">
        <v>41</v>
      </c>
      <c r="B227">
        <v>20260205993672</v>
      </c>
      <c r="C227" t="s">
        <v>112</v>
      </c>
      <c r="D227">
        <v>58481090</v>
      </c>
      <c r="E227" s="16" t="s">
        <v>7</v>
      </c>
      <c r="F227" s="3">
        <v>1</v>
      </c>
      <c r="G227" s="3">
        <v>119000</v>
      </c>
      <c r="H227" s="3">
        <v>119000</v>
      </c>
      <c r="I227" s="3">
        <v>82110</v>
      </c>
      <c r="J227" s="3">
        <v>108181.81818181818</v>
      </c>
      <c r="K227" s="25">
        <v>61496</v>
      </c>
      <c r="L227" s="25">
        <v>61496</v>
      </c>
    </row>
    <row r="228" spans="1:12" x14ac:dyDescent="0.3">
      <c r="A228" t="s">
        <v>41</v>
      </c>
      <c r="B228">
        <v>20260205994792</v>
      </c>
      <c r="C228" t="s">
        <v>112</v>
      </c>
      <c r="D228">
        <v>58481090</v>
      </c>
      <c r="E228" s="16" t="s">
        <v>7</v>
      </c>
      <c r="F228" s="3">
        <v>1</v>
      </c>
      <c r="G228" s="3">
        <v>119000</v>
      </c>
      <c r="H228" s="3">
        <v>119000</v>
      </c>
      <c r="I228" s="3">
        <v>82110</v>
      </c>
      <c r="J228" s="3">
        <v>108181.81818181818</v>
      </c>
      <c r="K228" s="25">
        <v>61496</v>
      </c>
      <c r="L228" s="25">
        <v>61496</v>
      </c>
    </row>
    <row r="229" spans="1:12" x14ac:dyDescent="0.3">
      <c r="A229" t="s">
        <v>41</v>
      </c>
      <c r="B229">
        <v>20260205994934</v>
      </c>
      <c r="C229" t="s">
        <v>112</v>
      </c>
      <c r="D229">
        <v>58481090</v>
      </c>
      <c r="E229" s="16" t="s">
        <v>7</v>
      </c>
      <c r="F229" s="3">
        <v>1</v>
      </c>
      <c r="G229" s="3">
        <v>119000</v>
      </c>
      <c r="H229" s="3">
        <v>119000</v>
      </c>
      <c r="I229" s="3">
        <v>82110</v>
      </c>
      <c r="J229" s="3">
        <v>108181.81818181818</v>
      </c>
      <c r="K229" s="25">
        <v>61496</v>
      </c>
      <c r="L229" s="25">
        <v>61496</v>
      </c>
    </row>
    <row r="230" spans="1:12" x14ac:dyDescent="0.3">
      <c r="A230" t="s">
        <v>41</v>
      </c>
      <c r="B230">
        <v>20260205993519</v>
      </c>
      <c r="C230" t="s">
        <v>112</v>
      </c>
      <c r="D230">
        <v>58481090</v>
      </c>
      <c r="E230" s="16" t="s">
        <v>7</v>
      </c>
      <c r="F230" s="3">
        <v>1</v>
      </c>
      <c r="G230" s="3">
        <v>119000</v>
      </c>
      <c r="H230" s="3">
        <v>99960</v>
      </c>
      <c r="I230" s="3">
        <v>82110</v>
      </c>
      <c r="J230" s="3">
        <v>90872.727272727265</v>
      </c>
      <c r="K230" s="25">
        <v>61496</v>
      </c>
      <c r="L230" s="25">
        <v>61496</v>
      </c>
    </row>
    <row r="231" spans="1:12" x14ac:dyDescent="0.3">
      <c r="A231" t="s">
        <v>41</v>
      </c>
      <c r="B231">
        <v>20260205992372</v>
      </c>
      <c r="C231" t="s">
        <v>112</v>
      </c>
      <c r="D231">
        <v>58481090</v>
      </c>
      <c r="E231" s="16" t="s">
        <v>7</v>
      </c>
      <c r="F231" s="3">
        <v>2</v>
      </c>
      <c r="G231" s="3">
        <v>119000</v>
      </c>
      <c r="H231" s="3">
        <v>238000</v>
      </c>
      <c r="I231" s="3">
        <v>164220</v>
      </c>
      <c r="J231" s="3">
        <v>216363.63636363635</v>
      </c>
      <c r="K231" s="25">
        <v>61496</v>
      </c>
      <c r="L231" s="25">
        <v>122992</v>
      </c>
    </row>
    <row r="232" spans="1:12" x14ac:dyDescent="0.3">
      <c r="A232" t="s">
        <v>41</v>
      </c>
      <c r="B232">
        <v>20260205994821</v>
      </c>
      <c r="C232" t="s">
        <v>112</v>
      </c>
      <c r="D232">
        <v>58481090</v>
      </c>
      <c r="E232" s="16" t="s">
        <v>7</v>
      </c>
      <c r="F232" s="3">
        <v>1</v>
      </c>
      <c r="G232" s="3">
        <v>119000</v>
      </c>
      <c r="H232" s="3">
        <v>119000</v>
      </c>
      <c r="I232" s="3">
        <v>82110</v>
      </c>
      <c r="J232" s="3">
        <v>108181.81818181818</v>
      </c>
      <c r="K232" s="25">
        <v>61496</v>
      </c>
      <c r="L232" s="25">
        <v>61496</v>
      </c>
    </row>
    <row r="233" spans="1:12" x14ac:dyDescent="0.3">
      <c r="A233" t="s">
        <v>41</v>
      </c>
      <c r="B233">
        <v>20260205994969</v>
      </c>
      <c r="C233" t="s">
        <v>112</v>
      </c>
      <c r="D233">
        <v>58481090</v>
      </c>
      <c r="E233" s="16" t="s">
        <v>7</v>
      </c>
      <c r="F233" s="3">
        <v>1</v>
      </c>
      <c r="G233" s="3">
        <v>119000</v>
      </c>
      <c r="H233" s="3">
        <v>119000</v>
      </c>
      <c r="I233" s="3">
        <v>82110</v>
      </c>
      <c r="J233" s="3">
        <v>108181.81818181818</v>
      </c>
      <c r="K233" s="25">
        <v>61496</v>
      </c>
      <c r="L233" s="25">
        <v>61496</v>
      </c>
    </row>
    <row r="234" spans="1:12" x14ac:dyDescent="0.3">
      <c r="A234" t="s">
        <v>41</v>
      </c>
      <c r="B234">
        <v>20260205994017</v>
      </c>
      <c r="C234" t="s">
        <v>112</v>
      </c>
      <c r="D234">
        <v>58481090</v>
      </c>
      <c r="E234" s="16" t="s">
        <v>7</v>
      </c>
      <c r="F234" s="3">
        <v>1</v>
      </c>
      <c r="G234" s="3">
        <v>119000</v>
      </c>
      <c r="H234" s="3">
        <v>113050</v>
      </c>
      <c r="I234" s="3">
        <v>82110</v>
      </c>
      <c r="J234" s="3">
        <v>102772.72727272726</v>
      </c>
      <c r="K234" s="25">
        <v>61496</v>
      </c>
      <c r="L234" s="25">
        <v>61496</v>
      </c>
    </row>
    <row r="235" spans="1:12" x14ac:dyDescent="0.3">
      <c r="A235" t="s">
        <v>41</v>
      </c>
      <c r="B235">
        <v>20260205994011</v>
      </c>
      <c r="C235" t="s">
        <v>112</v>
      </c>
      <c r="D235">
        <v>58481090</v>
      </c>
      <c r="E235" s="16" t="s">
        <v>7</v>
      </c>
      <c r="F235" s="3">
        <v>1</v>
      </c>
      <c r="G235" s="3">
        <v>119000</v>
      </c>
      <c r="H235" s="3">
        <v>119000</v>
      </c>
      <c r="I235" s="3">
        <v>82110</v>
      </c>
      <c r="J235" s="3">
        <v>108181.81818181818</v>
      </c>
      <c r="K235" s="25">
        <v>61496</v>
      </c>
      <c r="L235" s="25">
        <v>61496</v>
      </c>
    </row>
    <row r="236" spans="1:12" x14ac:dyDescent="0.3">
      <c r="A236" t="s">
        <v>41</v>
      </c>
      <c r="B236">
        <v>20260205994772</v>
      </c>
      <c r="C236" t="s">
        <v>112</v>
      </c>
      <c r="D236">
        <v>58481090</v>
      </c>
      <c r="E236" s="16" t="s">
        <v>7</v>
      </c>
      <c r="F236" s="3">
        <v>1</v>
      </c>
      <c r="G236" s="3">
        <v>119000</v>
      </c>
      <c r="H236" s="3">
        <v>119000</v>
      </c>
      <c r="I236" s="3">
        <v>82110</v>
      </c>
      <c r="J236" s="3">
        <v>108181.81818181818</v>
      </c>
      <c r="K236" s="25">
        <v>61496</v>
      </c>
      <c r="L236" s="25">
        <v>61496</v>
      </c>
    </row>
    <row r="237" spans="1:12" x14ac:dyDescent="0.3">
      <c r="A237" t="s">
        <v>41</v>
      </c>
      <c r="B237">
        <v>20260205994841</v>
      </c>
      <c r="C237" t="s">
        <v>112</v>
      </c>
      <c r="D237">
        <v>58481090</v>
      </c>
      <c r="E237" s="16" t="s">
        <v>7</v>
      </c>
      <c r="F237" s="3">
        <v>1</v>
      </c>
      <c r="G237" s="3">
        <v>119000</v>
      </c>
      <c r="H237" s="3">
        <v>109000</v>
      </c>
      <c r="I237" s="3">
        <v>82110</v>
      </c>
      <c r="J237" s="3">
        <v>99090.909090909074</v>
      </c>
      <c r="K237" s="25">
        <v>61496</v>
      </c>
      <c r="L237" s="25">
        <v>61496</v>
      </c>
    </row>
    <row r="238" spans="1:12" x14ac:dyDescent="0.3">
      <c r="A238" t="s">
        <v>41</v>
      </c>
      <c r="B238">
        <v>20260205993648</v>
      </c>
      <c r="C238" t="s">
        <v>112</v>
      </c>
      <c r="D238">
        <v>58481090</v>
      </c>
      <c r="E238" s="16" t="s">
        <v>7</v>
      </c>
      <c r="F238" s="3">
        <v>1</v>
      </c>
      <c r="G238" s="3">
        <v>119000</v>
      </c>
      <c r="H238" s="3">
        <v>119000</v>
      </c>
      <c r="I238" s="3">
        <v>82110</v>
      </c>
      <c r="J238" s="3">
        <v>108181.81818181818</v>
      </c>
      <c r="K238" s="25">
        <v>61496</v>
      </c>
      <c r="L238" s="25">
        <v>61496</v>
      </c>
    </row>
    <row r="239" spans="1:12" x14ac:dyDescent="0.3">
      <c r="A239" t="s">
        <v>41</v>
      </c>
      <c r="B239">
        <v>20260205992386</v>
      </c>
      <c r="C239" t="s">
        <v>112</v>
      </c>
      <c r="D239">
        <v>58481090</v>
      </c>
      <c r="E239" s="16" t="s">
        <v>7</v>
      </c>
      <c r="F239" s="3">
        <v>1</v>
      </c>
      <c r="G239" s="3">
        <v>119000</v>
      </c>
      <c r="H239" s="3">
        <v>119000</v>
      </c>
      <c r="I239" s="3">
        <v>82110</v>
      </c>
      <c r="J239" s="3">
        <v>108181.81818181818</v>
      </c>
      <c r="K239" s="25">
        <v>61496</v>
      </c>
      <c r="L239" s="25">
        <v>61496</v>
      </c>
    </row>
    <row r="240" spans="1:12" x14ac:dyDescent="0.3">
      <c r="A240" t="s">
        <v>41</v>
      </c>
      <c r="B240">
        <v>20260205995406</v>
      </c>
      <c r="C240" t="s">
        <v>112</v>
      </c>
      <c r="D240">
        <v>58481090</v>
      </c>
      <c r="E240" s="16" t="s">
        <v>7</v>
      </c>
      <c r="F240" s="3">
        <v>1</v>
      </c>
      <c r="G240" s="3">
        <v>119000</v>
      </c>
      <c r="H240" s="3">
        <v>119000</v>
      </c>
      <c r="I240" s="3">
        <v>82110</v>
      </c>
      <c r="J240" s="3">
        <v>108181.81818181818</v>
      </c>
      <c r="K240" s="25">
        <v>61496</v>
      </c>
      <c r="L240" s="25">
        <v>61496</v>
      </c>
    </row>
    <row r="241" spans="1:12" x14ac:dyDescent="0.3">
      <c r="A241" t="s">
        <v>41</v>
      </c>
      <c r="B241">
        <v>20260205993902</v>
      </c>
      <c r="C241" t="s">
        <v>112</v>
      </c>
      <c r="D241">
        <v>58481090</v>
      </c>
      <c r="E241" s="16" t="s">
        <v>7</v>
      </c>
      <c r="F241" s="3">
        <v>1</v>
      </c>
      <c r="G241" s="3">
        <v>119000</v>
      </c>
      <c r="H241" s="3">
        <v>113050</v>
      </c>
      <c r="I241" s="3">
        <v>82110</v>
      </c>
      <c r="J241" s="3">
        <v>102772.72727272726</v>
      </c>
      <c r="K241" s="25">
        <v>61496</v>
      </c>
      <c r="L241" s="25">
        <v>61496</v>
      </c>
    </row>
    <row r="242" spans="1:12" x14ac:dyDescent="0.3">
      <c r="A242" t="s">
        <v>41</v>
      </c>
      <c r="B242">
        <v>20260205995112</v>
      </c>
      <c r="C242" t="s">
        <v>112</v>
      </c>
      <c r="D242">
        <v>58481090</v>
      </c>
      <c r="E242" s="16" t="s">
        <v>7</v>
      </c>
      <c r="F242" s="3">
        <v>1</v>
      </c>
      <c r="G242" s="3">
        <v>119000</v>
      </c>
      <c r="H242" s="3">
        <v>119000</v>
      </c>
      <c r="I242" s="3">
        <v>82110</v>
      </c>
      <c r="J242" s="3">
        <v>108181.81818181818</v>
      </c>
      <c r="K242" s="25">
        <v>61496</v>
      </c>
      <c r="L242" s="25">
        <v>61496</v>
      </c>
    </row>
    <row r="243" spans="1:12" x14ac:dyDescent="0.3">
      <c r="A243" t="s">
        <v>41</v>
      </c>
      <c r="B243">
        <v>20260205992636</v>
      </c>
      <c r="C243" t="s">
        <v>112</v>
      </c>
      <c r="D243">
        <v>58481090</v>
      </c>
      <c r="E243" s="16" t="s">
        <v>7</v>
      </c>
      <c r="F243" s="3">
        <v>1</v>
      </c>
      <c r="G243" s="3">
        <v>119000</v>
      </c>
      <c r="H243" s="3">
        <v>119000</v>
      </c>
      <c r="I243" s="3">
        <v>82110</v>
      </c>
      <c r="J243" s="3">
        <v>108181.81818181818</v>
      </c>
      <c r="K243" s="25">
        <v>61496</v>
      </c>
      <c r="L243" s="25">
        <v>61496</v>
      </c>
    </row>
    <row r="244" spans="1:12" x14ac:dyDescent="0.3">
      <c r="A244" t="s">
        <v>41</v>
      </c>
      <c r="B244">
        <v>20260205993892</v>
      </c>
      <c r="C244" t="s">
        <v>112</v>
      </c>
      <c r="D244">
        <v>58481090</v>
      </c>
      <c r="E244" s="16" t="s">
        <v>7</v>
      </c>
      <c r="F244" s="3">
        <v>1</v>
      </c>
      <c r="G244" s="3">
        <v>119000</v>
      </c>
      <c r="H244" s="3">
        <v>119000</v>
      </c>
      <c r="I244" s="3">
        <v>82110</v>
      </c>
      <c r="J244" s="3">
        <v>108181.81818181818</v>
      </c>
      <c r="K244" s="25">
        <v>61496</v>
      </c>
      <c r="L244" s="25">
        <v>61496</v>
      </c>
    </row>
    <row r="245" spans="1:12" x14ac:dyDescent="0.3">
      <c r="A245" t="s">
        <v>41</v>
      </c>
      <c r="B245">
        <v>20260205994997</v>
      </c>
      <c r="C245" t="s">
        <v>112</v>
      </c>
      <c r="D245">
        <v>58481090</v>
      </c>
      <c r="E245" s="16" t="s">
        <v>7</v>
      </c>
      <c r="F245" s="3">
        <v>1</v>
      </c>
      <c r="G245" s="3">
        <v>119000</v>
      </c>
      <c r="H245" s="3">
        <v>107350</v>
      </c>
      <c r="I245" s="3">
        <v>82110</v>
      </c>
      <c r="J245" s="3">
        <v>97590.909090909074</v>
      </c>
      <c r="K245" s="25">
        <v>61496</v>
      </c>
      <c r="L245" s="25">
        <v>61496</v>
      </c>
    </row>
    <row r="246" spans="1:12" x14ac:dyDescent="0.3">
      <c r="A246" t="s">
        <v>41</v>
      </c>
      <c r="B246">
        <v>20260205993878</v>
      </c>
      <c r="C246" t="s">
        <v>112</v>
      </c>
      <c r="D246">
        <v>58481090</v>
      </c>
      <c r="E246" s="16" t="s">
        <v>7</v>
      </c>
      <c r="F246" s="3">
        <v>2</v>
      </c>
      <c r="G246" s="3">
        <v>119000</v>
      </c>
      <c r="H246" s="3">
        <v>238000</v>
      </c>
      <c r="I246" s="3">
        <v>164220</v>
      </c>
      <c r="J246" s="3">
        <v>216363.63636363635</v>
      </c>
      <c r="K246" s="25">
        <v>61496</v>
      </c>
      <c r="L246" s="25">
        <v>122992</v>
      </c>
    </row>
    <row r="247" spans="1:12" x14ac:dyDescent="0.3">
      <c r="A247" t="s">
        <v>41</v>
      </c>
      <c r="B247">
        <v>20260205993394</v>
      </c>
      <c r="C247" t="s">
        <v>112</v>
      </c>
      <c r="D247">
        <v>58481090</v>
      </c>
      <c r="E247" s="16" t="s">
        <v>7</v>
      </c>
      <c r="F247" s="3">
        <v>1</v>
      </c>
      <c r="G247" s="3">
        <v>119000</v>
      </c>
      <c r="H247" s="3">
        <v>119000</v>
      </c>
      <c r="I247" s="3">
        <v>82110</v>
      </c>
      <c r="J247" s="3">
        <v>108181.81818181818</v>
      </c>
      <c r="K247" s="25">
        <v>61496</v>
      </c>
      <c r="L247" s="25">
        <v>61496</v>
      </c>
    </row>
    <row r="248" spans="1:12" x14ac:dyDescent="0.3">
      <c r="A248" t="s">
        <v>41</v>
      </c>
      <c r="B248">
        <v>20260205993490</v>
      </c>
      <c r="C248" t="s">
        <v>112</v>
      </c>
      <c r="D248">
        <v>58481090</v>
      </c>
      <c r="E248" s="16" t="s">
        <v>7</v>
      </c>
      <c r="F248" s="3">
        <v>1</v>
      </c>
      <c r="G248" s="3">
        <v>119000</v>
      </c>
      <c r="H248" s="3">
        <v>119000</v>
      </c>
      <c r="I248" s="3">
        <v>82110</v>
      </c>
      <c r="J248" s="3">
        <v>108181.81818181818</v>
      </c>
      <c r="K248" s="25">
        <v>61496</v>
      </c>
      <c r="L248" s="25">
        <v>61496</v>
      </c>
    </row>
    <row r="249" spans="1:12" x14ac:dyDescent="0.3">
      <c r="A249" t="s">
        <v>41</v>
      </c>
      <c r="B249">
        <v>20260205992805</v>
      </c>
      <c r="C249" t="s">
        <v>112</v>
      </c>
      <c r="D249">
        <v>58481090</v>
      </c>
      <c r="E249" s="16" t="s">
        <v>7</v>
      </c>
      <c r="F249" s="3">
        <v>1</v>
      </c>
      <c r="G249" s="3">
        <v>119000</v>
      </c>
      <c r="H249" s="3">
        <v>119000</v>
      </c>
      <c r="I249" s="3">
        <v>82110</v>
      </c>
      <c r="J249" s="3">
        <v>108181.81818181818</v>
      </c>
      <c r="K249" s="25">
        <v>61496</v>
      </c>
      <c r="L249" s="25">
        <v>61496</v>
      </c>
    </row>
    <row r="250" spans="1:12" x14ac:dyDescent="0.3">
      <c r="A250" t="s">
        <v>41</v>
      </c>
      <c r="B250">
        <v>20260205993167</v>
      </c>
      <c r="C250" t="s">
        <v>112</v>
      </c>
      <c r="D250">
        <v>58481090</v>
      </c>
      <c r="E250" s="16" t="s">
        <v>7</v>
      </c>
      <c r="F250" s="3">
        <v>1</v>
      </c>
      <c r="G250" s="3">
        <v>119000</v>
      </c>
      <c r="H250" s="3">
        <v>119000</v>
      </c>
      <c r="I250" s="3">
        <v>82110</v>
      </c>
      <c r="J250" s="3">
        <v>108181.81818181818</v>
      </c>
      <c r="K250" s="25">
        <v>61496</v>
      </c>
      <c r="L250" s="25">
        <v>61496</v>
      </c>
    </row>
    <row r="251" spans="1:12" x14ac:dyDescent="0.3">
      <c r="A251" t="s">
        <v>41</v>
      </c>
      <c r="B251">
        <v>20260206639164</v>
      </c>
      <c r="C251" t="s">
        <v>112</v>
      </c>
      <c r="D251">
        <v>58481090</v>
      </c>
      <c r="E251" s="16" t="s">
        <v>7</v>
      </c>
      <c r="F251" s="3">
        <v>1</v>
      </c>
      <c r="G251" s="3">
        <v>119000</v>
      </c>
      <c r="H251" s="3">
        <v>101150</v>
      </c>
      <c r="I251" s="3">
        <v>82110</v>
      </c>
      <c r="J251" s="3">
        <v>91954.545454545441</v>
      </c>
      <c r="K251" s="25">
        <v>61496</v>
      </c>
      <c r="L251" s="25">
        <v>61496</v>
      </c>
    </row>
    <row r="252" spans="1:12" x14ac:dyDescent="0.3">
      <c r="A252" t="s">
        <v>41</v>
      </c>
      <c r="B252">
        <v>20260205994965</v>
      </c>
      <c r="C252" t="s">
        <v>112</v>
      </c>
      <c r="D252">
        <v>58481090</v>
      </c>
      <c r="E252" s="16" t="s">
        <v>7</v>
      </c>
      <c r="F252" s="3">
        <v>1</v>
      </c>
      <c r="G252" s="3">
        <v>119000</v>
      </c>
      <c r="H252" s="3">
        <v>119000</v>
      </c>
      <c r="I252" s="3">
        <v>82110</v>
      </c>
      <c r="J252" s="3">
        <v>108181.81818181818</v>
      </c>
      <c r="K252" s="25">
        <v>61496</v>
      </c>
      <c r="L252" s="25">
        <v>61496</v>
      </c>
    </row>
    <row r="253" spans="1:12" x14ac:dyDescent="0.3">
      <c r="A253" t="s">
        <v>41</v>
      </c>
      <c r="B253">
        <v>20260205995226</v>
      </c>
      <c r="C253" t="s">
        <v>112</v>
      </c>
      <c r="D253">
        <v>58481090</v>
      </c>
      <c r="E253" s="16" t="s">
        <v>7</v>
      </c>
      <c r="F253" s="3">
        <v>1</v>
      </c>
      <c r="G253" s="3">
        <v>119000</v>
      </c>
      <c r="H253" s="3">
        <v>119000</v>
      </c>
      <c r="I253" s="3">
        <v>82110</v>
      </c>
      <c r="J253" s="3">
        <v>108181.81818181818</v>
      </c>
      <c r="K253" s="25">
        <v>61496</v>
      </c>
      <c r="L253" s="25">
        <v>61496</v>
      </c>
    </row>
    <row r="254" spans="1:12" x14ac:dyDescent="0.3">
      <c r="A254" t="s">
        <v>41</v>
      </c>
      <c r="B254">
        <v>20260205995451</v>
      </c>
      <c r="C254" t="s">
        <v>112</v>
      </c>
      <c r="D254">
        <v>58481090</v>
      </c>
      <c r="E254" s="16" t="s">
        <v>7</v>
      </c>
      <c r="F254" s="3">
        <v>1</v>
      </c>
      <c r="G254" s="3">
        <v>119000</v>
      </c>
      <c r="H254" s="3">
        <v>119000</v>
      </c>
      <c r="I254" s="3">
        <v>82110</v>
      </c>
      <c r="J254" s="3">
        <v>108181.81818181818</v>
      </c>
      <c r="K254" s="25">
        <v>61496</v>
      </c>
      <c r="L254" s="25">
        <v>61496</v>
      </c>
    </row>
    <row r="255" spans="1:12" x14ac:dyDescent="0.3">
      <c r="A255" t="s">
        <v>41</v>
      </c>
      <c r="B255">
        <v>20260205995408</v>
      </c>
      <c r="C255" t="s">
        <v>112</v>
      </c>
      <c r="D255">
        <v>58481090</v>
      </c>
      <c r="E255" s="16" t="s">
        <v>7</v>
      </c>
      <c r="F255" s="3">
        <v>1</v>
      </c>
      <c r="G255" s="3">
        <v>119000</v>
      </c>
      <c r="H255" s="3">
        <v>119000</v>
      </c>
      <c r="I255" s="3">
        <v>82110</v>
      </c>
      <c r="J255" s="3">
        <v>108181.81818181818</v>
      </c>
      <c r="K255" s="25">
        <v>61496</v>
      </c>
      <c r="L255" s="25">
        <v>61496</v>
      </c>
    </row>
    <row r="256" spans="1:12" x14ac:dyDescent="0.3">
      <c r="A256" t="s">
        <v>41</v>
      </c>
      <c r="B256">
        <v>20260205995252</v>
      </c>
      <c r="C256" t="s">
        <v>112</v>
      </c>
      <c r="D256">
        <v>58481090</v>
      </c>
      <c r="E256" s="16" t="s">
        <v>7</v>
      </c>
      <c r="F256" s="3">
        <v>1</v>
      </c>
      <c r="G256" s="3">
        <v>119000</v>
      </c>
      <c r="H256" s="3">
        <v>119000</v>
      </c>
      <c r="I256" s="3">
        <v>82110</v>
      </c>
      <c r="J256" s="3">
        <v>108181.81818181818</v>
      </c>
      <c r="K256" s="25">
        <v>61496</v>
      </c>
      <c r="L256" s="25">
        <v>61496</v>
      </c>
    </row>
    <row r="257" spans="1:12" x14ac:dyDescent="0.3">
      <c r="A257" t="s">
        <v>41</v>
      </c>
      <c r="B257">
        <v>20260205995543</v>
      </c>
      <c r="C257" t="s">
        <v>112</v>
      </c>
      <c r="D257">
        <v>58481090</v>
      </c>
      <c r="E257" s="16" t="s">
        <v>7</v>
      </c>
      <c r="F257" s="3">
        <v>1</v>
      </c>
      <c r="G257" s="3">
        <v>119000</v>
      </c>
      <c r="H257" s="3">
        <v>119000</v>
      </c>
      <c r="I257" s="3">
        <v>82110</v>
      </c>
      <c r="J257" s="3">
        <v>108181.81818181818</v>
      </c>
      <c r="K257" s="25">
        <v>61496</v>
      </c>
      <c r="L257" s="25">
        <v>61496</v>
      </c>
    </row>
    <row r="258" spans="1:12" x14ac:dyDescent="0.3">
      <c r="A258" t="s">
        <v>41</v>
      </c>
      <c r="B258">
        <v>20260205995557</v>
      </c>
      <c r="C258" t="s">
        <v>112</v>
      </c>
      <c r="D258">
        <v>58481090</v>
      </c>
      <c r="E258" s="16" t="s">
        <v>7</v>
      </c>
      <c r="F258" s="3">
        <v>1</v>
      </c>
      <c r="G258" s="3">
        <v>119000</v>
      </c>
      <c r="H258" s="3">
        <v>119000</v>
      </c>
      <c r="I258" s="3">
        <v>82110</v>
      </c>
      <c r="J258" s="3">
        <v>108181.81818181818</v>
      </c>
      <c r="K258" s="25">
        <v>61496</v>
      </c>
      <c r="L258" s="25">
        <v>61496</v>
      </c>
    </row>
    <row r="259" spans="1:12" x14ac:dyDescent="0.3">
      <c r="A259" t="s">
        <v>41</v>
      </c>
      <c r="B259">
        <v>20260205995144</v>
      </c>
      <c r="C259" t="s">
        <v>112</v>
      </c>
      <c r="D259">
        <v>58481090</v>
      </c>
      <c r="E259" s="16" t="s">
        <v>7</v>
      </c>
      <c r="F259" s="3">
        <v>1</v>
      </c>
      <c r="G259" s="3">
        <v>119000</v>
      </c>
      <c r="H259" s="3">
        <v>119000</v>
      </c>
      <c r="I259" s="3">
        <v>82110</v>
      </c>
      <c r="J259" s="3">
        <v>108181.81818181818</v>
      </c>
      <c r="K259" s="25">
        <v>61496</v>
      </c>
      <c r="L259" s="25">
        <v>61496</v>
      </c>
    </row>
    <row r="260" spans="1:12" x14ac:dyDescent="0.3">
      <c r="A260" t="s">
        <v>41</v>
      </c>
      <c r="B260">
        <v>20260205993754</v>
      </c>
      <c r="C260" t="s">
        <v>112</v>
      </c>
      <c r="D260">
        <v>58481090</v>
      </c>
      <c r="E260" s="16" t="s">
        <v>7</v>
      </c>
      <c r="F260" s="3">
        <v>1</v>
      </c>
      <c r="G260" s="3">
        <v>119000</v>
      </c>
      <c r="H260" s="3">
        <v>119000</v>
      </c>
      <c r="I260" s="3">
        <v>82110</v>
      </c>
      <c r="J260" s="3">
        <v>108181.81818181818</v>
      </c>
      <c r="K260" s="25">
        <v>61496</v>
      </c>
      <c r="L260" s="25">
        <v>61496</v>
      </c>
    </row>
    <row r="261" spans="1:12" x14ac:dyDescent="0.3">
      <c r="A261" t="s">
        <v>41</v>
      </c>
      <c r="B261">
        <v>20260205994732</v>
      </c>
      <c r="C261" t="s">
        <v>112</v>
      </c>
      <c r="D261">
        <v>58481090</v>
      </c>
      <c r="E261" s="16" t="s">
        <v>7</v>
      </c>
      <c r="F261" s="3">
        <v>1</v>
      </c>
      <c r="G261" s="3">
        <v>119000</v>
      </c>
      <c r="H261" s="3">
        <v>119000</v>
      </c>
      <c r="I261" s="3">
        <v>82110</v>
      </c>
      <c r="J261" s="3">
        <v>108181.81818181818</v>
      </c>
      <c r="K261" s="25">
        <v>61496</v>
      </c>
      <c r="L261" s="25">
        <v>61496</v>
      </c>
    </row>
    <row r="262" spans="1:12" x14ac:dyDescent="0.3">
      <c r="A262" t="s">
        <v>41</v>
      </c>
      <c r="B262">
        <v>20260205994833</v>
      </c>
      <c r="C262" t="s">
        <v>112</v>
      </c>
      <c r="D262">
        <v>58481090</v>
      </c>
      <c r="E262" s="16" t="s">
        <v>7</v>
      </c>
      <c r="F262" s="3">
        <v>1</v>
      </c>
      <c r="G262" s="3">
        <v>119000</v>
      </c>
      <c r="H262" s="3">
        <v>119000</v>
      </c>
      <c r="I262" s="3">
        <v>82110</v>
      </c>
      <c r="J262" s="3">
        <v>108181.81818181818</v>
      </c>
      <c r="K262" s="25">
        <v>61496</v>
      </c>
      <c r="L262" s="25">
        <v>61496</v>
      </c>
    </row>
    <row r="263" spans="1:12" x14ac:dyDescent="0.3">
      <c r="A263" t="s">
        <v>41</v>
      </c>
      <c r="B263">
        <v>20260205994879</v>
      </c>
      <c r="C263" t="s">
        <v>112</v>
      </c>
      <c r="D263">
        <v>58481090</v>
      </c>
      <c r="E263" s="16" t="s">
        <v>7</v>
      </c>
      <c r="F263" s="3">
        <v>1</v>
      </c>
      <c r="G263" s="3">
        <v>119000</v>
      </c>
      <c r="H263" s="3">
        <v>119000</v>
      </c>
      <c r="I263" s="3">
        <v>82110</v>
      </c>
      <c r="J263" s="3">
        <v>108181.81818181818</v>
      </c>
      <c r="K263" s="25">
        <v>61496</v>
      </c>
      <c r="L263" s="25">
        <v>61496</v>
      </c>
    </row>
    <row r="264" spans="1:12" x14ac:dyDescent="0.3">
      <c r="A264" t="s">
        <v>41</v>
      </c>
      <c r="B264">
        <v>20260205994922</v>
      </c>
      <c r="C264" t="s">
        <v>112</v>
      </c>
      <c r="D264">
        <v>58481090</v>
      </c>
      <c r="E264" s="16" t="s">
        <v>7</v>
      </c>
      <c r="F264" s="3">
        <v>1</v>
      </c>
      <c r="G264" s="3">
        <v>119000</v>
      </c>
      <c r="H264" s="3">
        <v>119000</v>
      </c>
      <c r="I264" s="3">
        <v>82110</v>
      </c>
      <c r="J264" s="3">
        <v>108181.81818181818</v>
      </c>
      <c r="K264" s="25">
        <v>61496</v>
      </c>
      <c r="L264" s="25">
        <v>61496</v>
      </c>
    </row>
    <row r="265" spans="1:12" x14ac:dyDescent="0.3">
      <c r="A265" t="s">
        <v>41</v>
      </c>
      <c r="B265">
        <v>20260205993720</v>
      </c>
      <c r="C265" t="s">
        <v>112</v>
      </c>
      <c r="D265">
        <v>58481090</v>
      </c>
      <c r="E265" s="16" t="s">
        <v>7</v>
      </c>
      <c r="F265" s="3">
        <v>1</v>
      </c>
      <c r="G265" s="3">
        <v>119000</v>
      </c>
      <c r="H265" s="3">
        <v>119000</v>
      </c>
      <c r="I265" s="3">
        <v>82110</v>
      </c>
      <c r="J265" s="3">
        <v>108181.81818181818</v>
      </c>
      <c r="K265" s="25">
        <v>61496</v>
      </c>
      <c r="L265" s="25">
        <v>61496</v>
      </c>
    </row>
    <row r="266" spans="1:12" x14ac:dyDescent="0.3">
      <c r="A266" t="s">
        <v>41</v>
      </c>
      <c r="B266">
        <v>20260205993936</v>
      </c>
      <c r="C266" t="s">
        <v>112</v>
      </c>
      <c r="D266">
        <v>58481090</v>
      </c>
      <c r="E266" s="16" t="s">
        <v>7</v>
      </c>
      <c r="F266" s="3">
        <v>1</v>
      </c>
      <c r="G266" s="3">
        <v>119000</v>
      </c>
      <c r="H266" s="3">
        <v>119000</v>
      </c>
      <c r="I266" s="3">
        <v>82110</v>
      </c>
      <c r="J266" s="3">
        <v>108181.81818181818</v>
      </c>
      <c r="K266" s="25">
        <v>61496</v>
      </c>
      <c r="L266" s="25">
        <v>61496</v>
      </c>
    </row>
    <row r="267" spans="1:12" x14ac:dyDescent="0.3">
      <c r="A267" t="s">
        <v>41</v>
      </c>
      <c r="B267">
        <v>20260205993350</v>
      </c>
      <c r="C267" t="s">
        <v>112</v>
      </c>
      <c r="D267">
        <v>58481090</v>
      </c>
      <c r="E267" s="16" t="s">
        <v>7</v>
      </c>
      <c r="F267" s="3">
        <v>1</v>
      </c>
      <c r="G267" s="3">
        <v>119000</v>
      </c>
      <c r="H267" s="3">
        <v>109000</v>
      </c>
      <c r="I267" s="3">
        <v>82110</v>
      </c>
      <c r="J267" s="3">
        <v>99090.909090909074</v>
      </c>
      <c r="K267" s="25">
        <v>61496</v>
      </c>
      <c r="L267" s="25">
        <v>61496</v>
      </c>
    </row>
    <row r="268" spans="1:12" x14ac:dyDescent="0.3">
      <c r="A268" t="s">
        <v>41</v>
      </c>
      <c r="B268">
        <v>20260205992637</v>
      </c>
      <c r="C268" t="s">
        <v>112</v>
      </c>
      <c r="D268">
        <v>58481090</v>
      </c>
      <c r="E268" s="16" t="s">
        <v>7</v>
      </c>
      <c r="F268" s="3">
        <v>1</v>
      </c>
      <c r="G268" s="3">
        <v>119000</v>
      </c>
      <c r="H268" s="3">
        <v>119000</v>
      </c>
      <c r="I268" s="3">
        <v>82110</v>
      </c>
      <c r="J268" s="3">
        <v>108181.81818181818</v>
      </c>
      <c r="K268" s="25">
        <v>61496</v>
      </c>
      <c r="L268" s="25">
        <v>61496</v>
      </c>
    </row>
    <row r="269" spans="1:12" x14ac:dyDescent="0.3">
      <c r="A269" t="s">
        <v>41</v>
      </c>
      <c r="B269">
        <v>20260205992663</v>
      </c>
      <c r="C269" t="s">
        <v>112</v>
      </c>
      <c r="D269">
        <v>58481090</v>
      </c>
      <c r="E269" s="16" t="s">
        <v>7</v>
      </c>
      <c r="F269" s="3">
        <v>1</v>
      </c>
      <c r="G269" s="3">
        <v>119000</v>
      </c>
      <c r="H269" s="3">
        <v>119000</v>
      </c>
      <c r="I269" s="3">
        <v>82110</v>
      </c>
      <c r="J269" s="3">
        <v>108181.81818181818</v>
      </c>
      <c r="K269" s="25">
        <v>61496</v>
      </c>
      <c r="L269" s="25">
        <v>61496</v>
      </c>
    </row>
    <row r="270" spans="1:12" x14ac:dyDescent="0.3">
      <c r="A270" t="s">
        <v>41</v>
      </c>
      <c r="B270">
        <v>20260205992791</v>
      </c>
      <c r="C270" t="s">
        <v>112</v>
      </c>
      <c r="D270">
        <v>58481090</v>
      </c>
      <c r="E270" s="16" t="s">
        <v>7</v>
      </c>
      <c r="F270" s="3">
        <v>1</v>
      </c>
      <c r="G270" s="3">
        <v>119000</v>
      </c>
      <c r="H270" s="3">
        <v>119000</v>
      </c>
      <c r="I270" s="3">
        <v>82110</v>
      </c>
      <c r="J270" s="3">
        <v>108181.81818181818</v>
      </c>
      <c r="K270" s="25">
        <v>61496</v>
      </c>
      <c r="L270" s="25">
        <v>61496</v>
      </c>
    </row>
    <row r="271" spans="1:12" x14ac:dyDescent="0.3">
      <c r="A271" t="s">
        <v>41</v>
      </c>
      <c r="B271">
        <v>20260205992861</v>
      </c>
      <c r="C271" t="s">
        <v>112</v>
      </c>
      <c r="D271">
        <v>58481090</v>
      </c>
      <c r="E271" s="16" t="s">
        <v>7</v>
      </c>
      <c r="F271" s="3">
        <v>1</v>
      </c>
      <c r="G271" s="3">
        <v>119000</v>
      </c>
      <c r="H271" s="3">
        <v>119000</v>
      </c>
      <c r="I271" s="3">
        <v>82110</v>
      </c>
      <c r="J271" s="3">
        <v>108181.81818181818</v>
      </c>
      <c r="K271" s="25">
        <v>61496</v>
      </c>
      <c r="L271" s="25">
        <v>61496</v>
      </c>
    </row>
    <row r="272" spans="1:12" x14ac:dyDescent="0.3">
      <c r="A272" t="s">
        <v>41</v>
      </c>
      <c r="B272">
        <v>20260205993182</v>
      </c>
      <c r="C272" t="s">
        <v>112</v>
      </c>
      <c r="D272">
        <v>58481090</v>
      </c>
      <c r="E272" s="16" t="s">
        <v>7</v>
      </c>
      <c r="F272" s="3">
        <v>1</v>
      </c>
      <c r="G272" s="3">
        <v>119000</v>
      </c>
      <c r="H272" s="3">
        <v>119000</v>
      </c>
      <c r="I272" s="3">
        <v>82110</v>
      </c>
      <c r="J272" s="3">
        <v>108181.81818181818</v>
      </c>
      <c r="K272" s="25">
        <v>61496</v>
      </c>
      <c r="L272" s="25">
        <v>61496</v>
      </c>
    </row>
    <row r="273" spans="1:12" x14ac:dyDescent="0.3">
      <c r="A273" t="s">
        <v>41</v>
      </c>
      <c r="B273">
        <v>20260205993222</v>
      </c>
      <c r="C273" t="s">
        <v>112</v>
      </c>
      <c r="D273">
        <v>58481090</v>
      </c>
      <c r="E273" s="16" t="s">
        <v>7</v>
      </c>
      <c r="F273" s="3">
        <v>1</v>
      </c>
      <c r="G273" s="3">
        <v>119000</v>
      </c>
      <c r="H273" s="3">
        <v>119000</v>
      </c>
      <c r="I273" s="3">
        <v>82110</v>
      </c>
      <c r="J273" s="3">
        <v>108181.81818181818</v>
      </c>
      <c r="K273" s="25">
        <v>61496</v>
      </c>
      <c r="L273" s="25">
        <v>61496</v>
      </c>
    </row>
    <row r="274" spans="1:12" x14ac:dyDescent="0.3">
      <c r="A274" t="s">
        <v>41</v>
      </c>
      <c r="B274">
        <v>20260205993549</v>
      </c>
      <c r="C274" t="s">
        <v>112</v>
      </c>
      <c r="D274">
        <v>58481090</v>
      </c>
      <c r="E274" s="16" t="s">
        <v>7</v>
      </c>
      <c r="F274" s="3">
        <v>1</v>
      </c>
      <c r="G274" s="3">
        <v>119000</v>
      </c>
      <c r="H274" s="3">
        <v>119000</v>
      </c>
      <c r="I274" s="3">
        <v>82110</v>
      </c>
      <c r="J274" s="3">
        <v>108181.81818181818</v>
      </c>
      <c r="K274" s="25">
        <v>61496</v>
      </c>
      <c r="L274" s="25">
        <v>61496</v>
      </c>
    </row>
    <row r="275" spans="1:12" x14ac:dyDescent="0.3">
      <c r="A275" t="s">
        <v>41</v>
      </c>
      <c r="B275">
        <v>20260205992690</v>
      </c>
      <c r="C275" t="s">
        <v>112</v>
      </c>
      <c r="D275">
        <v>58481090</v>
      </c>
      <c r="E275" s="16" t="s">
        <v>7</v>
      </c>
      <c r="F275" s="3">
        <v>1</v>
      </c>
      <c r="G275" s="3">
        <v>119000</v>
      </c>
      <c r="H275" s="3">
        <v>119000</v>
      </c>
      <c r="I275" s="3">
        <v>82110</v>
      </c>
      <c r="J275" s="3">
        <v>108181.81818181818</v>
      </c>
      <c r="K275" s="25">
        <v>61496</v>
      </c>
      <c r="L275" s="25">
        <v>61496</v>
      </c>
    </row>
    <row r="276" spans="1:12" x14ac:dyDescent="0.3">
      <c r="A276" t="s">
        <v>41</v>
      </c>
      <c r="B276">
        <v>20260205995551</v>
      </c>
      <c r="C276" t="s">
        <v>112</v>
      </c>
      <c r="D276">
        <v>58481090</v>
      </c>
      <c r="E276" s="16" t="s">
        <v>7</v>
      </c>
      <c r="F276" s="3">
        <v>1</v>
      </c>
      <c r="G276" s="3">
        <v>119000</v>
      </c>
      <c r="H276" s="3">
        <v>119000</v>
      </c>
      <c r="I276" s="3">
        <v>82110</v>
      </c>
      <c r="J276" s="3">
        <v>108181.81818181818</v>
      </c>
      <c r="K276" s="25">
        <v>61496</v>
      </c>
      <c r="L276" s="25">
        <v>61496</v>
      </c>
    </row>
    <row r="277" spans="1:12" x14ac:dyDescent="0.3">
      <c r="A277" t="s">
        <v>41</v>
      </c>
      <c r="B277">
        <v>20260205995626</v>
      </c>
      <c r="C277" t="s">
        <v>112</v>
      </c>
      <c r="D277">
        <v>58481090</v>
      </c>
      <c r="E277" s="16" t="s">
        <v>7</v>
      </c>
      <c r="F277" s="3">
        <v>1</v>
      </c>
      <c r="G277" s="3">
        <v>119000</v>
      </c>
      <c r="H277" s="3">
        <v>119000</v>
      </c>
      <c r="I277" s="3">
        <v>82110</v>
      </c>
      <c r="J277" s="3">
        <v>108181.81818181818</v>
      </c>
      <c r="K277" s="25">
        <v>61496</v>
      </c>
      <c r="L277" s="25">
        <v>61496</v>
      </c>
    </row>
    <row r="278" spans="1:12" x14ac:dyDescent="0.3">
      <c r="A278" t="s">
        <v>41</v>
      </c>
      <c r="B278">
        <v>20260205996241</v>
      </c>
      <c r="C278" t="s">
        <v>112</v>
      </c>
      <c r="D278">
        <v>58481090</v>
      </c>
      <c r="E278" s="16" t="s">
        <v>7</v>
      </c>
      <c r="F278" s="3">
        <v>1</v>
      </c>
      <c r="G278" s="3">
        <v>119000</v>
      </c>
      <c r="H278" s="3">
        <v>119000</v>
      </c>
      <c r="I278" s="3">
        <v>82110</v>
      </c>
      <c r="J278" s="3">
        <v>108181.81818181818</v>
      </c>
      <c r="K278" s="25">
        <v>61496</v>
      </c>
      <c r="L278" s="25">
        <v>61496</v>
      </c>
    </row>
    <row r="279" spans="1:12" x14ac:dyDescent="0.3">
      <c r="A279" t="s">
        <v>41</v>
      </c>
      <c r="B279">
        <v>20260205994016</v>
      </c>
      <c r="C279" t="s">
        <v>112</v>
      </c>
      <c r="D279">
        <v>58481090</v>
      </c>
      <c r="E279" s="16" t="s">
        <v>7</v>
      </c>
      <c r="F279" s="3">
        <v>1</v>
      </c>
      <c r="G279" s="3">
        <v>119000</v>
      </c>
      <c r="H279" s="3">
        <v>119000</v>
      </c>
      <c r="I279" s="3">
        <v>82110</v>
      </c>
      <c r="J279" s="3">
        <v>108181.81818181818</v>
      </c>
      <c r="K279" s="25">
        <v>61496</v>
      </c>
      <c r="L279" s="25">
        <v>61496</v>
      </c>
    </row>
    <row r="280" spans="1:12" x14ac:dyDescent="0.3">
      <c r="A280" t="s">
        <v>41</v>
      </c>
      <c r="B280">
        <v>20260205994157</v>
      </c>
      <c r="C280" t="s">
        <v>112</v>
      </c>
      <c r="D280">
        <v>58481090</v>
      </c>
      <c r="E280" s="16" t="s">
        <v>7</v>
      </c>
      <c r="F280" s="3">
        <v>1</v>
      </c>
      <c r="G280" s="3">
        <v>119000</v>
      </c>
      <c r="H280" s="3">
        <v>119000</v>
      </c>
      <c r="I280" s="3">
        <v>82110</v>
      </c>
      <c r="J280" s="3">
        <v>108181.81818181818</v>
      </c>
      <c r="K280" s="25">
        <v>61496</v>
      </c>
      <c r="L280" s="25">
        <v>61496</v>
      </c>
    </row>
    <row r="281" spans="1:12" x14ac:dyDescent="0.3">
      <c r="A281" t="s">
        <v>41</v>
      </c>
      <c r="B281">
        <v>20260205995268</v>
      </c>
      <c r="C281" t="s">
        <v>112</v>
      </c>
      <c r="D281">
        <v>58481090</v>
      </c>
      <c r="E281" s="16" t="s">
        <v>7</v>
      </c>
      <c r="F281" s="3">
        <v>1</v>
      </c>
      <c r="G281" s="3">
        <v>119000</v>
      </c>
      <c r="H281" s="3">
        <v>119000</v>
      </c>
      <c r="I281" s="3">
        <v>82110</v>
      </c>
      <c r="J281" s="3">
        <v>108181.81818181818</v>
      </c>
      <c r="K281" s="25">
        <v>61496</v>
      </c>
      <c r="L281" s="25">
        <v>61496</v>
      </c>
    </row>
    <row r="282" spans="1:12" x14ac:dyDescent="0.3">
      <c r="A282" t="s">
        <v>41</v>
      </c>
      <c r="B282">
        <v>20260205994486</v>
      </c>
      <c r="C282" t="s">
        <v>112</v>
      </c>
      <c r="D282">
        <v>58481090</v>
      </c>
      <c r="E282" s="16" t="s">
        <v>7</v>
      </c>
      <c r="F282" s="3">
        <v>1</v>
      </c>
      <c r="G282" s="3">
        <v>119000</v>
      </c>
      <c r="H282" s="3">
        <v>119000</v>
      </c>
      <c r="I282" s="3">
        <v>82110</v>
      </c>
      <c r="J282" s="3">
        <v>108181.81818181818</v>
      </c>
      <c r="K282" s="25">
        <v>61496</v>
      </c>
      <c r="L282" s="25">
        <v>61496</v>
      </c>
    </row>
    <row r="283" spans="1:12" x14ac:dyDescent="0.3">
      <c r="A283" t="s">
        <v>41</v>
      </c>
      <c r="B283">
        <v>20260205994744</v>
      </c>
      <c r="C283" t="s">
        <v>112</v>
      </c>
      <c r="D283">
        <v>58481090</v>
      </c>
      <c r="E283" s="16" t="s">
        <v>7</v>
      </c>
      <c r="F283" s="3">
        <v>1</v>
      </c>
      <c r="G283" s="3">
        <v>119000</v>
      </c>
      <c r="H283" s="3">
        <v>99960</v>
      </c>
      <c r="I283" s="3">
        <v>82110</v>
      </c>
      <c r="J283" s="3">
        <v>90872.727272727265</v>
      </c>
      <c r="K283" s="25">
        <v>61496</v>
      </c>
      <c r="L283" s="25">
        <v>61496</v>
      </c>
    </row>
    <row r="284" spans="1:12" x14ac:dyDescent="0.3">
      <c r="A284" t="s">
        <v>41</v>
      </c>
      <c r="B284">
        <v>20260205992679</v>
      </c>
      <c r="C284" t="s">
        <v>112</v>
      </c>
      <c r="D284">
        <v>58481090</v>
      </c>
      <c r="E284" s="16" t="s">
        <v>7</v>
      </c>
      <c r="F284" s="3">
        <v>1</v>
      </c>
      <c r="G284" s="3">
        <v>119000</v>
      </c>
      <c r="H284" s="3">
        <v>119000</v>
      </c>
      <c r="I284" s="3">
        <v>82110</v>
      </c>
      <c r="J284" s="3">
        <v>108181.81818181818</v>
      </c>
      <c r="K284" s="25">
        <v>61496</v>
      </c>
      <c r="L284" s="25">
        <v>61496</v>
      </c>
    </row>
    <row r="285" spans="1:12" x14ac:dyDescent="0.3">
      <c r="A285" t="s">
        <v>41</v>
      </c>
      <c r="B285">
        <v>20260205992794</v>
      </c>
      <c r="C285" t="s">
        <v>112</v>
      </c>
      <c r="D285">
        <v>58481090</v>
      </c>
      <c r="E285" s="16" t="s">
        <v>7</v>
      </c>
      <c r="F285" s="3">
        <v>1</v>
      </c>
      <c r="G285" s="3">
        <v>119000</v>
      </c>
      <c r="H285" s="3">
        <v>119000</v>
      </c>
      <c r="I285" s="3">
        <v>82110</v>
      </c>
      <c r="J285" s="3">
        <v>108181.81818181818</v>
      </c>
      <c r="K285" s="25">
        <v>61496</v>
      </c>
      <c r="L285" s="25">
        <v>61496</v>
      </c>
    </row>
    <row r="286" spans="1:12" x14ac:dyDescent="0.3">
      <c r="A286" t="s">
        <v>41</v>
      </c>
      <c r="B286">
        <v>20260205992734</v>
      </c>
      <c r="C286" t="s">
        <v>112</v>
      </c>
      <c r="D286">
        <v>58481090</v>
      </c>
      <c r="E286" s="16" t="s">
        <v>7</v>
      </c>
      <c r="F286" s="3">
        <v>1</v>
      </c>
      <c r="G286" s="3">
        <v>119000</v>
      </c>
      <c r="H286" s="3">
        <v>119000</v>
      </c>
      <c r="I286" s="3">
        <v>82110</v>
      </c>
      <c r="J286" s="3">
        <v>108181.81818181818</v>
      </c>
      <c r="K286" s="25">
        <v>61496</v>
      </c>
      <c r="L286" s="25">
        <v>61496</v>
      </c>
    </row>
    <row r="287" spans="1:12" x14ac:dyDescent="0.3">
      <c r="A287" t="s">
        <v>41</v>
      </c>
      <c r="B287">
        <v>20260205992738</v>
      </c>
      <c r="C287" t="s">
        <v>112</v>
      </c>
      <c r="D287">
        <v>58481090</v>
      </c>
      <c r="E287" s="16" t="s">
        <v>7</v>
      </c>
      <c r="F287" s="3">
        <v>1</v>
      </c>
      <c r="G287" s="3">
        <v>119000</v>
      </c>
      <c r="H287" s="3">
        <v>119000</v>
      </c>
      <c r="I287" s="3">
        <v>82110</v>
      </c>
      <c r="J287" s="3">
        <v>108181.81818181818</v>
      </c>
      <c r="K287" s="25">
        <v>61496</v>
      </c>
      <c r="L287" s="25">
        <v>61496</v>
      </c>
    </row>
    <row r="288" spans="1:12" x14ac:dyDescent="0.3">
      <c r="A288" t="s">
        <v>41</v>
      </c>
      <c r="B288">
        <v>20260205992986</v>
      </c>
      <c r="C288" t="s">
        <v>112</v>
      </c>
      <c r="D288">
        <v>58481090</v>
      </c>
      <c r="E288" s="16" t="s">
        <v>7</v>
      </c>
      <c r="F288" s="3">
        <v>1</v>
      </c>
      <c r="G288" s="3">
        <v>119000</v>
      </c>
      <c r="H288" s="3">
        <v>119000</v>
      </c>
      <c r="I288" s="3">
        <v>82110</v>
      </c>
      <c r="J288" s="3">
        <v>108181.81818181818</v>
      </c>
      <c r="K288" s="25">
        <v>61496</v>
      </c>
      <c r="L288" s="25">
        <v>61496</v>
      </c>
    </row>
    <row r="289" spans="1:12" x14ac:dyDescent="0.3">
      <c r="A289" t="s">
        <v>41</v>
      </c>
      <c r="B289">
        <v>20260205995135</v>
      </c>
      <c r="C289" t="s">
        <v>112</v>
      </c>
      <c r="D289">
        <v>58481090</v>
      </c>
      <c r="E289" s="16" t="s">
        <v>7</v>
      </c>
      <c r="F289" s="3">
        <v>1</v>
      </c>
      <c r="G289" s="3">
        <v>119000</v>
      </c>
      <c r="H289" s="3">
        <v>119000</v>
      </c>
      <c r="I289" s="3">
        <v>82110</v>
      </c>
      <c r="J289" s="3">
        <v>108181.81818181818</v>
      </c>
      <c r="K289" s="25">
        <v>61496</v>
      </c>
      <c r="L289" s="25">
        <v>61496</v>
      </c>
    </row>
    <row r="290" spans="1:12" x14ac:dyDescent="0.3">
      <c r="A290" t="s">
        <v>41</v>
      </c>
      <c r="B290">
        <v>20260205995051</v>
      </c>
      <c r="C290" t="s">
        <v>112</v>
      </c>
      <c r="D290">
        <v>58481090</v>
      </c>
      <c r="E290" s="16" t="s">
        <v>7</v>
      </c>
      <c r="F290" s="3">
        <v>1</v>
      </c>
      <c r="G290" s="3">
        <v>119000</v>
      </c>
      <c r="H290" s="3">
        <v>113050</v>
      </c>
      <c r="I290" s="3">
        <v>82110</v>
      </c>
      <c r="J290" s="3">
        <v>102772.72727272726</v>
      </c>
      <c r="K290" s="25">
        <v>61496</v>
      </c>
      <c r="L290" s="25">
        <v>61496</v>
      </c>
    </row>
    <row r="291" spans="1:12" x14ac:dyDescent="0.3">
      <c r="A291" t="s">
        <v>41</v>
      </c>
      <c r="B291">
        <v>20260205995178</v>
      </c>
      <c r="C291" t="s">
        <v>112</v>
      </c>
      <c r="D291">
        <v>58481090</v>
      </c>
      <c r="E291" s="16" t="s">
        <v>7</v>
      </c>
      <c r="F291" s="3">
        <v>1</v>
      </c>
      <c r="G291" s="3">
        <v>119000</v>
      </c>
      <c r="H291" s="3">
        <v>119000</v>
      </c>
      <c r="I291" s="3">
        <v>82110</v>
      </c>
      <c r="J291" s="3">
        <v>108181.81818181818</v>
      </c>
      <c r="K291" s="25">
        <v>61496</v>
      </c>
      <c r="L291" s="25">
        <v>61496</v>
      </c>
    </row>
    <row r="292" spans="1:12" x14ac:dyDescent="0.3">
      <c r="A292" t="s">
        <v>41</v>
      </c>
      <c r="B292">
        <v>20260205995310</v>
      </c>
      <c r="C292" t="s">
        <v>112</v>
      </c>
      <c r="D292">
        <v>58481090</v>
      </c>
      <c r="E292" s="16" t="s">
        <v>7</v>
      </c>
      <c r="F292" s="3">
        <v>1</v>
      </c>
      <c r="G292" s="3">
        <v>119000</v>
      </c>
      <c r="H292" s="3">
        <v>119000</v>
      </c>
      <c r="I292" s="3">
        <v>82110</v>
      </c>
      <c r="J292" s="3">
        <v>108181.81818181818</v>
      </c>
      <c r="K292" s="25">
        <v>61496</v>
      </c>
      <c r="L292" s="25">
        <v>61496</v>
      </c>
    </row>
    <row r="293" spans="1:12" x14ac:dyDescent="0.3">
      <c r="A293" t="s">
        <v>41</v>
      </c>
      <c r="B293">
        <v>20260205994627</v>
      </c>
      <c r="C293" t="s">
        <v>112</v>
      </c>
      <c r="D293">
        <v>58481090</v>
      </c>
      <c r="E293" s="16" t="s">
        <v>7</v>
      </c>
      <c r="F293" s="3">
        <v>1</v>
      </c>
      <c r="G293" s="3">
        <v>119000</v>
      </c>
      <c r="H293" s="3">
        <v>119000</v>
      </c>
      <c r="I293" s="3">
        <v>82110</v>
      </c>
      <c r="J293" s="3">
        <v>108181.81818181818</v>
      </c>
      <c r="K293" s="25">
        <v>61496</v>
      </c>
      <c r="L293" s="25">
        <v>61496</v>
      </c>
    </row>
    <row r="294" spans="1:12" x14ac:dyDescent="0.3">
      <c r="A294" t="s">
        <v>41</v>
      </c>
      <c r="B294">
        <v>20260205992706</v>
      </c>
      <c r="C294" t="s">
        <v>112</v>
      </c>
      <c r="D294">
        <v>58481090</v>
      </c>
      <c r="E294" s="16" t="s">
        <v>7</v>
      </c>
      <c r="F294" s="3">
        <v>1</v>
      </c>
      <c r="G294" s="3">
        <v>119000</v>
      </c>
      <c r="H294" s="3">
        <v>101150</v>
      </c>
      <c r="I294" s="3">
        <v>82110</v>
      </c>
      <c r="J294" s="3">
        <v>91954.545454545441</v>
      </c>
      <c r="K294" s="25">
        <v>61496</v>
      </c>
      <c r="L294" s="25">
        <v>61496</v>
      </c>
    </row>
    <row r="295" spans="1:12" x14ac:dyDescent="0.3">
      <c r="A295" t="s">
        <v>41</v>
      </c>
      <c r="B295">
        <v>20260205992897</v>
      </c>
      <c r="C295" t="s">
        <v>112</v>
      </c>
      <c r="D295">
        <v>58481090</v>
      </c>
      <c r="E295" s="16" t="s">
        <v>7</v>
      </c>
      <c r="F295" s="3">
        <v>1</v>
      </c>
      <c r="G295" s="3">
        <v>119000</v>
      </c>
      <c r="H295" s="3">
        <v>96390</v>
      </c>
      <c r="I295" s="3">
        <v>82110</v>
      </c>
      <c r="J295" s="3">
        <v>87627.272727272721</v>
      </c>
      <c r="K295" s="25">
        <v>61496</v>
      </c>
      <c r="L295" s="25">
        <v>61496</v>
      </c>
    </row>
    <row r="296" spans="1:12" x14ac:dyDescent="0.3">
      <c r="A296" t="s">
        <v>41</v>
      </c>
      <c r="B296">
        <v>20260205994669</v>
      </c>
      <c r="C296" t="s">
        <v>112</v>
      </c>
      <c r="D296">
        <v>58481090</v>
      </c>
      <c r="E296" s="16" t="s">
        <v>7</v>
      </c>
      <c r="F296" s="3">
        <v>1</v>
      </c>
      <c r="G296" s="3">
        <v>119000</v>
      </c>
      <c r="H296" s="3">
        <v>119000</v>
      </c>
      <c r="I296" s="3">
        <v>82110</v>
      </c>
      <c r="J296" s="3">
        <v>108181.81818181818</v>
      </c>
      <c r="K296" s="25">
        <v>61496</v>
      </c>
      <c r="L296" s="25">
        <v>61496</v>
      </c>
    </row>
    <row r="297" spans="1:12" x14ac:dyDescent="0.3">
      <c r="A297" t="s">
        <v>41</v>
      </c>
      <c r="B297">
        <v>20260205993830</v>
      </c>
      <c r="C297" t="s">
        <v>112</v>
      </c>
      <c r="D297">
        <v>58481090</v>
      </c>
      <c r="E297" s="16" t="s">
        <v>7</v>
      </c>
      <c r="F297" s="3">
        <v>1</v>
      </c>
      <c r="G297" s="3">
        <v>119000</v>
      </c>
      <c r="H297" s="3">
        <v>119000</v>
      </c>
      <c r="I297" s="3">
        <v>82110</v>
      </c>
      <c r="J297" s="3">
        <v>108181.81818181818</v>
      </c>
      <c r="K297" s="25">
        <v>61496</v>
      </c>
      <c r="L297" s="25">
        <v>61496</v>
      </c>
    </row>
    <row r="298" spans="1:12" x14ac:dyDescent="0.3">
      <c r="A298" t="s">
        <v>41</v>
      </c>
      <c r="B298">
        <v>20260205993830</v>
      </c>
      <c r="C298" t="s">
        <v>112</v>
      </c>
      <c r="D298">
        <v>58481090</v>
      </c>
      <c r="E298" s="16" t="s">
        <v>7</v>
      </c>
      <c r="F298" s="3">
        <v>1</v>
      </c>
      <c r="G298" s="3">
        <v>119000</v>
      </c>
      <c r="H298" s="3">
        <v>119000</v>
      </c>
      <c r="I298" s="3">
        <v>82110</v>
      </c>
      <c r="J298" s="3">
        <v>108181.81818181818</v>
      </c>
      <c r="K298" s="25">
        <v>61496</v>
      </c>
      <c r="L298" s="25">
        <v>61496</v>
      </c>
    </row>
    <row r="299" spans="1:12" x14ac:dyDescent="0.3">
      <c r="A299" t="s">
        <v>41</v>
      </c>
      <c r="B299">
        <v>20260205993426</v>
      </c>
      <c r="C299" t="s">
        <v>112</v>
      </c>
      <c r="D299">
        <v>58481090</v>
      </c>
      <c r="E299" s="16" t="s">
        <v>7</v>
      </c>
      <c r="F299" s="3">
        <v>1</v>
      </c>
      <c r="G299" s="3">
        <v>119000</v>
      </c>
      <c r="H299" s="3">
        <v>119000</v>
      </c>
      <c r="I299" s="3">
        <v>82110</v>
      </c>
      <c r="J299" s="3">
        <v>108181.81818181818</v>
      </c>
      <c r="K299" s="25">
        <v>61496</v>
      </c>
      <c r="L299" s="25">
        <v>61496</v>
      </c>
    </row>
    <row r="300" spans="1:12" x14ac:dyDescent="0.3">
      <c r="A300" t="s">
        <v>41</v>
      </c>
      <c r="B300">
        <v>20260205993231</v>
      </c>
      <c r="C300" t="s">
        <v>112</v>
      </c>
      <c r="D300">
        <v>58481090</v>
      </c>
      <c r="E300" s="16" t="s">
        <v>7</v>
      </c>
      <c r="F300" s="3">
        <v>1</v>
      </c>
      <c r="G300" s="3">
        <v>119000</v>
      </c>
      <c r="H300" s="3">
        <v>119000</v>
      </c>
      <c r="I300" s="3">
        <v>82110</v>
      </c>
      <c r="J300" s="3">
        <v>108181.81818181818</v>
      </c>
      <c r="K300" s="25">
        <v>61496</v>
      </c>
      <c r="L300" s="25">
        <v>61496</v>
      </c>
    </row>
    <row r="301" spans="1:12" x14ac:dyDescent="0.3">
      <c r="A301" t="s">
        <v>41</v>
      </c>
      <c r="B301">
        <v>20260205995033</v>
      </c>
      <c r="C301" t="s">
        <v>112</v>
      </c>
      <c r="D301">
        <v>58481090</v>
      </c>
      <c r="E301" s="16" t="s">
        <v>7</v>
      </c>
      <c r="F301" s="3">
        <v>1</v>
      </c>
      <c r="G301" s="3">
        <v>119000</v>
      </c>
      <c r="H301" s="3">
        <v>119000</v>
      </c>
      <c r="I301" s="3">
        <v>82110</v>
      </c>
      <c r="J301" s="3">
        <v>108181.81818181818</v>
      </c>
      <c r="K301" s="25">
        <v>61496</v>
      </c>
      <c r="L301" s="25">
        <v>61496</v>
      </c>
    </row>
    <row r="302" spans="1:12" x14ac:dyDescent="0.3">
      <c r="A302" t="s">
        <v>41</v>
      </c>
      <c r="B302">
        <v>20260205994734</v>
      </c>
      <c r="C302" t="s">
        <v>112</v>
      </c>
      <c r="D302">
        <v>58481090</v>
      </c>
      <c r="E302" s="16" t="s">
        <v>7</v>
      </c>
      <c r="F302" s="3">
        <v>1</v>
      </c>
      <c r="G302" s="3">
        <v>119000</v>
      </c>
      <c r="H302" s="3">
        <v>119000</v>
      </c>
      <c r="I302" s="3">
        <v>82110</v>
      </c>
      <c r="J302" s="3">
        <v>108181.81818181818</v>
      </c>
      <c r="K302" s="25">
        <v>61496</v>
      </c>
      <c r="L302" s="25">
        <v>61496</v>
      </c>
    </row>
    <row r="303" spans="1:12" x14ac:dyDescent="0.3">
      <c r="A303" t="s">
        <v>41</v>
      </c>
      <c r="B303">
        <v>20260205005878</v>
      </c>
      <c r="C303" t="s">
        <v>112</v>
      </c>
      <c r="D303">
        <v>58481090</v>
      </c>
      <c r="E303" s="16" t="s">
        <v>7</v>
      </c>
      <c r="F303" s="3">
        <v>1</v>
      </c>
      <c r="G303" s="3">
        <v>119000</v>
      </c>
      <c r="H303" s="3">
        <v>113050</v>
      </c>
      <c r="I303" s="3">
        <v>82110</v>
      </c>
      <c r="J303" s="3">
        <v>102772.72727272726</v>
      </c>
      <c r="K303" s="25">
        <v>61496</v>
      </c>
      <c r="L303" s="25">
        <v>61496</v>
      </c>
    </row>
    <row r="304" spans="1:12" x14ac:dyDescent="0.3">
      <c r="A304" t="s">
        <v>41</v>
      </c>
      <c r="B304">
        <v>20260205002209</v>
      </c>
      <c r="C304" t="s">
        <v>112</v>
      </c>
      <c r="D304">
        <v>58481090</v>
      </c>
      <c r="E304" s="16" t="s">
        <v>7</v>
      </c>
      <c r="F304" s="3">
        <v>1</v>
      </c>
      <c r="G304" s="3">
        <v>119000</v>
      </c>
      <c r="H304" s="3">
        <v>119000</v>
      </c>
      <c r="I304" s="3">
        <v>82110</v>
      </c>
      <c r="J304" s="3">
        <v>108181.81818181818</v>
      </c>
      <c r="K304" s="25">
        <v>61496</v>
      </c>
      <c r="L304" s="25">
        <v>61496</v>
      </c>
    </row>
    <row r="305" spans="1:12" x14ac:dyDescent="0.3">
      <c r="A305" t="s">
        <v>41</v>
      </c>
      <c r="B305">
        <v>20260205994403</v>
      </c>
      <c r="C305" t="s">
        <v>112</v>
      </c>
      <c r="D305">
        <v>58481090</v>
      </c>
      <c r="E305" s="16" t="s">
        <v>7</v>
      </c>
      <c r="F305" s="3">
        <v>1</v>
      </c>
      <c r="G305" s="3">
        <v>119000</v>
      </c>
      <c r="H305" s="3">
        <v>119000</v>
      </c>
      <c r="I305" s="3">
        <v>82110</v>
      </c>
      <c r="J305" s="3">
        <v>108181.81818181818</v>
      </c>
      <c r="K305" s="25">
        <v>61496</v>
      </c>
      <c r="L305" s="25">
        <v>61496</v>
      </c>
    </row>
    <row r="306" spans="1:12" x14ac:dyDescent="0.3">
      <c r="A306" t="s">
        <v>41</v>
      </c>
      <c r="B306">
        <v>20260205993716</v>
      </c>
      <c r="C306" t="s">
        <v>112</v>
      </c>
      <c r="D306">
        <v>58481090</v>
      </c>
      <c r="E306" s="16" t="s">
        <v>7</v>
      </c>
      <c r="F306" s="3">
        <v>1</v>
      </c>
      <c r="G306" s="3">
        <v>119000</v>
      </c>
      <c r="H306" s="3">
        <v>119000</v>
      </c>
      <c r="I306" s="3">
        <v>82110</v>
      </c>
      <c r="J306" s="3">
        <v>108181.81818181818</v>
      </c>
      <c r="K306" s="25">
        <v>61496</v>
      </c>
      <c r="L306" s="25">
        <v>61496</v>
      </c>
    </row>
    <row r="307" spans="1:12" x14ac:dyDescent="0.3">
      <c r="A307" t="s">
        <v>41</v>
      </c>
      <c r="B307">
        <v>20260205994897</v>
      </c>
      <c r="C307" t="s">
        <v>112</v>
      </c>
      <c r="D307">
        <v>58481090</v>
      </c>
      <c r="E307" s="16" t="s">
        <v>7</v>
      </c>
      <c r="F307" s="3">
        <v>1</v>
      </c>
      <c r="G307" s="3">
        <v>119000</v>
      </c>
      <c r="H307" s="3">
        <v>119000</v>
      </c>
      <c r="I307" s="3">
        <v>82110</v>
      </c>
      <c r="J307" s="3">
        <v>108181.81818181818</v>
      </c>
      <c r="K307" s="25">
        <v>61496</v>
      </c>
      <c r="L307" s="25">
        <v>61496</v>
      </c>
    </row>
    <row r="308" spans="1:12" x14ac:dyDescent="0.3">
      <c r="A308" t="s">
        <v>41</v>
      </c>
      <c r="B308">
        <v>20260205995346</v>
      </c>
      <c r="C308" t="s">
        <v>112</v>
      </c>
      <c r="D308">
        <v>58481090</v>
      </c>
      <c r="E308" s="16" t="s">
        <v>7</v>
      </c>
      <c r="F308" s="3">
        <v>1</v>
      </c>
      <c r="G308" s="3">
        <v>119000</v>
      </c>
      <c r="H308" s="3">
        <v>119000</v>
      </c>
      <c r="I308" s="3">
        <v>82110</v>
      </c>
      <c r="J308" s="3">
        <v>108181.81818181818</v>
      </c>
      <c r="K308" s="25">
        <v>61496</v>
      </c>
      <c r="L308" s="25">
        <v>61496</v>
      </c>
    </row>
    <row r="309" spans="1:12" x14ac:dyDescent="0.3">
      <c r="A309" t="s">
        <v>41</v>
      </c>
      <c r="B309">
        <v>20260205994059</v>
      </c>
      <c r="C309" t="s">
        <v>112</v>
      </c>
      <c r="D309">
        <v>58481090</v>
      </c>
      <c r="E309" s="16" t="s">
        <v>7</v>
      </c>
      <c r="F309" s="3">
        <v>1</v>
      </c>
      <c r="G309" s="3">
        <v>119000</v>
      </c>
      <c r="H309" s="3">
        <v>109000</v>
      </c>
      <c r="I309" s="3">
        <v>82110</v>
      </c>
      <c r="J309" s="3">
        <v>99090.909090909074</v>
      </c>
      <c r="K309" s="25">
        <v>61496</v>
      </c>
      <c r="L309" s="25">
        <v>61496</v>
      </c>
    </row>
    <row r="310" spans="1:12" x14ac:dyDescent="0.3">
      <c r="A310" t="s">
        <v>41</v>
      </c>
      <c r="B310">
        <v>20260205994147</v>
      </c>
      <c r="C310" t="s">
        <v>112</v>
      </c>
      <c r="D310">
        <v>58481090</v>
      </c>
      <c r="E310" s="16" t="s">
        <v>7</v>
      </c>
      <c r="F310" s="3">
        <v>1</v>
      </c>
      <c r="G310" s="3">
        <v>119000</v>
      </c>
      <c r="H310" s="3">
        <v>119000</v>
      </c>
      <c r="I310" s="3">
        <v>82110</v>
      </c>
      <c r="J310" s="3">
        <v>108181.81818181818</v>
      </c>
      <c r="K310" s="25">
        <v>61496</v>
      </c>
      <c r="L310" s="25">
        <v>61496</v>
      </c>
    </row>
    <row r="311" spans="1:12" x14ac:dyDescent="0.3">
      <c r="A311" t="s">
        <v>41</v>
      </c>
      <c r="B311">
        <v>20260205993758</v>
      </c>
      <c r="C311" t="s">
        <v>112</v>
      </c>
      <c r="D311">
        <v>58481090</v>
      </c>
      <c r="E311" s="16" t="s">
        <v>7</v>
      </c>
      <c r="F311" s="3">
        <v>1</v>
      </c>
      <c r="G311" s="3">
        <v>119000</v>
      </c>
      <c r="H311" s="3">
        <v>119000</v>
      </c>
      <c r="I311" s="3">
        <v>82110</v>
      </c>
      <c r="J311" s="3">
        <v>108181.81818181818</v>
      </c>
      <c r="K311" s="25">
        <v>61496</v>
      </c>
      <c r="L311" s="25">
        <v>61496</v>
      </c>
    </row>
    <row r="312" spans="1:12" x14ac:dyDescent="0.3">
      <c r="A312" t="s">
        <v>41</v>
      </c>
      <c r="B312">
        <v>20260205994158</v>
      </c>
      <c r="C312" t="s">
        <v>112</v>
      </c>
      <c r="D312">
        <v>58481090</v>
      </c>
      <c r="E312" s="16" t="s">
        <v>7</v>
      </c>
      <c r="F312" s="3">
        <v>1</v>
      </c>
      <c r="G312" s="3">
        <v>119000</v>
      </c>
      <c r="H312" s="3">
        <v>119000</v>
      </c>
      <c r="I312" s="3">
        <v>82110</v>
      </c>
      <c r="J312" s="3">
        <v>108181.81818181818</v>
      </c>
      <c r="K312" s="25">
        <v>61496</v>
      </c>
      <c r="L312" s="25">
        <v>61496</v>
      </c>
    </row>
    <row r="313" spans="1:12" x14ac:dyDescent="0.3">
      <c r="A313" t="s">
        <v>41</v>
      </c>
      <c r="B313">
        <v>20260205994158</v>
      </c>
      <c r="C313" t="s">
        <v>112</v>
      </c>
      <c r="D313">
        <v>58481090</v>
      </c>
      <c r="E313" s="16" t="s">
        <v>7</v>
      </c>
      <c r="F313" s="3">
        <v>1</v>
      </c>
      <c r="G313" s="3">
        <v>119000</v>
      </c>
      <c r="H313" s="3">
        <v>119000</v>
      </c>
      <c r="I313" s="3">
        <v>82110</v>
      </c>
      <c r="J313" s="3">
        <v>108181.81818181818</v>
      </c>
      <c r="K313" s="25">
        <v>61496</v>
      </c>
      <c r="L313" s="25">
        <v>61496</v>
      </c>
    </row>
    <row r="314" spans="1:12" x14ac:dyDescent="0.3">
      <c r="A314" t="s">
        <v>41</v>
      </c>
      <c r="B314">
        <v>20260205993463</v>
      </c>
      <c r="C314" t="s">
        <v>112</v>
      </c>
      <c r="D314">
        <v>58481090</v>
      </c>
      <c r="E314" s="16" t="s">
        <v>7</v>
      </c>
      <c r="F314" s="3">
        <v>1</v>
      </c>
      <c r="G314" s="3">
        <v>119000</v>
      </c>
      <c r="H314" s="3">
        <v>119000</v>
      </c>
      <c r="I314" s="3">
        <v>82110</v>
      </c>
      <c r="J314" s="3">
        <v>108181.81818181818</v>
      </c>
      <c r="K314" s="25">
        <v>61496</v>
      </c>
      <c r="L314" s="25">
        <v>61496</v>
      </c>
    </row>
    <row r="315" spans="1:12" x14ac:dyDescent="0.3">
      <c r="A315" t="s">
        <v>41</v>
      </c>
      <c r="B315">
        <v>20260205994122</v>
      </c>
      <c r="C315" t="s">
        <v>112</v>
      </c>
      <c r="D315">
        <v>58481090</v>
      </c>
      <c r="E315" s="16" t="s">
        <v>7</v>
      </c>
      <c r="F315" s="3">
        <v>1</v>
      </c>
      <c r="G315" s="3">
        <v>119000</v>
      </c>
      <c r="H315" s="3">
        <v>119000</v>
      </c>
      <c r="I315" s="3">
        <v>82110</v>
      </c>
      <c r="J315" s="3">
        <v>108181.81818181818</v>
      </c>
      <c r="K315" s="25">
        <v>61496</v>
      </c>
      <c r="L315" s="25">
        <v>61496</v>
      </c>
    </row>
    <row r="316" spans="1:12" x14ac:dyDescent="0.3">
      <c r="A316" t="s">
        <v>41</v>
      </c>
      <c r="B316">
        <v>20260205995057</v>
      </c>
      <c r="C316" t="s">
        <v>112</v>
      </c>
      <c r="D316">
        <v>58481090</v>
      </c>
      <c r="E316" s="16" t="s">
        <v>7</v>
      </c>
      <c r="F316" s="3">
        <v>1</v>
      </c>
      <c r="G316" s="3">
        <v>119000</v>
      </c>
      <c r="H316" s="3">
        <v>109000</v>
      </c>
      <c r="I316" s="3">
        <v>82110</v>
      </c>
      <c r="J316" s="3">
        <v>99090.909090909074</v>
      </c>
      <c r="K316" s="25">
        <v>61496</v>
      </c>
      <c r="L316" s="25">
        <v>61496</v>
      </c>
    </row>
    <row r="317" spans="1:12" x14ac:dyDescent="0.3">
      <c r="A317" t="s">
        <v>41</v>
      </c>
      <c r="B317">
        <v>20260205994528</v>
      </c>
      <c r="C317" t="s">
        <v>112</v>
      </c>
      <c r="D317">
        <v>58481090</v>
      </c>
      <c r="E317" s="16" t="s">
        <v>7</v>
      </c>
      <c r="F317" s="3">
        <v>1</v>
      </c>
      <c r="G317" s="3">
        <v>119000</v>
      </c>
      <c r="H317" s="3">
        <v>119000</v>
      </c>
      <c r="I317" s="3">
        <v>82110</v>
      </c>
      <c r="J317" s="3">
        <v>108181.81818181818</v>
      </c>
      <c r="K317" s="25">
        <v>61496</v>
      </c>
      <c r="L317" s="25">
        <v>61496</v>
      </c>
    </row>
    <row r="318" spans="1:12" x14ac:dyDescent="0.3">
      <c r="A318" t="s">
        <v>41</v>
      </c>
      <c r="B318">
        <v>20260205993913</v>
      </c>
      <c r="C318" t="s">
        <v>112</v>
      </c>
      <c r="D318">
        <v>58481090</v>
      </c>
      <c r="E318" s="16" t="s">
        <v>7</v>
      </c>
      <c r="F318" s="3">
        <v>1</v>
      </c>
      <c r="G318" s="3">
        <v>119000</v>
      </c>
      <c r="H318" s="3">
        <v>109000</v>
      </c>
      <c r="I318" s="3">
        <v>82110</v>
      </c>
      <c r="J318" s="3">
        <v>99090.909090909074</v>
      </c>
      <c r="K318" s="25">
        <v>61496</v>
      </c>
      <c r="L318" s="25">
        <v>61496</v>
      </c>
    </row>
    <row r="319" spans="1:12" x14ac:dyDescent="0.3">
      <c r="A319" t="s">
        <v>41</v>
      </c>
      <c r="B319">
        <v>20260205994535</v>
      </c>
      <c r="C319" t="s">
        <v>112</v>
      </c>
      <c r="D319">
        <v>58481090</v>
      </c>
      <c r="E319" s="16" t="s">
        <v>7</v>
      </c>
      <c r="F319" s="3">
        <v>2</v>
      </c>
      <c r="G319" s="3">
        <v>119000</v>
      </c>
      <c r="H319" s="3">
        <v>238000</v>
      </c>
      <c r="I319" s="3">
        <v>164220</v>
      </c>
      <c r="J319" s="3">
        <v>216363.63636363635</v>
      </c>
      <c r="K319" s="25">
        <v>61496</v>
      </c>
      <c r="L319" s="25">
        <v>122992</v>
      </c>
    </row>
    <row r="320" spans="1:12" x14ac:dyDescent="0.3">
      <c r="A320" t="s">
        <v>41</v>
      </c>
      <c r="B320">
        <v>20260205994836</v>
      </c>
      <c r="C320" t="s">
        <v>112</v>
      </c>
      <c r="D320">
        <v>58481090</v>
      </c>
      <c r="E320" s="16" t="s">
        <v>7</v>
      </c>
      <c r="F320" s="3">
        <v>1</v>
      </c>
      <c r="G320" s="3">
        <v>119000</v>
      </c>
      <c r="H320" s="3">
        <v>119000</v>
      </c>
      <c r="I320" s="3">
        <v>82110</v>
      </c>
      <c r="J320" s="3">
        <v>108181.81818181818</v>
      </c>
      <c r="K320" s="25">
        <v>61496</v>
      </c>
      <c r="L320" s="25">
        <v>61496</v>
      </c>
    </row>
    <row r="321" spans="1:12" x14ac:dyDescent="0.3">
      <c r="A321" t="s">
        <v>41</v>
      </c>
      <c r="B321">
        <v>20260205994447</v>
      </c>
      <c r="C321" t="s">
        <v>112</v>
      </c>
      <c r="D321">
        <v>58481090</v>
      </c>
      <c r="E321" s="16" t="s">
        <v>7</v>
      </c>
      <c r="F321" s="3">
        <v>1</v>
      </c>
      <c r="G321" s="3">
        <v>119000</v>
      </c>
      <c r="H321" s="3">
        <v>119000</v>
      </c>
      <c r="I321" s="3">
        <v>82110</v>
      </c>
      <c r="J321" s="3">
        <v>108181.81818181818</v>
      </c>
      <c r="K321" s="25">
        <v>61496</v>
      </c>
      <c r="L321" s="25">
        <v>61496</v>
      </c>
    </row>
    <row r="322" spans="1:12" x14ac:dyDescent="0.3">
      <c r="A322" t="s">
        <v>41</v>
      </c>
      <c r="B322">
        <v>20260205995071</v>
      </c>
      <c r="C322" t="s">
        <v>112</v>
      </c>
      <c r="D322">
        <v>58481090</v>
      </c>
      <c r="E322" s="16" t="s">
        <v>7</v>
      </c>
      <c r="F322" s="3">
        <v>1</v>
      </c>
      <c r="G322" s="3">
        <v>119000</v>
      </c>
      <c r="H322" s="3">
        <v>119000</v>
      </c>
      <c r="I322" s="3">
        <v>82110</v>
      </c>
      <c r="J322" s="3">
        <v>108181.81818181818</v>
      </c>
      <c r="K322" s="25">
        <v>61496</v>
      </c>
      <c r="L322" s="25">
        <v>61496</v>
      </c>
    </row>
    <row r="323" spans="1:12" x14ac:dyDescent="0.3">
      <c r="A323" t="s">
        <v>41</v>
      </c>
      <c r="B323">
        <v>20260205994350</v>
      </c>
      <c r="C323" t="s">
        <v>112</v>
      </c>
      <c r="D323">
        <v>58481090</v>
      </c>
      <c r="E323" s="16" t="s">
        <v>7</v>
      </c>
      <c r="F323" s="3">
        <v>1</v>
      </c>
      <c r="G323" s="3">
        <v>119000</v>
      </c>
      <c r="H323" s="3">
        <v>119000</v>
      </c>
      <c r="I323" s="3">
        <v>82110</v>
      </c>
      <c r="J323" s="3">
        <v>108181.81818181818</v>
      </c>
      <c r="K323" s="25">
        <v>61496</v>
      </c>
      <c r="L323" s="25">
        <v>61496</v>
      </c>
    </row>
    <row r="324" spans="1:12" x14ac:dyDescent="0.3">
      <c r="A324" t="s">
        <v>41</v>
      </c>
      <c r="B324">
        <v>20260205992509</v>
      </c>
      <c r="C324" t="s">
        <v>112</v>
      </c>
      <c r="D324">
        <v>58481090</v>
      </c>
      <c r="E324" s="16" t="s">
        <v>7</v>
      </c>
      <c r="F324" s="3">
        <v>1</v>
      </c>
      <c r="G324" s="3">
        <v>119000</v>
      </c>
      <c r="H324" s="3">
        <v>119000</v>
      </c>
      <c r="I324" s="3">
        <v>82110</v>
      </c>
      <c r="J324" s="3">
        <v>108181.81818181818</v>
      </c>
      <c r="K324" s="25">
        <v>61496</v>
      </c>
      <c r="L324" s="25">
        <v>61496</v>
      </c>
    </row>
    <row r="325" spans="1:12" x14ac:dyDescent="0.3">
      <c r="A325" t="s">
        <v>41</v>
      </c>
      <c r="B325">
        <v>20260205995352</v>
      </c>
      <c r="C325" t="s">
        <v>112</v>
      </c>
      <c r="D325">
        <v>58481090</v>
      </c>
      <c r="E325" s="16" t="s">
        <v>7</v>
      </c>
      <c r="F325" s="3">
        <v>1</v>
      </c>
      <c r="G325" s="3">
        <v>119000</v>
      </c>
      <c r="H325" s="3">
        <v>119000</v>
      </c>
      <c r="I325" s="3">
        <v>82110</v>
      </c>
      <c r="J325" s="3">
        <v>108181.81818181818</v>
      </c>
      <c r="K325" s="25">
        <v>61496</v>
      </c>
      <c r="L325" s="25">
        <v>61496</v>
      </c>
    </row>
    <row r="326" spans="1:12" x14ac:dyDescent="0.3">
      <c r="A326" t="s">
        <v>41</v>
      </c>
      <c r="B326">
        <v>20260205995384</v>
      </c>
      <c r="C326" t="s">
        <v>112</v>
      </c>
      <c r="D326">
        <v>58481090</v>
      </c>
      <c r="E326" s="16" t="s">
        <v>7</v>
      </c>
      <c r="F326" s="3">
        <v>1</v>
      </c>
      <c r="G326" s="3">
        <v>119000</v>
      </c>
      <c r="H326" s="3">
        <v>119000</v>
      </c>
      <c r="I326" s="3">
        <v>82110</v>
      </c>
      <c r="J326" s="3">
        <v>108181.81818181818</v>
      </c>
      <c r="K326" s="25">
        <v>61496</v>
      </c>
      <c r="L326" s="25">
        <v>61496</v>
      </c>
    </row>
    <row r="327" spans="1:12" x14ac:dyDescent="0.3">
      <c r="A327" t="s">
        <v>41</v>
      </c>
      <c r="B327">
        <v>20260205994156</v>
      </c>
      <c r="C327" t="s">
        <v>112</v>
      </c>
      <c r="D327">
        <v>58481090</v>
      </c>
      <c r="E327" s="16" t="s">
        <v>7</v>
      </c>
      <c r="F327" s="3">
        <v>1</v>
      </c>
      <c r="G327" s="3">
        <v>119000</v>
      </c>
      <c r="H327" s="3">
        <v>119000</v>
      </c>
      <c r="I327" s="3">
        <v>82110</v>
      </c>
      <c r="J327" s="3">
        <v>108181.81818181818</v>
      </c>
      <c r="K327" s="25">
        <v>61496</v>
      </c>
      <c r="L327" s="25">
        <v>61496</v>
      </c>
    </row>
    <row r="328" spans="1:12" x14ac:dyDescent="0.3">
      <c r="A328" t="s">
        <v>41</v>
      </c>
      <c r="B328">
        <v>20260205995064</v>
      </c>
      <c r="C328" t="s">
        <v>112</v>
      </c>
      <c r="D328">
        <v>58481090</v>
      </c>
      <c r="E328" s="16" t="s">
        <v>7</v>
      </c>
      <c r="F328" s="3">
        <v>1</v>
      </c>
      <c r="G328" s="3">
        <v>119000</v>
      </c>
      <c r="H328" s="3">
        <v>119000</v>
      </c>
      <c r="I328" s="3">
        <v>82110</v>
      </c>
      <c r="J328" s="3">
        <v>108181.81818181818</v>
      </c>
      <c r="K328" s="25">
        <v>61496</v>
      </c>
      <c r="L328" s="25">
        <v>61496</v>
      </c>
    </row>
    <row r="329" spans="1:12" x14ac:dyDescent="0.3">
      <c r="A329" t="s">
        <v>41</v>
      </c>
      <c r="B329">
        <v>20260205995094</v>
      </c>
      <c r="C329" t="s">
        <v>112</v>
      </c>
      <c r="D329">
        <v>58481090</v>
      </c>
      <c r="E329" s="16" t="s">
        <v>7</v>
      </c>
      <c r="F329" s="3">
        <v>1</v>
      </c>
      <c r="G329" s="3">
        <v>119000</v>
      </c>
      <c r="H329" s="3">
        <v>119000</v>
      </c>
      <c r="I329" s="3">
        <v>82110</v>
      </c>
      <c r="J329" s="3">
        <v>108181.81818181818</v>
      </c>
      <c r="K329" s="25">
        <v>61496</v>
      </c>
      <c r="L329" s="25">
        <v>61496</v>
      </c>
    </row>
    <row r="330" spans="1:12" x14ac:dyDescent="0.3">
      <c r="A330" t="s">
        <v>41</v>
      </c>
      <c r="B330">
        <v>20260205995405</v>
      </c>
      <c r="C330" t="s">
        <v>112</v>
      </c>
      <c r="D330">
        <v>58481090</v>
      </c>
      <c r="E330" s="16" t="s">
        <v>7</v>
      </c>
      <c r="F330" s="3">
        <v>1</v>
      </c>
      <c r="G330" s="3">
        <v>119000</v>
      </c>
      <c r="H330" s="3">
        <v>119000</v>
      </c>
      <c r="I330" s="3">
        <v>82110</v>
      </c>
      <c r="J330" s="3">
        <v>108181.81818181818</v>
      </c>
      <c r="K330" s="25">
        <v>61496</v>
      </c>
      <c r="L330" s="25">
        <v>61496</v>
      </c>
    </row>
    <row r="331" spans="1:12" x14ac:dyDescent="0.3">
      <c r="A331" t="s">
        <v>41</v>
      </c>
      <c r="B331">
        <v>20260205995039</v>
      </c>
      <c r="C331" t="s">
        <v>112</v>
      </c>
      <c r="D331">
        <v>58481090</v>
      </c>
      <c r="E331" s="16" t="s">
        <v>7</v>
      </c>
      <c r="F331" s="3">
        <v>1</v>
      </c>
      <c r="G331" s="3">
        <v>119000</v>
      </c>
      <c r="H331" s="3">
        <v>119000</v>
      </c>
      <c r="I331" s="3">
        <v>82110</v>
      </c>
      <c r="J331" s="3">
        <v>108181.81818181818</v>
      </c>
      <c r="K331" s="25">
        <v>61496</v>
      </c>
      <c r="L331" s="25">
        <v>61496</v>
      </c>
    </row>
    <row r="332" spans="1:12" x14ac:dyDescent="0.3">
      <c r="A332" t="s">
        <v>41</v>
      </c>
      <c r="B332">
        <v>20260205994153</v>
      </c>
      <c r="C332" t="s">
        <v>112</v>
      </c>
      <c r="D332">
        <v>58481090</v>
      </c>
      <c r="E332" s="16" t="s">
        <v>7</v>
      </c>
      <c r="F332" s="3">
        <v>1</v>
      </c>
      <c r="G332" s="3">
        <v>119000</v>
      </c>
      <c r="H332" s="3">
        <v>119000</v>
      </c>
      <c r="I332" s="3">
        <v>82110</v>
      </c>
      <c r="J332" s="3">
        <v>108181.81818181818</v>
      </c>
      <c r="K332" s="25">
        <v>61496</v>
      </c>
      <c r="L332" s="25">
        <v>61496</v>
      </c>
    </row>
    <row r="333" spans="1:12" x14ac:dyDescent="0.3">
      <c r="A333" t="s">
        <v>41</v>
      </c>
      <c r="B333">
        <v>20260205994151</v>
      </c>
      <c r="C333" t="s">
        <v>112</v>
      </c>
      <c r="D333">
        <v>58481090</v>
      </c>
      <c r="E333" s="16" t="s">
        <v>7</v>
      </c>
      <c r="F333" s="3">
        <v>1</v>
      </c>
      <c r="G333" s="3">
        <v>119000</v>
      </c>
      <c r="H333" s="3">
        <v>119000</v>
      </c>
      <c r="I333" s="3">
        <v>82110</v>
      </c>
      <c r="J333" s="3">
        <v>108181.81818181818</v>
      </c>
      <c r="K333" s="25">
        <v>61496</v>
      </c>
      <c r="L333" s="25">
        <v>61496</v>
      </c>
    </row>
    <row r="334" spans="1:12" x14ac:dyDescent="0.3">
      <c r="A334" t="s">
        <v>41</v>
      </c>
      <c r="B334">
        <v>20260205994805</v>
      </c>
      <c r="C334" t="s">
        <v>112</v>
      </c>
      <c r="D334">
        <v>58481090</v>
      </c>
      <c r="E334" s="16" t="s">
        <v>7</v>
      </c>
      <c r="F334" s="3">
        <v>1</v>
      </c>
      <c r="G334" s="3">
        <v>119000</v>
      </c>
      <c r="H334" s="3">
        <v>119000</v>
      </c>
      <c r="I334" s="3">
        <v>82110</v>
      </c>
      <c r="J334" s="3">
        <v>108181.81818181818</v>
      </c>
      <c r="K334" s="25">
        <v>61496</v>
      </c>
      <c r="L334" s="25">
        <v>61496</v>
      </c>
    </row>
    <row r="335" spans="1:12" x14ac:dyDescent="0.3">
      <c r="A335" t="s">
        <v>41</v>
      </c>
      <c r="B335">
        <v>20260205993562</v>
      </c>
      <c r="C335" t="s">
        <v>112</v>
      </c>
      <c r="D335">
        <v>58481090</v>
      </c>
      <c r="E335" s="16" t="s">
        <v>7</v>
      </c>
      <c r="F335" s="3">
        <v>1</v>
      </c>
      <c r="G335" s="3">
        <v>119000</v>
      </c>
      <c r="H335" s="3">
        <v>119000</v>
      </c>
      <c r="I335" s="3">
        <v>82110</v>
      </c>
      <c r="J335" s="3">
        <v>108181.81818181818</v>
      </c>
      <c r="K335" s="25">
        <v>61496</v>
      </c>
      <c r="L335" s="25">
        <v>61496</v>
      </c>
    </row>
    <row r="336" spans="1:12" x14ac:dyDescent="0.3">
      <c r="A336" t="s">
        <v>41</v>
      </c>
      <c r="B336">
        <v>20260205992492</v>
      </c>
      <c r="C336" t="s">
        <v>112</v>
      </c>
      <c r="D336">
        <v>58481090</v>
      </c>
      <c r="E336" s="16" t="s">
        <v>7</v>
      </c>
      <c r="F336" s="3">
        <v>1</v>
      </c>
      <c r="G336" s="3">
        <v>119000</v>
      </c>
      <c r="H336" s="3">
        <v>119000</v>
      </c>
      <c r="I336" s="3">
        <v>82110</v>
      </c>
      <c r="J336" s="3">
        <v>108181.81818181818</v>
      </c>
      <c r="K336" s="25">
        <v>61496</v>
      </c>
      <c r="L336" s="25">
        <v>61496</v>
      </c>
    </row>
    <row r="337" spans="1:12" x14ac:dyDescent="0.3">
      <c r="A337" t="s">
        <v>41</v>
      </c>
      <c r="B337">
        <v>20260205992669</v>
      </c>
      <c r="C337" t="s">
        <v>112</v>
      </c>
      <c r="D337">
        <v>58481090</v>
      </c>
      <c r="E337" s="16" t="s">
        <v>7</v>
      </c>
      <c r="F337" s="3">
        <v>1</v>
      </c>
      <c r="G337" s="3">
        <v>119000</v>
      </c>
      <c r="H337" s="3">
        <v>119000</v>
      </c>
      <c r="I337" s="3">
        <v>82110</v>
      </c>
      <c r="J337" s="3">
        <v>108181.81818181818</v>
      </c>
      <c r="K337" s="25">
        <v>61496</v>
      </c>
      <c r="L337" s="25">
        <v>61496</v>
      </c>
    </row>
    <row r="338" spans="1:12" x14ac:dyDescent="0.3">
      <c r="A338" t="s">
        <v>41</v>
      </c>
      <c r="B338">
        <v>20260205993173</v>
      </c>
      <c r="C338" t="s">
        <v>112</v>
      </c>
      <c r="D338">
        <v>58481090</v>
      </c>
      <c r="E338" s="16" t="s">
        <v>7</v>
      </c>
      <c r="F338" s="3">
        <v>1</v>
      </c>
      <c r="G338" s="3">
        <v>119000</v>
      </c>
      <c r="H338" s="3">
        <v>114000</v>
      </c>
      <c r="I338" s="3">
        <v>82110</v>
      </c>
      <c r="J338" s="3">
        <v>103636.36363636365</v>
      </c>
      <c r="K338" s="25">
        <v>61496</v>
      </c>
      <c r="L338" s="25">
        <v>61496</v>
      </c>
    </row>
    <row r="339" spans="1:12" x14ac:dyDescent="0.3">
      <c r="A339" t="s">
        <v>41</v>
      </c>
      <c r="B339">
        <v>20260205995345</v>
      </c>
      <c r="C339" t="s">
        <v>112</v>
      </c>
      <c r="D339">
        <v>58481090</v>
      </c>
      <c r="E339" s="16" t="s">
        <v>7</v>
      </c>
      <c r="F339" s="3">
        <v>1</v>
      </c>
      <c r="G339" s="3">
        <v>119000</v>
      </c>
      <c r="H339" s="3">
        <v>119000</v>
      </c>
      <c r="I339" s="3">
        <v>82110</v>
      </c>
      <c r="J339" s="3">
        <v>108181.81818181818</v>
      </c>
      <c r="K339" s="25">
        <v>61496</v>
      </c>
      <c r="L339" s="25">
        <v>61496</v>
      </c>
    </row>
    <row r="340" spans="1:12" x14ac:dyDescent="0.3">
      <c r="A340" t="s">
        <v>41</v>
      </c>
      <c r="B340">
        <v>20260205994889</v>
      </c>
      <c r="C340" t="s">
        <v>112</v>
      </c>
      <c r="D340">
        <v>58481090</v>
      </c>
      <c r="E340" s="16" t="s">
        <v>7</v>
      </c>
      <c r="F340" s="3">
        <v>1</v>
      </c>
      <c r="G340" s="3">
        <v>119000</v>
      </c>
      <c r="H340" s="3">
        <v>119000</v>
      </c>
      <c r="I340" s="3">
        <v>82110</v>
      </c>
      <c r="J340" s="3">
        <v>108181.81818181818</v>
      </c>
      <c r="K340" s="25">
        <v>61496</v>
      </c>
      <c r="L340" s="25">
        <v>61496</v>
      </c>
    </row>
    <row r="341" spans="1:12" x14ac:dyDescent="0.3">
      <c r="A341" t="s">
        <v>41</v>
      </c>
      <c r="B341">
        <v>20260205995613</v>
      </c>
      <c r="C341" t="s">
        <v>112</v>
      </c>
      <c r="D341">
        <v>58481090</v>
      </c>
      <c r="E341" s="16" t="s">
        <v>7</v>
      </c>
      <c r="F341" s="3">
        <v>1</v>
      </c>
      <c r="G341" s="3">
        <v>119000</v>
      </c>
      <c r="H341" s="3">
        <v>119000</v>
      </c>
      <c r="I341" s="3">
        <v>82110</v>
      </c>
      <c r="J341" s="3">
        <v>108181.81818181818</v>
      </c>
      <c r="K341" s="25">
        <v>61496</v>
      </c>
      <c r="L341" s="25">
        <v>61496</v>
      </c>
    </row>
    <row r="342" spans="1:12" x14ac:dyDescent="0.3">
      <c r="A342" t="s">
        <v>41</v>
      </c>
      <c r="B342">
        <v>20260205994040</v>
      </c>
      <c r="C342" t="s">
        <v>112</v>
      </c>
      <c r="D342">
        <v>58481090</v>
      </c>
      <c r="E342" s="16" t="s">
        <v>7</v>
      </c>
      <c r="F342" s="3">
        <v>1</v>
      </c>
      <c r="G342" s="3">
        <v>119000</v>
      </c>
      <c r="H342" s="3">
        <v>119000</v>
      </c>
      <c r="I342" s="3">
        <v>82110</v>
      </c>
      <c r="J342" s="3">
        <v>108181.81818181818</v>
      </c>
      <c r="K342" s="25">
        <v>61496</v>
      </c>
      <c r="L342" s="25">
        <v>61496</v>
      </c>
    </row>
    <row r="343" spans="1:12" x14ac:dyDescent="0.3">
      <c r="A343" t="s">
        <v>41</v>
      </c>
      <c r="B343">
        <v>20260205995186</v>
      </c>
      <c r="C343" t="s">
        <v>112</v>
      </c>
      <c r="D343">
        <v>58481090</v>
      </c>
      <c r="E343" s="16" t="s">
        <v>7</v>
      </c>
      <c r="F343" s="3">
        <v>1</v>
      </c>
      <c r="G343" s="3">
        <v>119000</v>
      </c>
      <c r="H343" s="3">
        <v>119000</v>
      </c>
      <c r="I343" s="3">
        <v>82110</v>
      </c>
      <c r="J343" s="3">
        <v>108181.81818181818</v>
      </c>
      <c r="K343" s="25">
        <v>61496</v>
      </c>
      <c r="L343" s="25">
        <v>61496</v>
      </c>
    </row>
    <row r="344" spans="1:12" x14ac:dyDescent="0.3">
      <c r="A344" t="s">
        <v>41</v>
      </c>
      <c r="B344">
        <v>20260205995299</v>
      </c>
      <c r="C344" t="s">
        <v>112</v>
      </c>
      <c r="D344">
        <v>58481090</v>
      </c>
      <c r="E344" s="16" t="s">
        <v>7</v>
      </c>
      <c r="F344" s="3">
        <v>1</v>
      </c>
      <c r="G344" s="3">
        <v>119000</v>
      </c>
      <c r="H344" s="3">
        <v>119000</v>
      </c>
      <c r="I344" s="3">
        <v>82110</v>
      </c>
      <c r="J344" s="3">
        <v>108181.81818181818</v>
      </c>
      <c r="K344" s="25">
        <v>61496</v>
      </c>
      <c r="L344" s="25">
        <v>61496</v>
      </c>
    </row>
    <row r="345" spans="1:12" x14ac:dyDescent="0.3">
      <c r="A345" t="s">
        <v>41</v>
      </c>
      <c r="B345">
        <v>20260205995316</v>
      </c>
      <c r="C345" t="s">
        <v>112</v>
      </c>
      <c r="D345">
        <v>58481090</v>
      </c>
      <c r="E345" s="16" t="s">
        <v>7</v>
      </c>
      <c r="F345" s="3">
        <v>1</v>
      </c>
      <c r="G345" s="3">
        <v>119000</v>
      </c>
      <c r="H345" s="3">
        <v>101150</v>
      </c>
      <c r="I345" s="3">
        <v>82110</v>
      </c>
      <c r="J345" s="3">
        <v>91954.545454545441</v>
      </c>
      <c r="K345" s="25">
        <v>61496</v>
      </c>
      <c r="L345" s="25">
        <v>61496</v>
      </c>
    </row>
    <row r="346" spans="1:12" x14ac:dyDescent="0.3">
      <c r="A346" t="s">
        <v>41</v>
      </c>
      <c r="B346">
        <v>20260205994533</v>
      </c>
      <c r="C346" t="s">
        <v>112</v>
      </c>
      <c r="D346">
        <v>58481090</v>
      </c>
      <c r="E346" s="16" t="s">
        <v>7</v>
      </c>
      <c r="F346" s="3">
        <v>1</v>
      </c>
      <c r="G346" s="3">
        <v>119000</v>
      </c>
      <c r="H346" s="3">
        <v>119000</v>
      </c>
      <c r="I346" s="3">
        <v>82110</v>
      </c>
      <c r="J346" s="3">
        <v>108181.81818181818</v>
      </c>
      <c r="K346" s="25">
        <v>61496</v>
      </c>
      <c r="L346" s="25">
        <v>61496</v>
      </c>
    </row>
    <row r="347" spans="1:12" x14ac:dyDescent="0.3">
      <c r="A347" t="s">
        <v>41</v>
      </c>
      <c r="B347">
        <v>20260205993733</v>
      </c>
      <c r="C347" t="s">
        <v>112</v>
      </c>
      <c r="D347">
        <v>58481090</v>
      </c>
      <c r="E347" s="16" t="s">
        <v>7</v>
      </c>
      <c r="F347" s="3">
        <v>1</v>
      </c>
      <c r="G347" s="3">
        <v>119000</v>
      </c>
      <c r="H347" s="3">
        <v>119000</v>
      </c>
      <c r="I347" s="3">
        <v>82110</v>
      </c>
      <c r="J347" s="3">
        <v>108181.81818181818</v>
      </c>
      <c r="K347" s="25">
        <v>61496</v>
      </c>
      <c r="L347" s="25">
        <v>61496</v>
      </c>
    </row>
    <row r="348" spans="1:12" x14ac:dyDescent="0.3">
      <c r="A348" t="s">
        <v>41</v>
      </c>
      <c r="B348">
        <v>20260205994835</v>
      </c>
      <c r="C348" t="s">
        <v>112</v>
      </c>
      <c r="D348">
        <v>58481090</v>
      </c>
      <c r="E348" s="16" t="s">
        <v>7</v>
      </c>
      <c r="F348" s="3">
        <v>1</v>
      </c>
      <c r="G348" s="3">
        <v>119000</v>
      </c>
      <c r="H348" s="3">
        <v>119000</v>
      </c>
      <c r="I348" s="3">
        <v>82110</v>
      </c>
      <c r="J348" s="3">
        <v>108181.81818181818</v>
      </c>
      <c r="K348" s="25">
        <v>61496</v>
      </c>
      <c r="L348" s="25">
        <v>61496</v>
      </c>
    </row>
    <row r="349" spans="1:12" x14ac:dyDescent="0.3">
      <c r="A349" t="s">
        <v>41</v>
      </c>
      <c r="B349">
        <v>20260205994754</v>
      </c>
      <c r="C349" t="s">
        <v>112</v>
      </c>
      <c r="D349">
        <v>58481090</v>
      </c>
      <c r="E349" s="16" t="s">
        <v>7</v>
      </c>
      <c r="F349" s="3">
        <v>1</v>
      </c>
      <c r="G349" s="3">
        <v>119000</v>
      </c>
      <c r="H349" s="3">
        <v>119000</v>
      </c>
      <c r="I349" s="3">
        <v>82110</v>
      </c>
      <c r="J349" s="3">
        <v>108181.81818181818</v>
      </c>
      <c r="K349" s="25">
        <v>61496</v>
      </c>
      <c r="L349" s="25">
        <v>61496</v>
      </c>
    </row>
    <row r="350" spans="1:12" x14ac:dyDescent="0.3">
      <c r="A350" t="s">
        <v>41</v>
      </c>
      <c r="B350">
        <v>20260205993550</v>
      </c>
      <c r="C350" t="s">
        <v>112</v>
      </c>
      <c r="D350">
        <v>58481090</v>
      </c>
      <c r="E350" s="16" t="s">
        <v>7</v>
      </c>
      <c r="F350" s="3">
        <v>1</v>
      </c>
      <c r="G350" s="3">
        <v>119000</v>
      </c>
      <c r="H350" s="3">
        <v>119000</v>
      </c>
      <c r="I350" s="3">
        <v>82110</v>
      </c>
      <c r="J350" s="3">
        <v>108181.81818181818</v>
      </c>
      <c r="K350" s="25">
        <v>61496</v>
      </c>
      <c r="L350" s="25">
        <v>61496</v>
      </c>
    </row>
    <row r="351" spans="1:12" x14ac:dyDescent="0.3">
      <c r="A351" t="s">
        <v>41</v>
      </c>
      <c r="B351">
        <v>20260205992544</v>
      </c>
      <c r="C351" t="s">
        <v>112</v>
      </c>
      <c r="D351">
        <v>58481090</v>
      </c>
      <c r="E351" s="16" t="s">
        <v>7</v>
      </c>
      <c r="F351" s="3">
        <v>1</v>
      </c>
      <c r="G351" s="3">
        <v>119000</v>
      </c>
      <c r="H351" s="3">
        <v>119000</v>
      </c>
      <c r="I351" s="3">
        <v>82110</v>
      </c>
      <c r="J351" s="3">
        <v>108181.81818181818</v>
      </c>
      <c r="K351" s="25">
        <v>61496</v>
      </c>
      <c r="L351" s="25">
        <v>61496</v>
      </c>
    </row>
    <row r="352" spans="1:12" x14ac:dyDescent="0.3">
      <c r="A352" t="s">
        <v>41</v>
      </c>
      <c r="B352">
        <v>20260205992696</v>
      </c>
      <c r="C352" t="s">
        <v>112</v>
      </c>
      <c r="D352">
        <v>58481090</v>
      </c>
      <c r="E352" s="16" t="s">
        <v>7</v>
      </c>
      <c r="F352" s="3">
        <v>1</v>
      </c>
      <c r="G352" s="3">
        <v>119000</v>
      </c>
      <c r="H352" s="3">
        <v>119000</v>
      </c>
      <c r="I352" s="3">
        <v>82110</v>
      </c>
      <c r="J352" s="3">
        <v>108181.81818181818</v>
      </c>
      <c r="K352" s="25">
        <v>61496</v>
      </c>
      <c r="L352" s="25">
        <v>61496</v>
      </c>
    </row>
    <row r="353" spans="1:12" x14ac:dyDescent="0.3">
      <c r="A353" t="s">
        <v>41</v>
      </c>
      <c r="B353">
        <v>20260205992743</v>
      </c>
      <c r="C353" t="s">
        <v>112</v>
      </c>
      <c r="D353">
        <v>58481090</v>
      </c>
      <c r="E353" s="16" t="s">
        <v>7</v>
      </c>
      <c r="F353" s="3">
        <v>1</v>
      </c>
      <c r="G353" s="3">
        <v>119000</v>
      </c>
      <c r="H353" s="3">
        <v>119000</v>
      </c>
      <c r="I353" s="3">
        <v>82110</v>
      </c>
      <c r="J353" s="3">
        <v>108181.81818181818</v>
      </c>
      <c r="K353" s="25">
        <v>61496</v>
      </c>
      <c r="L353" s="25">
        <v>61496</v>
      </c>
    </row>
    <row r="354" spans="1:12" x14ac:dyDescent="0.3">
      <c r="A354" t="s">
        <v>41</v>
      </c>
      <c r="B354">
        <v>20260205992739</v>
      </c>
      <c r="C354" t="s">
        <v>112</v>
      </c>
      <c r="D354">
        <v>58481090</v>
      </c>
      <c r="E354" s="16" t="s">
        <v>7</v>
      </c>
      <c r="F354" s="3">
        <v>1</v>
      </c>
      <c r="G354" s="3">
        <v>119000</v>
      </c>
      <c r="H354" s="3">
        <v>119000</v>
      </c>
      <c r="I354" s="3">
        <v>82110</v>
      </c>
      <c r="J354" s="3">
        <v>108181.81818181818</v>
      </c>
      <c r="K354" s="25">
        <v>61496</v>
      </c>
      <c r="L354" s="25">
        <v>61496</v>
      </c>
    </row>
    <row r="355" spans="1:12" x14ac:dyDescent="0.3">
      <c r="A355" t="s">
        <v>41</v>
      </c>
      <c r="B355">
        <v>20260205992862</v>
      </c>
      <c r="C355" t="s">
        <v>112</v>
      </c>
      <c r="D355">
        <v>58481090</v>
      </c>
      <c r="E355" s="16" t="s">
        <v>7</v>
      </c>
      <c r="F355" s="3">
        <v>1</v>
      </c>
      <c r="G355" s="3">
        <v>119000</v>
      </c>
      <c r="H355" s="3">
        <v>119000</v>
      </c>
      <c r="I355" s="3">
        <v>82110</v>
      </c>
      <c r="J355" s="3">
        <v>108181.81818181818</v>
      </c>
      <c r="K355" s="25">
        <v>61496</v>
      </c>
      <c r="L355" s="25">
        <v>61496</v>
      </c>
    </row>
    <row r="356" spans="1:12" x14ac:dyDescent="0.3">
      <c r="A356" t="s">
        <v>41</v>
      </c>
      <c r="B356">
        <v>20260205993211</v>
      </c>
      <c r="C356" t="s">
        <v>112</v>
      </c>
      <c r="D356">
        <v>58481090</v>
      </c>
      <c r="E356" s="16" t="s">
        <v>7</v>
      </c>
      <c r="F356" s="3">
        <v>1</v>
      </c>
      <c r="G356" s="3">
        <v>119000</v>
      </c>
      <c r="H356" s="3">
        <v>119000</v>
      </c>
      <c r="I356" s="3">
        <v>82110</v>
      </c>
      <c r="J356" s="3">
        <v>108181.81818181818</v>
      </c>
      <c r="K356" s="25">
        <v>61496</v>
      </c>
      <c r="L356" s="25">
        <v>61496</v>
      </c>
    </row>
    <row r="357" spans="1:12" x14ac:dyDescent="0.3">
      <c r="A357" t="s">
        <v>41</v>
      </c>
      <c r="B357">
        <v>20260205993118</v>
      </c>
      <c r="C357" t="s">
        <v>112</v>
      </c>
      <c r="D357">
        <v>58481090</v>
      </c>
      <c r="E357" s="16" t="s">
        <v>7</v>
      </c>
      <c r="F357" s="3">
        <v>1</v>
      </c>
      <c r="G357" s="3">
        <v>119000</v>
      </c>
      <c r="H357" s="3">
        <v>119000</v>
      </c>
      <c r="I357" s="3">
        <v>82110</v>
      </c>
      <c r="J357" s="3">
        <v>108181.81818181818</v>
      </c>
      <c r="K357" s="25">
        <v>61496</v>
      </c>
      <c r="L357" s="25">
        <v>61496</v>
      </c>
    </row>
    <row r="358" spans="1:12" x14ac:dyDescent="0.3">
      <c r="A358" t="s">
        <v>41</v>
      </c>
      <c r="B358">
        <v>20260205993605</v>
      </c>
      <c r="C358" t="s">
        <v>112</v>
      </c>
      <c r="D358">
        <v>58481090</v>
      </c>
      <c r="E358" s="16" t="s">
        <v>7</v>
      </c>
      <c r="F358" s="3">
        <v>1</v>
      </c>
      <c r="G358" s="3">
        <v>119000</v>
      </c>
      <c r="H358" s="3">
        <v>119000</v>
      </c>
      <c r="I358" s="3">
        <v>82110</v>
      </c>
      <c r="J358" s="3">
        <v>108181.81818181818</v>
      </c>
      <c r="K358" s="25">
        <v>61496</v>
      </c>
      <c r="L358" s="25">
        <v>61496</v>
      </c>
    </row>
    <row r="359" spans="1:12" x14ac:dyDescent="0.3">
      <c r="A359" t="s">
        <v>41</v>
      </c>
      <c r="B359">
        <v>20260205995566</v>
      </c>
      <c r="C359" t="s">
        <v>112</v>
      </c>
      <c r="D359">
        <v>58481090</v>
      </c>
      <c r="E359" s="16" t="s">
        <v>7</v>
      </c>
      <c r="F359" s="3">
        <v>1</v>
      </c>
      <c r="G359" s="3">
        <v>119000</v>
      </c>
      <c r="H359" s="3">
        <v>119000</v>
      </c>
      <c r="I359" s="3">
        <v>82110</v>
      </c>
      <c r="J359" s="3">
        <v>108181.81818181818</v>
      </c>
      <c r="K359" s="25">
        <v>61496</v>
      </c>
      <c r="L359" s="25">
        <v>61496</v>
      </c>
    </row>
    <row r="360" spans="1:12" x14ac:dyDescent="0.3">
      <c r="A360" t="s">
        <v>41</v>
      </c>
      <c r="B360">
        <v>20260205995554</v>
      </c>
      <c r="C360" t="s">
        <v>112</v>
      </c>
      <c r="D360">
        <v>58481090</v>
      </c>
      <c r="E360" s="16" t="s">
        <v>7</v>
      </c>
      <c r="F360" s="3">
        <v>1</v>
      </c>
      <c r="G360" s="3">
        <v>119000</v>
      </c>
      <c r="H360" s="3">
        <v>119000</v>
      </c>
      <c r="I360" s="3">
        <v>82110</v>
      </c>
      <c r="J360" s="3">
        <v>108181.81818181818</v>
      </c>
      <c r="K360" s="25">
        <v>61496</v>
      </c>
      <c r="L360" s="25">
        <v>61496</v>
      </c>
    </row>
    <row r="361" spans="1:12" x14ac:dyDescent="0.3">
      <c r="A361" t="s">
        <v>41</v>
      </c>
      <c r="B361">
        <v>20260205995721</v>
      </c>
      <c r="C361" t="s">
        <v>112</v>
      </c>
      <c r="D361">
        <v>58481090</v>
      </c>
      <c r="E361" s="16" t="s">
        <v>7</v>
      </c>
      <c r="F361" s="3">
        <v>1</v>
      </c>
      <c r="G361" s="3">
        <v>119000</v>
      </c>
      <c r="H361" s="3">
        <v>99960</v>
      </c>
      <c r="I361" s="3">
        <v>82110</v>
      </c>
      <c r="J361" s="3">
        <v>90872.727272727265</v>
      </c>
      <c r="K361" s="25">
        <v>61496</v>
      </c>
      <c r="L361" s="25">
        <v>61496</v>
      </c>
    </row>
    <row r="362" spans="1:12" x14ac:dyDescent="0.3">
      <c r="A362" t="s">
        <v>41</v>
      </c>
      <c r="B362">
        <v>20260205995702</v>
      </c>
      <c r="C362" t="s">
        <v>112</v>
      </c>
      <c r="D362">
        <v>58481090</v>
      </c>
      <c r="E362" s="16" t="s">
        <v>7</v>
      </c>
      <c r="F362" s="3">
        <v>1</v>
      </c>
      <c r="G362" s="3">
        <v>119000</v>
      </c>
      <c r="H362" s="3">
        <v>109000</v>
      </c>
      <c r="I362" s="3">
        <v>82110</v>
      </c>
      <c r="J362" s="3">
        <v>99090.909090909074</v>
      </c>
      <c r="K362" s="25">
        <v>61496</v>
      </c>
      <c r="L362" s="25">
        <v>61496</v>
      </c>
    </row>
    <row r="363" spans="1:12" x14ac:dyDescent="0.3">
      <c r="A363" t="s">
        <v>41</v>
      </c>
      <c r="B363">
        <v>20260205994054</v>
      </c>
      <c r="C363" t="s">
        <v>112</v>
      </c>
      <c r="D363">
        <v>58481090</v>
      </c>
      <c r="E363" s="16" t="s">
        <v>7</v>
      </c>
      <c r="F363" s="3">
        <v>1</v>
      </c>
      <c r="G363" s="3">
        <v>119000</v>
      </c>
      <c r="H363" s="3">
        <v>119000</v>
      </c>
      <c r="I363" s="3">
        <v>82110</v>
      </c>
      <c r="J363" s="3">
        <v>108181.81818181818</v>
      </c>
      <c r="K363" s="25">
        <v>61496</v>
      </c>
      <c r="L363" s="25">
        <v>61496</v>
      </c>
    </row>
    <row r="364" spans="1:12" x14ac:dyDescent="0.3">
      <c r="A364" t="s">
        <v>41</v>
      </c>
      <c r="B364">
        <v>20260205995169</v>
      </c>
      <c r="C364" t="s">
        <v>112</v>
      </c>
      <c r="D364">
        <v>58481090</v>
      </c>
      <c r="E364" s="16" t="s">
        <v>7</v>
      </c>
      <c r="F364" s="3">
        <v>1</v>
      </c>
      <c r="G364" s="3">
        <v>119000</v>
      </c>
      <c r="H364" s="3">
        <v>119000</v>
      </c>
      <c r="I364" s="3">
        <v>82110</v>
      </c>
      <c r="J364" s="3">
        <v>108181.81818181818</v>
      </c>
      <c r="K364" s="25">
        <v>61496</v>
      </c>
      <c r="L364" s="25">
        <v>61496</v>
      </c>
    </row>
    <row r="365" spans="1:12" x14ac:dyDescent="0.3">
      <c r="A365" t="s">
        <v>41</v>
      </c>
      <c r="B365">
        <v>20260205995271</v>
      </c>
      <c r="C365" t="s">
        <v>112</v>
      </c>
      <c r="D365">
        <v>58481090</v>
      </c>
      <c r="E365" s="16" t="s">
        <v>7</v>
      </c>
      <c r="F365" s="3">
        <v>1</v>
      </c>
      <c r="G365" s="3">
        <v>119000</v>
      </c>
      <c r="H365" s="3">
        <v>119000</v>
      </c>
      <c r="I365" s="3">
        <v>82110</v>
      </c>
      <c r="J365" s="3">
        <v>108181.81818181818</v>
      </c>
      <c r="K365" s="25">
        <v>61496</v>
      </c>
      <c r="L365" s="25">
        <v>61496</v>
      </c>
    </row>
    <row r="366" spans="1:12" x14ac:dyDescent="0.3">
      <c r="A366" t="s">
        <v>41</v>
      </c>
      <c r="B366">
        <v>20260205994328</v>
      </c>
      <c r="C366" t="s">
        <v>112</v>
      </c>
      <c r="D366">
        <v>58481090</v>
      </c>
      <c r="E366" s="16" t="s">
        <v>7</v>
      </c>
      <c r="F366" s="3">
        <v>1</v>
      </c>
      <c r="G366" s="3">
        <v>119000</v>
      </c>
      <c r="H366" s="3">
        <v>119000</v>
      </c>
      <c r="I366" s="3">
        <v>82110</v>
      </c>
      <c r="J366" s="3">
        <v>108181.81818181818</v>
      </c>
      <c r="K366" s="25">
        <v>61496</v>
      </c>
      <c r="L366" s="25">
        <v>61496</v>
      </c>
    </row>
    <row r="367" spans="1:12" x14ac:dyDescent="0.3">
      <c r="A367" t="s">
        <v>41</v>
      </c>
      <c r="B367">
        <v>20260205994951</v>
      </c>
      <c r="C367" t="s">
        <v>112</v>
      </c>
      <c r="D367">
        <v>58481090</v>
      </c>
      <c r="E367" s="16" t="s">
        <v>7</v>
      </c>
      <c r="F367" s="3">
        <v>1</v>
      </c>
      <c r="G367" s="3">
        <v>119000</v>
      </c>
      <c r="H367" s="3">
        <v>119000</v>
      </c>
      <c r="I367" s="3">
        <v>82110</v>
      </c>
      <c r="J367" s="3">
        <v>108181.81818181818</v>
      </c>
      <c r="K367" s="25">
        <v>61496</v>
      </c>
      <c r="L367" s="25">
        <v>61496</v>
      </c>
    </row>
    <row r="368" spans="1:12" x14ac:dyDescent="0.3">
      <c r="A368" t="s">
        <v>41</v>
      </c>
      <c r="B368">
        <v>20260205994702</v>
      </c>
      <c r="C368" t="s">
        <v>112</v>
      </c>
      <c r="D368">
        <v>58481090</v>
      </c>
      <c r="E368" s="16" t="s">
        <v>7</v>
      </c>
      <c r="F368" s="3">
        <v>1</v>
      </c>
      <c r="G368" s="3">
        <v>119000</v>
      </c>
      <c r="H368" s="3">
        <v>119000</v>
      </c>
      <c r="I368" s="3">
        <v>82110</v>
      </c>
      <c r="J368" s="3">
        <v>108181.81818181818</v>
      </c>
      <c r="K368" s="25">
        <v>61496</v>
      </c>
      <c r="L368" s="25">
        <v>61496</v>
      </c>
    </row>
    <row r="369" spans="1:12" x14ac:dyDescent="0.3">
      <c r="A369" t="s">
        <v>41</v>
      </c>
      <c r="B369">
        <v>20260205994682</v>
      </c>
      <c r="C369" t="s">
        <v>112</v>
      </c>
      <c r="D369">
        <v>58481090</v>
      </c>
      <c r="E369" s="16" t="s">
        <v>7</v>
      </c>
      <c r="F369" s="3">
        <v>1</v>
      </c>
      <c r="G369" s="3">
        <v>119000</v>
      </c>
      <c r="H369" s="3">
        <v>109000</v>
      </c>
      <c r="I369" s="3">
        <v>82110</v>
      </c>
      <c r="J369" s="3">
        <v>99090.909090909074</v>
      </c>
      <c r="K369" s="25">
        <v>61496</v>
      </c>
      <c r="L369" s="25">
        <v>61496</v>
      </c>
    </row>
    <row r="370" spans="1:12" x14ac:dyDescent="0.3">
      <c r="A370" t="s">
        <v>41</v>
      </c>
      <c r="B370">
        <v>20260205994827</v>
      </c>
      <c r="C370" t="s">
        <v>112</v>
      </c>
      <c r="D370">
        <v>58481090</v>
      </c>
      <c r="E370" s="16" t="s">
        <v>7</v>
      </c>
      <c r="F370" s="3">
        <v>1</v>
      </c>
      <c r="G370" s="3">
        <v>119000</v>
      </c>
      <c r="H370" s="3">
        <v>119000</v>
      </c>
      <c r="I370" s="3">
        <v>82110</v>
      </c>
      <c r="J370" s="3">
        <v>108181.81818181818</v>
      </c>
      <c r="K370" s="25">
        <v>61496</v>
      </c>
      <c r="L370" s="25">
        <v>61496</v>
      </c>
    </row>
    <row r="371" spans="1:12" x14ac:dyDescent="0.3">
      <c r="A371" t="s">
        <v>41</v>
      </c>
      <c r="B371">
        <v>20260205993834</v>
      </c>
      <c r="C371" t="s">
        <v>112</v>
      </c>
      <c r="D371">
        <v>58481090</v>
      </c>
      <c r="E371" s="16" t="s">
        <v>7</v>
      </c>
      <c r="F371" s="3">
        <v>1</v>
      </c>
      <c r="G371" s="3">
        <v>119000</v>
      </c>
      <c r="H371" s="3">
        <v>119000</v>
      </c>
      <c r="I371" s="3">
        <v>82110</v>
      </c>
      <c r="J371" s="3">
        <v>108181.81818181818</v>
      </c>
      <c r="K371" s="25">
        <v>61496</v>
      </c>
      <c r="L371" s="25">
        <v>61496</v>
      </c>
    </row>
    <row r="372" spans="1:12" x14ac:dyDescent="0.3">
      <c r="A372" t="s">
        <v>41</v>
      </c>
      <c r="B372">
        <v>20260205994440</v>
      </c>
      <c r="C372" t="s">
        <v>112</v>
      </c>
      <c r="D372">
        <v>58481090</v>
      </c>
      <c r="E372" s="16" t="s">
        <v>7</v>
      </c>
      <c r="F372" s="3">
        <v>1</v>
      </c>
      <c r="G372" s="3">
        <v>119000</v>
      </c>
      <c r="H372" s="3">
        <v>109000</v>
      </c>
      <c r="I372" s="3">
        <v>82110</v>
      </c>
      <c r="J372" s="3">
        <v>99090.909090909074</v>
      </c>
      <c r="K372" s="25">
        <v>61496</v>
      </c>
      <c r="L372" s="25">
        <v>61496</v>
      </c>
    </row>
    <row r="373" spans="1:12" x14ac:dyDescent="0.3">
      <c r="A373" t="s">
        <v>41</v>
      </c>
      <c r="B373">
        <v>20260205002208</v>
      </c>
      <c r="C373" t="s">
        <v>112</v>
      </c>
      <c r="D373">
        <v>58481090</v>
      </c>
      <c r="E373" s="16" t="s">
        <v>7</v>
      </c>
      <c r="F373" s="3">
        <v>1</v>
      </c>
      <c r="G373" s="3">
        <v>119000</v>
      </c>
      <c r="H373" s="3">
        <v>119000</v>
      </c>
      <c r="I373" s="3">
        <v>82110</v>
      </c>
      <c r="J373" s="3">
        <v>108181.81818181818</v>
      </c>
      <c r="K373" s="25">
        <v>61496</v>
      </c>
      <c r="L373" s="25">
        <v>61496</v>
      </c>
    </row>
    <row r="374" spans="1:12" x14ac:dyDescent="0.3">
      <c r="A374" t="s">
        <v>41</v>
      </c>
      <c r="B374">
        <v>20260205995362</v>
      </c>
      <c r="C374" t="s">
        <v>112</v>
      </c>
      <c r="D374">
        <v>58481090</v>
      </c>
      <c r="E374" s="16" t="s">
        <v>7</v>
      </c>
      <c r="F374" s="3">
        <v>1</v>
      </c>
      <c r="G374" s="3">
        <v>119000</v>
      </c>
      <c r="H374" s="3">
        <v>119000</v>
      </c>
      <c r="I374" s="3">
        <v>82110</v>
      </c>
      <c r="J374" s="3">
        <v>108181.81818181818</v>
      </c>
      <c r="K374" s="25">
        <v>61496</v>
      </c>
      <c r="L374" s="25">
        <v>61496</v>
      </c>
    </row>
    <row r="375" spans="1:12" x14ac:dyDescent="0.3">
      <c r="A375" t="s">
        <v>41</v>
      </c>
      <c r="B375">
        <v>20260205993973</v>
      </c>
      <c r="C375" t="s">
        <v>112</v>
      </c>
      <c r="D375">
        <v>58481090</v>
      </c>
      <c r="E375" s="16" t="s">
        <v>7</v>
      </c>
      <c r="F375" s="3">
        <v>1</v>
      </c>
      <c r="G375" s="3">
        <v>119000</v>
      </c>
      <c r="H375" s="3">
        <v>119000</v>
      </c>
      <c r="I375" s="3">
        <v>82110</v>
      </c>
      <c r="J375" s="3">
        <v>108181.81818181818</v>
      </c>
      <c r="K375" s="25">
        <v>61496</v>
      </c>
      <c r="L375" s="25">
        <v>61496</v>
      </c>
    </row>
    <row r="376" spans="1:12" x14ac:dyDescent="0.3">
      <c r="A376" t="s">
        <v>41</v>
      </c>
      <c r="B376">
        <v>20260205994109</v>
      </c>
      <c r="C376" t="s">
        <v>112</v>
      </c>
      <c r="D376">
        <v>58481090</v>
      </c>
      <c r="E376" s="16" t="s">
        <v>7</v>
      </c>
      <c r="F376" s="3">
        <v>1</v>
      </c>
      <c r="G376" s="3">
        <v>119000</v>
      </c>
      <c r="H376" s="3">
        <v>119000</v>
      </c>
      <c r="I376" s="3">
        <v>82110</v>
      </c>
      <c r="J376" s="3">
        <v>108181.81818181818</v>
      </c>
      <c r="K376" s="25">
        <v>61496</v>
      </c>
      <c r="L376" s="25">
        <v>61496</v>
      </c>
    </row>
    <row r="377" spans="1:12" x14ac:dyDescent="0.3">
      <c r="A377" t="s">
        <v>41</v>
      </c>
      <c r="B377">
        <v>20260205995200</v>
      </c>
      <c r="C377" t="s">
        <v>112</v>
      </c>
      <c r="D377">
        <v>58481090</v>
      </c>
      <c r="E377" s="16" t="s">
        <v>7</v>
      </c>
      <c r="F377" s="3">
        <v>1</v>
      </c>
      <c r="G377" s="3">
        <v>119000</v>
      </c>
      <c r="H377" s="3">
        <v>119000</v>
      </c>
      <c r="I377" s="3">
        <v>82110</v>
      </c>
      <c r="J377" s="3">
        <v>108181.81818181818</v>
      </c>
      <c r="K377" s="25">
        <v>61496</v>
      </c>
      <c r="L377" s="25">
        <v>61496</v>
      </c>
    </row>
    <row r="378" spans="1:12" x14ac:dyDescent="0.3">
      <c r="A378" t="s">
        <v>41</v>
      </c>
      <c r="B378">
        <v>20260205994357</v>
      </c>
      <c r="C378" t="s">
        <v>112</v>
      </c>
      <c r="D378">
        <v>58481090</v>
      </c>
      <c r="E378" s="16" t="s">
        <v>7</v>
      </c>
      <c r="F378" s="3">
        <v>1</v>
      </c>
      <c r="G378" s="3">
        <v>119000</v>
      </c>
      <c r="H378" s="3">
        <v>119000</v>
      </c>
      <c r="I378" s="3">
        <v>82110</v>
      </c>
      <c r="J378" s="3">
        <v>108181.81818181818</v>
      </c>
      <c r="K378" s="25">
        <v>61496</v>
      </c>
      <c r="L378" s="25">
        <v>61496</v>
      </c>
    </row>
    <row r="379" spans="1:12" x14ac:dyDescent="0.3">
      <c r="A379" t="s">
        <v>41</v>
      </c>
      <c r="B379">
        <v>20260205994598</v>
      </c>
      <c r="C379" t="s">
        <v>112</v>
      </c>
      <c r="D379">
        <v>58481090</v>
      </c>
      <c r="E379" s="16" t="s">
        <v>7</v>
      </c>
      <c r="F379" s="3">
        <v>1</v>
      </c>
      <c r="G379" s="3">
        <v>119000</v>
      </c>
      <c r="H379" s="3">
        <v>119000</v>
      </c>
      <c r="I379" s="3">
        <v>82110</v>
      </c>
      <c r="J379" s="3">
        <v>108181.81818181818</v>
      </c>
      <c r="K379" s="25">
        <v>61496</v>
      </c>
      <c r="L379" s="25">
        <v>61496</v>
      </c>
    </row>
    <row r="380" spans="1:12" x14ac:dyDescent="0.3">
      <c r="A380" t="s">
        <v>41</v>
      </c>
      <c r="B380">
        <v>20260205993542</v>
      </c>
      <c r="C380" t="s">
        <v>112</v>
      </c>
      <c r="D380">
        <v>58481090</v>
      </c>
      <c r="E380" s="16" t="s">
        <v>7</v>
      </c>
      <c r="F380" s="3">
        <v>1</v>
      </c>
      <c r="G380" s="3">
        <v>119000</v>
      </c>
      <c r="H380" s="3">
        <v>119000</v>
      </c>
      <c r="I380" s="3">
        <v>82110</v>
      </c>
      <c r="J380" s="3">
        <v>108181.81818181818</v>
      </c>
      <c r="K380" s="25">
        <v>61496</v>
      </c>
      <c r="L380" s="25">
        <v>61496</v>
      </c>
    </row>
    <row r="381" spans="1:12" x14ac:dyDescent="0.3">
      <c r="A381" t="s">
        <v>41</v>
      </c>
      <c r="B381">
        <v>20260205994528</v>
      </c>
      <c r="C381" t="s">
        <v>112</v>
      </c>
      <c r="D381">
        <v>58481090</v>
      </c>
      <c r="E381" s="16" t="s">
        <v>7</v>
      </c>
      <c r="F381" s="3">
        <v>1</v>
      </c>
      <c r="G381" s="3">
        <v>119000</v>
      </c>
      <c r="H381" s="3">
        <v>119000</v>
      </c>
      <c r="I381" s="3">
        <v>82110</v>
      </c>
      <c r="J381" s="3">
        <v>108181.81818181818</v>
      </c>
      <c r="K381" s="25">
        <v>61496</v>
      </c>
      <c r="L381" s="25">
        <v>61496</v>
      </c>
    </row>
    <row r="382" spans="1:12" x14ac:dyDescent="0.3">
      <c r="A382" t="s">
        <v>41</v>
      </c>
      <c r="B382">
        <v>20260205994528</v>
      </c>
      <c r="C382" t="s">
        <v>112</v>
      </c>
      <c r="D382">
        <v>58481090</v>
      </c>
      <c r="E382" s="16" t="s">
        <v>7</v>
      </c>
      <c r="F382" s="3">
        <v>1</v>
      </c>
      <c r="G382" s="3">
        <v>119000</v>
      </c>
      <c r="H382" s="3">
        <v>119000</v>
      </c>
      <c r="I382" s="3">
        <v>82110</v>
      </c>
      <c r="J382" s="3">
        <v>108181.81818181818</v>
      </c>
      <c r="K382" s="25">
        <v>61496</v>
      </c>
      <c r="L382" s="25">
        <v>61496</v>
      </c>
    </row>
    <row r="383" spans="1:12" x14ac:dyDescent="0.3">
      <c r="A383" t="s">
        <v>41</v>
      </c>
      <c r="B383">
        <v>20260205994942</v>
      </c>
      <c r="C383" t="s">
        <v>112</v>
      </c>
      <c r="D383">
        <v>58481090</v>
      </c>
      <c r="E383" s="16" t="s">
        <v>7</v>
      </c>
      <c r="F383" s="3">
        <v>1</v>
      </c>
      <c r="G383" s="3">
        <v>119000</v>
      </c>
      <c r="H383" s="3">
        <v>99960</v>
      </c>
      <c r="I383" s="3">
        <v>82110</v>
      </c>
      <c r="J383" s="3">
        <v>90872.727272727265</v>
      </c>
      <c r="K383" s="25">
        <v>61496</v>
      </c>
      <c r="L383" s="25">
        <v>61496</v>
      </c>
    </row>
    <row r="384" spans="1:12" x14ac:dyDescent="0.3">
      <c r="A384" t="s">
        <v>41</v>
      </c>
      <c r="B384">
        <v>20260205994610</v>
      </c>
      <c r="C384" t="s">
        <v>112</v>
      </c>
      <c r="D384">
        <v>58481090</v>
      </c>
      <c r="E384" s="16" t="s">
        <v>7</v>
      </c>
      <c r="F384" s="3">
        <v>1</v>
      </c>
      <c r="G384" s="3">
        <v>119000</v>
      </c>
      <c r="H384" s="3">
        <v>109000</v>
      </c>
      <c r="I384" s="3">
        <v>82110</v>
      </c>
      <c r="J384" s="3">
        <v>99090.909090909074</v>
      </c>
      <c r="K384" s="25">
        <v>61496</v>
      </c>
      <c r="L384" s="25">
        <v>61496</v>
      </c>
    </row>
    <row r="385" spans="1:12" x14ac:dyDescent="0.3">
      <c r="A385" t="s">
        <v>41</v>
      </c>
      <c r="B385">
        <v>20260205992392</v>
      </c>
      <c r="C385" t="s">
        <v>112</v>
      </c>
      <c r="D385">
        <v>58481090</v>
      </c>
      <c r="E385" s="16" t="s">
        <v>7</v>
      </c>
      <c r="F385" s="3">
        <v>1</v>
      </c>
      <c r="G385" s="3">
        <v>119000</v>
      </c>
      <c r="H385" s="3">
        <v>119000</v>
      </c>
      <c r="I385" s="3">
        <v>82110</v>
      </c>
      <c r="J385" s="3">
        <v>108181.81818181818</v>
      </c>
      <c r="K385" s="25">
        <v>61496</v>
      </c>
      <c r="L385" s="25">
        <v>61496</v>
      </c>
    </row>
    <row r="386" spans="1:12" x14ac:dyDescent="0.3">
      <c r="A386" t="s">
        <v>41</v>
      </c>
      <c r="B386">
        <v>20260205993376</v>
      </c>
      <c r="C386" t="s">
        <v>112</v>
      </c>
      <c r="D386">
        <v>58481090</v>
      </c>
      <c r="E386" s="16" t="s">
        <v>7</v>
      </c>
      <c r="F386" s="3">
        <v>1</v>
      </c>
      <c r="G386" s="3">
        <v>119000</v>
      </c>
      <c r="H386" s="3">
        <v>113050</v>
      </c>
      <c r="I386" s="3">
        <v>82110</v>
      </c>
      <c r="J386" s="3">
        <v>102772.72727272726</v>
      </c>
      <c r="K386" s="25">
        <v>61496</v>
      </c>
      <c r="L386" s="25">
        <v>61496</v>
      </c>
    </row>
    <row r="387" spans="1:12" x14ac:dyDescent="0.3">
      <c r="A387" t="s">
        <v>41</v>
      </c>
      <c r="B387">
        <v>20260205995534</v>
      </c>
      <c r="C387" t="s">
        <v>112</v>
      </c>
      <c r="D387">
        <v>58481090</v>
      </c>
      <c r="E387" s="16" t="s">
        <v>7</v>
      </c>
      <c r="F387" s="3">
        <v>1</v>
      </c>
      <c r="G387" s="3">
        <v>119000</v>
      </c>
      <c r="H387" s="3">
        <v>119000</v>
      </c>
      <c r="I387" s="3">
        <v>82110</v>
      </c>
      <c r="J387" s="3">
        <v>108181.81818181818</v>
      </c>
      <c r="K387" s="25">
        <v>61496</v>
      </c>
      <c r="L387" s="25">
        <v>61496</v>
      </c>
    </row>
    <row r="388" spans="1:12" x14ac:dyDescent="0.3">
      <c r="A388" t="s">
        <v>41</v>
      </c>
      <c r="B388">
        <v>20260205992635</v>
      </c>
      <c r="C388" t="s">
        <v>112</v>
      </c>
      <c r="D388">
        <v>58481090</v>
      </c>
      <c r="E388" s="16" t="s">
        <v>7</v>
      </c>
      <c r="F388" s="3">
        <v>1</v>
      </c>
      <c r="G388" s="3">
        <v>119000</v>
      </c>
      <c r="H388" s="3">
        <v>119000</v>
      </c>
      <c r="I388" s="3">
        <v>82110</v>
      </c>
      <c r="J388" s="3">
        <v>108181.81818181818</v>
      </c>
      <c r="K388" s="25">
        <v>61496</v>
      </c>
      <c r="L388" s="25">
        <v>61496</v>
      </c>
    </row>
    <row r="389" spans="1:12" x14ac:dyDescent="0.3">
      <c r="A389" t="s">
        <v>41</v>
      </c>
      <c r="B389">
        <v>20260205993273</v>
      </c>
      <c r="C389" t="s">
        <v>112</v>
      </c>
      <c r="D389">
        <v>58481090</v>
      </c>
      <c r="E389" s="16" t="s">
        <v>7</v>
      </c>
      <c r="F389" s="3">
        <v>1</v>
      </c>
      <c r="G389" s="3">
        <v>119000</v>
      </c>
      <c r="H389" s="3">
        <v>119000</v>
      </c>
      <c r="I389" s="3">
        <v>82110</v>
      </c>
      <c r="J389" s="3">
        <v>108181.81818181818</v>
      </c>
      <c r="K389" s="25">
        <v>61496</v>
      </c>
      <c r="L389" s="25">
        <v>61496</v>
      </c>
    </row>
    <row r="390" spans="1:12" x14ac:dyDescent="0.3">
      <c r="A390" t="s">
        <v>41</v>
      </c>
      <c r="B390">
        <v>20260205993601</v>
      </c>
      <c r="C390" t="s">
        <v>112</v>
      </c>
      <c r="D390">
        <v>58481090</v>
      </c>
      <c r="E390" s="16" t="s">
        <v>7</v>
      </c>
      <c r="F390" s="3">
        <v>1</v>
      </c>
      <c r="G390" s="3">
        <v>119000</v>
      </c>
      <c r="H390" s="3">
        <v>119000</v>
      </c>
      <c r="I390" s="3">
        <v>82110</v>
      </c>
      <c r="J390" s="3">
        <v>108181.81818181818</v>
      </c>
      <c r="K390" s="25">
        <v>61496</v>
      </c>
      <c r="L390" s="25">
        <v>61496</v>
      </c>
    </row>
    <row r="391" spans="1:12" x14ac:dyDescent="0.3">
      <c r="A391" t="s">
        <v>41</v>
      </c>
      <c r="B391">
        <v>20260205995425</v>
      </c>
      <c r="C391" t="s">
        <v>112</v>
      </c>
      <c r="D391">
        <v>58481090</v>
      </c>
      <c r="E391" s="16" t="s">
        <v>7</v>
      </c>
      <c r="F391" s="3">
        <v>1</v>
      </c>
      <c r="G391" s="3">
        <v>119000</v>
      </c>
      <c r="H391" s="3">
        <v>119000</v>
      </c>
      <c r="I391" s="3">
        <v>82110</v>
      </c>
      <c r="J391" s="3">
        <v>108181.81818181818</v>
      </c>
      <c r="K391" s="25">
        <v>61496</v>
      </c>
      <c r="L391" s="25">
        <v>61496</v>
      </c>
    </row>
    <row r="392" spans="1:12" x14ac:dyDescent="0.3">
      <c r="A392" t="s">
        <v>41</v>
      </c>
      <c r="B392">
        <v>20260205995563</v>
      </c>
      <c r="C392" t="s">
        <v>112</v>
      </c>
      <c r="D392">
        <v>58481090</v>
      </c>
      <c r="E392" s="16" t="s">
        <v>7</v>
      </c>
      <c r="F392" s="3">
        <v>1</v>
      </c>
      <c r="G392" s="3">
        <v>119000</v>
      </c>
      <c r="H392" s="3">
        <v>119000</v>
      </c>
      <c r="I392" s="3">
        <v>82110</v>
      </c>
      <c r="J392" s="3">
        <v>108181.81818181818</v>
      </c>
      <c r="K392" s="25">
        <v>61496</v>
      </c>
      <c r="L392" s="25">
        <v>61496</v>
      </c>
    </row>
    <row r="393" spans="1:12" x14ac:dyDescent="0.3">
      <c r="A393" t="s">
        <v>41</v>
      </c>
      <c r="B393">
        <v>20260205994033</v>
      </c>
      <c r="C393" t="s">
        <v>112</v>
      </c>
      <c r="D393">
        <v>58481090</v>
      </c>
      <c r="E393" s="16" t="s">
        <v>7</v>
      </c>
      <c r="F393" s="3">
        <v>1</v>
      </c>
      <c r="G393" s="3">
        <v>119000</v>
      </c>
      <c r="H393" s="3">
        <v>119000</v>
      </c>
      <c r="I393" s="3">
        <v>82110</v>
      </c>
      <c r="J393" s="3">
        <v>108181.81818181818</v>
      </c>
      <c r="K393" s="25">
        <v>61496</v>
      </c>
      <c r="L393" s="25">
        <v>61496</v>
      </c>
    </row>
    <row r="394" spans="1:12" x14ac:dyDescent="0.3">
      <c r="A394" t="s">
        <v>41</v>
      </c>
      <c r="B394">
        <v>20260205994274</v>
      </c>
      <c r="C394" t="s">
        <v>112</v>
      </c>
      <c r="D394">
        <v>58481090</v>
      </c>
      <c r="E394" s="16" t="s">
        <v>7</v>
      </c>
      <c r="F394" s="3">
        <v>1</v>
      </c>
      <c r="G394" s="3">
        <v>119000</v>
      </c>
      <c r="H394" s="3">
        <v>109000</v>
      </c>
      <c r="I394" s="3">
        <v>82110</v>
      </c>
      <c r="J394" s="3">
        <v>99090.909090909074</v>
      </c>
      <c r="K394" s="25">
        <v>61496</v>
      </c>
      <c r="L394" s="25">
        <v>61496</v>
      </c>
    </row>
    <row r="395" spans="1:12" x14ac:dyDescent="0.3">
      <c r="A395" t="s">
        <v>41</v>
      </c>
      <c r="B395">
        <v>20260205993726</v>
      </c>
      <c r="C395" t="s">
        <v>112</v>
      </c>
      <c r="D395">
        <v>58481090</v>
      </c>
      <c r="E395" s="16" t="s">
        <v>7</v>
      </c>
      <c r="F395" s="3">
        <v>1</v>
      </c>
      <c r="G395" s="3">
        <v>119000</v>
      </c>
      <c r="H395" s="3">
        <v>113050</v>
      </c>
      <c r="I395" s="3">
        <v>82110</v>
      </c>
      <c r="J395" s="3">
        <v>102772.72727272726</v>
      </c>
      <c r="K395" s="25">
        <v>61496</v>
      </c>
      <c r="L395" s="25">
        <v>61496</v>
      </c>
    </row>
    <row r="396" spans="1:12" x14ac:dyDescent="0.3">
      <c r="A396" t="s">
        <v>41</v>
      </c>
      <c r="B396">
        <v>20260205993741</v>
      </c>
      <c r="C396" t="s">
        <v>112</v>
      </c>
      <c r="D396">
        <v>58481090</v>
      </c>
      <c r="E396" s="16" t="s">
        <v>7</v>
      </c>
      <c r="F396" s="3">
        <v>1</v>
      </c>
      <c r="G396" s="3">
        <v>119000</v>
      </c>
      <c r="H396" s="3">
        <v>119000</v>
      </c>
      <c r="I396" s="3">
        <v>82110</v>
      </c>
      <c r="J396" s="3">
        <v>108181.81818181818</v>
      </c>
      <c r="K396" s="25">
        <v>61496</v>
      </c>
      <c r="L396" s="25">
        <v>61496</v>
      </c>
    </row>
    <row r="397" spans="1:12" x14ac:dyDescent="0.3">
      <c r="A397" t="s">
        <v>41</v>
      </c>
      <c r="B397">
        <v>20260205992788</v>
      </c>
      <c r="C397" t="s">
        <v>112</v>
      </c>
      <c r="D397">
        <v>58481090</v>
      </c>
      <c r="E397" s="16" t="s">
        <v>7</v>
      </c>
      <c r="F397" s="3">
        <v>1</v>
      </c>
      <c r="G397" s="3">
        <v>119000</v>
      </c>
      <c r="H397" s="3">
        <v>119000</v>
      </c>
      <c r="I397" s="3">
        <v>82110</v>
      </c>
      <c r="J397" s="3">
        <v>108181.81818181818</v>
      </c>
      <c r="K397" s="25">
        <v>61496</v>
      </c>
      <c r="L397" s="25">
        <v>61496</v>
      </c>
    </row>
    <row r="398" spans="1:12" x14ac:dyDescent="0.3">
      <c r="A398" t="s">
        <v>41</v>
      </c>
      <c r="B398">
        <v>20260205993377</v>
      </c>
      <c r="C398" t="s">
        <v>112</v>
      </c>
      <c r="D398">
        <v>58481090</v>
      </c>
      <c r="E398" s="16" t="s">
        <v>7</v>
      </c>
      <c r="F398" s="3">
        <v>1</v>
      </c>
      <c r="G398" s="3">
        <v>119000</v>
      </c>
      <c r="H398" s="3">
        <v>113050</v>
      </c>
      <c r="I398" s="3">
        <v>82110</v>
      </c>
      <c r="J398" s="3">
        <v>102772.72727272726</v>
      </c>
      <c r="K398" s="25">
        <v>61496</v>
      </c>
      <c r="L398" s="25">
        <v>61496</v>
      </c>
    </row>
    <row r="399" spans="1:12" x14ac:dyDescent="0.3">
      <c r="A399" t="s">
        <v>41</v>
      </c>
      <c r="B399">
        <v>20260205002373</v>
      </c>
      <c r="C399" t="s">
        <v>112</v>
      </c>
      <c r="D399">
        <v>58481090</v>
      </c>
      <c r="E399" s="16" t="s">
        <v>7</v>
      </c>
      <c r="F399" s="3">
        <v>1</v>
      </c>
      <c r="G399" s="3">
        <v>119000</v>
      </c>
      <c r="H399" s="3">
        <v>119000</v>
      </c>
      <c r="I399" s="3">
        <v>82110</v>
      </c>
      <c r="J399" s="3">
        <v>108181.81818181818</v>
      </c>
      <c r="K399" s="25">
        <v>61496</v>
      </c>
      <c r="L399" s="25">
        <v>61496</v>
      </c>
    </row>
    <row r="400" spans="1:12" x14ac:dyDescent="0.3">
      <c r="A400" t="s">
        <v>41</v>
      </c>
      <c r="B400">
        <v>20260205993491</v>
      </c>
      <c r="C400" t="s">
        <v>112</v>
      </c>
      <c r="D400">
        <v>58481090</v>
      </c>
      <c r="E400" s="16" t="s">
        <v>7</v>
      </c>
      <c r="F400" s="3">
        <v>1</v>
      </c>
      <c r="G400" s="3">
        <v>119000</v>
      </c>
      <c r="H400" s="3">
        <v>119000</v>
      </c>
      <c r="I400" s="3">
        <v>82110</v>
      </c>
      <c r="J400" s="3">
        <v>108181.81818181818</v>
      </c>
      <c r="K400" s="25">
        <v>61496</v>
      </c>
      <c r="L400" s="25">
        <v>61496</v>
      </c>
    </row>
    <row r="401" spans="1:12" x14ac:dyDescent="0.3">
      <c r="A401" t="s">
        <v>41</v>
      </c>
      <c r="B401">
        <v>20260205993677</v>
      </c>
      <c r="C401" t="s">
        <v>112</v>
      </c>
      <c r="D401">
        <v>58481090</v>
      </c>
      <c r="E401" s="16" t="s">
        <v>7</v>
      </c>
      <c r="F401" s="3">
        <v>1</v>
      </c>
      <c r="G401" s="3">
        <v>119000</v>
      </c>
      <c r="H401" s="3">
        <v>119000</v>
      </c>
      <c r="I401" s="3">
        <v>82110</v>
      </c>
      <c r="J401" s="3">
        <v>108181.81818181818</v>
      </c>
      <c r="K401" s="25">
        <v>61496</v>
      </c>
      <c r="L401" s="25">
        <v>61496</v>
      </c>
    </row>
    <row r="402" spans="1:12" x14ac:dyDescent="0.3">
      <c r="A402" t="s">
        <v>41</v>
      </c>
      <c r="B402">
        <v>20260205992889</v>
      </c>
      <c r="C402" t="s">
        <v>112</v>
      </c>
      <c r="D402">
        <v>58481090</v>
      </c>
      <c r="E402" s="16" t="s">
        <v>7</v>
      </c>
      <c r="F402" s="3">
        <v>1</v>
      </c>
      <c r="G402" s="3">
        <v>119000</v>
      </c>
      <c r="H402" s="3">
        <v>99960</v>
      </c>
      <c r="I402" s="3">
        <v>82110</v>
      </c>
      <c r="J402" s="3">
        <v>90872.727272727265</v>
      </c>
      <c r="K402" s="25">
        <v>61496</v>
      </c>
      <c r="L402" s="25">
        <v>61496</v>
      </c>
    </row>
    <row r="403" spans="1:12" x14ac:dyDescent="0.3">
      <c r="A403" t="s">
        <v>41</v>
      </c>
      <c r="B403">
        <v>20260205995396</v>
      </c>
      <c r="C403" t="s">
        <v>112</v>
      </c>
      <c r="D403">
        <v>58481090</v>
      </c>
      <c r="E403" s="16" t="s">
        <v>7</v>
      </c>
      <c r="F403" s="3">
        <v>1</v>
      </c>
      <c r="G403" s="3">
        <v>119000</v>
      </c>
      <c r="H403" s="3">
        <v>113050</v>
      </c>
      <c r="I403" s="3">
        <v>82110</v>
      </c>
      <c r="J403" s="3">
        <v>102772.72727272726</v>
      </c>
      <c r="K403" s="25">
        <v>61496</v>
      </c>
      <c r="L403" s="25">
        <v>61496</v>
      </c>
    </row>
    <row r="404" spans="1:12" x14ac:dyDescent="0.3">
      <c r="A404" t="s">
        <v>41</v>
      </c>
      <c r="B404">
        <v>20260205994136</v>
      </c>
      <c r="C404" t="s">
        <v>112</v>
      </c>
      <c r="D404">
        <v>58481090</v>
      </c>
      <c r="E404" s="16" t="s">
        <v>7</v>
      </c>
      <c r="F404" s="3">
        <v>1</v>
      </c>
      <c r="G404" s="3">
        <v>119000</v>
      </c>
      <c r="H404" s="3">
        <v>119000</v>
      </c>
      <c r="I404" s="3">
        <v>82110</v>
      </c>
      <c r="J404" s="3">
        <v>108181.81818181818</v>
      </c>
      <c r="K404" s="25">
        <v>61496</v>
      </c>
      <c r="L404" s="25">
        <v>61496</v>
      </c>
    </row>
    <row r="405" spans="1:12" x14ac:dyDescent="0.3">
      <c r="A405" t="s">
        <v>41</v>
      </c>
      <c r="B405">
        <v>20260205994291</v>
      </c>
      <c r="C405" t="s">
        <v>112</v>
      </c>
      <c r="D405">
        <v>58481090</v>
      </c>
      <c r="E405" s="16" t="s">
        <v>7</v>
      </c>
      <c r="F405" s="3">
        <v>1</v>
      </c>
      <c r="G405" s="3">
        <v>119000</v>
      </c>
      <c r="H405" s="3">
        <v>119000</v>
      </c>
      <c r="I405" s="3">
        <v>82110</v>
      </c>
      <c r="J405" s="3">
        <v>108181.81818181818</v>
      </c>
      <c r="K405" s="25">
        <v>61496</v>
      </c>
      <c r="L405" s="25">
        <v>61496</v>
      </c>
    </row>
    <row r="406" spans="1:12" x14ac:dyDescent="0.3">
      <c r="A406" t="s">
        <v>41</v>
      </c>
      <c r="B406">
        <v>20260205994309</v>
      </c>
      <c r="C406" t="s">
        <v>112</v>
      </c>
      <c r="D406">
        <v>58481090</v>
      </c>
      <c r="E406" s="16" t="s">
        <v>7</v>
      </c>
      <c r="F406" s="3">
        <v>1</v>
      </c>
      <c r="G406" s="3">
        <v>119000</v>
      </c>
      <c r="H406" s="3">
        <v>99960</v>
      </c>
      <c r="I406" s="3">
        <v>82110</v>
      </c>
      <c r="J406" s="3">
        <v>90872.727272727265</v>
      </c>
      <c r="K406" s="25">
        <v>61496</v>
      </c>
      <c r="L406" s="25">
        <v>61496</v>
      </c>
    </row>
    <row r="407" spans="1:12" x14ac:dyDescent="0.3">
      <c r="A407" t="s">
        <v>41</v>
      </c>
      <c r="B407">
        <v>20260205995304</v>
      </c>
      <c r="C407" t="s">
        <v>112</v>
      </c>
      <c r="D407">
        <v>58481090</v>
      </c>
      <c r="E407" s="16" t="s">
        <v>7</v>
      </c>
      <c r="F407" s="3">
        <v>1</v>
      </c>
      <c r="G407" s="3">
        <v>119000</v>
      </c>
      <c r="H407" s="3">
        <v>119000</v>
      </c>
      <c r="I407" s="3">
        <v>82110</v>
      </c>
      <c r="J407" s="3">
        <v>108181.81818181818</v>
      </c>
      <c r="K407" s="25">
        <v>61496</v>
      </c>
      <c r="L407" s="25">
        <v>61496</v>
      </c>
    </row>
    <row r="408" spans="1:12" x14ac:dyDescent="0.3">
      <c r="A408" t="s">
        <v>41</v>
      </c>
      <c r="B408">
        <v>20260205994179</v>
      </c>
      <c r="C408" t="s">
        <v>112</v>
      </c>
      <c r="D408">
        <v>58481090</v>
      </c>
      <c r="E408" s="16" t="s">
        <v>7</v>
      </c>
      <c r="F408" s="3">
        <v>1</v>
      </c>
      <c r="G408" s="3">
        <v>119000</v>
      </c>
      <c r="H408" s="3">
        <v>119000</v>
      </c>
      <c r="I408" s="3">
        <v>82110</v>
      </c>
      <c r="J408" s="3">
        <v>108181.81818181818</v>
      </c>
      <c r="K408" s="25">
        <v>61496</v>
      </c>
      <c r="L408" s="25">
        <v>61496</v>
      </c>
    </row>
    <row r="409" spans="1:12" x14ac:dyDescent="0.3">
      <c r="A409" t="s">
        <v>41</v>
      </c>
      <c r="B409">
        <v>20260205993164</v>
      </c>
      <c r="C409" t="s">
        <v>112</v>
      </c>
      <c r="D409">
        <v>58481090</v>
      </c>
      <c r="E409" s="16" t="s">
        <v>7</v>
      </c>
      <c r="F409" s="3">
        <v>1</v>
      </c>
      <c r="G409" s="3">
        <v>119000</v>
      </c>
      <c r="H409" s="3">
        <v>119000</v>
      </c>
      <c r="I409" s="3">
        <v>82110</v>
      </c>
      <c r="J409" s="3">
        <v>108181.81818181818</v>
      </c>
      <c r="K409" s="25">
        <v>61496</v>
      </c>
      <c r="L409" s="25">
        <v>61496</v>
      </c>
    </row>
    <row r="410" spans="1:12" x14ac:dyDescent="0.3">
      <c r="A410" t="s">
        <v>41</v>
      </c>
      <c r="B410">
        <v>20260205995833</v>
      </c>
      <c r="C410" t="s">
        <v>112</v>
      </c>
      <c r="D410">
        <v>58481090</v>
      </c>
      <c r="E410" s="16" t="s">
        <v>7</v>
      </c>
      <c r="F410" s="3">
        <v>1</v>
      </c>
      <c r="G410" s="3">
        <v>119000</v>
      </c>
      <c r="H410" s="3">
        <v>119000</v>
      </c>
      <c r="I410" s="3">
        <v>82110</v>
      </c>
      <c r="J410" s="3">
        <v>108181.81818181818</v>
      </c>
      <c r="K410" s="25">
        <v>61496</v>
      </c>
      <c r="L410" s="25">
        <v>61496</v>
      </c>
    </row>
    <row r="411" spans="1:12" x14ac:dyDescent="0.3">
      <c r="A411" t="s">
        <v>41</v>
      </c>
      <c r="B411">
        <v>20260205994119</v>
      </c>
      <c r="C411" t="s">
        <v>112</v>
      </c>
      <c r="D411">
        <v>58481090</v>
      </c>
      <c r="E411" s="16" t="s">
        <v>7</v>
      </c>
      <c r="F411" s="3">
        <v>1</v>
      </c>
      <c r="G411" s="3">
        <v>119000</v>
      </c>
      <c r="H411" s="3">
        <v>119000</v>
      </c>
      <c r="I411" s="3">
        <v>82110</v>
      </c>
      <c r="J411" s="3">
        <v>108181.81818181818</v>
      </c>
      <c r="K411" s="25">
        <v>61496</v>
      </c>
      <c r="L411" s="25">
        <v>61496</v>
      </c>
    </row>
    <row r="412" spans="1:12" x14ac:dyDescent="0.3">
      <c r="A412" t="s">
        <v>41</v>
      </c>
      <c r="B412">
        <v>20260205993950</v>
      </c>
      <c r="C412" t="s">
        <v>112</v>
      </c>
      <c r="D412">
        <v>58481090</v>
      </c>
      <c r="E412" s="16" t="s">
        <v>7</v>
      </c>
      <c r="F412" s="3">
        <v>1</v>
      </c>
      <c r="G412" s="3">
        <v>119000</v>
      </c>
      <c r="H412" s="3">
        <v>119000</v>
      </c>
      <c r="I412" s="3">
        <v>82110</v>
      </c>
      <c r="J412" s="3">
        <v>108181.81818181818</v>
      </c>
      <c r="K412" s="25">
        <v>61496</v>
      </c>
      <c r="L412" s="25">
        <v>61496</v>
      </c>
    </row>
    <row r="413" spans="1:12" x14ac:dyDescent="0.3">
      <c r="A413" t="s">
        <v>41</v>
      </c>
      <c r="B413">
        <v>20260205993318</v>
      </c>
      <c r="C413" t="s">
        <v>112</v>
      </c>
      <c r="D413">
        <v>58481090</v>
      </c>
      <c r="E413" s="16" t="s">
        <v>7</v>
      </c>
      <c r="F413" s="3">
        <v>1</v>
      </c>
      <c r="G413" s="3">
        <v>119000</v>
      </c>
      <c r="H413" s="3">
        <v>113050</v>
      </c>
      <c r="I413" s="3">
        <v>82110</v>
      </c>
      <c r="J413" s="3">
        <v>102772.72727272726</v>
      </c>
      <c r="K413" s="25">
        <v>61496</v>
      </c>
      <c r="L413" s="25">
        <v>61496</v>
      </c>
    </row>
    <row r="414" spans="1:12" x14ac:dyDescent="0.3">
      <c r="A414" t="s">
        <v>41</v>
      </c>
      <c r="B414">
        <v>20260205992582</v>
      </c>
      <c r="C414" t="s">
        <v>112</v>
      </c>
      <c r="D414">
        <v>58481090</v>
      </c>
      <c r="E414" s="16" t="s">
        <v>7</v>
      </c>
      <c r="F414" s="3">
        <v>1</v>
      </c>
      <c r="G414" s="3">
        <v>119000</v>
      </c>
      <c r="H414" s="3">
        <v>119000</v>
      </c>
      <c r="I414" s="3">
        <v>82110</v>
      </c>
      <c r="J414" s="3">
        <v>108181.81818181818</v>
      </c>
      <c r="K414" s="25">
        <v>61496</v>
      </c>
      <c r="L414" s="25">
        <v>61496</v>
      </c>
    </row>
    <row r="415" spans="1:12" x14ac:dyDescent="0.3">
      <c r="A415" t="s">
        <v>41</v>
      </c>
      <c r="B415">
        <v>20260205993262</v>
      </c>
      <c r="C415" t="s">
        <v>112</v>
      </c>
      <c r="D415">
        <v>58481090</v>
      </c>
      <c r="E415" s="16" t="s">
        <v>7</v>
      </c>
      <c r="F415" s="3">
        <v>1</v>
      </c>
      <c r="G415" s="3">
        <v>119000</v>
      </c>
      <c r="H415" s="3">
        <v>119000</v>
      </c>
      <c r="I415" s="3">
        <v>82110</v>
      </c>
      <c r="J415" s="3">
        <v>108181.81818181818</v>
      </c>
      <c r="K415" s="25">
        <v>61496</v>
      </c>
      <c r="L415" s="25">
        <v>61496</v>
      </c>
    </row>
    <row r="416" spans="1:12" x14ac:dyDescent="0.3">
      <c r="A416" t="s">
        <v>41</v>
      </c>
      <c r="B416">
        <v>20260205994495</v>
      </c>
      <c r="C416" t="s">
        <v>112</v>
      </c>
      <c r="D416">
        <v>58481090</v>
      </c>
      <c r="E416" s="16" t="s">
        <v>7</v>
      </c>
      <c r="F416" s="3">
        <v>1</v>
      </c>
      <c r="G416" s="3">
        <v>119000</v>
      </c>
      <c r="H416" s="3">
        <v>114000</v>
      </c>
      <c r="I416" s="3">
        <v>82110</v>
      </c>
      <c r="J416" s="3">
        <v>103636.36363636365</v>
      </c>
      <c r="K416" s="25">
        <v>61496</v>
      </c>
      <c r="L416" s="25">
        <v>61496</v>
      </c>
    </row>
    <row r="417" spans="1:12" x14ac:dyDescent="0.3">
      <c r="A417" t="s">
        <v>41</v>
      </c>
      <c r="B417">
        <v>20260205995261</v>
      </c>
      <c r="C417" t="s">
        <v>112</v>
      </c>
      <c r="D417">
        <v>58481090</v>
      </c>
      <c r="E417" s="16" t="s">
        <v>7</v>
      </c>
      <c r="F417" s="3">
        <v>1</v>
      </c>
      <c r="G417" s="3">
        <v>119000</v>
      </c>
      <c r="H417" s="3">
        <v>109000</v>
      </c>
      <c r="I417" s="3">
        <v>82110</v>
      </c>
      <c r="J417" s="3">
        <v>99090.909090909074</v>
      </c>
      <c r="K417" s="25">
        <v>61496</v>
      </c>
      <c r="L417" s="25">
        <v>61496</v>
      </c>
    </row>
    <row r="418" spans="1:12" x14ac:dyDescent="0.3">
      <c r="A418" t="s">
        <v>41</v>
      </c>
      <c r="B418">
        <v>20260205994416</v>
      </c>
      <c r="C418" t="s">
        <v>112</v>
      </c>
      <c r="D418">
        <v>58481090</v>
      </c>
      <c r="E418" s="16" t="s">
        <v>7</v>
      </c>
      <c r="F418" s="3">
        <v>1</v>
      </c>
      <c r="G418" s="3">
        <v>119000</v>
      </c>
      <c r="H418" s="3">
        <v>119000</v>
      </c>
      <c r="I418" s="3">
        <v>82110</v>
      </c>
      <c r="J418" s="3">
        <v>108181.81818181818</v>
      </c>
      <c r="K418" s="25">
        <v>61496</v>
      </c>
      <c r="L418" s="25">
        <v>61496</v>
      </c>
    </row>
    <row r="419" spans="1:12" x14ac:dyDescent="0.3">
      <c r="A419" t="s">
        <v>41</v>
      </c>
      <c r="B419">
        <v>20260205994123</v>
      </c>
      <c r="C419" t="s">
        <v>112</v>
      </c>
      <c r="D419">
        <v>58481090</v>
      </c>
      <c r="E419" s="16" t="s">
        <v>7</v>
      </c>
      <c r="F419" s="3">
        <v>1</v>
      </c>
      <c r="G419" s="3">
        <v>119000</v>
      </c>
      <c r="H419" s="3">
        <v>119000</v>
      </c>
      <c r="I419" s="3">
        <v>82110</v>
      </c>
      <c r="J419" s="3">
        <v>108181.81818181818</v>
      </c>
      <c r="K419" s="25">
        <v>61496</v>
      </c>
      <c r="L419" s="25">
        <v>61496</v>
      </c>
    </row>
    <row r="420" spans="1:12" x14ac:dyDescent="0.3">
      <c r="A420" t="s">
        <v>41</v>
      </c>
      <c r="B420">
        <v>20260205993773</v>
      </c>
      <c r="C420" t="s">
        <v>112</v>
      </c>
      <c r="D420">
        <v>58481090</v>
      </c>
      <c r="E420" s="16" t="s">
        <v>7</v>
      </c>
      <c r="F420" s="3">
        <v>1</v>
      </c>
      <c r="G420" s="3">
        <v>119000</v>
      </c>
      <c r="H420" s="3">
        <v>113050</v>
      </c>
      <c r="I420" s="3">
        <v>82110</v>
      </c>
      <c r="J420" s="3">
        <v>102772.72727272726</v>
      </c>
      <c r="K420" s="25">
        <v>61496</v>
      </c>
      <c r="L420" s="25">
        <v>61496</v>
      </c>
    </row>
    <row r="421" spans="1:12" x14ac:dyDescent="0.3">
      <c r="A421" t="s">
        <v>41</v>
      </c>
      <c r="B421">
        <v>20260205993527</v>
      </c>
      <c r="C421" t="s">
        <v>112</v>
      </c>
      <c r="D421">
        <v>58481090</v>
      </c>
      <c r="E421" s="16" t="s">
        <v>7</v>
      </c>
      <c r="F421" s="3">
        <v>1</v>
      </c>
      <c r="G421" s="3">
        <v>119000</v>
      </c>
      <c r="H421" s="3">
        <v>113050</v>
      </c>
      <c r="I421" s="3">
        <v>82110</v>
      </c>
      <c r="J421" s="3">
        <v>102772.72727272726</v>
      </c>
      <c r="K421" s="25">
        <v>61496</v>
      </c>
      <c r="L421" s="25">
        <v>61496</v>
      </c>
    </row>
    <row r="422" spans="1:12" x14ac:dyDescent="0.3">
      <c r="A422" t="s">
        <v>41</v>
      </c>
      <c r="B422">
        <v>20260205993977</v>
      </c>
      <c r="C422" t="s">
        <v>112</v>
      </c>
      <c r="D422">
        <v>58481090</v>
      </c>
      <c r="E422" s="16" t="s">
        <v>7</v>
      </c>
      <c r="F422" s="3">
        <v>1</v>
      </c>
      <c r="G422" s="3">
        <v>119000</v>
      </c>
      <c r="H422" s="3">
        <v>119000</v>
      </c>
      <c r="I422" s="3">
        <v>82110</v>
      </c>
      <c r="J422" s="3">
        <v>108181.81818181818</v>
      </c>
      <c r="K422" s="25">
        <v>61496</v>
      </c>
      <c r="L422" s="25">
        <v>61496</v>
      </c>
    </row>
    <row r="423" spans="1:12" x14ac:dyDescent="0.3">
      <c r="A423" t="s">
        <v>41</v>
      </c>
      <c r="B423">
        <v>20260205993559</v>
      </c>
      <c r="C423" t="s">
        <v>112</v>
      </c>
      <c r="D423">
        <v>58481090</v>
      </c>
      <c r="E423" s="16" t="s">
        <v>7</v>
      </c>
      <c r="F423" s="3">
        <v>1</v>
      </c>
      <c r="G423" s="3">
        <v>119000</v>
      </c>
      <c r="H423" s="3">
        <v>119000</v>
      </c>
      <c r="I423" s="3">
        <v>82110</v>
      </c>
      <c r="J423" s="3">
        <v>108181.81818181818</v>
      </c>
      <c r="K423" s="25">
        <v>61496</v>
      </c>
      <c r="L423" s="25">
        <v>61496</v>
      </c>
    </row>
    <row r="424" spans="1:12" x14ac:dyDescent="0.3">
      <c r="A424" t="s">
        <v>41</v>
      </c>
      <c r="B424">
        <v>20260205992777</v>
      </c>
      <c r="C424" t="s">
        <v>112</v>
      </c>
      <c r="D424">
        <v>58481090</v>
      </c>
      <c r="E424" s="16" t="s">
        <v>7</v>
      </c>
      <c r="F424" s="3">
        <v>1</v>
      </c>
      <c r="G424" s="3">
        <v>119000</v>
      </c>
      <c r="H424" s="3">
        <v>119000</v>
      </c>
      <c r="I424" s="3">
        <v>82110</v>
      </c>
      <c r="J424" s="3">
        <v>108181.81818181818</v>
      </c>
      <c r="K424" s="25">
        <v>61496</v>
      </c>
      <c r="L424" s="25">
        <v>61496</v>
      </c>
    </row>
    <row r="425" spans="1:12" x14ac:dyDescent="0.3">
      <c r="A425" t="s">
        <v>41</v>
      </c>
      <c r="B425">
        <v>20260205992824</v>
      </c>
      <c r="C425" t="s">
        <v>112</v>
      </c>
      <c r="D425">
        <v>58481090</v>
      </c>
      <c r="E425" s="16" t="s">
        <v>7</v>
      </c>
      <c r="F425" s="3">
        <v>1</v>
      </c>
      <c r="G425" s="3">
        <v>119000</v>
      </c>
      <c r="H425" s="3">
        <v>119000</v>
      </c>
      <c r="I425" s="3">
        <v>82110</v>
      </c>
      <c r="J425" s="3">
        <v>108181.81818181818</v>
      </c>
      <c r="K425" s="25">
        <v>61496</v>
      </c>
      <c r="L425" s="25">
        <v>61496</v>
      </c>
    </row>
    <row r="426" spans="1:12" x14ac:dyDescent="0.3">
      <c r="A426" t="s">
        <v>41</v>
      </c>
      <c r="B426">
        <v>20260205993046</v>
      </c>
      <c r="C426" t="s">
        <v>112</v>
      </c>
      <c r="D426">
        <v>58481090</v>
      </c>
      <c r="E426" s="16" t="s">
        <v>7</v>
      </c>
      <c r="F426" s="3">
        <v>1</v>
      </c>
      <c r="G426" s="3">
        <v>119000</v>
      </c>
      <c r="H426" s="3">
        <v>119000</v>
      </c>
      <c r="I426" s="3">
        <v>82110</v>
      </c>
      <c r="J426" s="3">
        <v>108181.81818181818</v>
      </c>
      <c r="K426" s="25">
        <v>61496</v>
      </c>
      <c r="L426" s="25">
        <v>61496</v>
      </c>
    </row>
    <row r="427" spans="1:12" x14ac:dyDescent="0.3">
      <c r="A427" t="s">
        <v>41</v>
      </c>
      <c r="B427">
        <v>20260205993001</v>
      </c>
      <c r="C427" t="s">
        <v>112</v>
      </c>
      <c r="D427">
        <v>58481090</v>
      </c>
      <c r="E427" s="16" t="s">
        <v>7</v>
      </c>
      <c r="F427" s="3">
        <v>1</v>
      </c>
      <c r="G427" s="3">
        <v>119000</v>
      </c>
      <c r="H427" s="3">
        <v>119000</v>
      </c>
      <c r="I427" s="3">
        <v>82110</v>
      </c>
      <c r="J427" s="3">
        <v>108181.81818181818</v>
      </c>
      <c r="K427" s="25">
        <v>61496</v>
      </c>
      <c r="L427" s="25">
        <v>61496</v>
      </c>
    </row>
    <row r="428" spans="1:12" x14ac:dyDescent="0.3">
      <c r="A428" t="s">
        <v>41</v>
      </c>
      <c r="B428">
        <v>20260205993000</v>
      </c>
      <c r="C428" t="s">
        <v>112</v>
      </c>
      <c r="D428">
        <v>58481090</v>
      </c>
      <c r="E428" s="16" t="s">
        <v>7</v>
      </c>
      <c r="F428" s="3">
        <v>1</v>
      </c>
      <c r="G428" s="3">
        <v>119000</v>
      </c>
      <c r="H428" s="3">
        <v>119000</v>
      </c>
      <c r="I428" s="3">
        <v>82110</v>
      </c>
      <c r="J428" s="3">
        <v>108181.81818181818</v>
      </c>
      <c r="K428" s="25">
        <v>61496</v>
      </c>
      <c r="L428" s="25">
        <v>61496</v>
      </c>
    </row>
    <row r="429" spans="1:12" x14ac:dyDescent="0.3">
      <c r="A429" t="s">
        <v>41</v>
      </c>
      <c r="B429">
        <v>20260205993784</v>
      </c>
      <c r="C429" t="s">
        <v>112</v>
      </c>
      <c r="D429">
        <v>58481090</v>
      </c>
      <c r="E429" s="16" t="s">
        <v>7</v>
      </c>
      <c r="F429" s="3">
        <v>1</v>
      </c>
      <c r="G429" s="3">
        <v>119000</v>
      </c>
      <c r="H429" s="3">
        <v>119000</v>
      </c>
      <c r="I429" s="3">
        <v>82110</v>
      </c>
      <c r="J429" s="3">
        <v>108181.81818181818</v>
      </c>
      <c r="K429" s="25">
        <v>61496</v>
      </c>
      <c r="L429" s="25">
        <v>61496</v>
      </c>
    </row>
    <row r="430" spans="1:12" x14ac:dyDescent="0.3">
      <c r="A430" t="s">
        <v>41</v>
      </c>
      <c r="B430">
        <v>20260205995541</v>
      </c>
      <c r="C430" t="s">
        <v>112</v>
      </c>
      <c r="D430">
        <v>58481090</v>
      </c>
      <c r="E430" s="16" t="s">
        <v>7</v>
      </c>
      <c r="F430" s="3">
        <v>1</v>
      </c>
      <c r="G430" s="3">
        <v>119000</v>
      </c>
      <c r="H430" s="3">
        <v>119000</v>
      </c>
      <c r="I430" s="3">
        <v>82110</v>
      </c>
      <c r="J430" s="3">
        <v>108181.81818181818</v>
      </c>
      <c r="K430" s="25">
        <v>61496</v>
      </c>
      <c r="L430" s="25">
        <v>61496</v>
      </c>
    </row>
    <row r="431" spans="1:12" x14ac:dyDescent="0.3">
      <c r="A431" t="s">
        <v>41</v>
      </c>
      <c r="B431">
        <v>20260205995287</v>
      </c>
      <c r="C431" t="s">
        <v>112</v>
      </c>
      <c r="D431">
        <v>58481090</v>
      </c>
      <c r="E431" s="16" t="s">
        <v>7</v>
      </c>
      <c r="F431" s="3">
        <v>1</v>
      </c>
      <c r="G431" s="3">
        <v>119000</v>
      </c>
      <c r="H431" s="3">
        <v>119000</v>
      </c>
      <c r="I431" s="3">
        <v>82110</v>
      </c>
      <c r="J431" s="3">
        <v>108181.81818181818</v>
      </c>
      <c r="K431" s="25">
        <v>61496</v>
      </c>
      <c r="L431" s="25">
        <v>61496</v>
      </c>
    </row>
    <row r="432" spans="1:12" x14ac:dyDescent="0.3">
      <c r="A432" t="s">
        <v>41</v>
      </c>
      <c r="B432">
        <v>20260205994452</v>
      </c>
      <c r="C432" t="s">
        <v>112</v>
      </c>
      <c r="D432">
        <v>58481090</v>
      </c>
      <c r="E432" s="16" t="s">
        <v>7</v>
      </c>
      <c r="F432" s="3">
        <v>1</v>
      </c>
      <c r="G432" s="3">
        <v>119000</v>
      </c>
      <c r="H432" s="3">
        <v>119000</v>
      </c>
      <c r="I432" s="3">
        <v>82110</v>
      </c>
      <c r="J432" s="3">
        <v>108181.81818181818</v>
      </c>
      <c r="K432" s="25">
        <v>61496</v>
      </c>
      <c r="L432" s="25">
        <v>61496</v>
      </c>
    </row>
    <row r="433" spans="1:12" x14ac:dyDescent="0.3">
      <c r="A433" t="s">
        <v>41</v>
      </c>
      <c r="B433">
        <v>20260205994705</v>
      </c>
      <c r="C433" t="s">
        <v>112</v>
      </c>
      <c r="D433">
        <v>58481090</v>
      </c>
      <c r="E433" s="16" t="s">
        <v>7</v>
      </c>
      <c r="F433" s="3">
        <v>1</v>
      </c>
      <c r="G433" s="3">
        <v>119000</v>
      </c>
      <c r="H433" s="3">
        <v>119000</v>
      </c>
      <c r="I433" s="3">
        <v>82110</v>
      </c>
      <c r="J433" s="3">
        <v>108181.81818181818</v>
      </c>
      <c r="K433" s="25">
        <v>61496</v>
      </c>
      <c r="L433" s="25">
        <v>61496</v>
      </c>
    </row>
    <row r="434" spans="1:12" x14ac:dyDescent="0.3">
      <c r="A434" t="s">
        <v>41</v>
      </c>
      <c r="B434">
        <v>20260205995017</v>
      </c>
      <c r="C434" t="s">
        <v>112</v>
      </c>
      <c r="D434">
        <v>58481090</v>
      </c>
      <c r="E434" s="16" t="s">
        <v>7</v>
      </c>
      <c r="F434" s="3">
        <v>1</v>
      </c>
      <c r="G434" s="3">
        <v>119000</v>
      </c>
      <c r="H434" s="3">
        <v>119000</v>
      </c>
      <c r="I434" s="3">
        <v>82110</v>
      </c>
      <c r="J434" s="3">
        <v>108181.81818181818</v>
      </c>
      <c r="K434" s="25">
        <v>61496</v>
      </c>
      <c r="L434" s="25">
        <v>61496</v>
      </c>
    </row>
    <row r="435" spans="1:12" x14ac:dyDescent="0.3">
      <c r="A435" t="s">
        <v>41</v>
      </c>
      <c r="B435">
        <v>20260205995647</v>
      </c>
      <c r="C435" t="s">
        <v>112</v>
      </c>
      <c r="D435">
        <v>58999583</v>
      </c>
      <c r="E435" s="16" t="s">
        <v>7</v>
      </c>
      <c r="F435" s="3">
        <v>1</v>
      </c>
      <c r="G435" s="3">
        <v>119000</v>
      </c>
      <c r="H435" s="3">
        <v>119000</v>
      </c>
      <c r="I435" s="3">
        <v>82110</v>
      </c>
      <c r="J435" s="3">
        <v>108181.81818181818</v>
      </c>
      <c r="K435" s="25">
        <v>61496</v>
      </c>
      <c r="L435" s="25">
        <v>61496</v>
      </c>
    </row>
    <row r="436" spans="1:12" x14ac:dyDescent="0.3">
      <c r="A436" t="s">
        <v>41</v>
      </c>
      <c r="B436">
        <v>20260205998293</v>
      </c>
      <c r="C436" t="s">
        <v>112</v>
      </c>
      <c r="D436">
        <v>58999583</v>
      </c>
      <c r="E436" s="16" t="s">
        <v>7</v>
      </c>
      <c r="F436" s="3">
        <v>1</v>
      </c>
      <c r="G436" s="3">
        <v>119000</v>
      </c>
      <c r="H436" s="3">
        <v>119000</v>
      </c>
      <c r="I436" s="3">
        <v>82110</v>
      </c>
      <c r="J436" s="3">
        <v>108181.81818181818</v>
      </c>
      <c r="K436" s="25">
        <v>61496</v>
      </c>
      <c r="L436" s="25">
        <v>61496</v>
      </c>
    </row>
    <row r="437" spans="1:12" x14ac:dyDescent="0.3">
      <c r="A437" t="s">
        <v>41</v>
      </c>
      <c r="B437">
        <v>20260206633008</v>
      </c>
      <c r="C437" t="s">
        <v>1276</v>
      </c>
      <c r="D437">
        <v>59163204</v>
      </c>
      <c r="E437" s="16" t="s">
        <v>7</v>
      </c>
      <c r="F437" s="3">
        <v>1</v>
      </c>
      <c r="G437" s="3">
        <v>78000</v>
      </c>
      <c r="H437" s="3">
        <v>66300</v>
      </c>
      <c r="I437" s="3">
        <v>53820</v>
      </c>
      <c r="J437" s="3">
        <v>60272.727272727272</v>
      </c>
      <c r="K437" s="25">
        <v>30748</v>
      </c>
      <c r="L437" s="25">
        <v>30748</v>
      </c>
    </row>
    <row r="438" spans="1:12" x14ac:dyDescent="0.3">
      <c r="A438" t="s">
        <v>41</v>
      </c>
      <c r="B438">
        <v>20260205995006</v>
      </c>
      <c r="C438" t="s">
        <v>112</v>
      </c>
      <c r="D438">
        <v>58481090</v>
      </c>
      <c r="E438" s="16" t="s">
        <v>7</v>
      </c>
      <c r="F438" s="3">
        <v>1</v>
      </c>
      <c r="G438" s="3">
        <v>119000</v>
      </c>
      <c r="H438" s="3">
        <v>119000</v>
      </c>
      <c r="I438" s="3">
        <v>82110</v>
      </c>
      <c r="J438" s="3">
        <v>108181.81818181818</v>
      </c>
      <c r="K438" s="25">
        <v>61496</v>
      </c>
      <c r="L438" s="25">
        <v>61496</v>
      </c>
    </row>
    <row r="439" spans="1:12" x14ac:dyDescent="0.3">
      <c r="A439" t="s">
        <v>41</v>
      </c>
      <c r="B439">
        <v>20260205992912</v>
      </c>
      <c r="C439" t="s">
        <v>112</v>
      </c>
      <c r="D439">
        <v>58481090</v>
      </c>
      <c r="E439" s="16" t="s">
        <v>7</v>
      </c>
      <c r="F439" s="3">
        <v>1</v>
      </c>
      <c r="G439" s="3">
        <v>119000</v>
      </c>
      <c r="H439" s="3">
        <v>119000</v>
      </c>
      <c r="I439" s="3">
        <v>82110</v>
      </c>
      <c r="J439" s="3">
        <v>108181.81818181818</v>
      </c>
      <c r="K439" s="25">
        <v>61496</v>
      </c>
      <c r="L439" s="25">
        <v>61496</v>
      </c>
    </row>
    <row r="440" spans="1:12" x14ac:dyDescent="0.3">
      <c r="A440" t="s">
        <v>41</v>
      </c>
      <c r="B440">
        <v>20260208259331</v>
      </c>
      <c r="C440" t="s">
        <v>112</v>
      </c>
      <c r="D440">
        <v>58481090</v>
      </c>
      <c r="E440" s="16" t="s">
        <v>7</v>
      </c>
      <c r="F440" s="3">
        <v>1</v>
      </c>
      <c r="G440" s="3">
        <v>119000</v>
      </c>
      <c r="H440" s="3">
        <v>113050</v>
      </c>
      <c r="I440" s="3">
        <v>82110</v>
      </c>
      <c r="J440" s="3">
        <v>102772.72727272726</v>
      </c>
      <c r="K440" s="25">
        <v>61496</v>
      </c>
      <c r="L440" s="25">
        <v>61496</v>
      </c>
    </row>
    <row r="441" spans="1:12" x14ac:dyDescent="0.3">
      <c r="A441" t="s">
        <v>41</v>
      </c>
      <c r="B441">
        <v>20260208260475</v>
      </c>
      <c r="C441" t="s">
        <v>112</v>
      </c>
      <c r="D441">
        <v>58481090</v>
      </c>
      <c r="E441" s="16" t="s">
        <v>7</v>
      </c>
      <c r="F441" s="3">
        <v>1</v>
      </c>
      <c r="G441" s="3">
        <v>119000</v>
      </c>
      <c r="H441" s="3">
        <v>113050</v>
      </c>
      <c r="I441" s="3">
        <v>82110</v>
      </c>
      <c r="J441" s="3">
        <v>102772.72727272726</v>
      </c>
      <c r="K441" s="25">
        <v>61496</v>
      </c>
      <c r="L441" s="25">
        <v>61496</v>
      </c>
    </row>
    <row r="442" spans="1:12" x14ac:dyDescent="0.3">
      <c r="A442" t="s">
        <v>41</v>
      </c>
      <c r="B442">
        <v>20260207158331</v>
      </c>
      <c r="C442" t="s">
        <v>112</v>
      </c>
      <c r="D442">
        <v>58481090</v>
      </c>
      <c r="E442" s="16" t="s">
        <v>7</v>
      </c>
      <c r="F442" s="3">
        <v>1</v>
      </c>
      <c r="G442" s="3">
        <v>119000</v>
      </c>
      <c r="H442" s="3">
        <v>113050</v>
      </c>
      <c r="I442" s="3">
        <v>82110</v>
      </c>
      <c r="J442" s="3">
        <v>102772.72727272726</v>
      </c>
      <c r="K442" s="25">
        <v>61496</v>
      </c>
      <c r="L442" s="25">
        <v>61496</v>
      </c>
    </row>
    <row r="443" spans="1:12" x14ac:dyDescent="0.3">
      <c r="A443" t="s">
        <v>41</v>
      </c>
      <c r="B443">
        <v>20260208229524</v>
      </c>
      <c r="C443" t="s">
        <v>112</v>
      </c>
      <c r="D443">
        <v>58481090</v>
      </c>
      <c r="E443" s="16" t="s">
        <v>7</v>
      </c>
      <c r="F443" s="3">
        <v>1</v>
      </c>
      <c r="G443" s="3">
        <v>119000</v>
      </c>
      <c r="H443" s="3">
        <v>113050</v>
      </c>
      <c r="I443" s="3">
        <v>82110</v>
      </c>
      <c r="J443" s="3">
        <v>102772.72727272726</v>
      </c>
      <c r="K443" s="25">
        <v>61496</v>
      </c>
      <c r="L443" s="25">
        <v>61496</v>
      </c>
    </row>
    <row r="444" spans="1:12" x14ac:dyDescent="0.3">
      <c r="A444" t="s">
        <v>41</v>
      </c>
      <c r="B444">
        <v>20260208244830</v>
      </c>
      <c r="C444" t="s">
        <v>112</v>
      </c>
      <c r="D444">
        <v>58481090</v>
      </c>
      <c r="E444" s="16" t="s">
        <v>7</v>
      </c>
      <c r="F444" s="3">
        <v>1</v>
      </c>
      <c r="G444" s="3">
        <v>119000</v>
      </c>
      <c r="H444" s="3">
        <v>113050</v>
      </c>
      <c r="I444" s="3">
        <v>82110</v>
      </c>
      <c r="J444" s="3">
        <v>102772.72727272726</v>
      </c>
      <c r="K444" s="25">
        <v>61496</v>
      </c>
      <c r="L444" s="25">
        <v>61496</v>
      </c>
    </row>
    <row r="445" spans="1:12" x14ac:dyDescent="0.3">
      <c r="A445" t="s">
        <v>41</v>
      </c>
      <c r="B445">
        <v>20260207151522</v>
      </c>
      <c r="C445" t="s">
        <v>112</v>
      </c>
      <c r="D445">
        <v>58481090</v>
      </c>
      <c r="E445" s="16" t="s">
        <v>7</v>
      </c>
      <c r="F445" s="3">
        <v>1</v>
      </c>
      <c r="G445" s="3">
        <v>119000</v>
      </c>
      <c r="H445" s="3">
        <v>119000</v>
      </c>
      <c r="I445" s="3">
        <v>82110</v>
      </c>
      <c r="J445" s="3">
        <v>108181.81818181818</v>
      </c>
      <c r="K445" s="25">
        <v>61496</v>
      </c>
      <c r="L445" s="25">
        <v>61496</v>
      </c>
    </row>
    <row r="446" spans="1:12" x14ac:dyDescent="0.3">
      <c r="A446" t="s">
        <v>41</v>
      </c>
      <c r="B446">
        <v>20260210360594</v>
      </c>
      <c r="C446" t="s">
        <v>112</v>
      </c>
      <c r="D446">
        <v>58481090</v>
      </c>
      <c r="E446" s="16" t="s">
        <v>7</v>
      </c>
      <c r="F446" s="3">
        <v>1</v>
      </c>
      <c r="G446" s="3">
        <v>119000</v>
      </c>
      <c r="H446" s="3">
        <v>119000</v>
      </c>
      <c r="I446" s="3">
        <v>80920</v>
      </c>
      <c r="J446" s="3">
        <v>108181.81818181818</v>
      </c>
      <c r="K446" s="25">
        <v>61496</v>
      </c>
      <c r="L446" s="25">
        <v>61496</v>
      </c>
    </row>
    <row r="447" spans="1:12" x14ac:dyDescent="0.3">
      <c r="A447" t="s">
        <v>41</v>
      </c>
      <c r="B447">
        <v>20260207150468</v>
      </c>
      <c r="C447" t="s">
        <v>112</v>
      </c>
      <c r="D447">
        <v>58481090</v>
      </c>
      <c r="E447" s="16" t="s">
        <v>7</v>
      </c>
      <c r="F447" s="3">
        <v>1</v>
      </c>
      <c r="G447" s="3">
        <v>119000</v>
      </c>
      <c r="H447" s="3">
        <v>113050</v>
      </c>
      <c r="I447" s="3">
        <v>82110</v>
      </c>
      <c r="J447" s="3">
        <v>102772.72727272726</v>
      </c>
      <c r="K447" s="25">
        <v>61496</v>
      </c>
      <c r="L447" s="25">
        <v>61496</v>
      </c>
    </row>
    <row r="448" spans="1:12" x14ac:dyDescent="0.3">
      <c r="A448" t="s">
        <v>41</v>
      </c>
      <c r="B448">
        <v>20260209873932</v>
      </c>
      <c r="C448" t="s">
        <v>112</v>
      </c>
      <c r="D448">
        <v>58481090</v>
      </c>
      <c r="E448" s="16" t="s">
        <v>7</v>
      </c>
      <c r="F448" s="3">
        <v>1</v>
      </c>
      <c r="G448" s="3">
        <v>119000</v>
      </c>
      <c r="H448" s="3">
        <v>105910</v>
      </c>
      <c r="I448" s="3">
        <v>82110</v>
      </c>
      <c r="J448" s="3">
        <v>96281.818181818177</v>
      </c>
      <c r="K448" s="25">
        <v>61496</v>
      </c>
      <c r="L448" s="25">
        <v>61496</v>
      </c>
    </row>
    <row r="449" spans="1:12" x14ac:dyDescent="0.3">
      <c r="A449" t="s">
        <v>41</v>
      </c>
      <c r="B449">
        <v>20260206659552</v>
      </c>
      <c r="C449" t="s">
        <v>112</v>
      </c>
      <c r="D449">
        <v>58481090</v>
      </c>
      <c r="E449" s="16" t="s">
        <v>7</v>
      </c>
      <c r="F449" s="3">
        <v>1</v>
      </c>
      <c r="G449" s="3">
        <v>119000</v>
      </c>
      <c r="H449" s="3">
        <v>113050</v>
      </c>
      <c r="I449" s="3">
        <v>82110</v>
      </c>
      <c r="J449" s="3">
        <v>102772.72727272726</v>
      </c>
      <c r="K449" s="25">
        <v>61496</v>
      </c>
      <c r="L449" s="25">
        <v>61496</v>
      </c>
    </row>
    <row r="450" spans="1:12" x14ac:dyDescent="0.3">
      <c r="A450" t="s">
        <v>41</v>
      </c>
      <c r="B450">
        <v>20260206651056</v>
      </c>
      <c r="C450" t="s">
        <v>112</v>
      </c>
      <c r="D450">
        <v>58481090</v>
      </c>
      <c r="E450" s="16" t="s">
        <v>7</v>
      </c>
      <c r="F450" s="3">
        <v>1</v>
      </c>
      <c r="G450" s="3">
        <v>119000</v>
      </c>
      <c r="H450" s="3">
        <v>113050</v>
      </c>
      <c r="I450" s="3">
        <v>82110</v>
      </c>
      <c r="J450" s="3">
        <v>102772.72727272726</v>
      </c>
      <c r="K450" s="25">
        <v>61496</v>
      </c>
      <c r="L450" s="25">
        <v>61496</v>
      </c>
    </row>
    <row r="451" spans="1:12" x14ac:dyDescent="0.3">
      <c r="A451" t="s">
        <v>41</v>
      </c>
      <c r="B451">
        <v>20260207124110</v>
      </c>
      <c r="C451" t="s">
        <v>112</v>
      </c>
      <c r="D451">
        <v>58481090</v>
      </c>
      <c r="E451" s="16" t="s">
        <v>7</v>
      </c>
      <c r="F451" s="3">
        <v>1</v>
      </c>
      <c r="G451" s="3">
        <v>119000</v>
      </c>
      <c r="H451" s="3">
        <v>113050</v>
      </c>
      <c r="I451" s="3">
        <v>82110</v>
      </c>
      <c r="J451" s="3">
        <v>102772.72727272726</v>
      </c>
      <c r="K451" s="25">
        <v>61496</v>
      </c>
      <c r="L451" s="25">
        <v>61496</v>
      </c>
    </row>
    <row r="452" spans="1:12" x14ac:dyDescent="0.3">
      <c r="A452" t="s">
        <v>41</v>
      </c>
      <c r="B452">
        <v>20260208259329</v>
      </c>
      <c r="C452" t="s">
        <v>112</v>
      </c>
      <c r="D452">
        <v>58481090</v>
      </c>
      <c r="E452" s="16" t="s">
        <v>7</v>
      </c>
      <c r="F452" s="3">
        <v>1</v>
      </c>
      <c r="G452" s="3">
        <v>119000</v>
      </c>
      <c r="H452" s="3">
        <v>113050</v>
      </c>
      <c r="I452" s="3">
        <v>82110</v>
      </c>
      <c r="J452" s="3">
        <v>102772.72727272726</v>
      </c>
      <c r="K452" s="25">
        <v>61496</v>
      </c>
      <c r="L452" s="25">
        <v>61496</v>
      </c>
    </row>
    <row r="453" spans="1:12" x14ac:dyDescent="0.3">
      <c r="A453" t="s">
        <v>41</v>
      </c>
      <c r="B453">
        <v>20260207150472</v>
      </c>
      <c r="C453" t="s">
        <v>112</v>
      </c>
      <c r="D453">
        <v>58481090</v>
      </c>
      <c r="E453" s="16" t="s">
        <v>7</v>
      </c>
      <c r="F453" s="3">
        <v>1</v>
      </c>
      <c r="G453" s="3">
        <v>119000</v>
      </c>
      <c r="H453" s="3">
        <v>113050</v>
      </c>
      <c r="I453" s="3">
        <v>82110</v>
      </c>
      <c r="J453" s="3">
        <v>102772.72727272726</v>
      </c>
      <c r="K453" s="25">
        <v>61496</v>
      </c>
      <c r="L453" s="25">
        <v>61496</v>
      </c>
    </row>
    <row r="454" spans="1:12" x14ac:dyDescent="0.3">
      <c r="A454" t="s">
        <v>41</v>
      </c>
      <c r="B454">
        <v>20260207147250</v>
      </c>
      <c r="C454" t="s">
        <v>112</v>
      </c>
      <c r="D454">
        <v>58481090</v>
      </c>
      <c r="E454" s="16" t="s">
        <v>7</v>
      </c>
      <c r="F454" s="3">
        <v>1</v>
      </c>
      <c r="G454" s="3">
        <v>119000</v>
      </c>
      <c r="H454" s="3">
        <v>113050</v>
      </c>
      <c r="I454" s="3">
        <v>82110</v>
      </c>
      <c r="J454" s="3">
        <v>102772.72727272726</v>
      </c>
      <c r="K454" s="25">
        <v>61496</v>
      </c>
      <c r="L454" s="25">
        <v>61496</v>
      </c>
    </row>
    <row r="455" spans="1:12" x14ac:dyDescent="0.3">
      <c r="A455" t="s">
        <v>41</v>
      </c>
      <c r="B455">
        <v>20260207147257</v>
      </c>
      <c r="C455" t="s">
        <v>112</v>
      </c>
      <c r="D455">
        <v>58481090</v>
      </c>
      <c r="E455" s="16" t="s">
        <v>7</v>
      </c>
      <c r="F455" s="3">
        <v>1</v>
      </c>
      <c r="G455" s="3">
        <v>119000</v>
      </c>
      <c r="H455" s="3">
        <v>113050</v>
      </c>
      <c r="I455" s="3">
        <v>82110</v>
      </c>
      <c r="J455" s="3">
        <v>102772.72727272726</v>
      </c>
      <c r="K455" s="25">
        <v>61496</v>
      </c>
      <c r="L455" s="25">
        <v>61496</v>
      </c>
    </row>
    <row r="456" spans="1:12" x14ac:dyDescent="0.3">
      <c r="A456" t="s">
        <v>41</v>
      </c>
      <c r="B456">
        <v>20260208260735</v>
      </c>
      <c r="C456" t="s">
        <v>112</v>
      </c>
      <c r="D456">
        <v>58481090</v>
      </c>
      <c r="E456" s="16" t="s">
        <v>7</v>
      </c>
      <c r="F456" s="3">
        <v>1</v>
      </c>
      <c r="G456" s="3">
        <v>119000</v>
      </c>
      <c r="H456" s="3">
        <v>113050</v>
      </c>
      <c r="I456" s="3">
        <v>82110</v>
      </c>
      <c r="J456" s="3">
        <v>102772.72727272726</v>
      </c>
      <c r="K456" s="25">
        <v>61496</v>
      </c>
      <c r="L456" s="25">
        <v>61496</v>
      </c>
    </row>
    <row r="457" spans="1:12" x14ac:dyDescent="0.3">
      <c r="A457" t="s">
        <v>41</v>
      </c>
      <c r="B457">
        <v>20260207117865</v>
      </c>
      <c r="C457" t="s">
        <v>112</v>
      </c>
      <c r="D457">
        <v>58481090</v>
      </c>
      <c r="E457" s="16" t="s">
        <v>7</v>
      </c>
      <c r="F457" s="3">
        <v>1</v>
      </c>
      <c r="G457" s="3">
        <v>119000</v>
      </c>
      <c r="H457" s="3">
        <v>119000</v>
      </c>
      <c r="I457" s="3">
        <v>82110</v>
      </c>
      <c r="J457" s="3">
        <v>108181.81818181818</v>
      </c>
      <c r="K457" s="25">
        <v>61496</v>
      </c>
      <c r="L457" s="25">
        <v>61496</v>
      </c>
    </row>
    <row r="458" spans="1:12" x14ac:dyDescent="0.3">
      <c r="A458" t="s">
        <v>41</v>
      </c>
      <c r="B458">
        <v>20260205994815</v>
      </c>
      <c r="C458" t="s">
        <v>112</v>
      </c>
      <c r="D458">
        <v>58481090</v>
      </c>
      <c r="E458" s="16" t="s">
        <v>7</v>
      </c>
      <c r="F458" s="3">
        <v>1</v>
      </c>
      <c r="G458" s="3">
        <v>119000</v>
      </c>
      <c r="H458" s="3">
        <v>119000</v>
      </c>
      <c r="I458" s="3">
        <v>82110</v>
      </c>
      <c r="J458" s="3">
        <v>108181.81818181818</v>
      </c>
      <c r="K458" s="25">
        <v>61496</v>
      </c>
      <c r="L458" s="25">
        <v>61496</v>
      </c>
    </row>
    <row r="459" spans="1:12" x14ac:dyDescent="0.3">
      <c r="A459" t="s">
        <v>41</v>
      </c>
      <c r="B459">
        <v>20260203309850</v>
      </c>
      <c r="C459" t="s">
        <v>112</v>
      </c>
      <c r="D459">
        <v>58481090</v>
      </c>
      <c r="E459" s="16" t="s">
        <v>7</v>
      </c>
      <c r="F459" s="3">
        <v>1</v>
      </c>
      <c r="G459" s="3">
        <v>119000</v>
      </c>
      <c r="H459" s="3">
        <v>109000</v>
      </c>
      <c r="I459" s="3">
        <v>82110</v>
      </c>
      <c r="J459" s="3">
        <v>99090.909090909074</v>
      </c>
      <c r="K459" s="25">
        <v>61496</v>
      </c>
      <c r="L459" s="25">
        <v>61496</v>
      </c>
    </row>
    <row r="460" spans="1:12" x14ac:dyDescent="0.3">
      <c r="A460" t="s">
        <v>41</v>
      </c>
      <c r="B460">
        <v>20260207151170</v>
      </c>
      <c r="C460" t="s">
        <v>112</v>
      </c>
      <c r="D460">
        <v>58481090</v>
      </c>
      <c r="E460" s="16" t="s">
        <v>7</v>
      </c>
      <c r="F460" s="3">
        <v>1</v>
      </c>
      <c r="G460" s="3">
        <v>119000</v>
      </c>
      <c r="H460" s="3">
        <v>109000</v>
      </c>
      <c r="I460" s="3">
        <v>82110</v>
      </c>
      <c r="J460" s="3">
        <v>99090.909090909074</v>
      </c>
      <c r="K460" s="25">
        <v>61496</v>
      </c>
      <c r="L460" s="25">
        <v>61496</v>
      </c>
    </row>
    <row r="461" spans="1:12" x14ac:dyDescent="0.3">
      <c r="A461" t="s">
        <v>41</v>
      </c>
      <c r="B461">
        <v>20260205992935</v>
      </c>
      <c r="C461" t="s">
        <v>112</v>
      </c>
      <c r="D461">
        <v>58481090</v>
      </c>
      <c r="E461" s="16" t="s">
        <v>7</v>
      </c>
      <c r="F461" s="3">
        <v>1</v>
      </c>
      <c r="G461" s="3">
        <v>119000</v>
      </c>
      <c r="H461" s="3">
        <v>119000</v>
      </c>
      <c r="I461" s="3">
        <v>82110</v>
      </c>
      <c r="J461" s="3">
        <v>108181.81818181818</v>
      </c>
      <c r="K461" s="25">
        <v>61496</v>
      </c>
      <c r="L461" s="25">
        <v>61496</v>
      </c>
    </row>
    <row r="462" spans="1:12" x14ac:dyDescent="0.3">
      <c r="A462" t="s">
        <v>41</v>
      </c>
      <c r="B462">
        <v>20260205994829</v>
      </c>
      <c r="C462" t="s">
        <v>112</v>
      </c>
      <c r="D462">
        <v>58481090</v>
      </c>
      <c r="E462" s="16" t="s">
        <v>7</v>
      </c>
      <c r="F462" s="3">
        <v>3</v>
      </c>
      <c r="G462" s="3">
        <v>119000</v>
      </c>
      <c r="H462" s="3">
        <v>357000</v>
      </c>
      <c r="I462" s="3">
        <v>246330</v>
      </c>
      <c r="J462" s="3">
        <v>324545.45454545453</v>
      </c>
      <c r="K462" s="25">
        <v>61496</v>
      </c>
      <c r="L462" s="25">
        <v>184488</v>
      </c>
    </row>
    <row r="463" spans="1:12" x14ac:dyDescent="0.3">
      <c r="A463" t="s">
        <v>41</v>
      </c>
      <c r="B463">
        <v>20260205994617</v>
      </c>
      <c r="C463" t="s">
        <v>112</v>
      </c>
      <c r="D463">
        <v>58481090</v>
      </c>
      <c r="E463" s="16" t="s">
        <v>7</v>
      </c>
      <c r="F463" s="3">
        <v>1</v>
      </c>
      <c r="G463" s="3">
        <v>119000</v>
      </c>
      <c r="H463" s="3">
        <v>113050</v>
      </c>
      <c r="I463" s="3">
        <v>82110</v>
      </c>
      <c r="J463" s="3">
        <v>102772.72727272726</v>
      </c>
      <c r="K463" s="25">
        <v>61496</v>
      </c>
      <c r="L463" s="25">
        <v>61496</v>
      </c>
    </row>
    <row r="464" spans="1:12" x14ac:dyDescent="0.3">
      <c r="A464" t="s">
        <v>41</v>
      </c>
      <c r="B464">
        <v>20260205995024</v>
      </c>
      <c r="C464" t="s">
        <v>112</v>
      </c>
      <c r="D464">
        <v>58481090</v>
      </c>
      <c r="E464" s="16" t="s">
        <v>7</v>
      </c>
      <c r="F464" s="3">
        <v>1</v>
      </c>
      <c r="G464" s="3">
        <v>119000</v>
      </c>
      <c r="H464" s="3">
        <v>119000</v>
      </c>
      <c r="I464" s="3">
        <v>82110</v>
      </c>
      <c r="J464" s="3">
        <v>108181.81818181818</v>
      </c>
      <c r="K464" s="25">
        <v>61496</v>
      </c>
      <c r="L464" s="25">
        <v>61496</v>
      </c>
    </row>
    <row r="465" spans="1:12" x14ac:dyDescent="0.3">
      <c r="A465" t="s">
        <v>41</v>
      </c>
      <c r="B465">
        <v>20260203309978</v>
      </c>
      <c r="C465" t="s">
        <v>112</v>
      </c>
      <c r="D465">
        <v>58481090</v>
      </c>
      <c r="E465" s="16" t="s">
        <v>7</v>
      </c>
      <c r="F465" s="3">
        <v>1</v>
      </c>
      <c r="G465" s="3">
        <v>119000</v>
      </c>
      <c r="H465" s="3">
        <v>119000</v>
      </c>
      <c r="I465" s="3">
        <v>82110</v>
      </c>
      <c r="J465" s="3">
        <v>108181.81818181818</v>
      </c>
      <c r="K465" s="25">
        <v>61496</v>
      </c>
      <c r="L465" s="25">
        <v>61496</v>
      </c>
    </row>
    <row r="466" spans="1:12" x14ac:dyDescent="0.3">
      <c r="A466" t="s">
        <v>41</v>
      </c>
      <c r="B466">
        <v>20260205994069</v>
      </c>
      <c r="C466" t="s">
        <v>112</v>
      </c>
      <c r="D466">
        <v>58481090</v>
      </c>
      <c r="E466" s="16" t="s">
        <v>7</v>
      </c>
      <c r="F466" s="3">
        <v>1</v>
      </c>
      <c r="G466" s="3">
        <v>119000</v>
      </c>
      <c r="H466" s="3">
        <v>119000</v>
      </c>
      <c r="I466" s="3">
        <v>82110</v>
      </c>
      <c r="J466" s="3">
        <v>108181.81818181818</v>
      </c>
      <c r="K466" s="25">
        <v>61496</v>
      </c>
      <c r="L466" s="25">
        <v>61496</v>
      </c>
    </row>
    <row r="467" spans="1:12" x14ac:dyDescent="0.3">
      <c r="A467" t="s">
        <v>41</v>
      </c>
      <c r="B467">
        <v>20260208250075</v>
      </c>
      <c r="C467" t="s">
        <v>112</v>
      </c>
      <c r="D467">
        <v>58481090</v>
      </c>
      <c r="E467" s="16" t="s">
        <v>7</v>
      </c>
      <c r="F467" s="3">
        <v>1</v>
      </c>
      <c r="G467" s="3">
        <v>119000</v>
      </c>
      <c r="H467" s="3">
        <v>119000</v>
      </c>
      <c r="I467" s="3">
        <v>82110</v>
      </c>
      <c r="J467" s="3">
        <v>108181.81818181818</v>
      </c>
      <c r="K467" s="25">
        <v>61496</v>
      </c>
      <c r="L467" s="25">
        <v>61496</v>
      </c>
    </row>
    <row r="468" spans="1:12" x14ac:dyDescent="0.3">
      <c r="A468" t="s">
        <v>41</v>
      </c>
      <c r="B468">
        <v>20260205994926</v>
      </c>
      <c r="C468" t="s">
        <v>112</v>
      </c>
      <c r="D468">
        <v>58481090</v>
      </c>
      <c r="E468" s="16" t="s">
        <v>7</v>
      </c>
      <c r="F468" s="3">
        <v>1</v>
      </c>
      <c r="G468" s="3">
        <v>119000</v>
      </c>
      <c r="H468" s="3">
        <v>119000</v>
      </c>
      <c r="I468" s="3">
        <v>82110</v>
      </c>
      <c r="J468" s="3">
        <v>108181.81818181818</v>
      </c>
      <c r="K468" s="25">
        <v>61496</v>
      </c>
      <c r="L468" s="25">
        <v>61496</v>
      </c>
    </row>
    <row r="469" spans="1:12" x14ac:dyDescent="0.3">
      <c r="A469" t="s">
        <v>41</v>
      </c>
      <c r="B469">
        <v>20260205993624</v>
      </c>
      <c r="C469" t="s">
        <v>112</v>
      </c>
      <c r="D469">
        <v>58481090</v>
      </c>
      <c r="E469" s="16" t="s">
        <v>7</v>
      </c>
      <c r="F469" s="3">
        <v>1</v>
      </c>
      <c r="G469" s="3">
        <v>119000</v>
      </c>
      <c r="H469" s="3">
        <v>119000</v>
      </c>
      <c r="I469" s="3">
        <v>82110</v>
      </c>
      <c r="J469" s="3">
        <v>108181.81818181818</v>
      </c>
      <c r="K469" s="25">
        <v>61496</v>
      </c>
      <c r="L469" s="25">
        <v>61496</v>
      </c>
    </row>
    <row r="470" spans="1:12" x14ac:dyDescent="0.3">
      <c r="A470" t="s">
        <v>41</v>
      </c>
      <c r="B470">
        <v>20260205993757</v>
      </c>
      <c r="C470" t="s">
        <v>112</v>
      </c>
      <c r="D470">
        <v>58481090</v>
      </c>
      <c r="E470" s="16" t="s">
        <v>7</v>
      </c>
      <c r="F470" s="3">
        <v>1</v>
      </c>
      <c r="G470" s="3">
        <v>119000</v>
      </c>
      <c r="H470" s="3">
        <v>119000</v>
      </c>
      <c r="I470" s="3">
        <v>82110</v>
      </c>
      <c r="J470" s="3">
        <v>108181.81818181818</v>
      </c>
      <c r="K470" s="25">
        <v>61496</v>
      </c>
      <c r="L470" s="25">
        <v>61496</v>
      </c>
    </row>
    <row r="471" spans="1:12" x14ac:dyDescent="0.3">
      <c r="A471" t="s">
        <v>41</v>
      </c>
      <c r="B471">
        <v>20260205994369</v>
      </c>
      <c r="C471" t="s">
        <v>112</v>
      </c>
      <c r="D471">
        <v>58481090</v>
      </c>
      <c r="E471" s="16" t="s">
        <v>7</v>
      </c>
      <c r="F471" s="3">
        <v>1</v>
      </c>
      <c r="G471" s="3">
        <v>119000</v>
      </c>
      <c r="H471" s="3">
        <v>119000</v>
      </c>
      <c r="I471" s="3">
        <v>82110</v>
      </c>
      <c r="J471" s="3">
        <v>108181.81818181818</v>
      </c>
      <c r="K471" s="25">
        <v>61496</v>
      </c>
      <c r="L471" s="25">
        <v>61496</v>
      </c>
    </row>
    <row r="472" spans="1:12" x14ac:dyDescent="0.3">
      <c r="A472" t="s">
        <v>41</v>
      </c>
      <c r="B472">
        <v>20260206641134</v>
      </c>
      <c r="C472" t="s">
        <v>112</v>
      </c>
      <c r="D472">
        <v>58481090</v>
      </c>
      <c r="E472" s="16" t="s">
        <v>7</v>
      </c>
      <c r="F472" s="3">
        <v>1</v>
      </c>
      <c r="G472" s="3">
        <v>119000</v>
      </c>
      <c r="H472" s="3">
        <v>119000</v>
      </c>
      <c r="I472" s="3">
        <v>82110</v>
      </c>
      <c r="J472" s="3">
        <v>108181.81818181818</v>
      </c>
      <c r="K472" s="25">
        <v>61496</v>
      </c>
      <c r="L472" s="25">
        <v>61496</v>
      </c>
    </row>
    <row r="473" spans="1:12" x14ac:dyDescent="0.3">
      <c r="A473" t="s">
        <v>41</v>
      </c>
      <c r="B473">
        <v>20260208251315</v>
      </c>
      <c r="C473" t="s">
        <v>112</v>
      </c>
      <c r="D473">
        <v>58481090</v>
      </c>
      <c r="E473" s="16" t="s">
        <v>7</v>
      </c>
      <c r="F473" s="3">
        <v>1</v>
      </c>
      <c r="G473" s="3">
        <v>119000</v>
      </c>
      <c r="H473" s="3">
        <v>119000</v>
      </c>
      <c r="I473" s="3">
        <v>82110</v>
      </c>
      <c r="J473" s="3">
        <v>108181.81818181818</v>
      </c>
      <c r="K473" s="25">
        <v>61496</v>
      </c>
      <c r="L473" s="25">
        <v>61496</v>
      </c>
    </row>
    <row r="474" spans="1:12" x14ac:dyDescent="0.3">
      <c r="A474" t="s">
        <v>41</v>
      </c>
      <c r="B474">
        <v>20260205994412</v>
      </c>
      <c r="C474" t="s">
        <v>112</v>
      </c>
      <c r="D474">
        <v>58481090</v>
      </c>
      <c r="E474" s="16" t="s">
        <v>7</v>
      </c>
      <c r="F474" s="3">
        <v>1</v>
      </c>
      <c r="G474" s="3">
        <v>119000</v>
      </c>
      <c r="H474" s="3">
        <v>119000</v>
      </c>
      <c r="I474" s="3">
        <v>82110</v>
      </c>
      <c r="J474" s="3">
        <v>108181.81818181818</v>
      </c>
      <c r="K474" s="25">
        <v>61496</v>
      </c>
      <c r="L474" s="25">
        <v>61496</v>
      </c>
    </row>
    <row r="475" spans="1:12" x14ac:dyDescent="0.3">
      <c r="A475" t="s">
        <v>41</v>
      </c>
      <c r="B475">
        <v>20260210360594</v>
      </c>
      <c r="C475" t="s">
        <v>112</v>
      </c>
      <c r="D475">
        <v>58481090</v>
      </c>
      <c r="E475" s="16" t="s">
        <v>7</v>
      </c>
      <c r="F475" s="3">
        <v>-1</v>
      </c>
      <c r="G475" s="3">
        <v>119000</v>
      </c>
      <c r="H475" s="3">
        <v>-119000</v>
      </c>
      <c r="I475" s="3">
        <v>-80920</v>
      </c>
      <c r="J475" s="3">
        <v>-108181.81818181818</v>
      </c>
      <c r="K475" s="25">
        <v>61496</v>
      </c>
      <c r="L475" s="25">
        <v>-61496</v>
      </c>
    </row>
    <row r="476" spans="1:12" x14ac:dyDescent="0.3">
      <c r="A476" t="s">
        <v>41</v>
      </c>
      <c r="B476">
        <v>20260206650034</v>
      </c>
      <c r="C476" t="s">
        <v>1276</v>
      </c>
      <c r="D476">
        <v>59163204</v>
      </c>
      <c r="E476" s="16" t="s">
        <v>7</v>
      </c>
      <c r="F476" s="3">
        <v>1</v>
      </c>
      <c r="G476" s="3">
        <v>78000</v>
      </c>
      <c r="H476" s="3">
        <v>78000</v>
      </c>
      <c r="I476" s="3">
        <v>53820</v>
      </c>
      <c r="J476" s="3">
        <v>70909.090909090897</v>
      </c>
      <c r="K476" s="25">
        <v>30748</v>
      </c>
      <c r="L476" s="25">
        <v>30748</v>
      </c>
    </row>
    <row r="477" spans="1:12" x14ac:dyDescent="0.3">
      <c r="A477" t="s">
        <v>41</v>
      </c>
      <c r="B477">
        <v>20260208250982</v>
      </c>
      <c r="C477" t="s">
        <v>1276</v>
      </c>
      <c r="D477">
        <v>59163204</v>
      </c>
      <c r="E477" s="16" t="s">
        <v>7</v>
      </c>
      <c r="F477" s="3">
        <v>1</v>
      </c>
      <c r="G477" s="3">
        <v>78000</v>
      </c>
      <c r="H477" s="3">
        <v>65520</v>
      </c>
      <c r="I477" s="3">
        <v>53820</v>
      </c>
      <c r="J477" s="3">
        <v>59563.63636363636</v>
      </c>
      <c r="K477" s="25">
        <v>30748</v>
      </c>
      <c r="L477" s="25">
        <v>30748</v>
      </c>
    </row>
    <row r="478" spans="1:12" x14ac:dyDescent="0.3">
      <c r="A478" t="s">
        <v>41</v>
      </c>
      <c r="B478">
        <v>20260207149611</v>
      </c>
      <c r="C478" t="s">
        <v>1276</v>
      </c>
      <c r="D478">
        <v>59163204</v>
      </c>
      <c r="E478" s="16" t="s">
        <v>7</v>
      </c>
      <c r="F478" s="3">
        <v>1</v>
      </c>
      <c r="G478" s="3">
        <v>78000</v>
      </c>
      <c r="H478" s="3">
        <v>66300</v>
      </c>
      <c r="I478" s="3">
        <v>53820</v>
      </c>
      <c r="J478" s="3">
        <v>60272.727272727272</v>
      </c>
      <c r="K478" s="25">
        <v>30748</v>
      </c>
      <c r="L478" s="25">
        <v>30748</v>
      </c>
    </row>
    <row r="479" spans="1:12" x14ac:dyDescent="0.3">
      <c r="A479" t="s">
        <v>41</v>
      </c>
      <c r="B479">
        <v>20260209883427</v>
      </c>
      <c r="C479" t="s">
        <v>112</v>
      </c>
      <c r="D479">
        <v>58481090</v>
      </c>
      <c r="E479" s="16" t="s">
        <v>7</v>
      </c>
      <c r="F479" s="3">
        <v>1</v>
      </c>
      <c r="G479" s="3">
        <v>119000</v>
      </c>
      <c r="H479" s="3">
        <v>113050</v>
      </c>
      <c r="I479" s="3">
        <v>82110</v>
      </c>
      <c r="J479" s="3">
        <v>102772.72727272726</v>
      </c>
      <c r="K479" s="25">
        <v>61496</v>
      </c>
      <c r="L479" s="25">
        <v>61496</v>
      </c>
    </row>
    <row r="480" spans="1:12" x14ac:dyDescent="0.3">
      <c r="A480" t="s">
        <v>41</v>
      </c>
      <c r="B480">
        <v>20260210360516</v>
      </c>
      <c r="C480" t="s">
        <v>112</v>
      </c>
      <c r="D480">
        <v>58481090</v>
      </c>
      <c r="E480" s="16" t="s">
        <v>7</v>
      </c>
      <c r="F480" s="3">
        <v>-1</v>
      </c>
      <c r="G480" s="3">
        <v>119000</v>
      </c>
      <c r="H480" s="3">
        <v>-119000</v>
      </c>
      <c r="I480" s="3">
        <v>-80920</v>
      </c>
      <c r="J480" s="3">
        <v>-108181.81818181818</v>
      </c>
      <c r="K480" s="25">
        <v>61496</v>
      </c>
      <c r="L480" s="25">
        <v>-61496</v>
      </c>
    </row>
    <row r="481" spans="1:12" x14ac:dyDescent="0.3">
      <c r="A481" t="s">
        <v>41</v>
      </c>
      <c r="B481">
        <v>20260210360516</v>
      </c>
      <c r="C481" t="s">
        <v>112</v>
      </c>
      <c r="D481">
        <v>58481090</v>
      </c>
      <c r="E481" s="16" t="s">
        <v>7</v>
      </c>
      <c r="F481" s="3">
        <v>1</v>
      </c>
      <c r="G481" s="3">
        <v>119000</v>
      </c>
      <c r="H481" s="3">
        <v>119000</v>
      </c>
      <c r="I481" s="3">
        <v>80920</v>
      </c>
      <c r="J481" s="3">
        <v>108181.81818181818</v>
      </c>
      <c r="K481" s="25">
        <v>61496</v>
      </c>
      <c r="L481" s="25">
        <v>61496</v>
      </c>
    </row>
    <row r="482" spans="1:12" x14ac:dyDescent="0.3">
      <c r="A482" t="s">
        <v>41</v>
      </c>
      <c r="B482">
        <v>20260209904260</v>
      </c>
      <c r="C482" t="s">
        <v>112</v>
      </c>
      <c r="D482">
        <v>58481090</v>
      </c>
      <c r="E482" s="16" t="s">
        <v>7</v>
      </c>
      <c r="F482" s="3">
        <v>1</v>
      </c>
      <c r="G482" s="3">
        <v>119000</v>
      </c>
      <c r="H482" s="3">
        <v>119000</v>
      </c>
      <c r="I482" s="3">
        <v>80920</v>
      </c>
      <c r="J482" s="3">
        <v>108181.81818181818</v>
      </c>
      <c r="K482" s="25">
        <v>61496</v>
      </c>
      <c r="L482" s="25">
        <v>61496</v>
      </c>
    </row>
    <row r="483" spans="1:12" x14ac:dyDescent="0.3">
      <c r="A483" t="s">
        <v>41</v>
      </c>
      <c r="B483">
        <v>20260209896967</v>
      </c>
      <c r="C483" t="s">
        <v>112</v>
      </c>
      <c r="D483">
        <v>58481090</v>
      </c>
      <c r="E483" s="16" t="s">
        <v>7</v>
      </c>
      <c r="F483" s="3">
        <v>4</v>
      </c>
      <c r="G483" s="3">
        <v>119000</v>
      </c>
      <c r="H483" s="3">
        <v>452200</v>
      </c>
      <c r="I483" s="3">
        <v>328440</v>
      </c>
      <c r="J483" s="3">
        <v>411090.90909090906</v>
      </c>
      <c r="K483" s="25">
        <v>61496</v>
      </c>
      <c r="L483" s="25">
        <v>245984</v>
      </c>
    </row>
    <row r="484" spans="1:12" x14ac:dyDescent="0.3">
      <c r="A484" t="s">
        <v>41</v>
      </c>
      <c r="B484">
        <v>20260209898425</v>
      </c>
      <c r="C484" t="s">
        <v>112</v>
      </c>
      <c r="D484">
        <v>58481090</v>
      </c>
      <c r="E484" s="16" t="s">
        <v>7</v>
      </c>
      <c r="F484" s="3">
        <v>1</v>
      </c>
      <c r="G484" s="3">
        <v>119000</v>
      </c>
      <c r="H484" s="3">
        <v>113050</v>
      </c>
      <c r="I484" s="3">
        <v>82110</v>
      </c>
      <c r="J484" s="3">
        <v>102772.72727272726</v>
      </c>
      <c r="K484" s="25">
        <v>61496</v>
      </c>
      <c r="L484" s="25">
        <v>61496</v>
      </c>
    </row>
    <row r="485" spans="1:12" x14ac:dyDescent="0.3">
      <c r="A485" t="s">
        <v>41</v>
      </c>
      <c r="B485">
        <v>20260208247573</v>
      </c>
      <c r="C485" t="s">
        <v>112</v>
      </c>
      <c r="D485">
        <v>58481090</v>
      </c>
      <c r="E485" s="16" t="s">
        <v>7</v>
      </c>
      <c r="F485" s="3">
        <v>1</v>
      </c>
      <c r="G485" s="3">
        <v>119000</v>
      </c>
      <c r="H485" s="3">
        <v>109000</v>
      </c>
      <c r="I485" s="3">
        <v>82110</v>
      </c>
      <c r="J485" s="3">
        <v>99090.909090909074</v>
      </c>
      <c r="K485" s="25">
        <v>61496</v>
      </c>
      <c r="L485" s="25">
        <v>61496</v>
      </c>
    </row>
    <row r="486" spans="1:12" x14ac:dyDescent="0.3">
      <c r="A486" t="s">
        <v>41</v>
      </c>
      <c r="B486">
        <v>20260209919611</v>
      </c>
      <c r="C486" t="s">
        <v>112</v>
      </c>
      <c r="D486">
        <v>58481090</v>
      </c>
      <c r="E486" s="16" t="s">
        <v>7</v>
      </c>
      <c r="F486" s="3">
        <v>1</v>
      </c>
      <c r="G486" s="3">
        <v>119000</v>
      </c>
      <c r="H486" s="3">
        <v>95200</v>
      </c>
      <c r="I486" s="3">
        <v>80920</v>
      </c>
      <c r="J486" s="3">
        <v>86545.454545454544</v>
      </c>
      <c r="K486" s="25">
        <v>61496</v>
      </c>
      <c r="L486" s="25">
        <v>61496</v>
      </c>
    </row>
    <row r="487" spans="1:12" x14ac:dyDescent="0.3">
      <c r="A487" t="s">
        <v>41</v>
      </c>
      <c r="B487">
        <v>20260205995605</v>
      </c>
      <c r="C487" t="s">
        <v>112</v>
      </c>
      <c r="D487">
        <v>58481090</v>
      </c>
      <c r="E487" s="16" t="s">
        <v>7</v>
      </c>
      <c r="F487" s="3">
        <v>1</v>
      </c>
      <c r="G487" s="3">
        <v>119000</v>
      </c>
      <c r="H487" s="3">
        <v>119000</v>
      </c>
      <c r="I487" s="3">
        <v>82110</v>
      </c>
      <c r="J487" s="3">
        <v>108181.81818181818</v>
      </c>
      <c r="K487" s="25">
        <v>61496</v>
      </c>
      <c r="L487" s="25">
        <v>61496</v>
      </c>
    </row>
    <row r="488" spans="1:12" x14ac:dyDescent="0.3">
      <c r="A488" t="s">
        <v>41</v>
      </c>
      <c r="B488">
        <v>20260209889552</v>
      </c>
      <c r="C488" t="s">
        <v>112</v>
      </c>
      <c r="D488">
        <v>58481090</v>
      </c>
      <c r="E488" s="16" t="s">
        <v>7</v>
      </c>
      <c r="F488" s="3">
        <v>1</v>
      </c>
      <c r="G488" s="3">
        <v>119000</v>
      </c>
      <c r="H488" s="3">
        <v>118180</v>
      </c>
      <c r="I488" s="3">
        <v>82110</v>
      </c>
      <c r="J488" s="3">
        <v>107436.36363636365</v>
      </c>
      <c r="K488" s="25">
        <v>61496</v>
      </c>
      <c r="L488" s="25">
        <v>61496</v>
      </c>
    </row>
    <row r="489" spans="1:12" x14ac:dyDescent="0.3">
      <c r="A489" t="s">
        <v>41</v>
      </c>
      <c r="B489">
        <v>20260205993840</v>
      </c>
      <c r="C489" t="s">
        <v>112</v>
      </c>
      <c r="D489">
        <v>58481090</v>
      </c>
      <c r="E489" s="16" t="s">
        <v>7</v>
      </c>
      <c r="F489" s="3">
        <v>1</v>
      </c>
      <c r="G489" s="3">
        <v>119000</v>
      </c>
      <c r="H489" s="3">
        <v>119000</v>
      </c>
      <c r="I489" s="3">
        <v>82110</v>
      </c>
      <c r="J489" s="3">
        <v>108181.81818181818</v>
      </c>
      <c r="K489" s="25">
        <v>61496</v>
      </c>
      <c r="L489" s="25">
        <v>61496</v>
      </c>
    </row>
    <row r="490" spans="1:12" x14ac:dyDescent="0.3">
      <c r="A490" t="s">
        <v>41</v>
      </c>
      <c r="B490">
        <v>20260205992722</v>
      </c>
      <c r="C490" t="s">
        <v>112</v>
      </c>
      <c r="D490">
        <v>58481090</v>
      </c>
      <c r="E490" s="16" t="s">
        <v>7</v>
      </c>
      <c r="F490" s="3">
        <v>1</v>
      </c>
      <c r="G490" s="3">
        <v>119000</v>
      </c>
      <c r="H490" s="3">
        <v>119000</v>
      </c>
      <c r="I490" s="3">
        <v>82110</v>
      </c>
      <c r="J490" s="3">
        <v>108181.81818181818</v>
      </c>
      <c r="K490" s="25">
        <v>61496</v>
      </c>
      <c r="L490" s="25">
        <v>61496</v>
      </c>
    </row>
    <row r="491" spans="1:12" x14ac:dyDescent="0.3">
      <c r="A491" t="s">
        <v>41</v>
      </c>
      <c r="B491">
        <v>20260210347699</v>
      </c>
      <c r="C491" t="s">
        <v>112</v>
      </c>
      <c r="D491">
        <v>58481090</v>
      </c>
      <c r="E491" s="16" t="s">
        <v>7</v>
      </c>
      <c r="F491" s="3">
        <v>1</v>
      </c>
      <c r="G491" s="3">
        <v>119000</v>
      </c>
      <c r="H491" s="3">
        <v>98770</v>
      </c>
      <c r="I491" s="3">
        <v>80920</v>
      </c>
      <c r="J491" s="3">
        <v>89790.909090909088</v>
      </c>
      <c r="K491" s="25">
        <v>61496</v>
      </c>
      <c r="L491" s="25">
        <v>61496</v>
      </c>
    </row>
    <row r="492" spans="1:12" x14ac:dyDescent="0.3">
      <c r="A492" t="s">
        <v>41</v>
      </c>
      <c r="B492">
        <v>20260205995560</v>
      </c>
      <c r="C492" t="s">
        <v>112</v>
      </c>
      <c r="D492">
        <v>58481090</v>
      </c>
      <c r="E492" s="16" t="s">
        <v>7</v>
      </c>
      <c r="F492" s="3">
        <v>1</v>
      </c>
      <c r="G492" s="3">
        <v>119000</v>
      </c>
      <c r="H492" s="3">
        <v>119000</v>
      </c>
      <c r="I492" s="3">
        <v>82110</v>
      </c>
      <c r="J492" s="3">
        <v>108181.81818181818</v>
      </c>
      <c r="K492" s="25">
        <v>61496</v>
      </c>
      <c r="L492" s="25">
        <v>61496</v>
      </c>
    </row>
    <row r="493" spans="1:12" x14ac:dyDescent="0.3">
      <c r="A493" t="s">
        <v>41</v>
      </c>
      <c r="B493">
        <v>20260205994523</v>
      </c>
      <c r="C493" t="s">
        <v>112</v>
      </c>
      <c r="D493">
        <v>58481090</v>
      </c>
      <c r="E493" s="16" t="s">
        <v>7</v>
      </c>
      <c r="F493" s="3">
        <v>1</v>
      </c>
      <c r="G493" s="3">
        <v>119000</v>
      </c>
      <c r="H493" s="3">
        <v>119000</v>
      </c>
      <c r="I493" s="3">
        <v>82110</v>
      </c>
      <c r="J493" s="3">
        <v>108181.81818181818</v>
      </c>
      <c r="K493" s="25">
        <v>61496</v>
      </c>
      <c r="L493" s="25">
        <v>61496</v>
      </c>
    </row>
    <row r="494" spans="1:12" x14ac:dyDescent="0.3">
      <c r="A494" t="s">
        <v>41</v>
      </c>
      <c r="B494">
        <v>20260209898048</v>
      </c>
      <c r="C494" t="s">
        <v>1276</v>
      </c>
      <c r="D494">
        <v>59163204</v>
      </c>
      <c r="E494" s="16" t="s">
        <v>7</v>
      </c>
      <c r="F494" s="3">
        <v>1</v>
      </c>
      <c r="G494" s="3">
        <v>78000</v>
      </c>
      <c r="H494" s="3">
        <v>74100</v>
      </c>
      <c r="I494" s="3">
        <v>53820</v>
      </c>
      <c r="J494" s="3">
        <v>67363.636363636353</v>
      </c>
      <c r="K494" s="25">
        <v>30748</v>
      </c>
      <c r="L494" s="25">
        <v>30748</v>
      </c>
    </row>
    <row r="495" spans="1:12" x14ac:dyDescent="0.3">
      <c r="A495" t="s">
        <v>41</v>
      </c>
      <c r="B495">
        <v>20260210361668</v>
      </c>
      <c r="C495" t="s">
        <v>112</v>
      </c>
      <c r="D495">
        <v>58481090</v>
      </c>
      <c r="E495" s="16" t="s">
        <v>7</v>
      </c>
      <c r="F495" s="3">
        <v>1</v>
      </c>
      <c r="G495" s="3">
        <v>119000</v>
      </c>
      <c r="H495" s="3">
        <v>119000</v>
      </c>
      <c r="I495" s="3">
        <v>80920</v>
      </c>
      <c r="J495" s="3">
        <v>108181.81818181818</v>
      </c>
      <c r="K495" s="25">
        <v>61496</v>
      </c>
      <c r="L495" s="25">
        <v>61496</v>
      </c>
    </row>
    <row r="496" spans="1:12" x14ac:dyDescent="0.3">
      <c r="A496" t="s">
        <v>41</v>
      </c>
      <c r="B496">
        <v>20260210361308</v>
      </c>
      <c r="C496" t="s">
        <v>112</v>
      </c>
      <c r="D496">
        <v>58481090</v>
      </c>
      <c r="E496" s="16" t="s">
        <v>7</v>
      </c>
      <c r="F496" s="3">
        <v>1</v>
      </c>
      <c r="G496" s="3">
        <v>119000</v>
      </c>
      <c r="H496" s="3">
        <v>119000</v>
      </c>
      <c r="I496" s="3">
        <v>80920</v>
      </c>
      <c r="J496" s="3">
        <v>108181.81818181818</v>
      </c>
      <c r="K496" s="25">
        <v>61496</v>
      </c>
      <c r="L496" s="25">
        <v>61496</v>
      </c>
    </row>
    <row r="497" spans="1:12" x14ac:dyDescent="0.3">
      <c r="A497" t="s">
        <v>41</v>
      </c>
      <c r="B497">
        <v>20260210361311</v>
      </c>
      <c r="C497" t="s">
        <v>112</v>
      </c>
      <c r="D497">
        <v>58481090</v>
      </c>
      <c r="E497" s="16" t="s">
        <v>7</v>
      </c>
      <c r="F497" s="3">
        <v>1</v>
      </c>
      <c r="G497" s="3">
        <v>119000</v>
      </c>
      <c r="H497" s="3">
        <v>119000</v>
      </c>
      <c r="I497" s="3">
        <v>80920</v>
      </c>
      <c r="J497" s="3">
        <v>108181.81818181818</v>
      </c>
      <c r="K497" s="25">
        <v>61496</v>
      </c>
      <c r="L497" s="25">
        <v>61496</v>
      </c>
    </row>
    <row r="498" spans="1:12" x14ac:dyDescent="0.3">
      <c r="A498" t="s">
        <v>41</v>
      </c>
      <c r="B498">
        <v>20260210361344</v>
      </c>
      <c r="C498" t="s">
        <v>112</v>
      </c>
      <c r="D498">
        <v>58481090</v>
      </c>
      <c r="E498" s="16" t="s">
        <v>7</v>
      </c>
      <c r="F498" s="3">
        <v>1</v>
      </c>
      <c r="G498" s="3">
        <v>119000</v>
      </c>
      <c r="H498" s="3">
        <v>119000</v>
      </c>
      <c r="I498" s="3">
        <v>80920</v>
      </c>
      <c r="J498" s="3">
        <v>108181.81818181818</v>
      </c>
      <c r="K498" s="25">
        <v>61496</v>
      </c>
      <c r="L498" s="25">
        <v>61496</v>
      </c>
    </row>
    <row r="499" spans="1:12" x14ac:dyDescent="0.3">
      <c r="A499" t="s">
        <v>41</v>
      </c>
      <c r="B499">
        <v>20260210361574</v>
      </c>
      <c r="C499" t="s">
        <v>112</v>
      </c>
      <c r="D499">
        <v>58481090</v>
      </c>
      <c r="E499" s="16" t="s">
        <v>7</v>
      </c>
      <c r="F499" s="3">
        <v>1</v>
      </c>
      <c r="G499" s="3">
        <v>119000</v>
      </c>
      <c r="H499" s="3">
        <v>119000</v>
      </c>
      <c r="I499" s="3">
        <v>80920</v>
      </c>
      <c r="J499" s="3">
        <v>108181.81818181818</v>
      </c>
      <c r="K499" s="25">
        <v>61496</v>
      </c>
      <c r="L499" s="25">
        <v>61496</v>
      </c>
    </row>
    <row r="500" spans="1:12" x14ac:dyDescent="0.3">
      <c r="A500" t="s">
        <v>41</v>
      </c>
      <c r="B500">
        <v>20260210361598</v>
      </c>
      <c r="C500" t="s">
        <v>112</v>
      </c>
      <c r="D500">
        <v>58481090</v>
      </c>
      <c r="E500" s="16" t="s">
        <v>7</v>
      </c>
      <c r="F500" s="3">
        <v>1</v>
      </c>
      <c r="G500" s="3">
        <v>119000</v>
      </c>
      <c r="H500" s="3">
        <v>119000</v>
      </c>
      <c r="I500" s="3">
        <v>80920</v>
      </c>
      <c r="J500" s="3">
        <v>108181.81818181818</v>
      </c>
      <c r="K500" s="25">
        <v>61496</v>
      </c>
      <c r="L500" s="25">
        <v>61496</v>
      </c>
    </row>
    <row r="501" spans="1:12" x14ac:dyDescent="0.3">
      <c r="A501" t="s">
        <v>41</v>
      </c>
      <c r="B501">
        <v>20260210361706</v>
      </c>
      <c r="C501" t="s">
        <v>112</v>
      </c>
      <c r="D501">
        <v>58481090</v>
      </c>
      <c r="E501" s="16" t="s">
        <v>7</v>
      </c>
      <c r="F501" s="3">
        <v>1</v>
      </c>
      <c r="G501" s="3">
        <v>119000</v>
      </c>
      <c r="H501" s="3">
        <v>119000</v>
      </c>
      <c r="I501" s="3">
        <v>80920</v>
      </c>
      <c r="J501" s="3">
        <v>108181.81818181818</v>
      </c>
      <c r="K501" s="25">
        <v>61496</v>
      </c>
      <c r="L501" s="25">
        <v>61496</v>
      </c>
    </row>
    <row r="502" spans="1:12" x14ac:dyDescent="0.3">
      <c r="A502" t="s">
        <v>41</v>
      </c>
      <c r="B502">
        <v>20260210361759</v>
      </c>
      <c r="C502" t="s">
        <v>112</v>
      </c>
      <c r="D502">
        <v>58481090</v>
      </c>
      <c r="E502" s="16" t="s">
        <v>7</v>
      </c>
      <c r="F502" s="3">
        <v>1</v>
      </c>
      <c r="G502" s="3">
        <v>119000</v>
      </c>
      <c r="H502" s="3">
        <v>119000</v>
      </c>
      <c r="I502" s="3">
        <v>80920</v>
      </c>
      <c r="J502" s="3">
        <v>108181.81818181818</v>
      </c>
      <c r="K502" s="25">
        <v>61496</v>
      </c>
      <c r="L502" s="25">
        <v>61496</v>
      </c>
    </row>
    <row r="503" spans="1:12" x14ac:dyDescent="0.3">
      <c r="A503" t="s">
        <v>41</v>
      </c>
      <c r="B503">
        <v>20260210361684</v>
      </c>
      <c r="C503" t="s">
        <v>112</v>
      </c>
      <c r="D503">
        <v>58481090</v>
      </c>
      <c r="E503" s="16" t="s">
        <v>7</v>
      </c>
      <c r="F503" s="3">
        <v>1</v>
      </c>
      <c r="G503" s="3">
        <v>119000</v>
      </c>
      <c r="H503" s="3">
        <v>119000</v>
      </c>
      <c r="I503" s="3">
        <v>80920</v>
      </c>
      <c r="J503" s="3">
        <v>108181.81818181818</v>
      </c>
      <c r="K503" s="25">
        <v>61496</v>
      </c>
      <c r="L503" s="25">
        <v>61496</v>
      </c>
    </row>
    <row r="504" spans="1:12" x14ac:dyDescent="0.3">
      <c r="A504" t="s">
        <v>41</v>
      </c>
      <c r="B504">
        <v>20260210361910</v>
      </c>
      <c r="C504" t="s">
        <v>112</v>
      </c>
      <c r="D504">
        <v>58481090</v>
      </c>
      <c r="E504" s="16" t="s">
        <v>7</v>
      </c>
      <c r="F504" s="3">
        <v>1</v>
      </c>
      <c r="G504" s="3">
        <v>119000</v>
      </c>
      <c r="H504" s="3">
        <v>119000</v>
      </c>
      <c r="I504" s="3">
        <v>80920</v>
      </c>
      <c r="J504" s="3">
        <v>108181.81818181818</v>
      </c>
      <c r="K504" s="25">
        <v>61496</v>
      </c>
      <c r="L504" s="25">
        <v>61496</v>
      </c>
    </row>
    <row r="505" spans="1:12" x14ac:dyDescent="0.3">
      <c r="A505" t="s">
        <v>41</v>
      </c>
      <c r="B505">
        <v>20260210362507</v>
      </c>
      <c r="C505" t="s">
        <v>112</v>
      </c>
      <c r="D505">
        <v>58481090</v>
      </c>
      <c r="E505" s="16" t="s">
        <v>7</v>
      </c>
      <c r="F505" s="3">
        <v>1</v>
      </c>
      <c r="G505" s="3">
        <v>119000</v>
      </c>
      <c r="H505" s="3">
        <v>119000</v>
      </c>
      <c r="I505" s="3">
        <v>80920</v>
      </c>
      <c r="J505" s="3">
        <v>108181.81818181818</v>
      </c>
      <c r="K505" s="25">
        <v>61496</v>
      </c>
      <c r="L505" s="25">
        <v>61496</v>
      </c>
    </row>
    <row r="506" spans="1:12" x14ac:dyDescent="0.3">
      <c r="A506" t="s">
        <v>41</v>
      </c>
      <c r="B506">
        <v>20260210360232</v>
      </c>
      <c r="C506" t="s">
        <v>112</v>
      </c>
      <c r="D506">
        <v>58481090</v>
      </c>
      <c r="E506" s="16" t="s">
        <v>7</v>
      </c>
      <c r="F506" s="3">
        <v>1</v>
      </c>
      <c r="G506" s="3">
        <v>119000</v>
      </c>
      <c r="H506" s="3">
        <v>113050</v>
      </c>
      <c r="I506" s="3">
        <v>80920</v>
      </c>
      <c r="J506" s="3">
        <v>102772.72727272726</v>
      </c>
      <c r="K506" s="25">
        <v>61496</v>
      </c>
      <c r="L506" s="25">
        <v>61496</v>
      </c>
    </row>
    <row r="507" spans="1:12" x14ac:dyDescent="0.3">
      <c r="A507" t="s">
        <v>41</v>
      </c>
      <c r="B507">
        <v>20260210361309</v>
      </c>
      <c r="C507" t="s">
        <v>112</v>
      </c>
      <c r="D507">
        <v>58481090</v>
      </c>
      <c r="E507" s="16" t="s">
        <v>7</v>
      </c>
      <c r="F507" s="3">
        <v>1</v>
      </c>
      <c r="G507" s="3">
        <v>119000</v>
      </c>
      <c r="H507" s="3">
        <v>119000</v>
      </c>
      <c r="I507" s="3">
        <v>80920</v>
      </c>
      <c r="J507" s="3">
        <v>108181.81818181818</v>
      </c>
      <c r="K507" s="25">
        <v>61496</v>
      </c>
      <c r="L507" s="25">
        <v>61496</v>
      </c>
    </row>
    <row r="508" spans="1:12" x14ac:dyDescent="0.3">
      <c r="A508" t="s">
        <v>41</v>
      </c>
      <c r="B508">
        <v>20260210361341</v>
      </c>
      <c r="C508" t="s">
        <v>112</v>
      </c>
      <c r="D508">
        <v>58481090</v>
      </c>
      <c r="E508" s="16" t="s">
        <v>7</v>
      </c>
      <c r="F508" s="3">
        <v>1</v>
      </c>
      <c r="G508" s="3">
        <v>119000</v>
      </c>
      <c r="H508" s="3">
        <v>119000</v>
      </c>
      <c r="I508" s="3">
        <v>80920</v>
      </c>
      <c r="J508" s="3">
        <v>108181.81818181818</v>
      </c>
      <c r="K508" s="25">
        <v>61496</v>
      </c>
      <c r="L508" s="25">
        <v>61496</v>
      </c>
    </row>
    <row r="509" spans="1:12" x14ac:dyDescent="0.3">
      <c r="A509" t="s">
        <v>41</v>
      </c>
      <c r="B509">
        <v>20260210361405</v>
      </c>
      <c r="C509" t="s">
        <v>112</v>
      </c>
      <c r="D509">
        <v>58481090</v>
      </c>
      <c r="E509" s="16" t="s">
        <v>7</v>
      </c>
      <c r="F509" s="3">
        <v>1</v>
      </c>
      <c r="G509" s="3">
        <v>119000</v>
      </c>
      <c r="H509" s="3">
        <v>119000</v>
      </c>
      <c r="I509" s="3">
        <v>80920</v>
      </c>
      <c r="J509" s="3">
        <v>108181.81818181818</v>
      </c>
      <c r="K509" s="25">
        <v>61496</v>
      </c>
      <c r="L509" s="25">
        <v>61496</v>
      </c>
    </row>
    <row r="510" spans="1:12" x14ac:dyDescent="0.3">
      <c r="A510" t="s">
        <v>41</v>
      </c>
      <c r="B510">
        <v>20260210361631</v>
      </c>
      <c r="C510" t="s">
        <v>112</v>
      </c>
      <c r="D510">
        <v>58481090</v>
      </c>
      <c r="E510" s="16" t="s">
        <v>7</v>
      </c>
      <c r="F510" s="3">
        <v>1</v>
      </c>
      <c r="G510" s="3">
        <v>119000</v>
      </c>
      <c r="H510" s="3">
        <v>119000</v>
      </c>
      <c r="I510" s="3">
        <v>80920</v>
      </c>
      <c r="J510" s="3">
        <v>108181.81818181818</v>
      </c>
      <c r="K510" s="25">
        <v>61496</v>
      </c>
      <c r="L510" s="25">
        <v>61496</v>
      </c>
    </row>
    <row r="511" spans="1:12" x14ac:dyDescent="0.3">
      <c r="A511" t="s">
        <v>41</v>
      </c>
      <c r="B511">
        <v>20260210360257</v>
      </c>
      <c r="C511" t="s">
        <v>112</v>
      </c>
      <c r="D511">
        <v>58481090</v>
      </c>
      <c r="E511" s="16" t="s">
        <v>7</v>
      </c>
      <c r="F511" s="3">
        <v>1</v>
      </c>
      <c r="G511" s="3">
        <v>119000</v>
      </c>
      <c r="H511" s="3">
        <v>119000</v>
      </c>
      <c r="I511" s="3">
        <v>80920</v>
      </c>
      <c r="J511" s="3">
        <v>108181.81818181818</v>
      </c>
      <c r="K511" s="25">
        <v>61496</v>
      </c>
      <c r="L511" s="25">
        <v>61496</v>
      </c>
    </row>
    <row r="512" spans="1:12" x14ac:dyDescent="0.3">
      <c r="A512" t="s">
        <v>41</v>
      </c>
      <c r="B512">
        <v>20260210361115</v>
      </c>
      <c r="C512" t="s">
        <v>112</v>
      </c>
      <c r="D512">
        <v>58481090</v>
      </c>
      <c r="E512" s="16" t="s">
        <v>7</v>
      </c>
      <c r="F512" s="3">
        <v>1</v>
      </c>
      <c r="G512" s="3">
        <v>119000</v>
      </c>
      <c r="H512" s="3">
        <v>119000</v>
      </c>
      <c r="I512" s="3">
        <v>80920</v>
      </c>
      <c r="J512" s="3">
        <v>108181.81818181818</v>
      </c>
      <c r="K512" s="25">
        <v>61496</v>
      </c>
      <c r="L512" s="25">
        <v>61496</v>
      </c>
    </row>
    <row r="513" spans="1:12" x14ac:dyDescent="0.3">
      <c r="A513" t="s">
        <v>41</v>
      </c>
      <c r="B513">
        <v>20260210361265</v>
      </c>
      <c r="C513" t="s">
        <v>112</v>
      </c>
      <c r="D513">
        <v>58481090</v>
      </c>
      <c r="E513" s="16" t="s">
        <v>7</v>
      </c>
      <c r="F513" s="3">
        <v>1</v>
      </c>
      <c r="G513" s="3">
        <v>119000</v>
      </c>
      <c r="H513" s="3">
        <v>119000</v>
      </c>
      <c r="I513" s="3">
        <v>80920</v>
      </c>
      <c r="J513" s="3">
        <v>108181.81818181818</v>
      </c>
      <c r="K513" s="25">
        <v>61496</v>
      </c>
      <c r="L513" s="25">
        <v>61496</v>
      </c>
    </row>
    <row r="514" spans="1:12" x14ac:dyDescent="0.3">
      <c r="A514" t="s">
        <v>41</v>
      </c>
      <c r="B514">
        <v>20260210360560</v>
      </c>
      <c r="C514" t="s">
        <v>112</v>
      </c>
      <c r="D514">
        <v>58481090</v>
      </c>
      <c r="E514" s="16" t="s">
        <v>7</v>
      </c>
      <c r="F514" s="3">
        <v>1</v>
      </c>
      <c r="G514" s="3">
        <v>119000</v>
      </c>
      <c r="H514" s="3">
        <v>119000</v>
      </c>
      <c r="I514" s="3">
        <v>80920</v>
      </c>
      <c r="J514" s="3">
        <v>108181.81818181818</v>
      </c>
      <c r="K514" s="25">
        <v>61496</v>
      </c>
      <c r="L514" s="25">
        <v>61496</v>
      </c>
    </row>
    <row r="515" spans="1:12" x14ac:dyDescent="0.3">
      <c r="A515" t="s">
        <v>41</v>
      </c>
      <c r="B515">
        <v>20260210360583</v>
      </c>
      <c r="C515" t="s">
        <v>112</v>
      </c>
      <c r="D515">
        <v>58481090</v>
      </c>
      <c r="E515" s="16" t="s">
        <v>7</v>
      </c>
      <c r="F515" s="3">
        <v>1</v>
      </c>
      <c r="G515" s="3">
        <v>119000</v>
      </c>
      <c r="H515" s="3">
        <v>119000</v>
      </c>
      <c r="I515" s="3">
        <v>80920</v>
      </c>
      <c r="J515" s="3">
        <v>108181.81818181818</v>
      </c>
      <c r="K515" s="25">
        <v>61496</v>
      </c>
      <c r="L515" s="25">
        <v>61496</v>
      </c>
    </row>
    <row r="516" spans="1:12" x14ac:dyDescent="0.3">
      <c r="A516" t="s">
        <v>41</v>
      </c>
      <c r="B516">
        <v>20260210361670</v>
      </c>
      <c r="C516" t="s">
        <v>112</v>
      </c>
      <c r="D516">
        <v>58481090</v>
      </c>
      <c r="E516" s="16" t="s">
        <v>7</v>
      </c>
      <c r="F516" s="3">
        <v>1</v>
      </c>
      <c r="G516" s="3">
        <v>119000</v>
      </c>
      <c r="H516" s="3">
        <v>119000</v>
      </c>
      <c r="I516" s="3">
        <v>80920</v>
      </c>
      <c r="J516" s="3">
        <v>108181.81818181818</v>
      </c>
      <c r="K516" s="25">
        <v>61496</v>
      </c>
      <c r="L516" s="25">
        <v>61496</v>
      </c>
    </row>
    <row r="517" spans="1:12" x14ac:dyDescent="0.3">
      <c r="A517" t="s">
        <v>41</v>
      </c>
      <c r="B517">
        <v>20260210361580</v>
      </c>
      <c r="C517" t="s">
        <v>112</v>
      </c>
      <c r="D517">
        <v>58481090</v>
      </c>
      <c r="E517" s="16" t="s">
        <v>7</v>
      </c>
      <c r="F517" s="3">
        <v>1</v>
      </c>
      <c r="G517" s="3">
        <v>119000</v>
      </c>
      <c r="H517" s="3">
        <v>119000</v>
      </c>
      <c r="I517" s="3">
        <v>80920</v>
      </c>
      <c r="J517" s="3">
        <v>108181.81818181818</v>
      </c>
      <c r="K517" s="25">
        <v>61496</v>
      </c>
      <c r="L517" s="25">
        <v>61496</v>
      </c>
    </row>
    <row r="518" spans="1:12" x14ac:dyDescent="0.3">
      <c r="A518" t="s">
        <v>41</v>
      </c>
      <c r="B518">
        <v>20260210361782</v>
      </c>
      <c r="C518" t="s">
        <v>112</v>
      </c>
      <c r="D518">
        <v>58481090</v>
      </c>
      <c r="E518" s="16" t="s">
        <v>7</v>
      </c>
      <c r="F518" s="3">
        <v>1</v>
      </c>
      <c r="G518" s="3">
        <v>119000</v>
      </c>
      <c r="H518" s="3">
        <v>119000</v>
      </c>
      <c r="I518" s="3">
        <v>80920</v>
      </c>
      <c r="J518" s="3">
        <v>108181.81818181818</v>
      </c>
      <c r="K518" s="25">
        <v>61496</v>
      </c>
      <c r="L518" s="25">
        <v>61496</v>
      </c>
    </row>
    <row r="519" spans="1:12" x14ac:dyDescent="0.3">
      <c r="A519" t="s">
        <v>41</v>
      </c>
      <c r="B519">
        <v>20260210360838</v>
      </c>
      <c r="C519" t="s">
        <v>112</v>
      </c>
      <c r="D519">
        <v>58481090</v>
      </c>
      <c r="E519" s="16" t="s">
        <v>7</v>
      </c>
      <c r="F519" s="3">
        <v>1</v>
      </c>
      <c r="G519" s="3">
        <v>119000</v>
      </c>
      <c r="H519" s="3">
        <v>119000</v>
      </c>
      <c r="I519" s="3">
        <v>80920</v>
      </c>
      <c r="J519" s="3">
        <v>108181.81818181818</v>
      </c>
      <c r="K519" s="25">
        <v>61496</v>
      </c>
      <c r="L519" s="25">
        <v>61496</v>
      </c>
    </row>
    <row r="520" spans="1:12" x14ac:dyDescent="0.3">
      <c r="A520" t="s">
        <v>41</v>
      </c>
      <c r="B520">
        <v>20260210360168</v>
      </c>
      <c r="C520" t="s">
        <v>112</v>
      </c>
      <c r="D520">
        <v>58481090</v>
      </c>
      <c r="E520" s="16" t="s">
        <v>7</v>
      </c>
      <c r="F520" s="3">
        <v>1</v>
      </c>
      <c r="G520" s="3">
        <v>119000</v>
      </c>
      <c r="H520" s="3">
        <v>119000</v>
      </c>
      <c r="I520" s="3">
        <v>80920</v>
      </c>
      <c r="J520" s="3">
        <v>108181.81818181818</v>
      </c>
      <c r="K520" s="25">
        <v>61496</v>
      </c>
      <c r="L520" s="25">
        <v>61496</v>
      </c>
    </row>
    <row r="521" spans="1:12" x14ac:dyDescent="0.3">
      <c r="A521" t="s">
        <v>41</v>
      </c>
      <c r="B521">
        <v>20260210360212</v>
      </c>
      <c r="C521" t="s">
        <v>112</v>
      </c>
      <c r="D521">
        <v>58481090</v>
      </c>
      <c r="E521" s="16" t="s">
        <v>7</v>
      </c>
      <c r="F521" s="3">
        <v>1</v>
      </c>
      <c r="G521" s="3">
        <v>119000</v>
      </c>
      <c r="H521" s="3">
        <v>119000</v>
      </c>
      <c r="I521" s="3">
        <v>80920</v>
      </c>
      <c r="J521" s="3">
        <v>108181.81818181818</v>
      </c>
      <c r="K521" s="25">
        <v>61496</v>
      </c>
      <c r="L521" s="25">
        <v>61496</v>
      </c>
    </row>
    <row r="522" spans="1:12" x14ac:dyDescent="0.3">
      <c r="A522" t="s">
        <v>41</v>
      </c>
      <c r="B522">
        <v>20260210360219</v>
      </c>
      <c r="C522" t="s">
        <v>112</v>
      </c>
      <c r="D522">
        <v>58481090</v>
      </c>
      <c r="E522" s="16" t="s">
        <v>7</v>
      </c>
      <c r="F522" s="3">
        <v>1</v>
      </c>
      <c r="G522" s="3">
        <v>119000</v>
      </c>
      <c r="H522" s="3">
        <v>119000</v>
      </c>
      <c r="I522" s="3">
        <v>80920</v>
      </c>
      <c r="J522" s="3">
        <v>108181.81818181818</v>
      </c>
      <c r="K522" s="25">
        <v>61496</v>
      </c>
      <c r="L522" s="25">
        <v>61496</v>
      </c>
    </row>
    <row r="523" spans="1:12" x14ac:dyDescent="0.3">
      <c r="A523" t="s">
        <v>41</v>
      </c>
      <c r="B523">
        <v>20260210361329</v>
      </c>
      <c r="C523" t="s">
        <v>112</v>
      </c>
      <c r="D523">
        <v>58481090</v>
      </c>
      <c r="E523" s="16" t="s">
        <v>7</v>
      </c>
      <c r="F523" s="3">
        <v>1</v>
      </c>
      <c r="G523" s="3">
        <v>119000</v>
      </c>
      <c r="H523" s="3">
        <v>119000</v>
      </c>
      <c r="I523" s="3">
        <v>80920</v>
      </c>
      <c r="J523" s="3">
        <v>108181.81818181818</v>
      </c>
      <c r="K523" s="25">
        <v>61496</v>
      </c>
      <c r="L523" s="25">
        <v>61496</v>
      </c>
    </row>
    <row r="524" spans="1:12" x14ac:dyDescent="0.3">
      <c r="A524" t="s">
        <v>41</v>
      </c>
      <c r="B524">
        <v>20260210361022</v>
      </c>
      <c r="C524" t="s">
        <v>112</v>
      </c>
      <c r="D524">
        <v>58481090</v>
      </c>
      <c r="E524" s="16" t="s">
        <v>7</v>
      </c>
      <c r="F524" s="3">
        <v>1</v>
      </c>
      <c r="G524" s="3">
        <v>119000</v>
      </c>
      <c r="H524" s="3">
        <v>119000</v>
      </c>
      <c r="I524" s="3">
        <v>80920</v>
      </c>
      <c r="J524" s="3">
        <v>108181.81818181818</v>
      </c>
      <c r="K524" s="25">
        <v>61496</v>
      </c>
      <c r="L524" s="25">
        <v>61496</v>
      </c>
    </row>
    <row r="525" spans="1:12" x14ac:dyDescent="0.3">
      <c r="A525" t="s">
        <v>41</v>
      </c>
      <c r="B525">
        <v>20260210361294</v>
      </c>
      <c r="C525" t="s">
        <v>112</v>
      </c>
      <c r="D525">
        <v>58481090</v>
      </c>
      <c r="E525" s="16" t="s">
        <v>7</v>
      </c>
      <c r="F525" s="3">
        <v>1</v>
      </c>
      <c r="G525" s="3">
        <v>119000</v>
      </c>
      <c r="H525" s="3">
        <v>119000</v>
      </c>
      <c r="I525" s="3">
        <v>80920</v>
      </c>
      <c r="J525" s="3">
        <v>108181.81818181818</v>
      </c>
      <c r="K525" s="25">
        <v>61496</v>
      </c>
      <c r="L525" s="25">
        <v>61496</v>
      </c>
    </row>
    <row r="526" spans="1:12" x14ac:dyDescent="0.3">
      <c r="A526" t="s">
        <v>41</v>
      </c>
      <c r="B526">
        <v>20260210361453</v>
      </c>
      <c r="C526" t="s">
        <v>112</v>
      </c>
      <c r="D526">
        <v>58481090</v>
      </c>
      <c r="E526" s="16" t="s">
        <v>7</v>
      </c>
      <c r="F526" s="3">
        <v>1</v>
      </c>
      <c r="G526" s="3">
        <v>119000</v>
      </c>
      <c r="H526" s="3">
        <v>119000</v>
      </c>
      <c r="I526" s="3">
        <v>80920</v>
      </c>
      <c r="J526" s="3">
        <v>108181.81818181818</v>
      </c>
      <c r="K526" s="25">
        <v>61496</v>
      </c>
      <c r="L526" s="25">
        <v>61496</v>
      </c>
    </row>
    <row r="527" spans="1:12" x14ac:dyDescent="0.3">
      <c r="A527" t="s">
        <v>41</v>
      </c>
      <c r="B527">
        <v>20260210361516</v>
      </c>
      <c r="C527" t="s">
        <v>112</v>
      </c>
      <c r="D527">
        <v>58481090</v>
      </c>
      <c r="E527" s="16" t="s">
        <v>7</v>
      </c>
      <c r="F527" s="3">
        <v>1</v>
      </c>
      <c r="G527" s="3">
        <v>119000</v>
      </c>
      <c r="H527" s="3">
        <v>95200</v>
      </c>
      <c r="I527" s="3">
        <v>80920</v>
      </c>
      <c r="J527" s="3">
        <v>86545.454545454544</v>
      </c>
      <c r="K527" s="25">
        <v>61496</v>
      </c>
      <c r="L527" s="25">
        <v>61496</v>
      </c>
    </row>
    <row r="528" spans="1:12" x14ac:dyDescent="0.3">
      <c r="A528" t="s">
        <v>41</v>
      </c>
      <c r="B528">
        <v>20260210361966</v>
      </c>
      <c r="C528" t="s">
        <v>112</v>
      </c>
      <c r="D528">
        <v>58481090</v>
      </c>
      <c r="E528" s="16" t="s">
        <v>7</v>
      </c>
      <c r="F528" s="3">
        <v>1</v>
      </c>
      <c r="G528" s="3">
        <v>119000</v>
      </c>
      <c r="H528" s="3">
        <v>119000</v>
      </c>
      <c r="I528" s="3">
        <v>80920</v>
      </c>
      <c r="J528" s="3">
        <v>108181.81818181818</v>
      </c>
      <c r="K528" s="25">
        <v>61496</v>
      </c>
      <c r="L528" s="25">
        <v>61496</v>
      </c>
    </row>
    <row r="529" spans="1:12" x14ac:dyDescent="0.3">
      <c r="A529" t="s">
        <v>41</v>
      </c>
      <c r="B529">
        <v>20260210362057</v>
      </c>
      <c r="C529" t="s">
        <v>112</v>
      </c>
      <c r="D529">
        <v>58481090</v>
      </c>
      <c r="E529" s="16" t="s">
        <v>7</v>
      </c>
      <c r="F529" s="3">
        <v>1</v>
      </c>
      <c r="G529" s="3">
        <v>119000</v>
      </c>
      <c r="H529" s="3">
        <v>119000</v>
      </c>
      <c r="I529" s="3">
        <v>80920</v>
      </c>
      <c r="J529" s="3">
        <v>108181.81818181818</v>
      </c>
      <c r="K529" s="25">
        <v>61496</v>
      </c>
      <c r="L529" s="25">
        <v>61496</v>
      </c>
    </row>
    <row r="530" spans="1:12" x14ac:dyDescent="0.3">
      <c r="A530" t="s">
        <v>41</v>
      </c>
      <c r="B530">
        <v>20260210360761</v>
      </c>
      <c r="C530" t="s">
        <v>112</v>
      </c>
      <c r="D530">
        <v>58481090</v>
      </c>
      <c r="E530" s="16" t="s">
        <v>7</v>
      </c>
      <c r="F530" s="3">
        <v>1</v>
      </c>
      <c r="G530" s="3">
        <v>119000</v>
      </c>
      <c r="H530" s="3">
        <v>119000</v>
      </c>
      <c r="I530" s="3">
        <v>80920</v>
      </c>
      <c r="J530" s="3">
        <v>108181.81818181818</v>
      </c>
      <c r="K530" s="25">
        <v>61496</v>
      </c>
      <c r="L530" s="25">
        <v>61496</v>
      </c>
    </row>
    <row r="531" spans="1:12" x14ac:dyDescent="0.3">
      <c r="A531" t="s">
        <v>41</v>
      </c>
      <c r="B531">
        <v>20260210361026</v>
      </c>
      <c r="C531" t="s">
        <v>112</v>
      </c>
      <c r="D531">
        <v>58481090</v>
      </c>
      <c r="E531" s="16" t="s">
        <v>7</v>
      </c>
      <c r="F531" s="3">
        <v>1</v>
      </c>
      <c r="G531" s="3">
        <v>119000</v>
      </c>
      <c r="H531" s="3">
        <v>119000</v>
      </c>
      <c r="I531" s="3">
        <v>80920</v>
      </c>
      <c r="J531" s="3">
        <v>108181.81818181818</v>
      </c>
      <c r="K531" s="25">
        <v>61496</v>
      </c>
      <c r="L531" s="25">
        <v>61496</v>
      </c>
    </row>
    <row r="532" spans="1:12" x14ac:dyDescent="0.3">
      <c r="A532" t="s">
        <v>41</v>
      </c>
      <c r="B532">
        <v>20260210361068</v>
      </c>
      <c r="C532" t="s">
        <v>112</v>
      </c>
      <c r="D532">
        <v>58481090</v>
      </c>
      <c r="E532" s="16" t="s">
        <v>7</v>
      </c>
      <c r="F532" s="3">
        <v>1</v>
      </c>
      <c r="G532" s="3">
        <v>119000</v>
      </c>
      <c r="H532" s="3">
        <v>119000</v>
      </c>
      <c r="I532" s="3">
        <v>80920</v>
      </c>
      <c r="J532" s="3">
        <v>108181.81818181818</v>
      </c>
      <c r="K532" s="25">
        <v>61496</v>
      </c>
      <c r="L532" s="25">
        <v>61496</v>
      </c>
    </row>
    <row r="533" spans="1:12" x14ac:dyDescent="0.3">
      <c r="A533" t="s">
        <v>41</v>
      </c>
      <c r="B533">
        <v>20260210361681</v>
      </c>
      <c r="C533" t="s">
        <v>112</v>
      </c>
      <c r="D533">
        <v>58481090</v>
      </c>
      <c r="E533" s="16" t="s">
        <v>7</v>
      </c>
      <c r="F533" s="3">
        <v>1</v>
      </c>
      <c r="G533" s="3">
        <v>119000</v>
      </c>
      <c r="H533" s="3">
        <v>119000</v>
      </c>
      <c r="I533" s="3">
        <v>80920</v>
      </c>
      <c r="J533" s="3">
        <v>108181.81818181818</v>
      </c>
      <c r="K533" s="25">
        <v>61496</v>
      </c>
      <c r="L533" s="25">
        <v>61496</v>
      </c>
    </row>
    <row r="534" spans="1:12" x14ac:dyDescent="0.3">
      <c r="A534" t="s">
        <v>41</v>
      </c>
      <c r="B534">
        <v>20260210362071</v>
      </c>
      <c r="C534" t="s">
        <v>112</v>
      </c>
      <c r="D534">
        <v>58481090</v>
      </c>
      <c r="E534" s="16" t="s">
        <v>7</v>
      </c>
      <c r="F534" s="3">
        <v>1</v>
      </c>
      <c r="G534" s="3">
        <v>119000</v>
      </c>
      <c r="H534" s="3">
        <v>114000</v>
      </c>
      <c r="I534" s="3">
        <v>80920</v>
      </c>
      <c r="J534" s="3">
        <v>103636.36363636365</v>
      </c>
      <c r="K534" s="25">
        <v>61496</v>
      </c>
      <c r="L534" s="25">
        <v>61496</v>
      </c>
    </row>
    <row r="535" spans="1:12" x14ac:dyDescent="0.3">
      <c r="A535" t="s">
        <v>41</v>
      </c>
      <c r="B535">
        <v>20260210360245</v>
      </c>
      <c r="C535" t="s">
        <v>112</v>
      </c>
      <c r="D535">
        <v>58481090</v>
      </c>
      <c r="E535" s="16" t="s">
        <v>7</v>
      </c>
      <c r="F535" s="3">
        <v>1</v>
      </c>
      <c r="G535" s="3">
        <v>119000</v>
      </c>
      <c r="H535" s="3">
        <v>119000</v>
      </c>
      <c r="I535" s="3">
        <v>80920</v>
      </c>
      <c r="J535" s="3">
        <v>108181.81818181818</v>
      </c>
      <c r="K535" s="25">
        <v>61496</v>
      </c>
      <c r="L535" s="25">
        <v>61496</v>
      </c>
    </row>
    <row r="536" spans="1:12" x14ac:dyDescent="0.3">
      <c r="A536" t="s">
        <v>41</v>
      </c>
      <c r="B536">
        <v>20260210360461</v>
      </c>
      <c r="C536" t="s">
        <v>112</v>
      </c>
      <c r="D536">
        <v>58481090</v>
      </c>
      <c r="E536" s="16" t="s">
        <v>7</v>
      </c>
      <c r="F536" s="3">
        <v>1</v>
      </c>
      <c r="G536" s="3">
        <v>119000</v>
      </c>
      <c r="H536" s="3">
        <v>113050</v>
      </c>
      <c r="I536" s="3">
        <v>80920</v>
      </c>
      <c r="J536" s="3">
        <v>102772.72727272726</v>
      </c>
      <c r="K536" s="25">
        <v>61496</v>
      </c>
      <c r="L536" s="25">
        <v>61496</v>
      </c>
    </row>
    <row r="537" spans="1:12" x14ac:dyDescent="0.3">
      <c r="A537" t="s">
        <v>41</v>
      </c>
      <c r="B537">
        <v>20260210360338</v>
      </c>
      <c r="C537" t="s">
        <v>112</v>
      </c>
      <c r="D537">
        <v>58481090</v>
      </c>
      <c r="E537" s="16" t="s">
        <v>7</v>
      </c>
      <c r="F537" s="3">
        <v>1</v>
      </c>
      <c r="G537" s="3">
        <v>119000</v>
      </c>
      <c r="H537" s="3">
        <v>113050</v>
      </c>
      <c r="I537" s="3">
        <v>80920</v>
      </c>
      <c r="J537" s="3">
        <v>102772.72727272726</v>
      </c>
      <c r="K537" s="25">
        <v>61496</v>
      </c>
      <c r="L537" s="25">
        <v>61496</v>
      </c>
    </row>
    <row r="538" spans="1:12" x14ac:dyDescent="0.3">
      <c r="A538" t="s">
        <v>41</v>
      </c>
      <c r="B538">
        <v>20260210361293</v>
      </c>
      <c r="C538" t="s">
        <v>112</v>
      </c>
      <c r="D538">
        <v>58481090</v>
      </c>
      <c r="E538" s="16" t="s">
        <v>7</v>
      </c>
      <c r="F538" s="3">
        <v>1</v>
      </c>
      <c r="G538" s="3">
        <v>119000</v>
      </c>
      <c r="H538" s="3">
        <v>119000</v>
      </c>
      <c r="I538" s="3">
        <v>80920</v>
      </c>
      <c r="J538" s="3">
        <v>108181.81818181818</v>
      </c>
      <c r="K538" s="25">
        <v>61496</v>
      </c>
      <c r="L538" s="25">
        <v>61496</v>
      </c>
    </row>
    <row r="539" spans="1:12" x14ac:dyDescent="0.3">
      <c r="A539" t="s">
        <v>41</v>
      </c>
      <c r="B539">
        <v>20260210361484</v>
      </c>
      <c r="C539" t="s">
        <v>112</v>
      </c>
      <c r="D539">
        <v>58481090</v>
      </c>
      <c r="E539" s="16" t="s">
        <v>7</v>
      </c>
      <c r="F539" s="3">
        <v>1</v>
      </c>
      <c r="G539" s="3">
        <v>119000</v>
      </c>
      <c r="H539" s="3">
        <v>119000</v>
      </c>
      <c r="I539" s="3">
        <v>80920</v>
      </c>
      <c r="J539" s="3">
        <v>108181.81818181818</v>
      </c>
      <c r="K539" s="25">
        <v>61496</v>
      </c>
      <c r="L539" s="25">
        <v>61496</v>
      </c>
    </row>
    <row r="540" spans="1:12" x14ac:dyDescent="0.3">
      <c r="A540" t="s">
        <v>41</v>
      </c>
      <c r="B540">
        <v>20260210361723</v>
      </c>
      <c r="C540" t="s">
        <v>112</v>
      </c>
      <c r="D540">
        <v>58481090</v>
      </c>
      <c r="E540" s="16" t="s">
        <v>7</v>
      </c>
      <c r="F540" s="3">
        <v>1</v>
      </c>
      <c r="G540" s="3">
        <v>119000</v>
      </c>
      <c r="H540" s="3">
        <v>119000</v>
      </c>
      <c r="I540" s="3">
        <v>80920</v>
      </c>
      <c r="J540" s="3">
        <v>108181.81818181818</v>
      </c>
      <c r="K540" s="25">
        <v>61496</v>
      </c>
      <c r="L540" s="25">
        <v>61496</v>
      </c>
    </row>
    <row r="541" spans="1:12" x14ac:dyDescent="0.3">
      <c r="A541" t="s">
        <v>41</v>
      </c>
      <c r="B541">
        <v>20260210361843</v>
      </c>
      <c r="C541" t="s">
        <v>112</v>
      </c>
      <c r="D541">
        <v>58481090</v>
      </c>
      <c r="E541" s="16" t="s">
        <v>7</v>
      </c>
      <c r="F541" s="3">
        <v>1</v>
      </c>
      <c r="G541" s="3">
        <v>119000</v>
      </c>
      <c r="H541" s="3">
        <v>119000</v>
      </c>
      <c r="I541" s="3">
        <v>80920</v>
      </c>
      <c r="J541" s="3">
        <v>108181.81818181818</v>
      </c>
      <c r="K541" s="25">
        <v>61496</v>
      </c>
      <c r="L541" s="25">
        <v>61496</v>
      </c>
    </row>
    <row r="542" spans="1:12" x14ac:dyDescent="0.3">
      <c r="A542" t="s">
        <v>41</v>
      </c>
      <c r="B542">
        <v>20260210361131</v>
      </c>
      <c r="C542" t="s">
        <v>112</v>
      </c>
      <c r="D542">
        <v>58481090</v>
      </c>
      <c r="E542" s="16" t="s">
        <v>7</v>
      </c>
      <c r="F542" s="3">
        <v>1</v>
      </c>
      <c r="G542" s="3">
        <v>119000</v>
      </c>
      <c r="H542" s="3">
        <v>119000</v>
      </c>
      <c r="I542" s="3">
        <v>80920</v>
      </c>
      <c r="J542" s="3">
        <v>108181.81818181818</v>
      </c>
      <c r="K542" s="25">
        <v>61496</v>
      </c>
      <c r="L542" s="25">
        <v>61496</v>
      </c>
    </row>
    <row r="543" spans="1:12" x14ac:dyDescent="0.3">
      <c r="A543" t="s">
        <v>41</v>
      </c>
      <c r="B543">
        <v>20260210361526</v>
      </c>
      <c r="C543" t="s">
        <v>112</v>
      </c>
      <c r="D543">
        <v>58481090</v>
      </c>
      <c r="E543" s="16" t="s">
        <v>7</v>
      </c>
      <c r="F543" s="3">
        <v>1</v>
      </c>
      <c r="G543" s="3">
        <v>119000</v>
      </c>
      <c r="H543" s="3">
        <v>119000</v>
      </c>
      <c r="I543" s="3">
        <v>80920</v>
      </c>
      <c r="J543" s="3">
        <v>108181.81818181818</v>
      </c>
      <c r="K543" s="25">
        <v>61496</v>
      </c>
      <c r="L543" s="25">
        <v>61496</v>
      </c>
    </row>
    <row r="544" spans="1:12" x14ac:dyDescent="0.3">
      <c r="A544" t="s">
        <v>41</v>
      </c>
      <c r="B544">
        <v>20260210360438</v>
      </c>
      <c r="C544" t="s">
        <v>112</v>
      </c>
      <c r="D544">
        <v>58481090</v>
      </c>
      <c r="E544" s="16" t="s">
        <v>7</v>
      </c>
      <c r="F544" s="3">
        <v>1</v>
      </c>
      <c r="G544" s="3">
        <v>119000</v>
      </c>
      <c r="H544" s="3">
        <v>119000</v>
      </c>
      <c r="I544" s="3">
        <v>80920</v>
      </c>
      <c r="J544" s="3">
        <v>108181.81818181818</v>
      </c>
      <c r="K544" s="25">
        <v>61496</v>
      </c>
      <c r="L544" s="25">
        <v>61496</v>
      </c>
    </row>
    <row r="545" spans="1:12" x14ac:dyDescent="0.3">
      <c r="A545" t="s">
        <v>41</v>
      </c>
      <c r="B545">
        <v>20260210361764</v>
      </c>
      <c r="C545" t="s">
        <v>112</v>
      </c>
      <c r="D545">
        <v>58481090</v>
      </c>
      <c r="E545" s="16" t="s">
        <v>7</v>
      </c>
      <c r="F545" s="3">
        <v>1</v>
      </c>
      <c r="G545" s="3">
        <v>119000</v>
      </c>
      <c r="H545" s="3">
        <v>119000</v>
      </c>
      <c r="I545" s="3">
        <v>80920</v>
      </c>
      <c r="J545" s="3">
        <v>108181.81818181818</v>
      </c>
      <c r="K545" s="25">
        <v>61496</v>
      </c>
      <c r="L545" s="25">
        <v>61496</v>
      </c>
    </row>
    <row r="546" spans="1:12" x14ac:dyDescent="0.3">
      <c r="A546" t="s">
        <v>41</v>
      </c>
      <c r="B546">
        <v>20260210361158</v>
      </c>
      <c r="C546" t="s">
        <v>112</v>
      </c>
      <c r="D546">
        <v>58481090</v>
      </c>
      <c r="E546" s="16" t="s">
        <v>7</v>
      </c>
      <c r="F546" s="3">
        <v>1</v>
      </c>
      <c r="G546" s="3">
        <v>119000</v>
      </c>
      <c r="H546" s="3">
        <v>113050</v>
      </c>
      <c r="I546" s="3">
        <v>80920</v>
      </c>
      <c r="J546" s="3">
        <v>102772.72727272726</v>
      </c>
      <c r="K546" s="25">
        <v>61496</v>
      </c>
      <c r="L546" s="25">
        <v>61496</v>
      </c>
    </row>
    <row r="547" spans="1:12" x14ac:dyDescent="0.3">
      <c r="A547" t="s">
        <v>41</v>
      </c>
      <c r="B547">
        <v>20260210360710</v>
      </c>
      <c r="C547" t="s">
        <v>112</v>
      </c>
      <c r="D547">
        <v>58481090</v>
      </c>
      <c r="E547" s="16" t="s">
        <v>7</v>
      </c>
      <c r="F547" s="3">
        <v>1</v>
      </c>
      <c r="G547" s="3">
        <v>119000</v>
      </c>
      <c r="H547" s="3">
        <v>119000</v>
      </c>
      <c r="I547" s="3">
        <v>80920</v>
      </c>
      <c r="J547" s="3">
        <v>108181.81818181818</v>
      </c>
      <c r="K547" s="25">
        <v>61496</v>
      </c>
      <c r="L547" s="25">
        <v>61496</v>
      </c>
    </row>
    <row r="548" spans="1:12" x14ac:dyDescent="0.3">
      <c r="A548" t="s">
        <v>41</v>
      </c>
      <c r="B548">
        <v>20260210361717</v>
      </c>
      <c r="C548" t="s">
        <v>112</v>
      </c>
      <c r="D548">
        <v>58481090</v>
      </c>
      <c r="E548" s="16" t="s">
        <v>7</v>
      </c>
      <c r="F548" s="3">
        <v>1</v>
      </c>
      <c r="G548" s="3">
        <v>119000</v>
      </c>
      <c r="H548" s="3">
        <v>119000</v>
      </c>
      <c r="I548" s="3">
        <v>80920</v>
      </c>
      <c r="J548" s="3">
        <v>108181.81818181818</v>
      </c>
      <c r="K548" s="25">
        <v>61496</v>
      </c>
      <c r="L548" s="25">
        <v>61496</v>
      </c>
    </row>
    <row r="549" spans="1:12" x14ac:dyDescent="0.3">
      <c r="A549" t="s">
        <v>41</v>
      </c>
      <c r="B549">
        <v>20260210362658</v>
      </c>
      <c r="C549" t="s">
        <v>112</v>
      </c>
      <c r="D549">
        <v>58481090</v>
      </c>
      <c r="E549" s="16" t="s">
        <v>7</v>
      </c>
      <c r="F549" s="3">
        <v>1</v>
      </c>
      <c r="G549" s="3">
        <v>119000</v>
      </c>
      <c r="H549" s="3">
        <v>113050</v>
      </c>
      <c r="I549" s="3">
        <v>80920</v>
      </c>
      <c r="J549" s="3">
        <v>102772.72727272726</v>
      </c>
      <c r="K549" s="25">
        <v>61496</v>
      </c>
      <c r="L549" s="25">
        <v>61496</v>
      </c>
    </row>
    <row r="550" spans="1:12" x14ac:dyDescent="0.3">
      <c r="A550" t="s">
        <v>41</v>
      </c>
      <c r="B550">
        <v>20260210360971</v>
      </c>
      <c r="C550" t="s">
        <v>112</v>
      </c>
      <c r="D550">
        <v>58481090</v>
      </c>
      <c r="E550" s="16" t="s">
        <v>7</v>
      </c>
      <c r="F550" s="3">
        <v>1</v>
      </c>
      <c r="G550" s="3">
        <v>119000</v>
      </c>
      <c r="H550" s="3">
        <v>119000</v>
      </c>
      <c r="I550" s="3">
        <v>80920</v>
      </c>
      <c r="J550" s="3">
        <v>108181.81818181818</v>
      </c>
      <c r="K550" s="25">
        <v>61496</v>
      </c>
      <c r="L550" s="25">
        <v>61496</v>
      </c>
    </row>
    <row r="551" spans="1:12" x14ac:dyDescent="0.3">
      <c r="A551" t="s">
        <v>41</v>
      </c>
      <c r="B551">
        <v>20260210360957</v>
      </c>
      <c r="C551" t="s">
        <v>112</v>
      </c>
      <c r="D551">
        <v>58481090</v>
      </c>
      <c r="E551" s="16" t="s">
        <v>7</v>
      </c>
      <c r="F551" s="3">
        <v>1</v>
      </c>
      <c r="G551" s="3">
        <v>119000</v>
      </c>
      <c r="H551" s="3">
        <v>113050</v>
      </c>
      <c r="I551" s="3">
        <v>80920</v>
      </c>
      <c r="J551" s="3">
        <v>102772.72727272726</v>
      </c>
      <c r="K551" s="25">
        <v>61496</v>
      </c>
      <c r="L551" s="25">
        <v>61496</v>
      </c>
    </row>
    <row r="552" spans="1:12" x14ac:dyDescent="0.3">
      <c r="A552" t="s">
        <v>41</v>
      </c>
      <c r="B552">
        <v>20260210362164</v>
      </c>
      <c r="C552" t="s">
        <v>112</v>
      </c>
      <c r="D552">
        <v>58481090</v>
      </c>
      <c r="E552" s="16" t="s">
        <v>7</v>
      </c>
      <c r="F552" s="3">
        <v>1</v>
      </c>
      <c r="G552" s="3">
        <v>119000</v>
      </c>
      <c r="H552" s="3">
        <v>119000</v>
      </c>
      <c r="I552" s="3">
        <v>80920</v>
      </c>
      <c r="J552" s="3">
        <v>108181.81818181818</v>
      </c>
      <c r="K552" s="25">
        <v>61496</v>
      </c>
      <c r="L552" s="25">
        <v>61496</v>
      </c>
    </row>
    <row r="553" spans="1:12" x14ac:dyDescent="0.3">
      <c r="A553" t="s">
        <v>41</v>
      </c>
      <c r="B553">
        <v>20260210362189</v>
      </c>
      <c r="C553" t="s">
        <v>112</v>
      </c>
      <c r="D553">
        <v>58481090</v>
      </c>
      <c r="E553" s="16" t="s">
        <v>7</v>
      </c>
      <c r="F553" s="3">
        <v>1</v>
      </c>
      <c r="G553" s="3">
        <v>119000</v>
      </c>
      <c r="H553" s="3">
        <v>113050</v>
      </c>
      <c r="I553" s="3">
        <v>80920</v>
      </c>
      <c r="J553" s="3">
        <v>102772.72727272726</v>
      </c>
      <c r="K553" s="25">
        <v>61496</v>
      </c>
      <c r="L553" s="25">
        <v>61496</v>
      </c>
    </row>
    <row r="554" spans="1:12" x14ac:dyDescent="0.3">
      <c r="A554" t="s">
        <v>41</v>
      </c>
      <c r="B554">
        <v>20260210360419</v>
      </c>
      <c r="C554" t="s">
        <v>112</v>
      </c>
      <c r="D554">
        <v>58481090</v>
      </c>
      <c r="E554" s="16" t="s">
        <v>7</v>
      </c>
      <c r="F554" s="3">
        <v>1</v>
      </c>
      <c r="G554" s="3">
        <v>119000</v>
      </c>
      <c r="H554" s="3">
        <v>119000</v>
      </c>
      <c r="I554" s="3">
        <v>80920</v>
      </c>
      <c r="J554" s="3">
        <v>108181.81818181818</v>
      </c>
      <c r="K554" s="25">
        <v>61496</v>
      </c>
      <c r="L554" s="25">
        <v>61496</v>
      </c>
    </row>
    <row r="555" spans="1:12" x14ac:dyDescent="0.3">
      <c r="A555" t="s">
        <v>41</v>
      </c>
      <c r="B555">
        <v>20260210361724</v>
      </c>
      <c r="C555" t="s">
        <v>112</v>
      </c>
      <c r="D555">
        <v>58481090</v>
      </c>
      <c r="E555" s="16" t="s">
        <v>7</v>
      </c>
      <c r="F555" s="3">
        <v>1</v>
      </c>
      <c r="G555" s="3">
        <v>119000</v>
      </c>
      <c r="H555" s="3">
        <v>119000</v>
      </c>
      <c r="I555" s="3">
        <v>80920</v>
      </c>
      <c r="J555" s="3">
        <v>108181.81818181818</v>
      </c>
      <c r="K555" s="25">
        <v>61496</v>
      </c>
      <c r="L555" s="25">
        <v>61496</v>
      </c>
    </row>
    <row r="556" spans="1:12" x14ac:dyDescent="0.3">
      <c r="A556" t="s">
        <v>41</v>
      </c>
      <c r="B556">
        <v>20260210360288</v>
      </c>
      <c r="C556" t="s">
        <v>112</v>
      </c>
      <c r="D556">
        <v>58481090</v>
      </c>
      <c r="E556" s="16" t="s">
        <v>7</v>
      </c>
      <c r="F556" s="3">
        <v>1</v>
      </c>
      <c r="G556" s="3">
        <v>119000</v>
      </c>
      <c r="H556" s="3">
        <v>119000</v>
      </c>
      <c r="I556" s="3">
        <v>80920</v>
      </c>
      <c r="J556" s="3">
        <v>108181.81818181818</v>
      </c>
      <c r="K556" s="25">
        <v>61496</v>
      </c>
      <c r="L556" s="25">
        <v>61496</v>
      </c>
    </row>
    <row r="557" spans="1:12" x14ac:dyDescent="0.3">
      <c r="A557" t="s">
        <v>41</v>
      </c>
      <c r="B557">
        <v>20260210361616</v>
      </c>
      <c r="C557" t="s">
        <v>112</v>
      </c>
      <c r="D557">
        <v>58481090</v>
      </c>
      <c r="E557" s="16" t="s">
        <v>7</v>
      </c>
      <c r="F557" s="3">
        <v>1</v>
      </c>
      <c r="G557" s="3">
        <v>119000</v>
      </c>
      <c r="H557" s="3">
        <v>113050</v>
      </c>
      <c r="I557" s="3">
        <v>80920</v>
      </c>
      <c r="J557" s="3">
        <v>102772.72727272726</v>
      </c>
      <c r="K557" s="25">
        <v>61496</v>
      </c>
      <c r="L557" s="25">
        <v>61496</v>
      </c>
    </row>
    <row r="558" spans="1:12" x14ac:dyDescent="0.3">
      <c r="A558" t="s">
        <v>41</v>
      </c>
      <c r="B558">
        <v>20260210361828</v>
      </c>
      <c r="C558" t="s">
        <v>112</v>
      </c>
      <c r="D558">
        <v>58481090</v>
      </c>
      <c r="E558" s="16" t="s">
        <v>7</v>
      </c>
      <c r="F558" s="3">
        <v>1</v>
      </c>
      <c r="G558" s="3">
        <v>119000</v>
      </c>
      <c r="H558" s="3">
        <v>119000</v>
      </c>
      <c r="I558" s="3">
        <v>80920</v>
      </c>
      <c r="J558" s="3">
        <v>108181.81818181818</v>
      </c>
      <c r="K558" s="25">
        <v>61496</v>
      </c>
      <c r="L558" s="25">
        <v>61496</v>
      </c>
    </row>
    <row r="559" spans="1:12" x14ac:dyDescent="0.3">
      <c r="A559" t="s">
        <v>41</v>
      </c>
      <c r="B559">
        <v>20260210361688</v>
      </c>
      <c r="C559" t="s">
        <v>112</v>
      </c>
      <c r="D559">
        <v>58481090</v>
      </c>
      <c r="E559" s="16" t="s">
        <v>7</v>
      </c>
      <c r="F559" s="3">
        <v>1</v>
      </c>
      <c r="G559" s="3">
        <v>119000</v>
      </c>
      <c r="H559" s="3">
        <v>119000</v>
      </c>
      <c r="I559" s="3">
        <v>80920</v>
      </c>
      <c r="J559" s="3">
        <v>108181.81818181818</v>
      </c>
      <c r="K559" s="25">
        <v>61496</v>
      </c>
      <c r="L559" s="25">
        <v>61496</v>
      </c>
    </row>
    <row r="560" spans="1:12" x14ac:dyDescent="0.3">
      <c r="A560" t="s">
        <v>41</v>
      </c>
      <c r="B560">
        <v>20260210361789</v>
      </c>
      <c r="C560" t="s">
        <v>112</v>
      </c>
      <c r="D560">
        <v>58481090</v>
      </c>
      <c r="E560" s="16" t="s">
        <v>7</v>
      </c>
      <c r="F560" s="3">
        <v>1</v>
      </c>
      <c r="G560" s="3">
        <v>119000</v>
      </c>
      <c r="H560" s="3">
        <v>119000</v>
      </c>
      <c r="I560" s="3">
        <v>80920</v>
      </c>
      <c r="J560" s="3">
        <v>108181.81818181818</v>
      </c>
      <c r="K560" s="25">
        <v>61496</v>
      </c>
      <c r="L560" s="25">
        <v>61496</v>
      </c>
    </row>
    <row r="561" spans="1:12" x14ac:dyDescent="0.3">
      <c r="A561" t="s">
        <v>41</v>
      </c>
      <c r="B561">
        <v>20260210360385</v>
      </c>
      <c r="C561" t="s">
        <v>112</v>
      </c>
      <c r="D561">
        <v>58481090</v>
      </c>
      <c r="E561" s="16" t="s">
        <v>7</v>
      </c>
      <c r="F561" s="3">
        <v>1</v>
      </c>
      <c r="G561" s="3">
        <v>119000</v>
      </c>
      <c r="H561" s="3">
        <v>119000</v>
      </c>
      <c r="I561" s="3">
        <v>80920</v>
      </c>
      <c r="J561" s="3">
        <v>108181.81818181818</v>
      </c>
      <c r="K561" s="25">
        <v>61496</v>
      </c>
      <c r="L561" s="25">
        <v>61496</v>
      </c>
    </row>
    <row r="562" spans="1:12" x14ac:dyDescent="0.3">
      <c r="A562" t="s">
        <v>41</v>
      </c>
      <c r="B562">
        <v>20260210361225</v>
      </c>
      <c r="C562" t="s">
        <v>112</v>
      </c>
      <c r="D562">
        <v>58481090</v>
      </c>
      <c r="E562" s="16" t="s">
        <v>7</v>
      </c>
      <c r="F562" s="3">
        <v>1</v>
      </c>
      <c r="G562" s="3">
        <v>119000</v>
      </c>
      <c r="H562" s="3">
        <v>113050</v>
      </c>
      <c r="I562" s="3">
        <v>80920</v>
      </c>
      <c r="J562" s="3">
        <v>102772.72727272726</v>
      </c>
      <c r="K562" s="25">
        <v>61496</v>
      </c>
      <c r="L562" s="25">
        <v>61496</v>
      </c>
    </row>
    <row r="563" spans="1:12" x14ac:dyDescent="0.3">
      <c r="A563" t="s">
        <v>41</v>
      </c>
      <c r="B563">
        <v>20260210360980</v>
      </c>
      <c r="C563" t="s">
        <v>112</v>
      </c>
      <c r="D563">
        <v>58481090</v>
      </c>
      <c r="E563" s="16" t="s">
        <v>7</v>
      </c>
      <c r="F563" s="3">
        <v>1</v>
      </c>
      <c r="G563" s="3">
        <v>119000</v>
      </c>
      <c r="H563" s="3">
        <v>119000</v>
      </c>
      <c r="I563" s="3">
        <v>80920</v>
      </c>
      <c r="J563" s="3">
        <v>108181.81818181818</v>
      </c>
      <c r="K563" s="25">
        <v>61496</v>
      </c>
      <c r="L563" s="25">
        <v>61496</v>
      </c>
    </row>
    <row r="564" spans="1:12" x14ac:dyDescent="0.3">
      <c r="A564" t="s">
        <v>41</v>
      </c>
      <c r="B564">
        <v>20260210360551</v>
      </c>
      <c r="C564" t="s">
        <v>112</v>
      </c>
      <c r="D564">
        <v>58481090</v>
      </c>
      <c r="E564" s="16" t="s">
        <v>7</v>
      </c>
      <c r="F564" s="3">
        <v>1</v>
      </c>
      <c r="G564" s="3">
        <v>119000</v>
      </c>
      <c r="H564" s="3">
        <v>119000</v>
      </c>
      <c r="I564" s="3">
        <v>80920</v>
      </c>
      <c r="J564" s="3">
        <v>108181.81818181818</v>
      </c>
      <c r="K564" s="25">
        <v>61496</v>
      </c>
      <c r="L564" s="25">
        <v>61496</v>
      </c>
    </row>
    <row r="565" spans="1:12" x14ac:dyDescent="0.3">
      <c r="A565" t="s">
        <v>41</v>
      </c>
      <c r="B565">
        <v>20260210361462</v>
      </c>
      <c r="C565" t="s">
        <v>112</v>
      </c>
      <c r="D565">
        <v>58481090</v>
      </c>
      <c r="E565" s="16" t="s">
        <v>7</v>
      </c>
      <c r="F565" s="3">
        <v>1</v>
      </c>
      <c r="G565" s="3">
        <v>119000</v>
      </c>
      <c r="H565" s="3">
        <v>119000</v>
      </c>
      <c r="I565" s="3">
        <v>80920</v>
      </c>
      <c r="J565" s="3">
        <v>108181.81818181818</v>
      </c>
      <c r="K565" s="25">
        <v>61496</v>
      </c>
      <c r="L565" s="25">
        <v>61496</v>
      </c>
    </row>
    <row r="566" spans="1:12" x14ac:dyDescent="0.3">
      <c r="A566" t="s">
        <v>41</v>
      </c>
      <c r="B566">
        <v>20260210360692</v>
      </c>
      <c r="C566" t="s">
        <v>112</v>
      </c>
      <c r="D566">
        <v>58481090</v>
      </c>
      <c r="E566" s="16" t="s">
        <v>7</v>
      </c>
      <c r="F566" s="3">
        <v>1</v>
      </c>
      <c r="G566" s="3">
        <v>119000</v>
      </c>
      <c r="H566" s="3">
        <v>119000</v>
      </c>
      <c r="I566" s="3">
        <v>80920</v>
      </c>
      <c r="J566" s="3">
        <v>108181.81818181818</v>
      </c>
      <c r="K566" s="25">
        <v>61496</v>
      </c>
      <c r="L566" s="25">
        <v>61496</v>
      </c>
    </row>
    <row r="567" spans="1:12" x14ac:dyDescent="0.3">
      <c r="A567" t="s">
        <v>41</v>
      </c>
      <c r="B567">
        <v>20260210361797</v>
      </c>
      <c r="C567" t="s">
        <v>112</v>
      </c>
      <c r="D567">
        <v>58481090</v>
      </c>
      <c r="E567" s="16" t="s">
        <v>7</v>
      </c>
      <c r="F567" s="3">
        <v>1</v>
      </c>
      <c r="G567" s="3">
        <v>119000</v>
      </c>
      <c r="H567" s="3">
        <v>119000</v>
      </c>
      <c r="I567" s="3">
        <v>80920</v>
      </c>
      <c r="J567" s="3">
        <v>108181.81818181818</v>
      </c>
      <c r="K567" s="25">
        <v>61496</v>
      </c>
      <c r="L567" s="25">
        <v>61496</v>
      </c>
    </row>
    <row r="568" spans="1:12" x14ac:dyDescent="0.3">
      <c r="A568" t="s">
        <v>41</v>
      </c>
      <c r="B568">
        <v>20260210361781</v>
      </c>
      <c r="C568" t="s">
        <v>112</v>
      </c>
      <c r="D568">
        <v>58481090</v>
      </c>
      <c r="E568" s="16" t="s">
        <v>7</v>
      </c>
      <c r="F568" s="3">
        <v>1</v>
      </c>
      <c r="G568" s="3">
        <v>119000</v>
      </c>
      <c r="H568" s="3">
        <v>119000</v>
      </c>
      <c r="I568" s="3">
        <v>80920</v>
      </c>
      <c r="J568" s="3">
        <v>108181.81818181818</v>
      </c>
      <c r="K568" s="25">
        <v>61496</v>
      </c>
      <c r="L568" s="25">
        <v>61496</v>
      </c>
    </row>
    <row r="569" spans="1:12" x14ac:dyDescent="0.3">
      <c r="A569" t="s">
        <v>41</v>
      </c>
      <c r="B569">
        <v>20260210361934</v>
      </c>
      <c r="C569" t="s">
        <v>112</v>
      </c>
      <c r="D569">
        <v>58481090</v>
      </c>
      <c r="E569" s="16" t="s">
        <v>7</v>
      </c>
      <c r="F569" s="3">
        <v>1</v>
      </c>
      <c r="G569" s="3">
        <v>119000</v>
      </c>
      <c r="H569" s="3">
        <v>119000</v>
      </c>
      <c r="I569" s="3">
        <v>80920</v>
      </c>
      <c r="J569" s="3">
        <v>108181.81818181818</v>
      </c>
      <c r="K569" s="25">
        <v>61496</v>
      </c>
      <c r="L569" s="25">
        <v>61496</v>
      </c>
    </row>
    <row r="570" spans="1:12" x14ac:dyDescent="0.3">
      <c r="A570" t="s">
        <v>41</v>
      </c>
      <c r="B570">
        <v>20260210361402</v>
      </c>
      <c r="C570" t="s">
        <v>112</v>
      </c>
      <c r="D570">
        <v>58481090</v>
      </c>
      <c r="E570" s="16" t="s">
        <v>7</v>
      </c>
      <c r="F570" s="3">
        <v>1</v>
      </c>
      <c r="G570" s="3">
        <v>119000</v>
      </c>
      <c r="H570" s="3">
        <v>119000</v>
      </c>
      <c r="I570" s="3">
        <v>80920</v>
      </c>
      <c r="J570" s="3">
        <v>108181.81818181818</v>
      </c>
      <c r="K570" s="25">
        <v>61496</v>
      </c>
      <c r="L570" s="25">
        <v>61496</v>
      </c>
    </row>
    <row r="571" spans="1:12" x14ac:dyDescent="0.3">
      <c r="A571" t="s">
        <v>41</v>
      </c>
      <c r="B571">
        <v>20260210360997</v>
      </c>
      <c r="C571" t="s">
        <v>112</v>
      </c>
      <c r="D571">
        <v>58481090</v>
      </c>
      <c r="E571" s="16" t="s">
        <v>7</v>
      </c>
      <c r="F571" s="3">
        <v>1</v>
      </c>
      <c r="G571" s="3">
        <v>119000</v>
      </c>
      <c r="H571" s="3">
        <v>119000</v>
      </c>
      <c r="I571" s="3">
        <v>80920</v>
      </c>
      <c r="J571" s="3">
        <v>108181.81818181818</v>
      </c>
      <c r="K571" s="25">
        <v>61496</v>
      </c>
      <c r="L571" s="25">
        <v>61496</v>
      </c>
    </row>
    <row r="572" spans="1:12" x14ac:dyDescent="0.3">
      <c r="A572" t="s">
        <v>41</v>
      </c>
      <c r="B572">
        <v>20260210361134</v>
      </c>
      <c r="C572" t="s">
        <v>112</v>
      </c>
      <c r="D572">
        <v>58481090</v>
      </c>
      <c r="E572" s="16" t="s">
        <v>7</v>
      </c>
      <c r="F572" s="3">
        <v>1</v>
      </c>
      <c r="G572" s="3">
        <v>119000</v>
      </c>
      <c r="H572" s="3">
        <v>119000</v>
      </c>
      <c r="I572" s="3">
        <v>80920</v>
      </c>
      <c r="J572" s="3">
        <v>108181.81818181818</v>
      </c>
      <c r="K572" s="25">
        <v>61496</v>
      </c>
      <c r="L572" s="25">
        <v>61496</v>
      </c>
    </row>
    <row r="573" spans="1:12" x14ac:dyDescent="0.3">
      <c r="A573" t="s">
        <v>41</v>
      </c>
      <c r="B573">
        <v>20260210362141</v>
      </c>
      <c r="C573" t="s">
        <v>112</v>
      </c>
      <c r="D573">
        <v>58481090</v>
      </c>
      <c r="E573" s="16" t="s">
        <v>7</v>
      </c>
      <c r="F573" s="3">
        <v>1</v>
      </c>
      <c r="G573" s="3">
        <v>119000</v>
      </c>
      <c r="H573" s="3">
        <v>119000</v>
      </c>
      <c r="I573" s="3">
        <v>80920</v>
      </c>
      <c r="J573" s="3">
        <v>108181.81818181818</v>
      </c>
      <c r="K573" s="25">
        <v>61496</v>
      </c>
      <c r="L573" s="25">
        <v>61496</v>
      </c>
    </row>
    <row r="574" spans="1:12" x14ac:dyDescent="0.3">
      <c r="A574" t="s">
        <v>41</v>
      </c>
      <c r="B574">
        <v>20260210362293</v>
      </c>
      <c r="C574" t="s">
        <v>112</v>
      </c>
      <c r="D574">
        <v>58481090</v>
      </c>
      <c r="E574" s="16" t="s">
        <v>7</v>
      </c>
      <c r="F574" s="3">
        <v>1</v>
      </c>
      <c r="G574" s="3">
        <v>119000</v>
      </c>
      <c r="H574" s="3">
        <v>108300</v>
      </c>
      <c r="I574" s="3">
        <v>80920</v>
      </c>
      <c r="J574" s="3">
        <v>98454.545454545441</v>
      </c>
      <c r="K574" s="25">
        <v>61496</v>
      </c>
      <c r="L574" s="25">
        <v>61496</v>
      </c>
    </row>
    <row r="575" spans="1:12" x14ac:dyDescent="0.3">
      <c r="A575" t="s">
        <v>41</v>
      </c>
      <c r="B575">
        <v>20260210360398</v>
      </c>
      <c r="C575" t="s">
        <v>112</v>
      </c>
      <c r="D575">
        <v>58481090</v>
      </c>
      <c r="E575" s="16" t="s">
        <v>7</v>
      </c>
      <c r="F575" s="3">
        <v>1</v>
      </c>
      <c r="G575" s="3">
        <v>119000</v>
      </c>
      <c r="H575" s="3">
        <v>119000</v>
      </c>
      <c r="I575" s="3">
        <v>80920</v>
      </c>
      <c r="J575" s="3">
        <v>108181.81818181818</v>
      </c>
      <c r="K575" s="25">
        <v>61496</v>
      </c>
      <c r="L575" s="25">
        <v>61496</v>
      </c>
    </row>
    <row r="576" spans="1:12" x14ac:dyDescent="0.3">
      <c r="A576" t="s">
        <v>41</v>
      </c>
      <c r="B576">
        <v>20260210361270</v>
      </c>
      <c r="C576" t="s">
        <v>112</v>
      </c>
      <c r="D576">
        <v>58481090</v>
      </c>
      <c r="E576" s="16" t="s">
        <v>7</v>
      </c>
      <c r="F576" s="3">
        <v>1</v>
      </c>
      <c r="G576" s="3">
        <v>119000</v>
      </c>
      <c r="H576" s="3">
        <v>119000</v>
      </c>
      <c r="I576" s="3">
        <v>80920</v>
      </c>
      <c r="J576" s="3">
        <v>108181.81818181818</v>
      </c>
      <c r="K576" s="25">
        <v>61496</v>
      </c>
      <c r="L576" s="25">
        <v>61496</v>
      </c>
    </row>
    <row r="577" spans="1:13" x14ac:dyDescent="0.3">
      <c r="A577" t="s">
        <v>41</v>
      </c>
      <c r="B577">
        <v>20260210361324</v>
      </c>
      <c r="C577" t="s">
        <v>112</v>
      </c>
      <c r="D577">
        <v>58481090</v>
      </c>
      <c r="E577" s="16" t="s">
        <v>7</v>
      </c>
      <c r="F577" s="3">
        <v>1</v>
      </c>
      <c r="G577" s="3">
        <v>119000</v>
      </c>
      <c r="H577" s="3">
        <v>113050</v>
      </c>
      <c r="I577" s="3">
        <v>80920</v>
      </c>
      <c r="J577" s="3">
        <v>102772.72727272726</v>
      </c>
      <c r="K577" s="25">
        <v>61496</v>
      </c>
      <c r="L577" s="25">
        <v>61496</v>
      </c>
    </row>
    <row r="578" spans="1:13" x14ac:dyDescent="0.3">
      <c r="A578" t="s">
        <v>41</v>
      </c>
      <c r="B578">
        <v>20260210361350</v>
      </c>
      <c r="C578" t="s">
        <v>112</v>
      </c>
      <c r="D578">
        <v>58481090</v>
      </c>
      <c r="E578" s="16" t="s">
        <v>7</v>
      </c>
      <c r="F578" s="3">
        <v>1</v>
      </c>
      <c r="G578" s="3">
        <v>119000</v>
      </c>
      <c r="H578" s="3">
        <v>119000</v>
      </c>
      <c r="I578" s="3">
        <v>80920</v>
      </c>
      <c r="J578" s="3">
        <v>108181.81818181818</v>
      </c>
      <c r="K578" s="25">
        <v>61496</v>
      </c>
      <c r="L578" s="25">
        <v>61496</v>
      </c>
    </row>
    <row r="579" spans="1:13" x14ac:dyDescent="0.3">
      <c r="A579" t="s">
        <v>41</v>
      </c>
      <c r="B579">
        <v>20260210360281</v>
      </c>
      <c r="C579" t="s">
        <v>112</v>
      </c>
      <c r="D579">
        <v>58481090</v>
      </c>
      <c r="E579" s="16" t="s">
        <v>7</v>
      </c>
      <c r="F579" s="3">
        <v>1</v>
      </c>
      <c r="G579" s="3">
        <v>119000</v>
      </c>
      <c r="H579" s="3">
        <v>119000</v>
      </c>
      <c r="I579" s="3">
        <v>80920</v>
      </c>
      <c r="J579" s="3">
        <v>108181.81818181818</v>
      </c>
      <c r="K579" s="25">
        <v>61496</v>
      </c>
      <c r="L579" s="25">
        <v>61496</v>
      </c>
    </row>
    <row r="580" spans="1:13" x14ac:dyDescent="0.3">
      <c r="A580" t="s">
        <v>41</v>
      </c>
      <c r="B580">
        <v>20260210361461</v>
      </c>
      <c r="C580" t="s">
        <v>112</v>
      </c>
      <c r="D580">
        <v>58481090</v>
      </c>
      <c r="E580" s="16" t="s">
        <v>7</v>
      </c>
      <c r="F580" s="3">
        <v>1</v>
      </c>
      <c r="G580" s="3">
        <v>119000</v>
      </c>
      <c r="H580" s="3">
        <v>113050</v>
      </c>
      <c r="I580" s="3">
        <v>80920</v>
      </c>
      <c r="J580" s="3">
        <v>102772.72727272726</v>
      </c>
      <c r="K580" s="25">
        <v>61496</v>
      </c>
      <c r="L580" s="25">
        <v>61496</v>
      </c>
    </row>
    <row r="581" spans="1:13" x14ac:dyDescent="0.3">
      <c r="A581" t="s">
        <v>41</v>
      </c>
      <c r="B581">
        <v>20260210361504</v>
      </c>
      <c r="C581" t="s">
        <v>112</v>
      </c>
      <c r="D581">
        <v>58481090</v>
      </c>
      <c r="E581" s="16" t="s">
        <v>7</v>
      </c>
      <c r="F581" s="3">
        <v>1</v>
      </c>
      <c r="G581" s="3">
        <v>119000</v>
      </c>
      <c r="H581" s="3">
        <v>98770</v>
      </c>
      <c r="I581" s="3">
        <v>80920</v>
      </c>
      <c r="J581" s="3">
        <v>89790.909090909088</v>
      </c>
      <c r="K581" s="25">
        <v>61496</v>
      </c>
      <c r="L581" s="25">
        <v>61496</v>
      </c>
    </row>
    <row r="582" spans="1:13" x14ac:dyDescent="0.3">
      <c r="A582" t="s">
        <v>41</v>
      </c>
      <c r="B582">
        <v>20260210361566</v>
      </c>
      <c r="C582" t="s">
        <v>112</v>
      </c>
      <c r="D582">
        <v>58481090</v>
      </c>
      <c r="E582" s="16" t="s">
        <v>7</v>
      </c>
      <c r="F582" s="3">
        <v>1</v>
      </c>
      <c r="G582" s="3">
        <v>119000</v>
      </c>
      <c r="H582" s="3">
        <v>119000</v>
      </c>
      <c r="I582" s="3">
        <v>80920</v>
      </c>
      <c r="J582" s="3">
        <v>108181.81818181818</v>
      </c>
      <c r="K582" s="25">
        <v>61496</v>
      </c>
      <c r="L582" s="25">
        <v>61496</v>
      </c>
    </row>
    <row r="583" spans="1:13" x14ac:dyDescent="0.3">
      <c r="A583" t="s">
        <v>41</v>
      </c>
      <c r="B583">
        <v>20260210361903</v>
      </c>
      <c r="C583" t="s">
        <v>112</v>
      </c>
      <c r="D583">
        <v>58481090</v>
      </c>
      <c r="E583" s="16" t="s">
        <v>7</v>
      </c>
      <c r="F583" s="3">
        <v>1</v>
      </c>
      <c r="G583" s="3">
        <v>119000</v>
      </c>
      <c r="H583" s="3">
        <v>119000</v>
      </c>
      <c r="I583" s="3">
        <v>80920</v>
      </c>
      <c r="J583" s="3">
        <v>108181.81818181818</v>
      </c>
      <c r="K583" s="25">
        <v>61496</v>
      </c>
      <c r="L583" s="25">
        <v>61496</v>
      </c>
    </row>
    <row r="584" spans="1:13" x14ac:dyDescent="0.3">
      <c r="A584" t="s">
        <v>41</v>
      </c>
      <c r="B584">
        <v>20260210361968</v>
      </c>
      <c r="C584" t="s">
        <v>112</v>
      </c>
      <c r="D584">
        <v>58481090</v>
      </c>
      <c r="E584" s="16" t="s">
        <v>7</v>
      </c>
      <c r="F584" s="3">
        <v>1</v>
      </c>
      <c r="G584" s="3">
        <v>119000</v>
      </c>
      <c r="H584" s="3">
        <v>119000</v>
      </c>
      <c r="I584" s="3">
        <v>80920</v>
      </c>
      <c r="J584" s="3">
        <v>108181.81818181818</v>
      </c>
      <c r="K584" s="25">
        <v>61496</v>
      </c>
      <c r="L584" s="25">
        <v>61496</v>
      </c>
    </row>
    <row r="585" spans="1:13" x14ac:dyDescent="0.3">
      <c r="A585" t="s">
        <v>41</v>
      </c>
      <c r="B585">
        <v>20260210361727</v>
      </c>
      <c r="C585" t="s">
        <v>112</v>
      </c>
      <c r="D585">
        <v>58481090</v>
      </c>
      <c r="E585" s="16" t="s">
        <v>7</v>
      </c>
      <c r="F585" s="3">
        <v>1</v>
      </c>
      <c r="G585" s="3">
        <v>119000</v>
      </c>
      <c r="H585" s="3">
        <v>95200</v>
      </c>
      <c r="I585" s="3">
        <v>80920</v>
      </c>
      <c r="J585" s="3">
        <v>86545.454545454544</v>
      </c>
      <c r="K585" s="25">
        <v>61496</v>
      </c>
      <c r="L585" s="25">
        <v>61496</v>
      </c>
    </row>
    <row r="586" spans="1:13" x14ac:dyDescent="0.3">
      <c r="A586" t="s">
        <v>41</v>
      </c>
      <c r="B586">
        <v>20260210362163</v>
      </c>
      <c r="C586" t="s">
        <v>112</v>
      </c>
      <c r="D586">
        <v>58481090</v>
      </c>
      <c r="E586" s="16" t="s">
        <v>7</v>
      </c>
      <c r="F586" s="3">
        <v>1</v>
      </c>
      <c r="G586" s="3">
        <v>119000</v>
      </c>
      <c r="H586" s="3">
        <v>119000</v>
      </c>
      <c r="I586" s="3">
        <v>80920</v>
      </c>
      <c r="J586" s="3">
        <v>108181.81818181818</v>
      </c>
      <c r="K586" s="25">
        <v>61496</v>
      </c>
      <c r="L586" s="25">
        <v>61496</v>
      </c>
    </row>
    <row r="587" spans="1:13" x14ac:dyDescent="0.3">
      <c r="A587" t="s">
        <v>41</v>
      </c>
      <c r="B587">
        <v>20260210360760</v>
      </c>
      <c r="C587" t="s">
        <v>112</v>
      </c>
      <c r="D587">
        <v>58481090</v>
      </c>
      <c r="E587" s="16" t="s">
        <v>7</v>
      </c>
      <c r="F587" s="3">
        <v>1</v>
      </c>
      <c r="G587" s="3">
        <v>119000</v>
      </c>
      <c r="H587" s="3">
        <v>119000</v>
      </c>
      <c r="I587" s="3">
        <v>80920</v>
      </c>
      <c r="J587" s="3">
        <v>108181.81818181818</v>
      </c>
      <c r="K587" s="25">
        <v>61496</v>
      </c>
      <c r="L587" s="25">
        <v>61496</v>
      </c>
    </row>
    <row r="588" spans="1:13" x14ac:dyDescent="0.3">
      <c r="A588" t="s">
        <v>41</v>
      </c>
      <c r="B588">
        <v>20260210361126</v>
      </c>
      <c r="C588" t="s">
        <v>112</v>
      </c>
      <c r="D588">
        <v>58481090</v>
      </c>
      <c r="E588" s="16" t="s">
        <v>7</v>
      </c>
      <c r="F588" s="3">
        <v>1</v>
      </c>
      <c r="G588" s="3">
        <v>119000</v>
      </c>
      <c r="H588" s="3">
        <v>119000</v>
      </c>
      <c r="I588" s="3">
        <v>80920</v>
      </c>
      <c r="J588" s="3">
        <v>108181.81818181818</v>
      </c>
      <c r="K588" s="25">
        <v>61496</v>
      </c>
      <c r="L588" s="25">
        <v>61496</v>
      </c>
    </row>
    <row r="589" spans="1:13" x14ac:dyDescent="0.3">
      <c r="A589" t="s">
        <v>41</v>
      </c>
      <c r="B589">
        <v>20260210361312</v>
      </c>
      <c r="C589" t="s">
        <v>112</v>
      </c>
      <c r="D589">
        <v>58481090</v>
      </c>
      <c r="E589" s="16" t="s">
        <v>7</v>
      </c>
      <c r="F589" s="3">
        <v>1</v>
      </c>
      <c r="G589" s="3">
        <v>119000</v>
      </c>
      <c r="H589" s="3">
        <v>119000</v>
      </c>
      <c r="I589" s="3">
        <v>80920</v>
      </c>
      <c r="J589" s="3">
        <v>108181.81818181818</v>
      </c>
      <c r="K589" s="25">
        <v>61496</v>
      </c>
      <c r="L589" s="25">
        <v>61496</v>
      </c>
    </row>
    <row r="590" spans="1:13" x14ac:dyDescent="0.3">
      <c r="A590" t="s">
        <v>41</v>
      </c>
      <c r="B590">
        <v>20260210361447</v>
      </c>
      <c r="C590" t="s">
        <v>112</v>
      </c>
      <c r="D590">
        <v>58481090</v>
      </c>
      <c r="E590" s="16" t="s">
        <v>7</v>
      </c>
      <c r="F590" s="3">
        <v>1</v>
      </c>
      <c r="G590" s="3">
        <v>119000</v>
      </c>
      <c r="H590" s="3">
        <v>119000</v>
      </c>
      <c r="I590" s="3">
        <v>80920</v>
      </c>
      <c r="J590" s="3">
        <v>108181.81818181818</v>
      </c>
      <c r="K590" s="25">
        <v>61496</v>
      </c>
      <c r="L590" s="25">
        <v>61496</v>
      </c>
    </row>
    <row r="591" spans="1:13" x14ac:dyDescent="0.3">
      <c r="A591" t="s">
        <v>41</v>
      </c>
      <c r="B591">
        <v>20260210361487</v>
      </c>
      <c r="C591" t="s">
        <v>112</v>
      </c>
      <c r="D591">
        <v>58481090</v>
      </c>
      <c r="E591" s="16" t="s">
        <v>7</v>
      </c>
      <c r="F591" s="3">
        <v>1</v>
      </c>
      <c r="G591" s="3">
        <v>119000</v>
      </c>
      <c r="H591" s="3">
        <v>119000</v>
      </c>
      <c r="I591" s="3">
        <v>80920</v>
      </c>
      <c r="J591" s="3">
        <v>108181.81818181818</v>
      </c>
      <c r="K591" s="25">
        <v>61496</v>
      </c>
      <c r="L591" s="25">
        <v>61496</v>
      </c>
      <c r="M591" t="s">
        <v>42</v>
      </c>
    </row>
    <row r="592" spans="1:13" x14ac:dyDescent="0.3">
      <c r="A592" t="s">
        <v>41</v>
      </c>
      <c r="B592">
        <v>20260210361437</v>
      </c>
      <c r="C592" t="s">
        <v>112</v>
      </c>
      <c r="D592">
        <v>58481090</v>
      </c>
      <c r="E592" s="16" t="s">
        <v>7</v>
      </c>
      <c r="F592" s="3">
        <v>1</v>
      </c>
      <c r="G592" s="3">
        <v>119000</v>
      </c>
      <c r="H592" s="3">
        <v>119000</v>
      </c>
      <c r="I592" s="3">
        <v>80920</v>
      </c>
      <c r="J592" s="3">
        <v>108181.81818181818</v>
      </c>
      <c r="K592" s="25">
        <v>61496</v>
      </c>
      <c r="L592" s="25">
        <v>61496</v>
      </c>
      <c r="M592" t="s">
        <v>42</v>
      </c>
    </row>
    <row r="593" spans="1:13" x14ac:dyDescent="0.3">
      <c r="A593" t="s">
        <v>41</v>
      </c>
      <c r="B593">
        <v>20260210361980</v>
      </c>
      <c r="C593" t="s">
        <v>112</v>
      </c>
      <c r="D593">
        <v>58481090</v>
      </c>
      <c r="E593" s="16" t="s">
        <v>7</v>
      </c>
      <c r="F593" s="3">
        <v>1</v>
      </c>
      <c r="G593" s="3">
        <v>119000</v>
      </c>
      <c r="H593" s="3">
        <v>119000</v>
      </c>
      <c r="I593" s="3">
        <v>80920</v>
      </c>
      <c r="J593" s="3">
        <v>108181.81818181818</v>
      </c>
      <c r="K593" s="25">
        <v>61496</v>
      </c>
      <c r="L593" s="25">
        <v>61496</v>
      </c>
      <c r="M593" t="s">
        <v>42</v>
      </c>
    </row>
    <row r="594" spans="1:13" x14ac:dyDescent="0.3">
      <c r="A594" t="s">
        <v>41</v>
      </c>
      <c r="B594">
        <v>20260210361671</v>
      </c>
      <c r="C594" t="s">
        <v>112</v>
      </c>
      <c r="D594">
        <v>58481090</v>
      </c>
      <c r="E594" s="16" t="s">
        <v>7</v>
      </c>
      <c r="F594" s="3">
        <v>1</v>
      </c>
      <c r="G594" s="3">
        <v>119000</v>
      </c>
      <c r="H594" s="3">
        <v>119000</v>
      </c>
      <c r="I594" s="3">
        <v>80920</v>
      </c>
      <c r="J594" s="3">
        <v>108181.81818181818</v>
      </c>
      <c r="K594" s="25">
        <v>61496</v>
      </c>
      <c r="L594" s="25">
        <v>61496</v>
      </c>
      <c r="M594" t="s">
        <v>42</v>
      </c>
    </row>
    <row r="595" spans="1:13" x14ac:dyDescent="0.3">
      <c r="A595" t="s">
        <v>41</v>
      </c>
      <c r="B595">
        <v>20260210361805</v>
      </c>
      <c r="C595" t="s">
        <v>112</v>
      </c>
      <c r="D595">
        <v>58481090</v>
      </c>
      <c r="E595" s="16" t="s">
        <v>7</v>
      </c>
      <c r="F595" s="3">
        <v>1</v>
      </c>
      <c r="G595" s="3">
        <v>119000</v>
      </c>
      <c r="H595" s="3">
        <v>119000</v>
      </c>
      <c r="I595" s="3">
        <v>80920</v>
      </c>
      <c r="J595" s="3">
        <v>108181.81818181818</v>
      </c>
      <c r="K595" s="25">
        <v>61496</v>
      </c>
      <c r="L595" s="25">
        <v>61496</v>
      </c>
      <c r="M595" t="s">
        <v>42</v>
      </c>
    </row>
    <row r="596" spans="1:13" x14ac:dyDescent="0.3">
      <c r="A596" t="s">
        <v>41</v>
      </c>
      <c r="B596">
        <v>20260210361070</v>
      </c>
      <c r="C596" t="s">
        <v>112</v>
      </c>
      <c r="D596">
        <v>58481090</v>
      </c>
      <c r="E596" s="16" t="s">
        <v>7</v>
      </c>
      <c r="F596" s="3">
        <v>1</v>
      </c>
      <c r="G596" s="3">
        <v>119000</v>
      </c>
      <c r="H596" s="3">
        <v>119000</v>
      </c>
      <c r="I596" s="3">
        <v>80920</v>
      </c>
      <c r="J596" s="3">
        <v>108181.81818181818</v>
      </c>
      <c r="K596" s="25">
        <v>61496</v>
      </c>
      <c r="L596" s="25">
        <v>61496</v>
      </c>
      <c r="M596" t="s">
        <v>42</v>
      </c>
    </row>
    <row r="597" spans="1:13" x14ac:dyDescent="0.3">
      <c r="A597" t="s">
        <v>41</v>
      </c>
      <c r="B597">
        <v>20260210361609</v>
      </c>
      <c r="C597" t="s">
        <v>112</v>
      </c>
      <c r="D597">
        <v>58481090</v>
      </c>
      <c r="E597" s="16" t="s">
        <v>7</v>
      </c>
      <c r="F597" s="3">
        <v>1</v>
      </c>
      <c r="G597" s="3">
        <v>119000</v>
      </c>
      <c r="H597" s="3">
        <v>109000</v>
      </c>
      <c r="I597" s="3">
        <v>80920</v>
      </c>
      <c r="J597" s="3">
        <v>99090.909090909074</v>
      </c>
      <c r="K597" s="25">
        <v>61496</v>
      </c>
      <c r="L597" s="25">
        <v>61496</v>
      </c>
      <c r="M597" t="s">
        <v>42</v>
      </c>
    </row>
    <row r="598" spans="1:13" x14ac:dyDescent="0.3">
      <c r="A598" t="s">
        <v>41</v>
      </c>
      <c r="B598">
        <v>20260210361990</v>
      </c>
      <c r="C598" t="s">
        <v>112</v>
      </c>
      <c r="D598">
        <v>58481090</v>
      </c>
      <c r="E598" s="16" t="s">
        <v>7</v>
      </c>
      <c r="F598" s="3">
        <v>1</v>
      </c>
      <c r="G598" s="3">
        <v>119000</v>
      </c>
      <c r="H598" s="3">
        <v>113050</v>
      </c>
      <c r="I598" s="3">
        <v>80920</v>
      </c>
      <c r="J598" s="3">
        <v>102772.72727272726</v>
      </c>
      <c r="K598" s="25">
        <v>61496</v>
      </c>
      <c r="L598" s="25">
        <v>61496</v>
      </c>
      <c r="M598" t="s">
        <v>42</v>
      </c>
    </row>
    <row r="599" spans="1:13" x14ac:dyDescent="0.3">
      <c r="A599" t="s">
        <v>41</v>
      </c>
      <c r="B599">
        <v>20260210361401</v>
      </c>
      <c r="C599" t="s">
        <v>112</v>
      </c>
      <c r="D599">
        <v>58481090</v>
      </c>
      <c r="E599" s="16" t="s">
        <v>7</v>
      </c>
      <c r="F599" s="3">
        <v>1</v>
      </c>
      <c r="G599" s="3">
        <v>119000</v>
      </c>
      <c r="H599" s="3">
        <v>119000</v>
      </c>
      <c r="I599" s="3">
        <v>80920</v>
      </c>
      <c r="J599" s="3">
        <v>108181.81818181818</v>
      </c>
      <c r="K599" s="25">
        <v>61496</v>
      </c>
      <c r="L599" s="25">
        <v>61496</v>
      </c>
      <c r="M599" t="s">
        <v>42</v>
      </c>
    </row>
    <row r="600" spans="1:13" x14ac:dyDescent="0.3">
      <c r="A600" t="s">
        <v>41</v>
      </c>
      <c r="B600">
        <v>20260210360406</v>
      </c>
      <c r="C600" t="s">
        <v>112</v>
      </c>
      <c r="D600">
        <v>58481090</v>
      </c>
      <c r="E600" s="16" t="s">
        <v>7</v>
      </c>
      <c r="F600" s="3">
        <v>1</v>
      </c>
      <c r="G600" s="3">
        <v>119000</v>
      </c>
      <c r="H600" s="3">
        <v>119000</v>
      </c>
      <c r="I600" s="3">
        <v>80920</v>
      </c>
      <c r="J600" s="3">
        <v>108181.81818181818</v>
      </c>
      <c r="K600" s="25">
        <v>61496</v>
      </c>
      <c r="L600" s="25">
        <v>61496</v>
      </c>
      <c r="M600" t="s">
        <v>42</v>
      </c>
    </row>
    <row r="601" spans="1:13" x14ac:dyDescent="0.3">
      <c r="A601" t="s">
        <v>41</v>
      </c>
      <c r="B601">
        <v>20260210361356</v>
      </c>
      <c r="C601" t="s">
        <v>112</v>
      </c>
      <c r="D601">
        <v>58481090</v>
      </c>
      <c r="E601" s="16" t="s">
        <v>7</v>
      </c>
      <c r="F601" s="3">
        <v>1</v>
      </c>
      <c r="G601" s="3">
        <v>119000</v>
      </c>
      <c r="H601" s="3">
        <v>119000</v>
      </c>
      <c r="I601" s="3">
        <v>80920</v>
      </c>
      <c r="J601" s="3">
        <v>108181.81818181818</v>
      </c>
      <c r="K601" s="25">
        <v>61496</v>
      </c>
      <c r="L601" s="25">
        <v>61496</v>
      </c>
      <c r="M601" t="s">
        <v>42</v>
      </c>
    </row>
    <row r="602" spans="1:13" x14ac:dyDescent="0.3">
      <c r="A602" t="s">
        <v>41</v>
      </c>
      <c r="B602">
        <v>20260210360454</v>
      </c>
      <c r="C602" t="s">
        <v>112</v>
      </c>
      <c r="D602">
        <v>58481090</v>
      </c>
      <c r="E602" s="16" t="s">
        <v>7</v>
      </c>
      <c r="F602" s="3">
        <v>1</v>
      </c>
      <c r="G602" s="3">
        <v>119000</v>
      </c>
      <c r="H602" s="3">
        <v>119000</v>
      </c>
      <c r="I602" s="3">
        <v>80920</v>
      </c>
      <c r="J602" s="3">
        <v>108181.81818181818</v>
      </c>
      <c r="K602" s="25">
        <v>61496</v>
      </c>
      <c r="L602" s="25">
        <v>61496</v>
      </c>
      <c r="M602" t="s">
        <v>42</v>
      </c>
    </row>
    <row r="603" spans="1:13" x14ac:dyDescent="0.3">
      <c r="A603" t="s">
        <v>41</v>
      </c>
      <c r="B603">
        <v>20260210360688</v>
      </c>
      <c r="C603" t="s">
        <v>112</v>
      </c>
      <c r="D603">
        <v>58481090</v>
      </c>
      <c r="E603" s="16" t="s">
        <v>7</v>
      </c>
      <c r="F603" s="3">
        <v>1</v>
      </c>
      <c r="G603" s="3">
        <v>119000</v>
      </c>
      <c r="H603" s="3">
        <v>119000</v>
      </c>
      <c r="I603" s="3">
        <v>80920</v>
      </c>
      <c r="J603" s="3">
        <v>108181.81818181818</v>
      </c>
      <c r="K603" s="25">
        <v>61496</v>
      </c>
      <c r="L603" s="25">
        <v>61496</v>
      </c>
      <c r="M603" t="s">
        <v>42</v>
      </c>
    </row>
    <row r="604" spans="1:13" x14ac:dyDescent="0.3">
      <c r="A604" t="s">
        <v>41</v>
      </c>
      <c r="B604">
        <v>20260210361042</v>
      </c>
      <c r="C604" t="s">
        <v>112</v>
      </c>
      <c r="D604">
        <v>58481090</v>
      </c>
      <c r="E604" s="16" t="s">
        <v>7</v>
      </c>
      <c r="F604" s="3">
        <v>1</v>
      </c>
      <c r="G604" s="3">
        <v>119000</v>
      </c>
      <c r="H604" s="3">
        <v>119000</v>
      </c>
      <c r="I604" s="3">
        <v>80920</v>
      </c>
      <c r="J604" s="3">
        <v>108181.81818181818</v>
      </c>
      <c r="K604" s="25">
        <v>61496</v>
      </c>
      <c r="L604" s="25">
        <v>61496</v>
      </c>
      <c r="M604" t="s">
        <v>42</v>
      </c>
    </row>
    <row r="605" spans="1:13" x14ac:dyDescent="0.3">
      <c r="A605" t="s">
        <v>41</v>
      </c>
      <c r="B605">
        <v>20260210360204</v>
      </c>
      <c r="C605" t="s">
        <v>112</v>
      </c>
      <c r="D605">
        <v>58481090</v>
      </c>
      <c r="E605" s="16" t="s">
        <v>7</v>
      </c>
      <c r="F605" s="3">
        <v>1</v>
      </c>
      <c r="G605" s="3">
        <v>119000</v>
      </c>
      <c r="H605" s="3">
        <v>119000</v>
      </c>
      <c r="I605" s="3">
        <v>80920</v>
      </c>
      <c r="J605" s="3">
        <v>108181.81818181818</v>
      </c>
      <c r="K605" s="25">
        <v>61496</v>
      </c>
      <c r="L605" s="25">
        <v>61496</v>
      </c>
      <c r="M605" t="s">
        <v>42</v>
      </c>
    </row>
    <row r="606" spans="1:13" x14ac:dyDescent="0.3">
      <c r="A606" t="s">
        <v>41</v>
      </c>
      <c r="B606">
        <v>20260210360435</v>
      </c>
      <c r="C606" t="s">
        <v>112</v>
      </c>
      <c r="D606">
        <v>58481090</v>
      </c>
      <c r="E606" s="16" t="s">
        <v>7</v>
      </c>
      <c r="F606" s="3">
        <v>1</v>
      </c>
      <c r="G606" s="3">
        <v>119000</v>
      </c>
      <c r="H606" s="3">
        <v>119000</v>
      </c>
      <c r="I606" s="3">
        <v>80920</v>
      </c>
      <c r="J606" s="3">
        <v>108181.81818181818</v>
      </c>
      <c r="K606" s="25">
        <v>61496</v>
      </c>
      <c r="L606" s="25">
        <v>61496</v>
      </c>
      <c r="M606" t="s">
        <v>42</v>
      </c>
    </row>
    <row r="607" spans="1:13" x14ac:dyDescent="0.3">
      <c r="A607" t="s">
        <v>41</v>
      </c>
      <c r="B607">
        <v>20260210360324</v>
      </c>
      <c r="C607" t="s">
        <v>112</v>
      </c>
      <c r="D607">
        <v>58481090</v>
      </c>
      <c r="E607" s="16" t="s">
        <v>7</v>
      </c>
      <c r="F607" s="3">
        <v>1</v>
      </c>
      <c r="G607" s="3">
        <v>119000</v>
      </c>
      <c r="H607" s="3">
        <v>119000</v>
      </c>
      <c r="I607" s="3">
        <v>80920</v>
      </c>
      <c r="J607" s="3">
        <v>108181.81818181818</v>
      </c>
      <c r="K607" s="25">
        <v>61496</v>
      </c>
      <c r="L607" s="25">
        <v>61496</v>
      </c>
      <c r="M607" t="s">
        <v>42</v>
      </c>
    </row>
    <row r="608" spans="1:13" x14ac:dyDescent="0.3">
      <c r="A608" t="s">
        <v>41</v>
      </c>
      <c r="B608">
        <v>20260210361911</v>
      </c>
      <c r="C608" t="s">
        <v>112</v>
      </c>
      <c r="D608">
        <v>58481090</v>
      </c>
      <c r="E608" s="16" t="s">
        <v>7</v>
      </c>
      <c r="F608" s="3">
        <v>1</v>
      </c>
      <c r="G608" s="3">
        <v>119000</v>
      </c>
      <c r="H608" s="3">
        <v>119000</v>
      </c>
      <c r="I608" s="3">
        <v>80920</v>
      </c>
      <c r="J608" s="3">
        <v>108181.81818181818</v>
      </c>
      <c r="K608" s="25">
        <v>61496</v>
      </c>
      <c r="L608" s="25">
        <v>61496</v>
      </c>
      <c r="M608" t="s">
        <v>42</v>
      </c>
    </row>
    <row r="609" spans="1:13" x14ac:dyDescent="0.3">
      <c r="A609" t="s">
        <v>41</v>
      </c>
      <c r="B609">
        <v>20260210360246</v>
      </c>
      <c r="C609" t="s">
        <v>112</v>
      </c>
      <c r="D609">
        <v>58481090</v>
      </c>
      <c r="E609" s="16" t="s">
        <v>7</v>
      </c>
      <c r="F609" s="3">
        <v>1</v>
      </c>
      <c r="G609" s="3">
        <v>119000</v>
      </c>
      <c r="H609" s="3">
        <v>119000</v>
      </c>
      <c r="I609" s="3">
        <v>80920</v>
      </c>
      <c r="J609" s="3">
        <v>108181.81818181818</v>
      </c>
      <c r="K609" s="25">
        <v>61496</v>
      </c>
      <c r="L609" s="25">
        <v>61496</v>
      </c>
      <c r="M609" t="s">
        <v>42</v>
      </c>
    </row>
    <row r="610" spans="1:13" x14ac:dyDescent="0.3">
      <c r="A610" t="s">
        <v>41</v>
      </c>
      <c r="B610">
        <v>20260210361622</v>
      </c>
      <c r="C610" t="s">
        <v>112</v>
      </c>
      <c r="D610">
        <v>58481090</v>
      </c>
      <c r="E610" s="16" t="s">
        <v>7</v>
      </c>
      <c r="F610" s="3">
        <v>1</v>
      </c>
      <c r="G610" s="3">
        <v>119000</v>
      </c>
      <c r="H610" s="3">
        <v>119000</v>
      </c>
      <c r="I610" s="3">
        <v>80920</v>
      </c>
      <c r="J610" s="3">
        <v>108181.81818181818</v>
      </c>
      <c r="K610" s="25">
        <v>61496</v>
      </c>
      <c r="L610" s="25">
        <v>61496</v>
      </c>
      <c r="M610" t="s">
        <v>42</v>
      </c>
    </row>
    <row r="611" spans="1:13" x14ac:dyDescent="0.3">
      <c r="A611" t="s">
        <v>41</v>
      </c>
      <c r="B611">
        <v>20260210361123</v>
      </c>
      <c r="C611" t="s">
        <v>112</v>
      </c>
      <c r="D611">
        <v>58481090</v>
      </c>
      <c r="E611" s="16" t="s">
        <v>7</v>
      </c>
      <c r="F611" s="3">
        <v>1</v>
      </c>
      <c r="G611" s="3">
        <v>119000</v>
      </c>
      <c r="H611" s="3">
        <v>119000</v>
      </c>
      <c r="I611" s="3">
        <v>80920</v>
      </c>
      <c r="J611" s="3">
        <v>108181.81818181818</v>
      </c>
      <c r="K611" s="25">
        <v>61496</v>
      </c>
      <c r="L611" s="25">
        <v>61496</v>
      </c>
      <c r="M611" t="s">
        <v>42</v>
      </c>
    </row>
    <row r="612" spans="1:13" x14ac:dyDescent="0.3">
      <c r="A612" t="s">
        <v>41</v>
      </c>
      <c r="B612">
        <v>20260210361987</v>
      </c>
      <c r="C612" t="s">
        <v>112</v>
      </c>
      <c r="D612">
        <v>58481090</v>
      </c>
      <c r="E612" s="16" t="s">
        <v>7</v>
      </c>
      <c r="F612" s="3">
        <v>1</v>
      </c>
      <c r="G612" s="3">
        <v>119000</v>
      </c>
      <c r="H612" s="3">
        <v>113050</v>
      </c>
      <c r="I612" s="3">
        <v>80920</v>
      </c>
      <c r="J612" s="3">
        <v>102772.72727272726</v>
      </c>
      <c r="K612" s="25">
        <v>61496</v>
      </c>
      <c r="L612" s="25">
        <v>61496</v>
      </c>
      <c r="M612" t="s">
        <v>42</v>
      </c>
    </row>
    <row r="613" spans="1:13" x14ac:dyDescent="0.3">
      <c r="A613" t="s">
        <v>41</v>
      </c>
      <c r="B613">
        <v>20260210360357</v>
      </c>
      <c r="C613" t="s">
        <v>112</v>
      </c>
      <c r="D613">
        <v>58481090</v>
      </c>
      <c r="E613" s="16" t="s">
        <v>7</v>
      </c>
      <c r="F613" s="3">
        <v>1</v>
      </c>
      <c r="G613" s="3">
        <v>119000</v>
      </c>
      <c r="H613" s="3">
        <v>113050</v>
      </c>
      <c r="I613" s="3">
        <v>80920</v>
      </c>
      <c r="J613" s="3">
        <v>102772.72727272726</v>
      </c>
      <c r="K613" s="25">
        <v>61496</v>
      </c>
      <c r="L613" s="25">
        <v>61496</v>
      </c>
      <c r="M613" t="s">
        <v>42</v>
      </c>
    </row>
    <row r="614" spans="1:13" x14ac:dyDescent="0.3">
      <c r="A614" t="s">
        <v>41</v>
      </c>
      <c r="B614">
        <v>20260210361780</v>
      </c>
      <c r="C614" t="s">
        <v>112</v>
      </c>
      <c r="D614">
        <v>58481090</v>
      </c>
      <c r="E614" s="16" t="s">
        <v>7</v>
      </c>
      <c r="F614" s="3">
        <v>1</v>
      </c>
      <c r="G614" s="3">
        <v>119000</v>
      </c>
      <c r="H614" s="3">
        <v>95200</v>
      </c>
      <c r="I614" s="3">
        <v>80920</v>
      </c>
      <c r="J614" s="3">
        <v>86545.454545454544</v>
      </c>
      <c r="K614" s="25">
        <v>61496</v>
      </c>
      <c r="L614" s="25">
        <v>61496</v>
      </c>
      <c r="M614" t="s">
        <v>42</v>
      </c>
    </row>
    <row r="615" spans="1:13" x14ac:dyDescent="0.3">
      <c r="A615" t="s">
        <v>41</v>
      </c>
      <c r="B615">
        <v>20260210362100</v>
      </c>
      <c r="C615" t="s">
        <v>112</v>
      </c>
      <c r="D615">
        <v>58481090</v>
      </c>
      <c r="E615" s="16" t="s">
        <v>7</v>
      </c>
      <c r="F615" s="3">
        <v>1</v>
      </c>
      <c r="G615" s="3">
        <v>119000</v>
      </c>
      <c r="H615" s="3">
        <v>109000</v>
      </c>
      <c r="I615" s="3">
        <v>80920</v>
      </c>
      <c r="J615" s="3">
        <v>99090.909090909074</v>
      </c>
      <c r="K615" s="25">
        <v>61496</v>
      </c>
      <c r="L615" s="25">
        <v>61496</v>
      </c>
      <c r="M615" t="s">
        <v>42</v>
      </c>
    </row>
    <row r="616" spans="1:13" x14ac:dyDescent="0.3">
      <c r="A616" t="s">
        <v>41</v>
      </c>
      <c r="B616">
        <v>20260210362228</v>
      </c>
      <c r="C616" t="s">
        <v>112</v>
      </c>
      <c r="D616">
        <v>58481090</v>
      </c>
      <c r="E616" s="16" t="s">
        <v>7</v>
      </c>
      <c r="F616" s="3">
        <v>1</v>
      </c>
      <c r="G616" s="3">
        <v>119000</v>
      </c>
      <c r="H616" s="3">
        <v>95200</v>
      </c>
      <c r="I616" s="3">
        <v>80920</v>
      </c>
      <c r="J616" s="3">
        <v>86545.454545454544</v>
      </c>
      <c r="K616" s="25">
        <v>61496</v>
      </c>
      <c r="L616" s="25">
        <v>61496</v>
      </c>
      <c r="M616" t="s">
        <v>42</v>
      </c>
    </row>
    <row r="617" spans="1:13" x14ac:dyDescent="0.3">
      <c r="A617" t="s">
        <v>41</v>
      </c>
      <c r="B617">
        <v>20260210362212</v>
      </c>
      <c r="C617" t="s">
        <v>112</v>
      </c>
      <c r="D617">
        <v>58481090</v>
      </c>
      <c r="E617" s="16" t="s">
        <v>7</v>
      </c>
      <c r="F617" s="3">
        <v>1</v>
      </c>
      <c r="G617" s="3">
        <v>119000</v>
      </c>
      <c r="H617" s="3">
        <v>113050</v>
      </c>
      <c r="I617" s="3">
        <v>80920</v>
      </c>
      <c r="J617" s="3">
        <v>102772.72727272726</v>
      </c>
      <c r="K617" s="25">
        <v>61496</v>
      </c>
      <c r="L617" s="25">
        <v>61496</v>
      </c>
      <c r="M617" t="s">
        <v>42</v>
      </c>
    </row>
    <row r="618" spans="1:13" x14ac:dyDescent="0.3">
      <c r="A618" t="s">
        <v>41</v>
      </c>
      <c r="B618">
        <v>20260210360287</v>
      </c>
      <c r="C618" t="s">
        <v>112</v>
      </c>
      <c r="D618">
        <v>58481090</v>
      </c>
      <c r="E618" s="16" t="s">
        <v>7</v>
      </c>
      <c r="F618" s="3">
        <v>1</v>
      </c>
      <c r="G618" s="3">
        <v>119000</v>
      </c>
      <c r="H618" s="3">
        <v>119000</v>
      </c>
      <c r="I618" s="3">
        <v>80920</v>
      </c>
      <c r="J618" s="3">
        <v>108181.81818181818</v>
      </c>
      <c r="K618" s="25">
        <v>61496</v>
      </c>
      <c r="L618" s="25">
        <v>61496</v>
      </c>
      <c r="M618" t="s">
        <v>42</v>
      </c>
    </row>
    <row r="619" spans="1:13" x14ac:dyDescent="0.3">
      <c r="A619" t="s">
        <v>41</v>
      </c>
      <c r="B619">
        <v>20260210361930</v>
      </c>
      <c r="C619" t="s">
        <v>112</v>
      </c>
      <c r="D619">
        <v>58481090</v>
      </c>
      <c r="E619" s="16" t="s">
        <v>7</v>
      </c>
      <c r="F619" s="3">
        <v>1</v>
      </c>
      <c r="G619" s="3">
        <v>119000</v>
      </c>
      <c r="H619" s="3">
        <v>119000</v>
      </c>
      <c r="I619" s="3">
        <v>80920</v>
      </c>
      <c r="J619" s="3">
        <v>108181.81818181818</v>
      </c>
      <c r="K619" s="25">
        <v>61496</v>
      </c>
      <c r="L619" s="25">
        <v>61496</v>
      </c>
      <c r="M619" t="s">
        <v>42</v>
      </c>
    </row>
    <row r="620" spans="1:13" x14ac:dyDescent="0.3">
      <c r="A620" t="s">
        <v>41</v>
      </c>
      <c r="B620">
        <v>20260210360895</v>
      </c>
      <c r="C620" t="s">
        <v>112</v>
      </c>
      <c r="D620">
        <v>58481090</v>
      </c>
      <c r="E620" s="16" t="s">
        <v>7</v>
      </c>
      <c r="F620" s="3">
        <v>1</v>
      </c>
      <c r="G620" s="3">
        <v>119000</v>
      </c>
      <c r="H620" s="3">
        <v>119000</v>
      </c>
      <c r="I620" s="3">
        <v>80920</v>
      </c>
      <c r="J620" s="3">
        <v>108181.81818181818</v>
      </c>
      <c r="K620" s="25">
        <v>61496</v>
      </c>
      <c r="L620" s="25">
        <v>61496</v>
      </c>
      <c r="M620" t="s">
        <v>42</v>
      </c>
    </row>
    <row r="621" spans="1:13" x14ac:dyDescent="0.3">
      <c r="A621" t="s">
        <v>41</v>
      </c>
      <c r="B621">
        <v>20260210362231</v>
      </c>
      <c r="C621" t="s">
        <v>112</v>
      </c>
      <c r="D621">
        <v>58481090</v>
      </c>
      <c r="E621" s="16" t="s">
        <v>7</v>
      </c>
      <c r="F621" s="3">
        <v>1</v>
      </c>
      <c r="G621" s="3">
        <v>119000</v>
      </c>
      <c r="H621" s="3">
        <v>119000</v>
      </c>
      <c r="I621" s="3">
        <v>80920</v>
      </c>
      <c r="J621" s="3">
        <v>108181.81818181818</v>
      </c>
      <c r="K621" s="25">
        <v>61496</v>
      </c>
      <c r="L621" s="25">
        <v>61496</v>
      </c>
      <c r="M621" t="s">
        <v>42</v>
      </c>
    </row>
    <row r="622" spans="1:13" x14ac:dyDescent="0.3">
      <c r="A622" t="s">
        <v>41</v>
      </c>
      <c r="B622">
        <v>20260210360226</v>
      </c>
      <c r="C622" t="s">
        <v>112</v>
      </c>
      <c r="D622">
        <v>58481090</v>
      </c>
      <c r="E622" s="16" t="s">
        <v>7</v>
      </c>
      <c r="F622" s="3">
        <v>1</v>
      </c>
      <c r="G622" s="3">
        <v>119000</v>
      </c>
      <c r="H622" s="3">
        <v>119000</v>
      </c>
      <c r="I622" s="3">
        <v>80920</v>
      </c>
      <c r="J622" s="3">
        <v>108181.81818181818</v>
      </c>
      <c r="K622" s="25">
        <v>61496</v>
      </c>
      <c r="L622" s="25">
        <v>61496</v>
      </c>
      <c r="M622" t="s">
        <v>42</v>
      </c>
    </row>
    <row r="623" spans="1:13" x14ac:dyDescent="0.3">
      <c r="A623" t="s">
        <v>41</v>
      </c>
      <c r="B623">
        <v>20260210361153</v>
      </c>
      <c r="C623" t="s">
        <v>112</v>
      </c>
      <c r="D623">
        <v>58481090</v>
      </c>
      <c r="E623" s="16" t="s">
        <v>7</v>
      </c>
      <c r="F623" s="3">
        <v>1</v>
      </c>
      <c r="G623" s="3">
        <v>119000</v>
      </c>
      <c r="H623" s="3">
        <v>119000</v>
      </c>
      <c r="I623" s="3">
        <v>80920</v>
      </c>
      <c r="J623" s="3">
        <v>108181.81818181818</v>
      </c>
      <c r="K623" s="25">
        <v>61496</v>
      </c>
      <c r="L623" s="25">
        <v>61496</v>
      </c>
      <c r="M623" t="s">
        <v>42</v>
      </c>
    </row>
    <row r="624" spans="1:13" x14ac:dyDescent="0.3">
      <c r="A624" t="s">
        <v>41</v>
      </c>
      <c r="B624">
        <v>20260210360972</v>
      </c>
      <c r="C624" t="s">
        <v>112</v>
      </c>
      <c r="D624">
        <v>58481090</v>
      </c>
      <c r="E624" s="16" t="s">
        <v>7</v>
      </c>
      <c r="F624" s="3">
        <v>1</v>
      </c>
      <c r="G624" s="3">
        <v>119000</v>
      </c>
      <c r="H624" s="3">
        <v>119000</v>
      </c>
      <c r="I624" s="3">
        <v>80920</v>
      </c>
      <c r="J624" s="3">
        <v>108181.81818181818</v>
      </c>
      <c r="K624" s="25">
        <v>61496</v>
      </c>
      <c r="L624" s="25">
        <v>61496</v>
      </c>
      <c r="M624" t="s">
        <v>42</v>
      </c>
    </row>
    <row r="625" spans="1:13" x14ac:dyDescent="0.3">
      <c r="A625" t="s">
        <v>41</v>
      </c>
      <c r="B625">
        <v>20260210360094</v>
      </c>
      <c r="C625" t="s">
        <v>112</v>
      </c>
      <c r="D625">
        <v>58481090</v>
      </c>
      <c r="E625" s="16" t="s">
        <v>7</v>
      </c>
      <c r="F625" s="3">
        <v>1</v>
      </c>
      <c r="G625" s="3">
        <v>119000</v>
      </c>
      <c r="H625" s="3">
        <v>119000</v>
      </c>
      <c r="I625" s="3">
        <v>80920</v>
      </c>
      <c r="J625" s="3">
        <v>108181.81818181818</v>
      </c>
      <c r="K625" s="25">
        <v>61496</v>
      </c>
      <c r="L625" s="25">
        <v>61496</v>
      </c>
      <c r="M625" t="s">
        <v>42</v>
      </c>
    </row>
    <row r="626" spans="1:13" x14ac:dyDescent="0.3">
      <c r="A626" t="s">
        <v>41</v>
      </c>
      <c r="B626">
        <v>20260210360523</v>
      </c>
      <c r="C626" t="s">
        <v>112</v>
      </c>
      <c r="D626">
        <v>58481090</v>
      </c>
      <c r="E626" s="16" t="s">
        <v>7</v>
      </c>
      <c r="F626" s="3">
        <v>1</v>
      </c>
      <c r="G626" s="3">
        <v>119000</v>
      </c>
      <c r="H626" s="3">
        <v>109000</v>
      </c>
      <c r="I626" s="3">
        <v>80920</v>
      </c>
      <c r="J626" s="3">
        <v>99090.909090909074</v>
      </c>
      <c r="K626" s="25">
        <v>61496</v>
      </c>
      <c r="L626" s="25">
        <v>61496</v>
      </c>
      <c r="M626" t="s">
        <v>42</v>
      </c>
    </row>
    <row r="627" spans="1:13" x14ac:dyDescent="0.3">
      <c r="A627" t="s">
        <v>41</v>
      </c>
      <c r="B627">
        <v>20260210360229</v>
      </c>
      <c r="C627" t="s">
        <v>112</v>
      </c>
      <c r="D627">
        <v>58481090</v>
      </c>
      <c r="E627" s="16" t="s">
        <v>7</v>
      </c>
      <c r="F627" s="3">
        <v>1</v>
      </c>
      <c r="G627" s="3">
        <v>119000</v>
      </c>
      <c r="H627" s="3">
        <v>119000</v>
      </c>
      <c r="I627" s="3">
        <v>80920</v>
      </c>
      <c r="J627" s="3">
        <v>108181.81818181818</v>
      </c>
      <c r="K627" s="25">
        <v>61496</v>
      </c>
      <c r="L627" s="25">
        <v>61496</v>
      </c>
      <c r="M627" t="s">
        <v>42</v>
      </c>
    </row>
    <row r="628" spans="1:13" x14ac:dyDescent="0.3">
      <c r="A628" t="s">
        <v>41</v>
      </c>
      <c r="B628">
        <v>20260205993517</v>
      </c>
      <c r="C628" t="s">
        <v>112</v>
      </c>
      <c r="D628">
        <v>58481090</v>
      </c>
      <c r="E628" s="16" t="s">
        <v>7</v>
      </c>
      <c r="F628" s="3">
        <v>1</v>
      </c>
      <c r="G628" s="3">
        <v>119000</v>
      </c>
      <c r="H628" s="3">
        <v>109000</v>
      </c>
      <c r="I628" s="3">
        <v>82110</v>
      </c>
      <c r="J628" s="3">
        <v>99090.909090909074</v>
      </c>
      <c r="K628" s="25">
        <v>61496</v>
      </c>
      <c r="L628" s="25">
        <v>61496</v>
      </c>
      <c r="M628" t="s">
        <v>42</v>
      </c>
    </row>
    <row r="629" spans="1:13" x14ac:dyDescent="0.3">
      <c r="A629" t="s">
        <v>41</v>
      </c>
      <c r="B629">
        <v>20260210361686</v>
      </c>
      <c r="C629" t="s">
        <v>112</v>
      </c>
      <c r="D629">
        <v>58481090</v>
      </c>
      <c r="E629" s="16" t="s">
        <v>7</v>
      </c>
      <c r="F629" s="3">
        <v>1</v>
      </c>
      <c r="G629" s="3">
        <v>119000</v>
      </c>
      <c r="H629" s="3">
        <v>119000</v>
      </c>
      <c r="I629" s="3">
        <v>80920</v>
      </c>
      <c r="J629" s="3">
        <v>108181.81818181818</v>
      </c>
      <c r="K629" s="25">
        <v>61496</v>
      </c>
      <c r="L629" s="25">
        <v>61496</v>
      </c>
      <c r="M629" t="s">
        <v>42</v>
      </c>
    </row>
    <row r="630" spans="1:13" x14ac:dyDescent="0.3">
      <c r="A630" t="s">
        <v>41</v>
      </c>
      <c r="B630">
        <v>20260210362230</v>
      </c>
      <c r="C630" t="s">
        <v>112</v>
      </c>
      <c r="D630">
        <v>58481090</v>
      </c>
      <c r="E630" s="16" t="s">
        <v>7</v>
      </c>
      <c r="F630" s="3">
        <v>1</v>
      </c>
      <c r="G630" s="3">
        <v>119000</v>
      </c>
      <c r="H630" s="3">
        <v>119000</v>
      </c>
      <c r="I630" s="3">
        <v>80920</v>
      </c>
      <c r="J630" s="3">
        <v>108181.81818181818</v>
      </c>
      <c r="K630" s="25">
        <v>61496</v>
      </c>
      <c r="L630" s="25">
        <v>61496</v>
      </c>
      <c r="M630" t="s">
        <v>42</v>
      </c>
    </row>
    <row r="631" spans="1:13" x14ac:dyDescent="0.3">
      <c r="A631" t="s">
        <v>41</v>
      </c>
      <c r="B631">
        <v>20260210362386</v>
      </c>
      <c r="C631" t="s">
        <v>112</v>
      </c>
      <c r="D631">
        <v>58481090</v>
      </c>
      <c r="E631" s="16" t="s">
        <v>7</v>
      </c>
      <c r="F631" s="3">
        <v>1</v>
      </c>
      <c r="G631" s="3">
        <v>119000</v>
      </c>
      <c r="H631" s="3">
        <v>119000</v>
      </c>
      <c r="I631" s="3">
        <v>80920</v>
      </c>
      <c r="J631" s="3">
        <v>108181.81818181818</v>
      </c>
      <c r="K631" s="25">
        <v>61496</v>
      </c>
      <c r="L631" s="25">
        <v>61496</v>
      </c>
      <c r="M631" t="s">
        <v>42</v>
      </c>
    </row>
    <row r="632" spans="1:13" x14ac:dyDescent="0.3">
      <c r="A632" t="s">
        <v>41</v>
      </c>
      <c r="B632">
        <v>20260210360765</v>
      </c>
      <c r="C632" t="s">
        <v>112</v>
      </c>
      <c r="D632">
        <v>58481090</v>
      </c>
      <c r="E632" s="16" t="s">
        <v>7</v>
      </c>
      <c r="F632" s="3">
        <v>1</v>
      </c>
      <c r="G632" s="3">
        <v>119000</v>
      </c>
      <c r="H632" s="3">
        <v>119000</v>
      </c>
      <c r="I632" s="3">
        <v>80920</v>
      </c>
      <c r="J632" s="3">
        <v>108181.81818181818</v>
      </c>
      <c r="K632" s="25">
        <v>61496</v>
      </c>
      <c r="L632" s="25">
        <v>61496</v>
      </c>
      <c r="M632" t="s">
        <v>42</v>
      </c>
    </row>
    <row r="633" spans="1:13" x14ac:dyDescent="0.3">
      <c r="A633" t="s">
        <v>41</v>
      </c>
      <c r="B633">
        <v>20260210362168</v>
      </c>
      <c r="C633" t="s">
        <v>112</v>
      </c>
      <c r="D633">
        <v>58481090</v>
      </c>
      <c r="E633" s="16" t="s">
        <v>7</v>
      </c>
      <c r="F633" s="3">
        <v>1</v>
      </c>
      <c r="G633" s="3">
        <v>119000</v>
      </c>
      <c r="H633" s="3">
        <v>119000</v>
      </c>
      <c r="I633" s="3">
        <v>80920</v>
      </c>
      <c r="J633" s="3">
        <v>108181.81818181818</v>
      </c>
      <c r="K633" s="25">
        <v>61496</v>
      </c>
      <c r="L633" s="25">
        <v>61496</v>
      </c>
      <c r="M633" t="s">
        <v>42</v>
      </c>
    </row>
    <row r="634" spans="1:13" x14ac:dyDescent="0.3">
      <c r="A634" t="s">
        <v>41</v>
      </c>
      <c r="B634">
        <v>20260210362117</v>
      </c>
      <c r="C634" t="s">
        <v>112</v>
      </c>
      <c r="D634">
        <v>58481090</v>
      </c>
      <c r="E634" s="16" t="s">
        <v>7</v>
      </c>
      <c r="F634" s="3">
        <v>1</v>
      </c>
      <c r="G634" s="3">
        <v>119000</v>
      </c>
      <c r="H634" s="3">
        <v>119000</v>
      </c>
      <c r="I634" s="3">
        <v>80920</v>
      </c>
      <c r="J634" s="3">
        <v>108181.81818181818</v>
      </c>
      <c r="K634" s="25">
        <v>61496</v>
      </c>
      <c r="L634" s="25">
        <v>61496</v>
      </c>
      <c r="M634" t="s">
        <v>42</v>
      </c>
    </row>
    <row r="635" spans="1:13" x14ac:dyDescent="0.3">
      <c r="A635" t="s">
        <v>41</v>
      </c>
      <c r="B635">
        <v>20260210360966</v>
      </c>
      <c r="C635" t="s">
        <v>112</v>
      </c>
      <c r="D635">
        <v>58481090</v>
      </c>
      <c r="E635" s="16" t="s">
        <v>7</v>
      </c>
      <c r="F635" s="3">
        <v>1</v>
      </c>
      <c r="G635" s="3">
        <v>119000</v>
      </c>
      <c r="H635" s="3">
        <v>119000</v>
      </c>
      <c r="I635" s="3">
        <v>80920</v>
      </c>
      <c r="J635" s="3">
        <v>108181.81818181818</v>
      </c>
      <c r="K635" s="25">
        <v>61496</v>
      </c>
      <c r="L635" s="25">
        <v>61496</v>
      </c>
      <c r="M635" t="s">
        <v>42</v>
      </c>
    </row>
    <row r="636" spans="1:13" x14ac:dyDescent="0.3">
      <c r="A636" t="s">
        <v>41</v>
      </c>
      <c r="B636">
        <v>20260210360823</v>
      </c>
      <c r="C636" t="s">
        <v>112</v>
      </c>
      <c r="D636">
        <v>58481090</v>
      </c>
      <c r="E636" s="16" t="s">
        <v>7</v>
      </c>
      <c r="F636" s="3">
        <v>1</v>
      </c>
      <c r="G636" s="3">
        <v>119000</v>
      </c>
      <c r="H636" s="3">
        <v>119000</v>
      </c>
      <c r="I636" s="3">
        <v>80920</v>
      </c>
      <c r="J636" s="3">
        <v>108181.81818181818</v>
      </c>
      <c r="K636" s="25">
        <v>61496</v>
      </c>
      <c r="L636" s="25">
        <v>61496</v>
      </c>
      <c r="M636" t="s">
        <v>42</v>
      </c>
    </row>
    <row r="637" spans="1:13" x14ac:dyDescent="0.3">
      <c r="A637" t="s">
        <v>41</v>
      </c>
      <c r="B637">
        <v>20260210361576</v>
      </c>
      <c r="C637" t="s">
        <v>112</v>
      </c>
      <c r="D637">
        <v>58481090</v>
      </c>
      <c r="E637" s="16" t="s">
        <v>7</v>
      </c>
      <c r="F637" s="3">
        <v>1</v>
      </c>
      <c r="G637" s="3">
        <v>119000</v>
      </c>
      <c r="H637" s="3">
        <v>119000</v>
      </c>
      <c r="I637" s="3">
        <v>80920</v>
      </c>
      <c r="J637" s="3">
        <v>108181.81818181818</v>
      </c>
      <c r="K637" s="25">
        <v>61496</v>
      </c>
      <c r="L637" s="25">
        <v>61496</v>
      </c>
      <c r="M637" t="s">
        <v>42</v>
      </c>
    </row>
    <row r="638" spans="1:13" x14ac:dyDescent="0.3">
      <c r="A638" t="s">
        <v>41</v>
      </c>
      <c r="B638">
        <v>20260210360962</v>
      </c>
      <c r="C638" t="s">
        <v>112</v>
      </c>
      <c r="D638">
        <v>58481090</v>
      </c>
      <c r="E638" s="16" t="s">
        <v>7</v>
      </c>
      <c r="F638" s="3">
        <v>1</v>
      </c>
      <c r="G638" s="3">
        <v>119000</v>
      </c>
      <c r="H638" s="3">
        <v>119000</v>
      </c>
      <c r="I638" s="3">
        <v>80920</v>
      </c>
      <c r="J638" s="3">
        <v>108181.81818181818</v>
      </c>
      <c r="K638" s="25">
        <v>61496</v>
      </c>
      <c r="L638" s="25">
        <v>61496</v>
      </c>
      <c r="M638" t="s">
        <v>42</v>
      </c>
    </row>
    <row r="639" spans="1:13" x14ac:dyDescent="0.3">
      <c r="A639" t="s">
        <v>41</v>
      </c>
      <c r="B639">
        <v>20260210361691</v>
      </c>
      <c r="C639" t="s">
        <v>112</v>
      </c>
      <c r="D639">
        <v>58481090</v>
      </c>
      <c r="E639" s="16" t="s">
        <v>7</v>
      </c>
      <c r="F639" s="3">
        <v>1</v>
      </c>
      <c r="G639" s="3">
        <v>119000</v>
      </c>
      <c r="H639" s="3">
        <v>119000</v>
      </c>
      <c r="I639" s="3">
        <v>80920</v>
      </c>
      <c r="J639" s="3">
        <v>108181.81818181818</v>
      </c>
      <c r="K639" s="25">
        <v>61496</v>
      </c>
      <c r="L639" s="25">
        <v>61496</v>
      </c>
      <c r="M639" t="s">
        <v>42</v>
      </c>
    </row>
    <row r="640" spans="1:13" x14ac:dyDescent="0.3">
      <c r="A640" t="s">
        <v>41</v>
      </c>
      <c r="B640">
        <v>20260210362134</v>
      </c>
      <c r="C640" t="s">
        <v>112</v>
      </c>
      <c r="D640">
        <v>58481090</v>
      </c>
      <c r="E640" s="16" t="s">
        <v>7</v>
      </c>
      <c r="F640" s="3">
        <v>1</v>
      </c>
      <c r="G640" s="3">
        <v>119000</v>
      </c>
      <c r="H640" s="3">
        <v>108300</v>
      </c>
      <c r="I640" s="3">
        <v>80920</v>
      </c>
      <c r="J640" s="3">
        <v>98454.545454545441</v>
      </c>
      <c r="K640" s="25">
        <v>61496</v>
      </c>
      <c r="L640" s="25">
        <v>61496</v>
      </c>
      <c r="M640" t="s">
        <v>42</v>
      </c>
    </row>
    <row r="641" spans="1:13" x14ac:dyDescent="0.3">
      <c r="A641" t="s">
        <v>41</v>
      </c>
      <c r="B641">
        <v>20260210361690</v>
      </c>
      <c r="C641" t="s">
        <v>112</v>
      </c>
      <c r="D641">
        <v>58481090</v>
      </c>
      <c r="E641" s="16" t="s">
        <v>7</v>
      </c>
      <c r="F641" s="3">
        <v>1</v>
      </c>
      <c r="G641" s="3">
        <v>119000</v>
      </c>
      <c r="H641" s="3">
        <v>119000</v>
      </c>
      <c r="I641" s="3">
        <v>80920</v>
      </c>
      <c r="J641" s="3">
        <v>108181.81818181818</v>
      </c>
      <c r="K641" s="25">
        <v>61496</v>
      </c>
      <c r="L641" s="25">
        <v>61496</v>
      </c>
      <c r="M641" t="s">
        <v>42</v>
      </c>
    </row>
    <row r="642" spans="1:13" x14ac:dyDescent="0.3">
      <c r="A642" t="s">
        <v>41</v>
      </c>
      <c r="B642">
        <v>20260210361261</v>
      </c>
      <c r="C642" t="s">
        <v>112</v>
      </c>
      <c r="D642">
        <v>58481090</v>
      </c>
      <c r="E642" s="16" t="s">
        <v>7</v>
      </c>
      <c r="F642" s="3">
        <v>1</v>
      </c>
      <c r="G642" s="3">
        <v>119000</v>
      </c>
      <c r="H642" s="3">
        <v>119000</v>
      </c>
      <c r="I642" s="3">
        <v>80920</v>
      </c>
      <c r="J642" s="3">
        <v>108181.81818181818</v>
      </c>
      <c r="K642" s="25">
        <v>61496</v>
      </c>
      <c r="L642" s="25">
        <v>61496</v>
      </c>
      <c r="M642" t="s">
        <v>42</v>
      </c>
    </row>
    <row r="643" spans="1:13" x14ac:dyDescent="0.3">
      <c r="A643" t="s">
        <v>41</v>
      </c>
      <c r="B643">
        <v>20260210361855</v>
      </c>
      <c r="C643" t="s">
        <v>112</v>
      </c>
      <c r="D643">
        <v>58481090</v>
      </c>
      <c r="E643" s="16" t="s">
        <v>7</v>
      </c>
      <c r="F643" s="3">
        <v>1</v>
      </c>
      <c r="G643" s="3">
        <v>119000</v>
      </c>
      <c r="H643" s="3">
        <v>119000</v>
      </c>
      <c r="I643" s="3">
        <v>80920</v>
      </c>
      <c r="J643" s="3">
        <v>108181.81818181818</v>
      </c>
      <c r="K643" s="25">
        <v>61496</v>
      </c>
      <c r="L643" s="25">
        <v>61496</v>
      </c>
      <c r="M643" t="s">
        <v>42</v>
      </c>
    </row>
    <row r="644" spans="1:13" x14ac:dyDescent="0.3">
      <c r="A644" t="s">
        <v>41</v>
      </c>
      <c r="B644">
        <v>20260210360736</v>
      </c>
      <c r="C644" t="s">
        <v>112</v>
      </c>
      <c r="D644">
        <v>58481090</v>
      </c>
      <c r="E644" s="16" t="s">
        <v>7</v>
      </c>
      <c r="F644" s="3">
        <v>1</v>
      </c>
      <c r="G644" s="3">
        <v>119000</v>
      </c>
      <c r="H644" s="3">
        <v>113050</v>
      </c>
      <c r="I644" s="3">
        <v>80920</v>
      </c>
      <c r="J644" s="3">
        <v>102772.72727272726</v>
      </c>
      <c r="K644" s="25">
        <v>61496</v>
      </c>
      <c r="L644" s="25">
        <v>61496</v>
      </c>
      <c r="M644" t="s">
        <v>42</v>
      </c>
    </row>
    <row r="645" spans="1:13" x14ac:dyDescent="0.3">
      <c r="A645" t="s">
        <v>41</v>
      </c>
      <c r="B645">
        <v>20260205994812</v>
      </c>
      <c r="C645" t="s">
        <v>112</v>
      </c>
      <c r="D645">
        <v>58481090</v>
      </c>
      <c r="E645" s="16" t="s">
        <v>7</v>
      </c>
      <c r="F645" s="3">
        <v>1</v>
      </c>
      <c r="G645" s="3">
        <v>119000</v>
      </c>
      <c r="H645" s="3">
        <v>119000</v>
      </c>
      <c r="I645" s="3">
        <v>82110</v>
      </c>
      <c r="J645" s="3">
        <v>108181.81818181818</v>
      </c>
      <c r="K645" s="25">
        <v>61496</v>
      </c>
      <c r="L645" s="25">
        <v>61496</v>
      </c>
      <c r="M645" t="s">
        <v>42</v>
      </c>
    </row>
    <row r="646" spans="1:13" x14ac:dyDescent="0.3">
      <c r="A646" t="s">
        <v>41</v>
      </c>
      <c r="B646">
        <v>20260210360424</v>
      </c>
      <c r="C646" t="s">
        <v>112</v>
      </c>
      <c r="D646">
        <v>58481090</v>
      </c>
      <c r="E646" s="16" t="s">
        <v>7</v>
      </c>
      <c r="F646" s="3">
        <v>2</v>
      </c>
      <c r="G646" s="3">
        <v>119000</v>
      </c>
      <c r="H646" s="3">
        <v>238000</v>
      </c>
      <c r="I646" s="3">
        <v>161840</v>
      </c>
      <c r="J646" s="3">
        <v>216363.63636363635</v>
      </c>
      <c r="K646" s="25">
        <v>61496</v>
      </c>
      <c r="L646" s="25">
        <v>122992</v>
      </c>
      <c r="M646" t="s">
        <v>42</v>
      </c>
    </row>
    <row r="647" spans="1:13" x14ac:dyDescent="0.3">
      <c r="A647" t="s">
        <v>41</v>
      </c>
      <c r="B647">
        <v>20260210361466</v>
      </c>
      <c r="C647" t="s">
        <v>112</v>
      </c>
      <c r="D647">
        <v>58481090</v>
      </c>
      <c r="E647" s="16" t="s">
        <v>7</v>
      </c>
      <c r="F647" s="3">
        <v>1</v>
      </c>
      <c r="G647" s="3">
        <v>119000</v>
      </c>
      <c r="H647" s="3">
        <v>113050</v>
      </c>
      <c r="I647" s="3">
        <v>80920</v>
      </c>
      <c r="J647" s="3">
        <v>102772.72727272726</v>
      </c>
      <c r="K647" s="25">
        <v>61496</v>
      </c>
      <c r="L647" s="25">
        <v>61496</v>
      </c>
      <c r="M647" t="s">
        <v>42</v>
      </c>
    </row>
    <row r="648" spans="1:13" x14ac:dyDescent="0.3">
      <c r="A648" t="s">
        <v>41</v>
      </c>
      <c r="B648">
        <v>20260210360877</v>
      </c>
      <c r="C648" t="s">
        <v>112</v>
      </c>
      <c r="D648">
        <v>58481090</v>
      </c>
      <c r="E648" s="16" t="s">
        <v>7</v>
      </c>
      <c r="F648" s="3">
        <v>1</v>
      </c>
      <c r="G648" s="3">
        <v>119000</v>
      </c>
      <c r="H648" s="3">
        <v>119000</v>
      </c>
      <c r="I648" s="3">
        <v>80920</v>
      </c>
      <c r="J648" s="3">
        <v>108181.81818181818</v>
      </c>
      <c r="K648" s="25">
        <v>61496</v>
      </c>
      <c r="L648" s="25">
        <v>61496</v>
      </c>
      <c r="M648" t="s">
        <v>42</v>
      </c>
    </row>
    <row r="649" spans="1:13" x14ac:dyDescent="0.3">
      <c r="A649" t="s">
        <v>41</v>
      </c>
      <c r="B649">
        <v>20260210361967</v>
      </c>
      <c r="C649" t="s">
        <v>112</v>
      </c>
      <c r="D649">
        <v>58481090</v>
      </c>
      <c r="E649" s="16" t="s">
        <v>7</v>
      </c>
      <c r="F649" s="3">
        <v>1</v>
      </c>
      <c r="G649" s="3">
        <v>119000</v>
      </c>
      <c r="H649" s="3">
        <v>119000</v>
      </c>
      <c r="I649" s="3">
        <v>80920</v>
      </c>
      <c r="J649" s="3">
        <v>108181.81818181818</v>
      </c>
      <c r="K649" s="25">
        <v>61496</v>
      </c>
      <c r="L649" s="25">
        <v>61496</v>
      </c>
      <c r="M649" t="s">
        <v>42</v>
      </c>
    </row>
    <row r="650" spans="1:13" x14ac:dyDescent="0.3">
      <c r="A650" t="s">
        <v>41</v>
      </c>
      <c r="B650">
        <v>20260210361778</v>
      </c>
      <c r="C650" t="s">
        <v>112</v>
      </c>
      <c r="D650">
        <v>58481090</v>
      </c>
      <c r="E650" s="16" t="s">
        <v>7</v>
      </c>
      <c r="F650" s="3">
        <v>1</v>
      </c>
      <c r="G650" s="3">
        <v>119000</v>
      </c>
      <c r="H650" s="3">
        <v>119000</v>
      </c>
      <c r="I650" s="3">
        <v>80920</v>
      </c>
      <c r="J650" s="3">
        <v>108181.81818181818</v>
      </c>
      <c r="K650" s="25">
        <v>61496</v>
      </c>
      <c r="L650" s="25">
        <v>61496</v>
      </c>
      <c r="M650" t="s">
        <v>42</v>
      </c>
    </row>
    <row r="651" spans="1:13" x14ac:dyDescent="0.3">
      <c r="A651" t="s">
        <v>41</v>
      </c>
      <c r="B651">
        <v>20260210360506</v>
      </c>
      <c r="C651" t="s">
        <v>112</v>
      </c>
      <c r="D651">
        <v>58481090</v>
      </c>
      <c r="E651" s="16" t="s">
        <v>7</v>
      </c>
      <c r="F651" s="3">
        <v>1</v>
      </c>
      <c r="G651" s="3">
        <v>119000</v>
      </c>
      <c r="H651" s="3">
        <v>113050</v>
      </c>
      <c r="I651" s="3">
        <v>80920</v>
      </c>
      <c r="J651" s="3">
        <v>102772.72727272726</v>
      </c>
      <c r="K651" s="25">
        <v>61496</v>
      </c>
      <c r="L651" s="25">
        <v>61496</v>
      </c>
      <c r="M651" t="s">
        <v>42</v>
      </c>
    </row>
    <row r="652" spans="1:13" x14ac:dyDescent="0.3">
      <c r="A652" t="s">
        <v>41</v>
      </c>
      <c r="B652">
        <v>20260210361822</v>
      </c>
      <c r="C652" t="s">
        <v>112</v>
      </c>
      <c r="D652">
        <v>58481090</v>
      </c>
      <c r="E652" s="16" t="s">
        <v>7</v>
      </c>
      <c r="F652" s="3">
        <v>1</v>
      </c>
      <c r="G652" s="3">
        <v>119000</v>
      </c>
      <c r="H652" s="3">
        <v>119000</v>
      </c>
      <c r="I652" s="3">
        <v>80920</v>
      </c>
      <c r="J652" s="3">
        <v>108181.81818181818</v>
      </c>
      <c r="K652" s="25">
        <v>61496</v>
      </c>
      <c r="L652" s="25">
        <v>61496</v>
      </c>
      <c r="M652" t="s">
        <v>42</v>
      </c>
    </row>
    <row r="653" spans="1:13" x14ac:dyDescent="0.3">
      <c r="A653" t="s">
        <v>41</v>
      </c>
      <c r="B653">
        <v>20260211862060</v>
      </c>
      <c r="C653" t="s">
        <v>112</v>
      </c>
      <c r="D653">
        <v>58481090</v>
      </c>
      <c r="E653" s="16" t="s">
        <v>7</v>
      </c>
      <c r="F653" s="3">
        <v>1</v>
      </c>
      <c r="G653" s="3">
        <v>119000</v>
      </c>
      <c r="H653" s="3">
        <v>113050</v>
      </c>
      <c r="I653" s="3">
        <v>80920</v>
      </c>
      <c r="J653" s="3">
        <v>102772.72727272726</v>
      </c>
      <c r="K653" s="25">
        <v>61496</v>
      </c>
      <c r="L653" s="25">
        <v>61496</v>
      </c>
      <c r="M653" t="s">
        <v>42</v>
      </c>
    </row>
    <row r="654" spans="1:13" x14ac:dyDescent="0.3">
      <c r="A654" t="s">
        <v>41</v>
      </c>
      <c r="B654">
        <v>20260210361524</v>
      </c>
      <c r="C654" t="s">
        <v>112</v>
      </c>
      <c r="D654">
        <v>58481090</v>
      </c>
      <c r="E654" s="16" t="s">
        <v>7</v>
      </c>
      <c r="F654" s="3">
        <v>1</v>
      </c>
      <c r="G654" s="3">
        <v>119000</v>
      </c>
      <c r="H654" s="3">
        <v>119000</v>
      </c>
      <c r="I654" s="3">
        <v>80920</v>
      </c>
      <c r="J654" s="3">
        <v>108181.81818181818</v>
      </c>
      <c r="K654" s="25">
        <v>61496</v>
      </c>
      <c r="L654" s="25">
        <v>61496</v>
      </c>
      <c r="M654" t="s">
        <v>42</v>
      </c>
    </row>
    <row r="655" spans="1:13" x14ac:dyDescent="0.3">
      <c r="A655" t="s">
        <v>41</v>
      </c>
      <c r="B655">
        <v>20260210361369</v>
      </c>
      <c r="C655" t="s">
        <v>112</v>
      </c>
      <c r="D655">
        <v>58481090</v>
      </c>
      <c r="E655" s="16" t="s">
        <v>7</v>
      </c>
      <c r="F655" s="3">
        <v>1</v>
      </c>
      <c r="G655" s="3">
        <v>119000</v>
      </c>
      <c r="H655" s="3">
        <v>119000</v>
      </c>
      <c r="I655" s="3">
        <v>80920</v>
      </c>
      <c r="J655" s="3">
        <v>108181.81818181818</v>
      </c>
      <c r="K655" s="25">
        <v>61496</v>
      </c>
      <c r="L655" s="25">
        <v>61496</v>
      </c>
      <c r="M655" t="s">
        <v>42</v>
      </c>
    </row>
    <row r="656" spans="1:13" x14ac:dyDescent="0.3">
      <c r="A656" t="s">
        <v>41</v>
      </c>
      <c r="B656">
        <v>20260210361570</v>
      </c>
      <c r="C656" t="s">
        <v>112</v>
      </c>
      <c r="D656">
        <v>58481090</v>
      </c>
      <c r="E656" s="16" t="s">
        <v>7</v>
      </c>
      <c r="F656" s="3">
        <v>1</v>
      </c>
      <c r="G656" s="3">
        <v>119000</v>
      </c>
      <c r="H656" s="3">
        <v>119000</v>
      </c>
      <c r="I656" s="3">
        <v>80920</v>
      </c>
      <c r="J656" s="3">
        <v>108181.81818181818</v>
      </c>
      <c r="K656" s="25">
        <v>61496</v>
      </c>
      <c r="L656" s="25">
        <v>61496</v>
      </c>
      <c r="M656" t="s">
        <v>42</v>
      </c>
    </row>
    <row r="657" spans="1:13" x14ac:dyDescent="0.3">
      <c r="A657" t="s">
        <v>41</v>
      </c>
      <c r="B657">
        <v>20260210361915</v>
      </c>
      <c r="C657" t="s">
        <v>112</v>
      </c>
      <c r="D657">
        <v>58481090</v>
      </c>
      <c r="E657" s="16" t="s">
        <v>7</v>
      </c>
      <c r="F657" s="3">
        <v>1</v>
      </c>
      <c r="G657" s="3">
        <v>119000</v>
      </c>
      <c r="H657" s="3">
        <v>119000</v>
      </c>
      <c r="I657" s="3">
        <v>80920</v>
      </c>
      <c r="J657" s="3">
        <v>108181.81818181818</v>
      </c>
      <c r="K657" s="25">
        <v>61496</v>
      </c>
      <c r="L657" s="25">
        <v>61496</v>
      </c>
      <c r="M657" t="s">
        <v>42</v>
      </c>
    </row>
    <row r="658" spans="1:13" x14ac:dyDescent="0.3">
      <c r="A658" t="s">
        <v>41</v>
      </c>
      <c r="B658">
        <v>20260210362058</v>
      </c>
      <c r="C658" t="s">
        <v>112</v>
      </c>
      <c r="D658">
        <v>58481090</v>
      </c>
      <c r="E658" s="16" t="s">
        <v>7</v>
      </c>
      <c r="F658" s="3">
        <v>1</v>
      </c>
      <c r="G658" s="3">
        <v>119000</v>
      </c>
      <c r="H658" s="3">
        <v>109000</v>
      </c>
      <c r="I658" s="3">
        <v>80920</v>
      </c>
      <c r="J658" s="3">
        <v>99090.909090909074</v>
      </c>
      <c r="K658" s="25">
        <v>61496</v>
      </c>
      <c r="L658" s="25">
        <v>61496</v>
      </c>
      <c r="M658" t="s">
        <v>42</v>
      </c>
    </row>
    <row r="659" spans="1:13" x14ac:dyDescent="0.3">
      <c r="A659" t="s">
        <v>41</v>
      </c>
      <c r="B659">
        <v>20260210364113</v>
      </c>
      <c r="C659" t="s">
        <v>112</v>
      </c>
      <c r="D659">
        <v>58481090</v>
      </c>
      <c r="E659" s="16" t="s">
        <v>7</v>
      </c>
      <c r="F659" s="3">
        <v>1</v>
      </c>
      <c r="G659" s="3">
        <v>119000</v>
      </c>
      <c r="H659" s="3">
        <v>119000</v>
      </c>
      <c r="I659" s="3">
        <v>80920</v>
      </c>
      <c r="J659" s="3">
        <v>108181.81818181818</v>
      </c>
      <c r="K659" s="25">
        <v>61496</v>
      </c>
      <c r="L659" s="25">
        <v>61496</v>
      </c>
      <c r="M659" t="s">
        <v>42</v>
      </c>
    </row>
    <row r="660" spans="1:13" x14ac:dyDescent="0.3">
      <c r="A660" t="s">
        <v>41</v>
      </c>
      <c r="B660">
        <v>20260210366124</v>
      </c>
      <c r="C660" t="s">
        <v>112</v>
      </c>
      <c r="D660">
        <v>58481090</v>
      </c>
      <c r="E660" s="16" t="s">
        <v>7</v>
      </c>
      <c r="F660" s="3">
        <v>1</v>
      </c>
      <c r="G660" s="3">
        <v>119000</v>
      </c>
      <c r="H660" s="3">
        <v>119000</v>
      </c>
      <c r="I660" s="3">
        <v>80920</v>
      </c>
      <c r="J660" s="3">
        <v>108181.81818181818</v>
      </c>
      <c r="K660" s="25">
        <v>61496</v>
      </c>
      <c r="L660" s="25">
        <v>61496</v>
      </c>
      <c r="M660" t="s">
        <v>42</v>
      </c>
    </row>
    <row r="661" spans="1:13" x14ac:dyDescent="0.3">
      <c r="A661" t="s">
        <v>41</v>
      </c>
      <c r="B661">
        <v>20260210360947</v>
      </c>
      <c r="C661" t="s">
        <v>112</v>
      </c>
      <c r="D661">
        <v>58481090</v>
      </c>
      <c r="E661" s="16" t="s">
        <v>7</v>
      </c>
      <c r="F661" s="3">
        <v>1</v>
      </c>
      <c r="G661" s="3">
        <v>119000</v>
      </c>
      <c r="H661" s="3">
        <v>113050</v>
      </c>
      <c r="I661" s="3">
        <v>80920</v>
      </c>
      <c r="J661" s="3">
        <v>102772.72727272726</v>
      </c>
      <c r="K661" s="25">
        <v>61496</v>
      </c>
      <c r="L661" s="25">
        <v>61496</v>
      </c>
      <c r="M661" t="s">
        <v>42</v>
      </c>
    </row>
    <row r="662" spans="1:13" x14ac:dyDescent="0.3">
      <c r="A662" t="s">
        <v>41</v>
      </c>
      <c r="B662">
        <v>20260210360328</v>
      </c>
      <c r="C662" t="s">
        <v>112</v>
      </c>
      <c r="D662">
        <v>58481090</v>
      </c>
      <c r="E662" s="16" t="s">
        <v>7</v>
      </c>
      <c r="F662" s="3">
        <v>1</v>
      </c>
      <c r="G662" s="3">
        <v>119000</v>
      </c>
      <c r="H662" s="3">
        <v>119000</v>
      </c>
      <c r="I662" s="3">
        <v>80920</v>
      </c>
      <c r="J662" s="3">
        <v>108181.81818181818</v>
      </c>
      <c r="K662" s="25">
        <v>61496</v>
      </c>
      <c r="L662" s="25">
        <v>61496</v>
      </c>
      <c r="M662" t="s">
        <v>42</v>
      </c>
    </row>
    <row r="663" spans="1:13" x14ac:dyDescent="0.3">
      <c r="A663" t="s">
        <v>41</v>
      </c>
      <c r="B663">
        <v>20260210360456</v>
      </c>
      <c r="C663" t="s">
        <v>112</v>
      </c>
      <c r="D663">
        <v>58481090</v>
      </c>
      <c r="E663" s="16" t="s">
        <v>7</v>
      </c>
      <c r="F663" s="3">
        <v>1</v>
      </c>
      <c r="G663" s="3">
        <v>119000</v>
      </c>
      <c r="H663" s="3">
        <v>98800</v>
      </c>
      <c r="I663" s="3">
        <v>80920</v>
      </c>
      <c r="J663" s="3">
        <v>89818.181818181809</v>
      </c>
      <c r="K663" s="25">
        <v>61496</v>
      </c>
      <c r="L663" s="25">
        <v>61496</v>
      </c>
      <c r="M663" t="s">
        <v>42</v>
      </c>
    </row>
    <row r="664" spans="1:13" x14ac:dyDescent="0.3">
      <c r="A664" t="s">
        <v>41</v>
      </c>
      <c r="B664">
        <v>20260210362454</v>
      </c>
      <c r="C664" t="s">
        <v>112</v>
      </c>
      <c r="D664">
        <v>58481090</v>
      </c>
      <c r="E664" s="16" t="s">
        <v>7</v>
      </c>
      <c r="F664" s="3">
        <v>1</v>
      </c>
      <c r="G664" s="3">
        <v>119000</v>
      </c>
      <c r="H664" s="3">
        <v>113050</v>
      </c>
      <c r="I664" s="3">
        <v>80920</v>
      </c>
      <c r="J664" s="3">
        <v>102772.72727272726</v>
      </c>
      <c r="K664" s="25">
        <v>61496</v>
      </c>
      <c r="L664" s="25">
        <v>61496</v>
      </c>
      <c r="M664" t="s">
        <v>42</v>
      </c>
    </row>
    <row r="665" spans="1:13" x14ac:dyDescent="0.3">
      <c r="A665" t="s">
        <v>41</v>
      </c>
      <c r="B665">
        <v>20260210360934</v>
      </c>
      <c r="C665" t="s">
        <v>112</v>
      </c>
      <c r="D665">
        <v>58481090</v>
      </c>
      <c r="E665" s="16" t="s">
        <v>7</v>
      </c>
      <c r="F665" s="3">
        <v>1</v>
      </c>
      <c r="G665" s="3">
        <v>119000</v>
      </c>
      <c r="H665" s="3">
        <v>119000</v>
      </c>
      <c r="I665" s="3">
        <v>80920</v>
      </c>
      <c r="J665" s="3">
        <v>108181.81818181818</v>
      </c>
      <c r="K665" s="25">
        <v>61496</v>
      </c>
      <c r="L665" s="25">
        <v>61496</v>
      </c>
      <c r="M665" t="s">
        <v>42</v>
      </c>
    </row>
    <row r="666" spans="1:13" x14ac:dyDescent="0.3">
      <c r="A666" t="s">
        <v>41</v>
      </c>
      <c r="B666">
        <v>20260210360296</v>
      </c>
      <c r="C666" t="s">
        <v>112</v>
      </c>
      <c r="D666">
        <v>58481090</v>
      </c>
      <c r="E666" s="16" t="s">
        <v>7</v>
      </c>
      <c r="F666" s="3">
        <v>1</v>
      </c>
      <c r="G666" s="3">
        <v>119000</v>
      </c>
      <c r="H666" s="3">
        <v>119000</v>
      </c>
      <c r="I666" s="3">
        <v>80920</v>
      </c>
      <c r="J666" s="3">
        <v>108181.81818181818</v>
      </c>
      <c r="K666" s="25">
        <v>61496</v>
      </c>
      <c r="L666" s="25">
        <v>61496</v>
      </c>
      <c r="M666" t="s">
        <v>42</v>
      </c>
    </row>
    <row r="667" spans="1:13" x14ac:dyDescent="0.3">
      <c r="A667" t="s">
        <v>41</v>
      </c>
      <c r="B667">
        <v>20260210362146</v>
      </c>
      <c r="C667" t="s">
        <v>112</v>
      </c>
      <c r="D667">
        <v>58481090</v>
      </c>
      <c r="E667" s="16" t="s">
        <v>7</v>
      </c>
      <c r="F667" s="3">
        <v>1</v>
      </c>
      <c r="G667" s="3">
        <v>119000</v>
      </c>
      <c r="H667" s="3">
        <v>119000</v>
      </c>
      <c r="I667" s="3">
        <v>80920</v>
      </c>
      <c r="J667" s="3">
        <v>108181.81818181818</v>
      </c>
      <c r="K667" s="25">
        <v>61496</v>
      </c>
      <c r="L667" s="25">
        <v>61496</v>
      </c>
      <c r="M667" t="s">
        <v>42</v>
      </c>
    </row>
    <row r="668" spans="1:13" x14ac:dyDescent="0.3">
      <c r="A668" t="s">
        <v>41</v>
      </c>
      <c r="B668">
        <v>20260210360233</v>
      </c>
      <c r="C668" t="s">
        <v>112</v>
      </c>
      <c r="D668">
        <v>58481090</v>
      </c>
      <c r="E668" s="16" t="s">
        <v>7</v>
      </c>
      <c r="F668" s="3">
        <v>1</v>
      </c>
      <c r="G668" s="3">
        <v>119000</v>
      </c>
      <c r="H668" s="3">
        <v>95200</v>
      </c>
      <c r="I668" s="3">
        <v>80920</v>
      </c>
      <c r="J668" s="3">
        <v>86545.454545454544</v>
      </c>
      <c r="K668" s="25">
        <v>61496</v>
      </c>
      <c r="L668" s="25">
        <v>61496</v>
      </c>
      <c r="M668" t="s">
        <v>42</v>
      </c>
    </row>
    <row r="669" spans="1:13" x14ac:dyDescent="0.3">
      <c r="A669" t="s">
        <v>41</v>
      </c>
      <c r="B669">
        <v>20260210361754</v>
      </c>
      <c r="C669" t="s">
        <v>112</v>
      </c>
      <c r="D669">
        <v>58481090</v>
      </c>
      <c r="E669" s="16" t="s">
        <v>7</v>
      </c>
      <c r="F669" s="3">
        <v>1</v>
      </c>
      <c r="G669" s="3">
        <v>119000</v>
      </c>
      <c r="H669" s="3">
        <v>119000</v>
      </c>
      <c r="I669" s="3">
        <v>80920</v>
      </c>
      <c r="J669" s="3">
        <v>108181.81818181818</v>
      </c>
      <c r="K669" s="25">
        <v>61496</v>
      </c>
      <c r="L669" s="25">
        <v>61496</v>
      </c>
      <c r="M669" t="s">
        <v>42</v>
      </c>
    </row>
    <row r="670" spans="1:13" x14ac:dyDescent="0.3">
      <c r="A670" t="s">
        <v>41</v>
      </c>
      <c r="B670">
        <v>20260210361587</v>
      </c>
      <c r="C670" t="s">
        <v>112</v>
      </c>
      <c r="D670">
        <v>58481090</v>
      </c>
      <c r="E670" s="16" t="s">
        <v>7</v>
      </c>
      <c r="F670" s="3">
        <v>1</v>
      </c>
      <c r="G670" s="3">
        <v>119000</v>
      </c>
      <c r="H670" s="3">
        <v>119000</v>
      </c>
      <c r="I670" s="3">
        <v>80920</v>
      </c>
      <c r="J670" s="3">
        <v>108181.81818181818</v>
      </c>
      <c r="K670" s="25">
        <v>61496</v>
      </c>
      <c r="L670" s="25">
        <v>61496</v>
      </c>
      <c r="M670" t="s">
        <v>42</v>
      </c>
    </row>
    <row r="671" spans="1:13" x14ac:dyDescent="0.3">
      <c r="A671" t="s">
        <v>41</v>
      </c>
      <c r="B671">
        <v>20260210361077</v>
      </c>
      <c r="C671" t="s">
        <v>112</v>
      </c>
      <c r="D671">
        <v>58481090</v>
      </c>
      <c r="E671" s="16" t="s">
        <v>7</v>
      </c>
      <c r="F671" s="3">
        <v>1</v>
      </c>
      <c r="G671" s="3">
        <v>119000</v>
      </c>
      <c r="H671" s="3">
        <v>119000</v>
      </c>
      <c r="I671" s="3">
        <v>80920</v>
      </c>
      <c r="J671" s="3">
        <v>108181.81818181818</v>
      </c>
      <c r="K671" s="25">
        <v>61496</v>
      </c>
      <c r="L671" s="25">
        <v>61496</v>
      </c>
      <c r="M671" t="s">
        <v>42</v>
      </c>
    </row>
    <row r="672" spans="1:13" x14ac:dyDescent="0.3">
      <c r="A672" t="s">
        <v>41</v>
      </c>
      <c r="B672">
        <v>20260210360396</v>
      </c>
      <c r="C672" t="s">
        <v>112</v>
      </c>
      <c r="D672">
        <v>58481090</v>
      </c>
      <c r="E672" s="16" t="s">
        <v>7</v>
      </c>
      <c r="F672" s="3">
        <v>1</v>
      </c>
      <c r="G672" s="3">
        <v>119000</v>
      </c>
      <c r="H672" s="3">
        <v>119000</v>
      </c>
      <c r="I672" s="3">
        <v>80920</v>
      </c>
      <c r="J672" s="3">
        <v>108181.81818181818</v>
      </c>
      <c r="K672" s="25">
        <v>61496</v>
      </c>
      <c r="L672" s="25">
        <v>61496</v>
      </c>
      <c r="M672" t="s">
        <v>42</v>
      </c>
    </row>
    <row r="673" spans="1:13" x14ac:dyDescent="0.3">
      <c r="A673" t="s">
        <v>41</v>
      </c>
      <c r="B673">
        <v>20260210360400</v>
      </c>
      <c r="C673" t="s">
        <v>112</v>
      </c>
      <c r="D673">
        <v>58481090</v>
      </c>
      <c r="E673" s="16" t="s">
        <v>7</v>
      </c>
      <c r="F673" s="3">
        <v>1</v>
      </c>
      <c r="G673" s="3">
        <v>119000</v>
      </c>
      <c r="H673" s="3">
        <v>119000</v>
      </c>
      <c r="I673" s="3">
        <v>80920</v>
      </c>
      <c r="J673" s="3">
        <v>108181.81818181818</v>
      </c>
      <c r="K673" s="25">
        <v>61496</v>
      </c>
      <c r="L673" s="25">
        <v>61496</v>
      </c>
      <c r="M673" t="s">
        <v>42</v>
      </c>
    </row>
    <row r="674" spans="1:13" x14ac:dyDescent="0.3">
      <c r="A674" t="s">
        <v>41</v>
      </c>
      <c r="B674">
        <v>20260210360481</v>
      </c>
      <c r="C674" t="s">
        <v>112</v>
      </c>
      <c r="D674">
        <v>58481090</v>
      </c>
      <c r="E674" s="16" t="s">
        <v>7</v>
      </c>
      <c r="F674" s="3">
        <v>1</v>
      </c>
      <c r="G674" s="3">
        <v>119000</v>
      </c>
      <c r="H674" s="3">
        <v>119000</v>
      </c>
      <c r="I674" s="3">
        <v>80920</v>
      </c>
      <c r="J674" s="3">
        <v>108181.81818181818</v>
      </c>
      <c r="K674" s="25">
        <v>61496</v>
      </c>
      <c r="L674" s="25">
        <v>61496</v>
      </c>
      <c r="M674" t="s">
        <v>42</v>
      </c>
    </row>
    <row r="675" spans="1:13" x14ac:dyDescent="0.3">
      <c r="A675" t="s">
        <v>41</v>
      </c>
      <c r="B675">
        <v>20260210360563</v>
      </c>
      <c r="C675" t="s">
        <v>112</v>
      </c>
      <c r="D675">
        <v>58481090</v>
      </c>
      <c r="E675" s="16" t="s">
        <v>7</v>
      </c>
      <c r="F675" s="3">
        <v>1</v>
      </c>
      <c r="G675" s="3">
        <v>119000</v>
      </c>
      <c r="H675" s="3">
        <v>119000</v>
      </c>
      <c r="I675" s="3">
        <v>80920</v>
      </c>
      <c r="J675" s="3">
        <v>108181.81818181818</v>
      </c>
      <c r="K675" s="25">
        <v>61496</v>
      </c>
      <c r="L675" s="25">
        <v>61496</v>
      </c>
      <c r="M675" t="s">
        <v>42</v>
      </c>
    </row>
    <row r="676" spans="1:13" x14ac:dyDescent="0.3">
      <c r="A676" t="s">
        <v>41</v>
      </c>
      <c r="B676">
        <v>20260210360427</v>
      </c>
      <c r="C676" t="s">
        <v>112</v>
      </c>
      <c r="D676">
        <v>58481090</v>
      </c>
      <c r="E676" s="16" t="s">
        <v>7</v>
      </c>
      <c r="F676" s="3">
        <v>1</v>
      </c>
      <c r="G676" s="3">
        <v>119000</v>
      </c>
      <c r="H676" s="3">
        <v>119000</v>
      </c>
      <c r="I676" s="3">
        <v>80920</v>
      </c>
      <c r="J676" s="3">
        <v>108181.81818181818</v>
      </c>
      <c r="K676" s="25">
        <v>61496</v>
      </c>
      <c r="L676" s="25">
        <v>61496</v>
      </c>
      <c r="M676" t="s">
        <v>42</v>
      </c>
    </row>
    <row r="677" spans="1:13" x14ac:dyDescent="0.3">
      <c r="A677" t="s">
        <v>41</v>
      </c>
      <c r="B677">
        <v>20260210361451</v>
      </c>
      <c r="C677" t="s">
        <v>112</v>
      </c>
      <c r="D677">
        <v>58481090</v>
      </c>
      <c r="E677" s="16" t="s">
        <v>7</v>
      </c>
      <c r="F677" s="3">
        <v>1</v>
      </c>
      <c r="G677" s="3">
        <v>119000</v>
      </c>
      <c r="H677" s="3">
        <v>119000</v>
      </c>
      <c r="I677" s="3">
        <v>80920</v>
      </c>
      <c r="J677" s="3">
        <v>108181.81818181818</v>
      </c>
      <c r="K677" s="25">
        <v>61496</v>
      </c>
      <c r="L677" s="25">
        <v>61496</v>
      </c>
      <c r="M677" t="s">
        <v>42</v>
      </c>
    </row>
    <row r="678" spans="1:13" x14ac:dyDescent="0.3">
      <c r="A678" t="s">
        <v>41</v>
      </c>
      <c r="B678">
        <v>20260210361038</v>
      </c>
      <c r="C678" t="s">
        <v>112</v>
      </c>
      <c r="D678">
        <v>58481090</v>
      </c>
      <c r="E678" s="16" t="s">
        <v>7</v>
      </c>
      <c r="F678" s="3">
        <v>1</v>
      </c>
      <c r="G678" s="3">
        <v>119000</v>
      </c>
      <c r="H678" s="3">
        <v>119000</v>
      </c>
      <c r="I678" s="3">
        <v>80920</v>
      </c>
      <c r="J678" s="3">
        <v>108181.81818181818</v>
      </c>
      <c r="K678" s="25">
        <v>61496</v>
      </c>
      <c r="L678" s="25">
        <v>61496</v>
      </c>
      <c r="M678" t="s">
        <v>42</v>
      </c>
    </row>
    <row r="679" spans="1:13" x14ac:dyDescent="0.3">
      <c r="A679" t="s">
        <v>41</v>
      </c>
      <c r="B679">
        <v>20260210360291</v>
      </c>
      <c r="C679" t="s">
        <v>112</v>
      </c>
      <c r="D679">
        <v>58481090</v>
      </c>
      <c r="E679" s="16" t="s">
        <v>7</v>
      </c>
      <c r="F679" s="3">
        <v>1</v>
      </c>
      <c r="G679" s="3">
        <v>119000</v>
      </c>
      <c r="H679" s="3">
        <v>119000</v>
      </c>
      <c r="I679" s="3">
        <v>80920</v>
      </c>
      <c r="J679" s="3">
        <v>108181.81818181818</v>
      </c>
      <c r="K679" s="25">
        <v>61496</v>
      </c>
      <c r="L679" s="25">
        <v>61496</v>
      </c>
      <c r="M679" t="s">
        <v>42</v>
      </c>
    </row>
    <row r="680" spans="1:13" x14ac:dyDescent="0.3">
      <c r="A680" t="s">
        <v>41</v>
      </c>
      <c r="B680">
        <v>20260210361335</v>
      </c>
      <c r="C680" t="s">
        <v>112</v>
      </c>
      <c r="D680">
        <v>58481090</v>
      </c>
      <c r="E680" s="16" t="s">
        <v>7</v>
      </c>
      <c r="F680" s="3">
        <v>1</v>
      </c>
      <c r="G680" s="3">
        <v>119000</v>
      </c>
      <c r="H680" s="3">
        <v>119000</v>
      </c>
      <c r="I680" s="3">
        <v>80920</v>
      </c>
      <c r="J680" s="3">
        <v>108181.81818181818</v>
      </c>
      <c r="K680" s="25">
        <v>61496</v>
      </c>
      <c r="L680" s="25">
        <v>61496</v>
      </c>
      <c r="M680" t="s">
        <v>42</v>
      </c>
    </row>
    <row r="681" spans="1:13" x14ac:dyDescent="0.3">
      <c r="A681" t="s">
        <v>41</v>
      </c>
      <c r="B681">
        <v>20260210361495</v>
      </c>
      <c r="C681" t="s">
        <v>112</v>
      </c>
      <c r="D681">
        <v>58481090</v>
      </c>
      <c r="E681" s="16" t="s">
        <v>7</v>
      </c>
      <c r="F681" s="3">
        <v>1</v>
      </c>
      <c r="G681" s="3">
        <v>119000</v>
      </c>
      <c r="H681" s="3">
        <v>119000</v>
      </c>
      <c r="I681" s="3">
        <v>80920</v>
      </c>
      <c r="J681" s="3">
        <v>108181.81818181818</v>
      </c>
      <c r="K681" s="25">
        <v>61496</v>
      </c>
      <c r="L681" s="25">
        <v>61496</v>
      </c>
      <c r="M681" t="s">
        <v>42</v>
      </c>
    </row>
    <row r="682" spans="1:13" x14ac:dyDescent="0.3">
      <c r="A682" t="s">
        <v>41</v>
      </c>
      <c r="B682">
        <v>20260210361579</v>
      </c>
      <c r="C682" t="s">
        <v>112</v>
      </c>
      <c r="D682">
        <v>58481090</v>
      </c>
      <c r="E682" s="16" t="s">
        <v>7</v>
      </c>
      <c r="F682" s="3">
        <v>1</v>
      </c>
      <c r="G682" s="3">
        <v>119000</v>
      </c>
      <c r="H682" s="3">
        <v>119000</v>
      </c>
      <c r="I682" s="3">
        <v>80920</v>
      </c>
      <c r="J682" s="3">
        <v>108181.81818181818</v>
      </c>
      <c r="K682" s="25">
        <v>61496</v>
      </c>
      <c r="L682" s="25">
        <v>61496</v>
      </c>
      <c r="M682" t="s">
        <v>42</v>
      </c>
    </row>
    <row r="683" spans="1:13" x14ac:dyDescent="0.3">
      <c r="A683" t="s">
        <v>41</v>
      </c>
      <c r="B683">
        <v>20260210362044</v>
      </c>
      <c r="C683" t="s">
        <v>112</v>
      </c>
      <c r="D683">
        <v>58481090</v>
      </c>
      <c r="E683" s="16" t="s">
        <v>7</v>
      </c>
      <c r="F683" s="3">
        <v>1</v>
      </c>
      <c r="G683" s="3">
        <v>119000</v>
      </c>
      <c r="H683" s="3">
        <v>119000</v>
      </c>
      <c r="I683" s="3">
        <v>80920</v>
      </c>
      <c r="J683" s="3">
        <v>108181.81818181818</v>
      </c>
      <c r="K683" s="25">
        <v>61496</v>
      </c>
      <c r="L683" s="25">
        <v>61496</v>
      </c>
      <c r="M683" t="s">
        <v>42</v>
      </c>
    </row>
    <row r="684" spans="1:13" x14ac:dyDescent="0.3">
      <c r="A684" t="s">
        <v>41</v>
      </c>
      <c r="B684">
        <v>20260210360670</v>
      </c>
      <c r="C684" t="s">
        <v>112</v>
      </c>
      <c r="D684">
        <v>58481090</v>
      </c>
      <c r="E684" s="16" t="s">
        <v>7</v>
      </c>
      <c r="F684" s="3">
        <v>1</v>
      </c>
      <c r="G684" s="3">
        <v>119000</v>
      </c>
      <c r="H684" s="3">
        <v>119000</v>
      </c>
      <c r="I684" s="3">
        <v>80920</v>
      </c>
      <c r="J684" s="3">
        <v>108181.81818181818</v>
      </c>
      <c r="K684" s="25">
        <v>61496</v>
      </c>
      <c r="L684" s="25">
        <v>61496</v>
      </c>
      <c r="M684" t="s">
        <v>42</v>
      </c>
    </row>
    <row r="685" spans="1:13" x14ac:dyDescent="0.3">
      <c r="A685" t="s">
        <v>41</v>
      </c>
      <c r="B685">
        <v>20260210360241</v>
      </c>
      <c r="C685" t="s">
        <v>112</v>
      </c>
      <c r="D685">
        <v>58481090</v>
      </c>
      <c r="E685" s="16" t="s">
        <v>7</v>
      </c>
      <c r="F685" s="3">
        <v>1</v>
      </c>
      <c r="G685" s="3">
        <v>119000</v>
      </c>
      <c r="H685" s="3">
        <v>119000</v>
      </c>
      <c r="I685" s="3">
        <v>80920</v>
      </c>
      <c r="J685" s="3">
        <v>108181.81818181818</v>
      </c>
      <c r="K685" s="25">
        <v>61496</v>
      </c>
      <c r="L685" s="25">
        <v>61496</v>
      </c>
      <c r="M685" t="s">
        <v>42</v>
      </c>
    </row>
    <row r="686" spans="1:13" x14ac:dyDescent="0.3">
      <c r="A686" t="s">
        <v>41</v>
      </c>
      <c r="B686">
        <v>20260210361564</v>
      </c>
      <c r="C686" t="s">
        <v>112</v>
      </c>
      <c r="D686">
        <v>58481090</v>
      </c>
      <c r="E686" s="16" t="s">
        <v>7</v>
      </c>
      <c r="F686" s="3">
        <v>1</v>
      </c>
      <c r="G686" s="3">
        <v>119000</v>
      </c>
      <c r="H686" s="3">
        <v>119000</v>
      </c>
      <c r="I686" s="3">
        <v>80920</v>
      </c>
      <c r="J686" s="3">
        <v>108181.81818181818</v>
      </c>
      <c r="K686" s="25">
        <v>61496</v>
      </c>
      <c r="L686" s="25">
        <v>61496</v>
      </c>
      <c r="M686" t="s">
        <v>42</v>
      </c>
    </row>
    <row r="687" spans="1:13" x14ac:dyDescent="0.3">
      <c r="A687" t="s">
        <v>41</v>
      </c>
      <c r="B687">
        <v>20260210361948</v>
      </c>
      <c r="C687" t="s">
        <v>112</v>
      </c>
      <c r="D687">
        <v>58481090</v>
      </c>
      <c r="E687" s="16" t="s">
        <v>7</v>
      </c>
      <c r="F687" s="3">
        <v>1</v>
      </c>
      <c r="G687" s="3">
        <v>119000</v>
      </c>
      <c r="H687" s="3">
        <v>113050</v>
      </c>
      <c r="I687" s="3">
        <v>80920</v>
      </c>
      <c r="J687" s="3">
        <v>102772.72727272726</v>
      </c>
      <c r="K687" s="25">
        <v>61496</v>
      </c>
      <c r="L687" s="25">
        <v>61496</v>
      </c>
      <c r="M687" t="s">
        <v>42</v>
      </c>
    </row>
    <row r="688" spans="1:13" x14ac:dyDescent="0.3">
      <c r="A688" t="s">
        <v>41</v>
      </c>
      <c r="B688">
        <v>20260210361019</v>
      </c>
      <c r="C688" t="s">
        <v>112</v>
      </c>
      <c r="D688">
        <v>58481090</v>
      </c>
      <c r="E688" s="16" t="s">
        <v>7</v>
      </c>
      <c r="F688" s="3">
        <v>1</v>
      </c>
      <c r="G688" s="3">
        <v>119000</v>
      </c>
      <c r="H688" s="3">
        <v>119000</v>
      </c>
      <c r="I688" s="3">
        <v>80920</v>
      </c>
      <c r="J688" s="3">
        <v>108181.81818181818</v>
      </c>
      <c r="K688" s="25">
        <v>61496</v>
      </c>
      <c r="L688" s="25">
        <v>61496</v>
      </c>
      <c r="M688" t="s">
        <v>42</v>
      </c>
    </row>
    <row r="689" spans="1:13" x14ac:dyDescent="0.3">
      <c r="A689" t="s">
        <v>41</v>
      </c>
      <c r="B689">
        <v>20260210361847</v>
      </c>
      <c r="C689" t="s">
        <v>112</v>
      </c>
      <c r="D689">
        <v>58481090</v>
      </c>
      <c r="E689" s="16" t="s">
        <v>7</v>
      </c>
      <c r="F689" s="3">
        <v>1</v>
      </c>
      <c r="G689" s="3">
        <v>119000</v>
      </c>
      <c r="H689" s="3">
        <v>119000</v>
      </c>
      <c r="I689" s="3">
        <v>80920</v>
      </c>
      <c r="J689" s="3">
        <v>108181.81818181818</v>
      </c>
      <c r="K689" s="25">
        <v>61496</v>
      </c>
      <c r="L689" s="25">
        <v>61496</v>
      </c>
      <c r="M689" t="s">
        <v>42</v>
      </c>
    </row>
    <row r="690" spans="1:13" x14ac:dyDescent="0.3">
      <c r="A690" t="s">
        <v>41</v>
      </c>
      <c r="B690">
        <v>20260210362019</v>
      </c>
      <c r="C690" t="s">
        <v>112</v>
      </c>
      <c r="D690">
        <v>58481090</v>
      </c>
      <c r="E690" s="16" t="s">
        <v>7</v>
      </c>
      <c r="F690" s="3">
        <v>1</v>
      </c>
      <c r="G690" s="3">
        <v>119000</v>
      </c>
      <c r="H690" s="3">
        <v>113050</v>
      </c>
      <c r="I690" s="3">
        <v>80920</v>
      </c>
      <c r="J690" s="3">
        <v>102772.72727272726</v>
      </c>
      <c r="K690" s="25">
        <v>61496</v>
      </c>
      <c r="L690" s="25">
        <v>61496</v>
      </c>
      <c r="M690" t="s">
        <v>42</v>
      </c>
    </row>
    <row r="691" spans="1:13" x14ac:dyDescent="0.3">
      <c r="A691" t="s">
        <v>41</v>
      </c>
      <c r="B691">
        <v>20260210362206</v>
      </c>
      <c r="C691" t="s">
        <v>112</v>
      </c>
      <c r="D691">
        <v>58481090</v>
      </c>
      <c r="E691" s="16" t="s">
        <v>7</v>
      </c>
      <c r="F691" s="3">
        <v>1</v>
      </c>
      <c r="G691" s="3">
        <v>119000</v>
      </c>
      <c r="H691" s="3">
        <v>113050</v>
      </c>
      <c r="I691" s="3">
        <v>80920</v>
      </c>
      <c r="J691" s="3">
        <v>102772.72727272726</v>
      </c>
      <c r="K691" s="25">
        <v>61496</v>
      </c>
      <c r="L691" s="25">
        <v>61496</v>
      </c>
      <c r="M691" t="s">
        <v>42</v>
      </c>
    </row>
    <row r="692" spans="1:13" x14ac:dyDescent="0.3">
      <c r="A692" t="s">
        <v>41</v>
      </c>
      <c r="B692">
        <v>20260210361041</v>
      </c>
      <c r="C692" t="s">
        <v>112</v>
      </c>
      <c r="D692">
        <v>58481090</v>
      </c>
      <c r="E692" s="16" t="s">
        <v>7</v>
      </c>
      <c r="F692" s="3">
        <v>1</v>
      </c>
      <c r="G692" s="3">
        <v>119000</v>
      </c>
      <c r="H692" s="3">
        <v>113050</v>
      </c>
      <c r="I692" s="3">
        <v>80920</v>
      </c>
      <c r="J692" s="3">
        <v>102772.72727272726</v>
      </c>
      <c r="K692" s="25">
        <v>61496</v>
      </c>
      <c r="L692" s="25">
        <v>61496</v>
      </c>
      <c r="M692" t="s">
        <v>42</v>
      </c>
    </row>
    <row r="693" spans="1:13" x14ac:dyDescent="0.3">
      <c r="A693" t="s">
        <v>41</v>
      </c>
      <c r="B693">
        <v>20260210361683</v>
      </c>
      <c r="C693" t="s">
        <v>112</v>
      </c>
      <c r="D693">
        <v>58481090</v>
      </c>
      <c r="E693" s="16" t="s">
        <v>7</v>
      </c>
      <c r="F693" s="3">
        <v>1</v>
      </c>
      <c r="G693" s="3">
        <v>119000</v>
      </c>
      <c r="H693" s="3">
        <v>119000</v>
      </c>
      <c r="I693" s="3">
        <v>80920</v>
      </c>
      <c r="J693" s="3">
        <v>108181.81818181818</v>
      </c>
      <c r="K693" s="25">
        <v>61496</v>
      </c>
      <c r="L693" s="25">
        <v>61496</v>
      </c>
      <c r="M693" t="s">
        <v>42</v>
      </c>
    </row>
    <row r="694" spans="1:13" x14ac:dyDescent="0.3">
      <c r="A694" t="s">
        <v>41</v>
      </c>
      <c r="B694">
        <v>20260210361352</v>
      </c>
      <c r="C694" t="s">
        <v>112</v>
      </c>
      <c r="D694">
        <v>58481090</v>
      </c>
      <c r="E694" s="16" t="s">
        <v>7</v>
      </c>
      <c r="F694" s="3">
        <v>1</v>
      </c>
      <c r="G694" s="3">
        <v>119000</v>
      </c>
      <c r="H694" s="3">
        <v>119000</v>
      </c>
      <c r="I694" s="3">
        <v>80920</v>
      </c>
      <c r="J694" s="3">
        <v>108181.81818181818</v>
      </c>
      <c r="K694" s="25">
        <v>61496</v>
      </c>
      <c r="L694" s="25">
        <v>61496</v>
      </c>
      <c r="M694" t="s">
        <v>42</v>
      </c>
    </row>
    <row r="695" spans="1:13" x14ac:dyDescent="0.3">
      <c r="A695" t="s">
        <v>41</v>
      </c>
      <c r="B695">
        <v>20260210361525</v>
      </c>
      <c r="C695" t="s">
        <v>112</v>
      </c>
      <c r="D695">
        <v>58481090</v>
      </c>
      <c r="E695" s="16" t="s">
        <v>7</v>
      </c>
      <c r="F695" s="3">
        <v>1</v>
      </c>
      <c r="G695" s="3">
        <v>119000</v>
      </c>
      <c r="H695" s="3">
        <v>119000</v>
      </c>
      <c r="I695" s="3">
        <v>80920</v>
      </c>
      <c r="J695" s="3">
        <v>108181.81818181818</v>
      </c>
      <c r="K695" s="25">
        <v>61496</v>
      </c>
      <c r="L695" s="25">
        <v>61496</v>
      </c>
      <c r="M695" t="s">
        <v>42</v>
      </c>
    </row>
    <row r="696" spans="1:13" x14ac:dyDescent="0.3">
      <c r="A696" t="s">
        <v>41</v>
      </c>
      <c r="B696">
        <v>20260210361011</v>
      </c>
      <c r="C696" t="s">
        <v>112</v>
      </c>
      <c r="D696">
        <v>58481090</v>
      </c>
      <c r="E696" s="16" t="s">
        <v>7</v>
      </c>
      <c r="F696" s="3">
        <v>1</v>
      </c>
      <c r="G696" s="3">
        <v>119000</v>
      </c>
      <c r="H696" s="3">
        <v>119000</v>
      </c>
      <c r="I696" s="3">
        <v>80920</v>
      </c>
      <c r="J696" s="3">
        <v>108181.81818181818</v>
      </c>
      <c r="K696" s="25">
        <v>61496</v>
      </c>
      <c r="L696" s="25">
        <v>61496</v>
      </c>
      <c r="M696" t="s">
        <v>42</v>
      </c>
    </row>
    <row r="697" spans="1:13" x14ac:dyDescent="0.3">
      <c r="A697" t="s">
        <v>41</v>
      </c>
      <c r="B697">
        <v>20260210361551</v>
      </c>
      <c r="C697" t="s">
        <v>112</v>
      </c>
      <c r="D697">
        <v>58481090</v>
      </c>
      <c r="E697" s="16" t="s">
        <v>7</v>
      </c>
      <c r="F697" s="3">
        <v>1</v>
      </c>
      <c r="G697" s="3">
        <v>119000</v>
      </c>
      <c r="H697" s="3">
        <v>119000</v>
      </c>
      <c r="I697" s="3">
        <v>80920</v>
      </c>
      <c r="J697" s="3">
        <v>108181.81818181818</v>
      </c>
      <c r="K697" s="25">
        <v>61496</v>
      </c>
      <c r="L697" s="25">
        <v>61496</v>
      </c>
      <c r="M697" t="s">
        <v>42</v>
      </c>
    </row>
    <row r="698" spans="1:13" x14ac:dyDescent="0.3">
      <c r="A698" t="s">
        <v>41</v>
      </c>
      <c r="B698">
        <v>20260210361861</v>
      </c>
      <c r="C698" t="s">
        <v>112</v>
      </c>
      <c r="D698">
        <v>58481090</v>
      </c>
      <c r="E698" s="16" t="s">
        <v>7</v>
      </c>
      <c r="F698" s="3">
        <v>1</v>
      </c>
      <c r="G698" s="3">
        <v>119000</v>
      </c>
      <c r="H698" s="3">
        <v>119000</v>
      </c>
      <c r="I698" s="3">
        <v>80920</v>
      </c>
      <c r="J698" s="3">
        <v>108181.81818181818</v>
      </c>
      <c r="K698" s="25">
        <v>61496</v>
      </c>
      <c r="L698" s="25">
        <v>61496</v>
      </c>
      <c r="M698" t="s">
        <v>42</v>
      </c>
    </row>
    <row r="699" spans="1:13" x14ac:dyDescent="0.3">
      <c r="A699" t="s">
        <v>41</v>
      </c>
      <c r="B699">
        <v>20260210361346</v>
      </c>
      <c r="C699" t="s">
        <v>112</v>
      </c>
      <c r="D699">
        <v>58481090</v>
      </c>
      <c r="E699" s="16" t="s">
        <v>7</v>
      </c>
      <c r="F699" s="3">
        <v>1</v>
      </c>
      <c r="G699" s="3">
        <v>119000</v>
      </c>
      <c r="H699" s="3">
        <v>119000</v>
      </c>
      <c r="I699" s="3">
        <v>80920</v>
      </c>
      <c r="J699" s="3">
        <v>108181.81818181818</v>
      </c>
      <c r="K699" s="25">
        <v>61496</v>
      </c>
      <c r="L699" s="25">
        <v>61496</v>
      </c>
      <c r="M699" t="s">
        <v>42</v>
      </c>
    </row>
    <row r="700" spans="1:13" x14ac:dyDescent="0.3">
      <c r="A700" t="s">
        <v>41</v>
      </c>
      <c r="B700">
        <v>20260210361491</v>
      </c>
      <c r="C700" t="s">
        <v>112</v>
      </c>
      <c r="D700">
        <v>58481090</v>
      </c>
      <c r="E700" s="16" t="s">
        <v>7</v>
      </c>
      <c r="F700" s="3">
        <v>1</v>
      </c>
      <c r="G700" s="3">
        <v>119000</v>
      </c>
      <c r="H700" s="3">
        <v>119000</v>
      </c>
      <c r="I700" s="3">
        <v>80920</v>
      </c>
      <c r="J700" s="3">
        <v>108181.81818181818</v>
      </c>
      <c r="K700" s="25">
        <v>61496</v>
      </c>
      <c r="L700" s="25">
        <v>61496</v>
      </c>
      <c r="M700" t="s">
        <v>42</v>
      </c>
    </row>
    <row r="701" spans="1:13" x14ac:dyDescent="0.3">
      <c r="A701" t="s">
        <v>41</v>
      </c>
      <c r="B701">
        <v>20260210362075</v>
      </c>
      <c r="C701" t="s">
        <v>112</v>
      </c>
      <c r="D701">
        <v>58481090</v>
      </c>
      <c r="E701" s="16" t="s">
        <v>7</v>
      </c>
      <c r="F701" s="3">
        <v>1</v>
      </c>
      <c r="G701" s="3">
        <v>119000</v>
      </c>
      <c r="H701" s="3">
        <v>119000</v>
      </c>
      <c r="I701" s="3">
        <v>80920</v>
      </c>
      <c r="J701" s="3">
        <v>108181.81818181818</v>
      </c>
      <c r="K701" s="25">
        <v>61496</v>
      </c>
      <c r="L701" s="25">
        <v>61496</v>
      </c>
      <c r="M701" t="s">
        <v>42</v>
      </c>
    </row>
    <row r="702" spans="1:13" x14ac:dyDescent="0.3">
      <c r="A702" t="s">
        <v>41</v>
      </c>
      <c r="B702">
        <v>20260210362158</v>
      </c>
      <c r="C702" t="s">
        <v>112</v>
      </c>
      <c r="D702">
        <v>58481090</v>
      </c>
      <c r="E702" s="16" t="s">
        <v>7</v>
      </c>
      <c r="F702" s="3">
        <v>1</v>
      </c>
      <c r="G702" s="3">
        <v>119000</v>
      </c>
      <c r="H702" s="3">
        <v>119000</v>
      </c>
      <c r="I702" s="3">
        <v>80920</v>
      </c>
      <c r="J702" s="3">
        <v>108181.81818181818</v>
      </c>
      <c r="K702" s="25">
        <v>61496</v>
      </c>
      <c r="L702" s="25">
        <v>61496</v>
      </c>
      <c r="M702" t="s">
        <v>42</v>
      </c>
    </row>
    <row r="703" spans="1:13" x14ac:dyDescent="0.3">
      <c r="A703" t="s">
        <v>41</v>
      </c>
      <c r="B703">
        <v>20260210360596</v>
      </c>
      <c r="C703" t="s">
        <v>112</v>
      </c>
      <c r="D703">
        <v>58481090</v>
      </c>
      <c r="E703" s="16" t="s">
        <v>7</v>
      </c>
      <c r="F703" s="3">
        <v>1</v>
      </c>
      <c r="G703" s="3">
        <v>119000</v>
      </c>
      <c r="H703" s="3">
        <v>119000</v>
      </c>
      <c r="I703" s="3">
        <v>80920</v>
      </c>
      <c r="J703" s="3">
        <v>108181.81818181818</v>
      </c>
      <c r="K703" s="25">
        <v>61496</v>
      </c>
      <c r="L703" s="25">
        <v>61496</v>
      </c>
      <c r="M703" t="s">
        <v>42</v>
      </c>
    </row>
    <row r="704" spans="1:13" x14ac:dyDescent="0.3">
      <c r="A704" t="s">
        <v>41</v>
      </c>
      <c r="B704">
        <v>20260210360302</v>
      </c>
      <c r="C704" t="s">
        <v>112</v>
      </c>
      <c r="D704">
        <v>58481090</v>
      </c>
      <c r="E704" s="16" t="s">
        <v>7</v>
      </c>
      <c r="F704" s="3">
        <v>1</v>
      </c>
      <c r="G704" s="3">
        <v>119000</v>
      </c>
      <c r="H704" s="3">
        <v>119000</v>
      </c>
      <c r="I704" s="3">
        <v>80920</v>
      </c>
      <c r="J704" s="3">
        <v>108181.81818181818</v>
      </c>
      <c r="K704" s="25">
        <v>61496</v>
      </c>
      <c r="L704" s="25">
        <v>61496</v>
      </c>
      <c r="M704" t="s">
        <v>42</v>
      </c>
    </row>
    <row r="705" spans="1:13" x14ac:dyDescent="0.3">
      <c r="A705" t="s">
        <v>41</v>
      </c>
      <c r="B705">
        <v>20260210360928</v>
      </c>
      <c r="C705" t="s">
        <v>112</v>
      </c>
      <c r="D705">
        <v>58481090</v>
      </c>
      <c r="E705" s="16" t="s">
        <v>7</v>
      </c>
      <c r="F705" s="3">
        <v>1</v>
      </c>
      <c r="G705" s="3">
        <v>119000</v>
      </c>
      <c r="H705" s="3">
        <v>119000</v>
      </c>
      <c r="I705" s="3">
        <v>80920</v>
      </c>
      <c r="J705" s="3">
        <v>108181.81818181818</v>
      </c>
      <c r="K705" s="25">
        <v>61496</v>
      </c>
      <c r="L705" s="25">
        <v>61496</v>
      </c>
      <c r="M705" t="s">
        <v>42</v>
      </c>
    </row>
    <row r="706" spans="1:13" x14ac:dyDescent="0.3">
      <c r="A706" t="s">
        <v>41</v>
      </c>
      <c r="B706">
        <v>20260210360937</v>
      </c>
      <c r="C706" t="s">
        <v>112</v>
      </c>
      <c r="D706">
        <v>58481090</v>
      </c>
      <c r="E706" s="16" t="s">
        <v>7</v>
      </c>
      <c r="F706" s="3">
        <v>1</v>
      </c>
      <c r="G706" s="3">
        <v>119000</v>
      </c>
      <c r="H706" s="3">
        <v>119000</v>
      </c>
      <c r="I706" s="3">
        <v>80920</v>
      </c>
      <c r="J706" s="3">
        <v>108181.81818181818</v>
      </c>
      <c r="K706" s="25">
        <v>61496</v>
      </c>
      <c r="L706" s="25">
        <v>61496</v>
      </c>
      <c r="M706" t="s">
        <v>42</v>
      </c>
    </row>
    <row r="707" spans="1:13" x14ac:dyDescent="0.3">
      <c r="A707" t="s">
        <v>41</v>
      </c>
      <c r="B707">
        <v>20260210360976</v>
      </c>
      <c r="C707" t="s">
        <v>112</v>
      </c>
      <c r="D707">
        <v>58481090</v>
      </c>
      <c r="E707" s="16" t="s">
        <v>7</v>
      </c>
      <c r="F707" s="3">
        <v>1</v>
      </c>
      <c r="G707" s="3">
        <v>119000</v>
      </c>
      <c r="H707" s="3">
        <v>119000</v>
      </c>
      <c r="I707" s="3">
        <v>80920</v>
      </c>
      <c r="J707" s="3">
        <v>108181.81818181818</v>
      </c>
      <c r="K707" s="25">
        <v>61496</v>
      </c>
      <c r="L707" s="25">
        <v>61496</v>
      </c>
      <c r="M707" t="s">
        <v>42</v>
      </c>
    </row>
    <row r="708" spans="1:13" x14ac:dyDescent="0.3">
      <c r="A708" t="s">
        <v>41</v>
      </c>
      <c r="B708">
        <v>20260210360392</v>
      </c>
      <c r="C708" t="s">
        <v>112</v>
      </c>
      <c r="D708">
        <v>58481090</v>
      </c>
      <c r="E708" s="16" t="s">
        <v>7</v>
      </c>
      <c r="F708" s="3">
        <v>1</v>
      </c>
      <c r="G708" s="3">
        <v>119000</v>
      </c>
      <c r="H708" s="3">
        <v>119000</v>
      </c>
      <c r="I708" s="3">
        <v>80920</v>
      </c>
      <c r="J708" s="3">
        <v>108181.81818181818</v>
      </c>
      <c r="K708" s="25">
        <v>61496</v>
      </c>
      <c r="L708" s="25">
        <v>61496</v>
      </c>
      <c r="M708" t="s">
        <v>42</v>
      </c>
    </row>
    <row r="709" spans="1:13" x14ac:dyDescent="0.3">
      <c r="A709" t="s">
        <v>41</v>
      </c>
      <c r="B709">
        <v>20260210361319</v>
      </c>
      <c r="C709" t="s">
        <v>112</v>
      </c>
      <c r="D709">
        <v>58481090</v>
      </c>
      <c r="E709" s="16" t="s">
        <v>7</v>
      </c>
      <c r="F709" s="3">
        <v>1</v>
      </c>
      <c r="G709" s="3">
        <v>119000</v>
      </c>
      <c r="H709" s="3">
        <v>119000</v>
      </c>
      <c r="I709" s="3">
        <v>80920</v>
      </c>
      <c r="J709" s="3">
        <v>108181.81818181818</v>
      </c>
      <c r="K709" s="25">
        <v>61496</v>
      </c>
      <c r="L709" s="25">
        <v>61496</v>
      </c>
      <c r="M709" t="s">
        <v>42</v>
      </c>
    </row>
    <row r="710" spans="1:13" x14ac:dyDescent="0.3">
      <c r="A710" t="s">
        <v>41</v>
      </c>
      <c r="B710">
        <v>20260210361317</v>
      </c>
      <c r="C710" t="s">
        <v>112</v>
      </c>
      <c r="D710">
        <v>58481090</v>
      </c>
      <c r="E710" s="16" t="s">
        <v>7</v>
      </c>
      <c r="F710" s="3">
        <v>1</v>
      </c>
      <c r="G710" s="3">
        <v>119000</v>
      </c>
      <c r="H710" s="3">
        <v>119000</v>
      </c>
      <c r="I710" s="3">
        <v>80920</v>
      </c>
      <c r="J710" s="3">
        <v>108181.81818181818</v>
      </c>
      <c r="K710" s="25">
        <v>61496</v>
      </c>
      <c r="L710" s="25">
        <v>61496</v>
      </c>
      <c r="M710" t="s">
        <v>42</v>
      </c>
    </row>
    <row r="711" spans="1:13" x14ac:dyDescent="0.3">
      <c r="A711" t="s">
        <v>41</v>
      </c>
      <c r="B711">
        <v>20260210361357</v>
      </c>
      <c r="C711" t="s">
        <v>112</v>
      </c>
      <c r="D711">
        <v>58481090</v>
      </c>
      <c r="E711" s="16" t="s">
        <v>7</v>
      </c>
      <c r="F711" s="3">
        <v>1</v>
      </c>
      <c r="G711" s="3">
        <v>119000</v>
      </c>
      <c r="H711" s="3">
        <v>119000</v>
      </c>
      <c r="I711" s="3">
        <v>80920</v>
      </c>
      <c r="J711" s="3">
        <v>108181.81818181818</v>
      </c>
      <c r="K711" s="25">
        <v>61496</v>
      </c>
      <c r="L711" s="25">
        <v>61496</v>
      </c>
      <c r="M711" t="s">
        <v>42</v>
      </c>
    </row>
    <row r="712" spans="1:13" x14ac:dyDescent="0.3">
      <c r="A712" t="s">
        <v>41</v>
      </c>
      <c r="B712">
        <v>20260210360557</v>
      </c>
      <c r="C712" t="s">
        <v>112</v>
      </c>
      <c r="D712">
        <v>58481090</v>
      </c>
      <c r="E712" s="16" t="s">
        <v>7</v>
      </c>
      <c r="F712" s="3">
        <v>1</v>
      </c>
      <c r="G712" s="3">
        <v>119000</v>
      </c>
      <c r="H712" s="3">
        <v>119000</v>
      </c>
      <c r="I712" s="3">
        <v>80920</v>
      </c>
      <c r="J712" s="3">
        <v>108181.81818181818</v>
      </c>
      <c r="K712" s="25">
        <v>61496</v>
      </c>
      <c r="L712" s="25">
        <v>61496</v>
      </c>
      <c r="M712" t="s">
        <v>42</v>
      </c>
    </row>
    <row r="713" spans="1:13" x14ac:dyDescent="0.3">
      <c r="A713" t="s">
        <v>41</v>
      </c>
      <c r="B713">
        <v>20260210361392</v>
      </c>
      <c r="C713" t="s">
        <v>112</v>
      </c>
      <c r="D713">
        <v>58481090</v>
      </c>
      <c r="E713" s="16" t="s">
        <v>7</v>
      </c>
      <c r="F713" s="3">
        <v>1</v>
      </c>
      <c r="G713" s="3">
        <v>119000</v>
      </c>
      <c r="H713" s="3">
        <v>119000</v>
      </c>
      <c r="I713" s="3">
        <v>80920</v>
      </c>
      <c r="J713" s="3">
        <v>108181.81818181818</v>
      </c>
      <c r="K713" s="25">
        <v>61496</v>
      </c>
      <c r="L713" s="25">
        <v>61496</v>
      </c>
      <c r="M713" t="s">
        <v>42</v>
      </c>
    </row>
    <row r="714" spans="1:13" x14ac:dyDescent="0.3">
      <c r="A714" t="s">
        <v>41</v>
      </c>
      <c r="B714">
        <v>20260210361499</v>
      </c>
      <c r="C714" t="s">
        <v>112</v>
      </c>
      <c r="D714">
        <v>58481090</v>
      </c>
      <c r="E714" s="16" t="s">
        <v>7</v>
      </c>
      <c r="F714" s="3">
        <v>1</v>
      </c>
      <c r="G714" s="3">
        <v>119000</v>
      </c>
      <c r="H714" s="3">
        <v>119000</v>
      </c>
      <c r="I714" s="3">
        <v>80920</v>
      </c>
      <c r="J714" s="3">
        <v>108181.81818181818</v>
      </c>
      <c r="K714" s="25">
        <v>61496</v>
      </c>
      <c r="L714" s="25">
        <v>61496</v>
      </c>
      <c r="M714" t="s">
        <v>42</v>
      </c>
    </row>
    <row r="715" spans="1:13" x14ac:dyDescent="0.3">
      <c r="A715" t="s">
        <v>41</v>
      </c>
      <c r="B715">
        <v>20260210360664</v>
      </c>
      <c r="C715" t="s">
        <v>112</v>
      </c>
      <c r="D715">
        <v>58481090</v>
      </c>
      <c r="E715" s="16" t="s">
        <v>7</v>
      </c>
      <c r="F715" s="3">
        <v>1</v>
      </c>
      <c r="G715" s="3">
        <v>119000</v>
      </c>
      <c r="H715" s="3">
        <v>119000</v>
      </c>
      <c r="I715" s="3">
        <v>80920</v>
      </c>
      <c r="J715" s="3">
        <v>108181.81818181818</v>
      </c>
      <c r="K715" s="25">
        <v>61496</v>
      </c>
      <c r="L715" s="25">
        <v>61496</v>
      </c>
      <c r="M715" t="s">
        <v>42</v>
      </c>
    </row>
    <row r="716" spans="1:13" x14ac:dyDescent="0.3">
      <c r="A716" t="s">
        <v>41</v>
      </c>
      <c r="B716">
        <v>20260210361611</v>
      </c>
      <c r="C716" t="s">
        <v>112</v>
      </c>
      <c r="D716">
        <v>58481090</v>
      </c>
      <c r="E716" s="16" t="s">
        <v>7</v>
      </c>
      <c r="F716" s="3">
        <v>1</v>
      </c>
      <c r="G716" s="3">
        <v>119000</v>
      </c>
      <c r="H716" s="3">
        <v>119000</v>
      </c>
      <c r="I716" s="3">
        <v>80920</v>
      </c>
      <c r="J716" s="3">
        <v>108181.81818181818</v>
      </c>
      <c r="K716" s="25">
        <v>61496</v>
      </c>
      <c r="L716" s="25">
        <v>61496</v>
      </c>
      <c r="M716" t="s">
        <v>42</v>
      </c>
    </row>
    <row r="717" spans="1:13" x14ac:dyDescent="0.3">
      <c r="A717" t="s">
        <v>41</v>
      </c>
      <c r="B717">
        <v>20260210361659</v>
      </c>
      <c r="C717" t="s">
        <v>112</v>
      </c>
      <c r="D717">
        <v>58481090</v>
      </c>
      <c r="E717" s="16" t="s">
        <v>7</v>
      </c>
      <c r="F717" s="3">
        <v>1</v>
      </c>
      <c r="G717" s="3">
        <v>119000</v>
      </c>
      <c r="H717" s="3">
        <v>119000</v>
      </c>
      <c r="I717" s="3">
        <v>80920</v>
      </c>
      <c r="J717" s="3">
        <v>108181.81818181818</v>
      </c>
      <c r="K717" s="25">
        <v>61496</v>
      </c>
      <c r="L717" s="25">
        <v>61496</v>
      </c>
      <c r="M717" t="s">
        <v>42</v>
      </c>
    </row>
    <row r="718" spans="1:13" x14ac:dyDescent="0.3">
      <c r="A718" t="s">
        <v>41</v>
      </c>
      <c r="B718">
        <v>20260210361936</v>
      </c>
      <c r="C718" t="s">
        <v>112</v>
      </c>
      <c r="D718">
        <v>58481090</v>
      </c>
      <c r="E718" s="16" t="s">
        <v>7</v>
      </c>
      <c r="F718" s="3">
        <v>1</v>
      </c>
      <c r="G718" s="3">
        <v>119000</v>
      </c>
      <c r="H718" s="3">
        <v>119000</v>
      </c>
      <c r="I718" s="3">
        <v>80920</v>
      </c>
      <c r="J718" s="3">
        <v>108181.81818181818</v>
      </c>
      <c r="K718" s="25">
        <v>61496</v>
      </c>
      <c r="L718" s="25">
        <v>61496</v>
      </c>
      <c r="M718" t="s">
        <v>42</v>
      </c>
    </row>
    <row r="719" spans="1:13" x14ac:dyDescent="0.3">
      <c r="A719" t="s">
        <v>41</v>
      </c>
      <c r="B719">
        <v>20260210362041</v>
      </c>
      <c r="C719" t="s">
        <v>112</v>
      </c>
      <c r="D719">
        <v>58481090</v>
      </c>
      <c r="E719" s="16" t="s">
        <v>7</v>
      </c>
      <c r="F719" s="3">
        <v>1</v>
      </c>
      <c r="G719" s="3">
        <v>119000</v>
      </c>
      <c r="H719" s="3">
        <v>119000</v>
      </c>
      <c r="I719" s="3">
        <v>80920</v>
      </c>
      <c r="J719" s="3">
        <v>108181.81818181818</v>
      </c>
      <c r="K719" s="25">
        <v>61496</v>
      </c>
      <c r="L719" s="25">
        <v>61496</v>
      </c>
      <c r="M719" t="s">
        <v>42</v>
      </c>
    </row>
    <row r="720" spans="1:13" x14ac:dyDescent="0.3">
      <c r="A720" t="s">
        <v>41</v>
      </c>
      <c r="B720">
        <v>20260210362161</v>
      </c>
      <c r="C720" t="s">
        <v>112</v>
      </c>
      <c r="D720">
        <v>58481090</v>
      </c>
      <c r="E720" s="16" t="s">
        <v>7</v>
      </c>
      <c r="F720" s="3">
        <v>1</v>
      </c>
      <c r="G720" s="3">
        <v>119000</v>
      </c>
      <c r="H720" s="3">
        <v>119000</v>
      </c>
      <c r="I720" s="3">
        <v>80920</v>
      </c>
      <c r="J720" s="3">
        <v>108181.81818181818</v>
      </c>
      <c r="K720" s="25">
        <v>61496</v>
      </c>
      <c r="L720" s="25">
        <v>61496</v>
      </c>
      <c r="M720" t="s">
        <v>42</v>
      </c>
    </row>
    <row r="721" spans="1:13" x14ac:dyDescent="0.3">
      <c r="A721" t="s">
        <v>41</v>
      </c>
      <c r="B721">
        <v>20260210360981</v>
      </c>
      <c r="C721" t="s">
        <v>112</v>
      </c>
      <c r="D721">
        <v>58481090</v>
      </c>
      <c r="E721" s="16" t="s">
        <v>7</v>
      </c>
      <c r="F721" s="3">
        <v>1</v>
      </c>
      <c r="G721" s="3">
        <v>119000</v>
      </c>
      <c r="H721" s="3">
        <v>109000</v>
      </c>
      <c r="I721" s="3">
        <v>80920</v>
      </c>
      <c r="J721" s="3">
        <v>99090.909090909074</v>
      </c>
      <c r="K721" s="25">
        <v>61496</v>
      </c>
      <c r="L721" s="25">
        <v>61496</v>
      </c>
      <c r="M721" t="s">
        <v>42</v>
      </c>
    </row>
    <row r="722" spans="1:13" x14ac:dyDescent="0.3">
      <c r="A722" t="s">
        <v>41</v>
      </c>
      <c r="B722">
        <v>20260210360090</v>
      </c>
      <c r="C722" t="s">
        <v>112</v>
      </c>
      <c r="D722">
        <v>58481090</v>
      </c>
      <c r="E722" s="16" t="s">
        <v>7</v>
      </c>
      <c r="F722" s="3">
        <v>1</v>
      </c>
      <c r="G722" s="3">
        <v>119000</v>
      </c>
      <c r="H722" s="3">
        <v>119000</v>
      </c>
      <c r="I722" s="3">
        <v>80920</v>
      </c>
      <c r="J722" s="3">
        <v>108181.81818181818</v>
      </c>
      <c r="K722" s="25">
        <v>61496</v>
      </c>
      <c r="L722" s="25">
        <v>61496</v>
      </c>
      <c r="M722" t="s">
        <v>42</v>
      </c>
    </row>
    <row r="723" spans="1:13" x14ac:dyDescent="0.3">
      <c r="A723" t="s">
        <v>41</v>
      </c>
      <c r="B723">
        <v>20260210360250</v>
      </c>
      <c r="C723" t="s">
        <v>112</v>
      </c>
      <c r="D723">
        <v>58481090</v>
      </c>
      <c r="E723" s="16" t="s">
        <v>7</v>
      </c>
      <c r="F723" s="3">
        <v>1</v>
      </c>
      <c r="G723" s="3">
        <v>119000</v>
      </c>
      <c r="H723" s="3">
        <v>119000</v>
      </c>
      <c r="I723" s="3">
        <v>80920</v>
      </c>
      <c r="J723" s="3">
        <v>108181.81818181818</v>
      </c>
      <c r="K723" s="25">
        <v>61496</v>
      </c>
      <c r="L723" s="25">
        <v>61496</v>
      </c>
      <c r="M723" t="s">
        <v>42</v>
      </c>
    </row>
    <row r="724" spans="1:13" x14ac:dyDescent="0.3">
      <c r="A724" t="s">
        <v>41</v>
      </c>
      <c r="B724">
        <v>20260210360422</v>
      </c>
      <c r="C724" t="s">
        <v>112</v>
      </c>
      <c r="D724">
        <v>58481090</v>
      </c>
      <c r="E724" s="16" t="s">
        <v>7</v>
      </c>
      <c r="F724" s="3">
        <v>1</v>
      </c>
      <c r="G724" s="3">
        <v>119000</v>
      </c>
      <c r="H724" s="3">
        <v>119000</v>
      </c>
      <c r="I724" s="3">
        <v>80920</v>
      </c>
      <c r="J724" s="3">
        <v>108181.81818181818</v>
      </c>
      <c r="K724" s="25">
        <v>61496</v>
      </c>
      <c r="L724" s="25">
        <v>61496</v>
      </c>
      <c r="M724" t="s">
        <v>42</v>
      </c>
    </row>
    <row r="725" spans="1:13" x14ac:dyDescent="0.3">
      <c r="A725" t="s">
        <v>41</v>
      </c>
      <c r="B725">
        <v>20260210360428</v>
      </c>
      <c r="C725" t="s">
        <v>112</v>
      </c>
      <c r="D725">
        <v>58481090</v>
      </c>
      <c r="E725" s="16" t="s">
        <v>7</v>
      </c>
      <c r="F725" s="3">
        <v>1</v>
      </c>
      <c r="G725" s="3">
        <v>119000</v>
      </c>
      <c r="H725" s="3">
        <v>119000</v>
      </c>
      <c r="I725" s="3">
        <v>80920</v>
      </c>
      <c r="J725" s="3">
        <v>108181.81818181818</v>
      </c>
      <c r="K725" s="25">
        <v>61496</v>
      </c>
      <c r="L725" s="25">
        <v>61496</v>
      </c>
      <c r="M725" t="s">
        <v>42</v>
      </c>
    </row>
    <row r="726" spans="1:13" x14ac:dyDescent="0.3">
      <c r="A726" t="s">
        <v>41</v>
      </c>
      <c r="B726">
        <v>20260210361274</v>
      </c>
      <c r="C726" t="s">
        <v>112</v>
      </c>
      <c r="D726">
        <v>58481090</v>
      </c>
      <c r="E726" s="16" t="s">
        <v>7</v>
      </c>
      <c r="F726" s="3">
        <v>1</v>
      </c>
      <c r="G726" s="3">
        <v>119000</v>
      </c>
      <c r="H726" s="3">
        <v>119000</v>
      </c>
      <c r="I726" s="3">
        <v>80920</v>
      </c>
      <c r="J726" s="3">
        <v>108181.81818181818</v>
      </c>
      <c r="K726" s="25">
        <v>61496</v>
      </c>
      <c r="L726" s="25">
        <v>61496</v>
      </c>
      <c r="M726" t="s">
        <v>42</v>
      </c>
    </row>
    <row r="727" spans="1:13" x14ac:dyDescent="0.3">
      <c r="A727" t="s">
        <v>41</v>
      </c>
      <c r="B727">
        <v>20260210361271</v>
      </c>
      <c r="C727" t="s">
        <v>112</v>
      </c>
      <c r="D727">
        <v>58481090</v>
      </c>
      <c r="E727" s="16" t="s">
        <v>7</v>
      </c>
      <c r="F727" s="3">
        <v>1</v>
      </c>
      <c r="G727" s="3">
        <v>119000</v>
      </c>
      <c r="H727" s="3">
        <v>119000</v>
      </c>
      <c r="I727" s="3">
        <v>80920</v>
      </c>
      <c r="J727" s="3">
        <v>108181.81818181818</v>
      </c>
      <c r="K727" s="25">
        <v>61496</v>
      </c>
      <c r="L727" s="25">
        <v>61496</v>
      </c>
      <c r="M727" t="s">
        <v>42</v>
      </c>
    </row>
    <row r="728" spans="1:13" x14ac:dyDescent="0.3">
      <c r="A728" t="s">
        <v>41</v>
      </c>
      <c r="B728">
        <v>20260210360545</v>
      </c>
      <c r="C728" t="s">
        <v>112</v>
      </c>
      <c r="D728">
        <v>58481090</v>
      </c>
      <c r="E728" s="16" t="s">
        <v>7</v>
      </c>
      <c r="F728" s="3">
        <v>1</v>
      </c>
      <c r="G728" s="3">
        <v>119000</v>
      </c>
      <c r="H728" s="3">
        <v>119000</v>
      </c>
      <c r="I728" s="3">
        <v>80920</v>
      </c>
      <c r="J728" s="3">
        <v>108181.81818181818</v>
      </c>
      <c r="K728" s="25">
        <v>61496</v>
      </c>
      <c r="L728" s="25">
        <v>61496</v>
      </c>
      <c r="M728" t="s">
        <v>42</v>
      </c>
    </row>
    <row r="729" spans="1:13" x14ac:dyDescent="0.3">
      <c r="A729" t="s">
        <v>41</v>
      </c>
      <c r="B729">
        <v>20260210360564</v>
      </c>
      <c r="C729" t="s">
        <v>112</v>
      </c>
      <c r="D729">
        <v>58481090</v>
      </c>
      <c r="E729" s="16" t="s">
        <v>7</v>
      </c>
      <c r="F729" s="3">
        <v>1</v>
      </c>
      <c r="G729" s="3">
        <v>119000</v>
      </c>
      <c r="H729" s="3">
        <v>113050</v>
      </c>
      <c r="I729" s="3">
        <v>80920</v>
      </c>
      <c r="J729" s="3">
        <v>102772.72727272726</v>
      </c>
      <c r="K729" s="25">
        <v>61496</v>
      </c>
      <c r="L729" s="25">
        <v>61496</v>
      </c>
      <c r="M729" t="s">
        <v>42</v>
      </c>
    </row>
    <row r="730" spans="1:13" x14ac:dyDescent="0.3">
      <c r="A730" t="s">
        <v>41</v>
      </c>
      <c r="B730">
        <v>20260210360718</v>
      </c>
      <c r="C730" t="s">
        <v>112</v>
      </c>
      <c r="D730">
        <v>58481090</v>
      </c>
      <c r="E730" s="16" t="s">
        <v>7</v>
      </c>
      <c r="F730" s="3">
        <v>1</v>
      </c>
      <c r="G730" s="3">
        <v>119000</v>
      </c>
      <c r="H730" s="3">
        <v>119000</v>
      </c>
      <c r="I730" s="3">
        <v>80920</v>
      </c>
      <c r="J730" s="3">
        <v>108181.81818181818</v>
      </c>
      <c r="K730" s="25">
        <v>61496</v>
      </c>
      <c r="L730" s="25">
        <v>61496</v>
      </c>
      <c r="M730" t="s">
        <v>42</v>
      </c>
    </row>
    <row r="731" spans="1:13" x14ac:dyDescent="0.3">
      <c r="A731" t="s">
        <v>41</v>
      </c>
      <c r="B731">
        <v>20260210361907</v>
      </c>
      <c r="C731" t="s">
        <v>112</v>
      </c>
      <c r="D731">
        <v>58481090</v>
      </c>
      <c r="E731" s="16" t="s">
        <v>7</v>
      </c>
      <c r="F731" s="3">
        <v>1</v>
      </c>
      <c r="G731" s="3">
        <v>119000</v>
      </c>
      <c r="H731" s="3">
        <v>119000</v>
      </c>
      <c r="I731" s="3">
        <v>80920</v>
      </c>
      <c r="J731" s="3">
        <v>108181.81818181818</v>
      </c>
      <c r="K731" s="25">
        <v>61496</v>
      </c>
      <c r="L731" s="25">
        <v>61496</v>
      </c>
      <c r="M731" t="s">
        <v>42</v>
      </c>
    </row>
    <row r="732" spans="1:13" x14ac:dyDescent="0.3">
      <c r="A732" t="s">
        <v>41</v>
      </c>
      <c r="B732">
        <v>20260210361763</v>
      </c>
      <c r="C732" t="s">
        <v>112</v>
      </c>
      <c r="D732">
        <v>58481090</v>
      </c>
      <c r="E732" s="16" t="s">
        <v>7</v>
      </c>
      <c r="F732" s="3">
        <v>1</v>
      </c>
      <c r="G732" s="3">
        <v>119000</v>
      </c>
      <c r="H732" s="3">
        <v>104720</v>
      </c>
      <c r="I732" s="3">
        <v>80920</v>
      </c>
      <c r="J732" s="3">
        <v>95200</v>
      </c>
      <c r="K732" s="25">
        <v>61496</v>
      </c>
      <c r="L732" s="25">
        <v>61496</v>
      </c>
      <c r="M732" t="s">
        <v>42</v>
      </c>
    </row>
    <row r="733" spans="1:13" x14ac:dyDescent="0.3">
      <c r="A733" t="s">
        <v>41</v>
      </c>
      <c r="B733">
        <v>20260210361537</v>
      </c>
      <c r="C733" t="s">
        <v>112</v>
      </c>
      <c r="D733">
        <v>58481090</v>
      </c>
      <c r="E733" s="16" t="s">
        <v>7</v>
      </c>
      <c r="F733" s="3">
        <v>1</v>
      </c>
      <c r="G733" s="3">
        <v>119000</v>
      </c>
      <c r="H733" s="3">
        <v>119000</v>
      </c>
      <c r="I733" s="3">
        <v>80920</v>
      </c>
      <c r="J733" s="3">
        <v>108181.81818181818</v>
      </c>
      <c r="K733" s="25">
        <v>61496</v>
      </c>
      <c r="L733" s="25">
        <v>61496</v>
      </c>
      <c r="M733" t="s">
        <v>42</v>
      </c>
    </row>
    <row r="734" spans="1:13" x14ac:dyDescent="0.3">
      <c r="A734" t="s">
        <v>41</v>
      </c>
      <c r="B734">
        <v>20260210362086</v>
      </c>
      <c r="C734" t="s">
        <v>112</v>
      </c>
      <c r="D734">
        <v>58481090</v>
      </c>
      <c r="E734" s="16" t="s">
        <v>7</v>
      </c>
      <c r="F734" s="3">
        <v>1</v>
      </c>
      <c r="G734" s="3">
        <v>119000</v>
      </c>
      <c r="H734" s="3">
        <v>119000</v>
      </c>
      <c r="I734" s="3">
        <v>80920</v>
      </c>
      <c r="J734" s="3">
        <v>108181.81818181818</v>
      </c>
      <c r="K734" s="25">
        <v>61496</v>
      </c>
      <c r="L734" s="25">
        <v>61496</v>
      </c>
      <c r="M734" t="s">
        <v>42</v>
      </c>
    </row>
    <row r="735" spans="1:13" x14ac:dyDescent="0.3">
      <c r="A735" t="s">
        <v>41</v>
      </c>
      <c r="B735">
        <v>20260210360468</v>
      </c>
      <c r="C735" t="s">
        <v>112</v>
      </c>
      <c r="D735">
        <v>58481090</v>
      </c>
      <c r="E735" s="16" t="s">
        <v>7</v>
      </c>
      <c r="F735" s="3">
        <v>1</v>
      </c>
      <c r="G735" s="3">
        <v>119000</v>
      </c>
      <c r="H735" s="3">
        <v>119000</v>
      </c>
      <c r="I735" s="3">
        <v>80920</v>
      </c>
      <c r="J735" s="3">
        <v>108181.81818181818</v>
      </c>
      <c r="K735" s="25">
        <v>61496</v>
      </c>
      <c r="L735" s="25">
        <v>61496</v>
      </c>
      <c r="M735" t="s">
        <v>42</v>
      </c>
    </row>
    <row r="736" spans="1:13" x14ac:dyDescent="0.3">
      <c r="A736" t="s">
        <v>41</v>
      </c>
      <c r="B736">
        <v>20260210360549</v>
      </c>
      <c r="C736" t="s">
        <v>112</v>
      </c>
      <c r="D736">
        <v>58481090</v>
      </c>
      <c r="E736" s="16" t="s">
        <v>7</v>
      </c>
      <c r="F736" s="3">
        <v>1</v>
      </c>
      <c r="G736" s="3">
        <v>119000</v>
      </c>
      <c r="H736" s="3">
        <v>119000</v>
      </c>
      <c r="I736" s="3">
        <v>80920</v>
      </c>
      <c r="J736" s="3">
        <v>108181.81818181818</v>
      </c>
      <c r="K736" s="25">
        <v>61496</v>
      </c>
      <c r="L736" s="25">
        <v>61496</v>
      </c>
      <c r="M736" t="s">
        <v>42</v>
      </c>
    </row>
    <row r="737" spans="1:13" x14ac:dyDescent="0.3">
      <c r="A737" t="s">
        <v>41</v>
      </c>
      <c r="B737">
        <v>20260210360555</v>
      </c>
      <c r="C737" t="s">
        <v>112</v>
      </c>
      <c r="D737">
        <v>58481090</v>
      </c>
      <c r="E737" s="16" t="s">
        <v>7</v>
      </c>
      <c r="F737" s="3">
        <v>1</v>
      </c>
      <c r="G737" s="3">
        <v>119000</v>
      </c>
      <c r="H737" s="3">
        <v>119000</v>
      </c>
      <c r="I737" s="3">
        <v>80920</v>
      </c>
      <c r="J737" s="3">
        <v>108181.81818181818</v>
      </c>
      <c r="K737" s="25">
        <v>61496</v>
      </c>
      <c r="L737" s="25">
        <v>61496</v>
      </c>
      <c r="M737" t="s">
        <v>42</v>
      </c>
    </row>
    <row r="738" spans="1:13" x14ac:dyDescent="0.3">
      <c r="A738" t="s">
        <v>41</v>
      </c>
      <c r="B738">
        <v>20260210361541</v>
      </c>
      <c r="C738" t="s">
        <v>112</v>
      </c>
      <c r="D738">
        <v>58481090</v>
      </c>
      <c r="E738" s="16" t="s">
        <v>7</v>
      </c>
      <c r="F738" s="3">
        <v>1</v>
      </c>
      <c r="G738" s="3">
        <v>119000</v>
      </c>
      <c r="H738" s="3">
        <v>119000</v>
      </c>
      <c r="I738" s="3">
        <v>80920</v>
      </c>
      <c r="J738" s="3">
        <v>108181.81818181818</v>
      </c>
      <c r="K738" s="25">
        <v>61496</v>
      </c>
      <c r="L738" s="25">
        <v>61496</v>
      </c>
      <c r="M738" t="s">
        <v>42</v>
      </c>
    </row>
    <row r="739" spans="1:13" x14ac:dyDescent="0.3">
      <c r="A739" t="s">
        <v>41</v>
      </c>
      <c r="B739">
        <v>20260210361534</v>
      </c>
      <c r="C739" t="s">
        <v>112</v>
      </c>
      <c r="D739">
        <v>58481090</v>
      </c>
      <c r="E739" s="16" t="s">
        <v>7</v>
      </c>
      <c r="F739" s="3">
        <v>1</v>
      </c>
      <c r="G739" s="3">
        <v>119000</v>
      </c>
      <c r="H739" s="3">
        <v>119000</v>
      </c>
      <c r="I739" s="3">
        <v>80920</v>
      </c>
      <c r="J739" s="3">
        <v>108181.81818181818</v>
      </c>
      <c r="K739" s="25">
        <v>61496</v>
      </c>
      <c r="L739" s="25">
        <v>61496</v>
      </c>
      <c r="M739" t="s">
        <v>42</v>
      </c>
    </row>
    <row r="740" spans="1:13" x14ac:dyDescent="0.3">
      <c r="A740" t="s">
        <v>41</v>
      </c>
      <c r="B740">
        <v>20260210360682</v>
      </c>
      <c r="C740" t="s">
        <v>112</v>
      </c>
      <c r="D740">
        <v>58481090</v>
      </c>
      <c r="E740" s="16" t="s">
        <v>7</v>
      </c>
      <c r="F740" s="3">
        <v>1</v>
      </c>
      <c r="G740" s="3">
        <v>119000</v>
      </c>
      <c r="H740" s="3">
        <v>119000</v>
      </c>
      <c r="I740" s="3">
        <v>80920</v>
      </c>
      <c r="J740" s="3">
        <v>108181.81818181818</v>
      </c>
      <c r="K740" s="25">
        <v>61496</v>
      </c>
      <c r="L740" s="25">
        <v>61496</v>
      </c>
      <c r="M740" t="s">
        <v>42</v>
      </c>
    </row>
    <row r="741" spans="1:13" x14ac:dyDescent="0.3">
      <c r="A741" t="s">
        <v>41</v>
      </c>
      <c r="B741">
        <v>20260210361794</v>
      </c>
      <c r="C741" t="s">
        <v>112</v>
      </c>
      <c r="D741">
        <v>58481090</v>
      </c>
      <c r="E741" s="16" t="s">
        <v>7</v>
      </c>
      <c r="F741" s="3">
        <v>1</v>
      </c>
      <c r="G741" s="3">
        <v>119000</v>
      </c>
      <c r="H741" s="3">
        <v>119000</v>
      </c>
      <c r="I741" s="3">
        <v>80920</v>
      </c>
      <c r="J741" s="3">
        <v>108181.81818181818</v>
      </c>
      <c r="K741" s="25">
        <v>61496</v>
      </c>
      <c r="L741" s="25">
        <v>61496</v>
      </c>
      <c r="M741" t="s">
        <v>42</v>
      </c>
    </row>
    <row r="742" spans="1:13" x14ac:dyDescent="0.3">
      <c r="A742" t="s">
        <v>41</v>
      </c>
      <c r="B742">
        <v>20260210361965</v>
      </c>
      <c r="C742" t="s">
        <v>112</v>
      </c>
      <c r="D742">
        <v>58481090</v>
      </c>
      <c r="E742" s="16" t="s">
        <v>7</v>
      </c>
      <c r="F742" s="3">
        <v>1</v>
      </c>
      <c r="G742" s="3">
        <v>119000</v>
      </c>
      <c r="H742" s="3">
        <v>119000</v>
      </c>
      <c r="I742" s="3">
        <v>80920</v>
      </c>
      <c r="J742" s="3">
        <v>108181.81818181818</v>
      </c>
      <c r="K742" s="25">
        <v>61496</v>
      </c>
      <c r="L742" s="25">
        <v>61496</v>
      </c>
      <c r="M742" t="s">
        <v>42</v>
      </c>
    </row>
    <row r="743" spans="1:13" x14ac:dyDescent="0.3">
      <c r="A743" t="s">
        <v>41</v>
      </c>
      <c r="B743">
        <v>20260210362013</v>
      </c>
      <c r="C743" t="s">
        <v>112</v>
      </c>
      <c r="D743">
        <v>58481090</v>
      </c>
      <c r="E743" s="16" t="s">
        <v>7</v>
      </c>
      <c r="F743" s="3">
        <v>1</v>
      </c>
      <c r="G743" s="3">
        <v>119000</v>
      </c>
      <c r="H743" s="3">
        <v>119000</v>
      </c>
      <c r="I743" s="3">
        <v>80920</v>
      </c>
      <c r="J743" s="3">
        <v>108181.81818181818</v>
      </c>
      <c r="K743" s="25">
        <v>61496</v>
      </c>
      <c r="L743" s="25">
        <v>61496</v>
      </c>
      <c r="M743" t="s">
        <v>42</v>
      </c>
    </row>
    <row r="744" spans="1:13" x14ac:dyDescent="0.3">
      <c r="A744" t="s">
        <v>41</v>
      </c>
      <c r="B744">
        <v>20260210360694</v>
      </c>
      <c r="C744" t="s">
        <v>112</v>
      </c>
      <c r="D744">
        <v>58481090</v>
      </c>
      <c r="E744" s="16" t="s">
        <v>7</v>
      </c>
      <c r="F744" s="3">
        <v>1</v>
      </c>
      <c r="G744" s="3">
        <v>119000</v>
      </c>
      <c r="H744" s="3">
        <v>119000</v>
      </c>
      <c r="I744" s="3">
        <v>80920</v>
      </c>
      <c r="J744" s="3">
        <v>108181.81818181818</v>
      </c>
      <c r="K744" s="25">
        <v>61496</v>
      </c>
      <c r="L744" s="25">
        <v>61496</v>
      </c>
      <c r="M744" t="s">
        <v>42</v>
      </c>
    </row>
    <row r="745" spans="1:13" x14ac:dyDescent="0.3">
      <c r="A745" t="s">
        <v>41</v>
      </c>
      <c r="B745">
        <v>20260210361989</v>
      </c>
      <c r="C745" t="s">
        <v>112</v>
      </c>
      <c r="D745">
        <v>58481090</v>
      </c>
      <c r="E745" s="16" t="s">
        <v>7</v>
      </c>
      <c r="F745" s="3">
        <v>1</v>
      </c>
      <c r="G745" s="3">
        <v>119000</v>
      </c>
      <c r="H745" s="3">
        <v>119000</v>
      </c>
      <c r="I745" s="3">
        <v>80920</v>
      </c>
      <c r="J745" s="3">
        <v>108181.81818181818</v>
      </c>
      <c r="K745" s="25">
        <v>61496</v>
      </c>
      <c r="L745" s="25">
        <v>61496</v>
      </c>
      <c r="M745" t="s">
        <v>42</v>
      </c>
    </row>
    <row r="746" spans="1:13" x14ac:dyDescent="0.3">
      <c r="A746" t="s">
        <v>41</v>
      </c>
      <c r="B746">
        <v>20260210362685</v>
      </c>
      <c r="C746" t="s">
        <v>112</v>
      </c>
      <c r="D746">
        <v>58481090</v>
      </c>
      <c r="E746" s="16" t="s">
        <v>7</v>
      </c>
      <c r="F746" s="3">
        <v>1</v>
      </c>
      <c r="G746" s="3">
        <v>119000</v>
      </c>
      <c r="H746" s="3">
        <v>119000</v>
      </c>
      <c r="I746" s="3">
        <v>80920</v>
      </c>
      <c r="J746" s="3">
        <v>108181.81818181818</v>
      </c>
      <c r="K746" s="25">
        <v>61496</v>
      </c>
      <c r="L746" s="25">
        <v>61496</v>
      </c>
      <c r="M746" t="s">
        <v>42</v>
      </c>
    </row>
    <row r="747" spans="1:13" x14ac:dyDescent="0.3">
      <c r="A747" t="s">
        <v>41</v>
      </c>
      <c r="B747">
        <v>20260210369877</v>
      </c>
      <c r="C747" t="s">
        <v>112</v>
      </c>
      <c r="D747">
        <v>58481090</v>
      </c>
      <c r="E747" s="16" t="s">
        <v>7</v>
      </c>
      <c r="F747" s="3">
        <v>1</v>
      </c>
      <c r="G747" s="3">
        <v>119000</v>
      </c>
      <c r="H747" s="3">
        <v>119000</v>
      </c>
      <c r="I747" s="3">
        <v>80920</v>
      </c>
      <c r="J747" s="3">
        <v>108181.81818181818</v>
      </c>
      <c r="K747" s="25">
        <v>61496</v>
      </c>
      <c r="L747" s="25">
        <v>61496</v>
      </c>
      <c r="M747" t="s">
        <v>42</v>
      </c>
    </row>
    <row r="748" spans="1:13" x14ac:dyDescent="0.3">
      <c r="A748" t="s">
        <v>41</v>
      </c>
      <c r="B748">
        <v>20260210364014</v>
      </c>
      <c r="C748" t="s">
        <v>112</v>
      </c>
      <c r="D748">
        <v>58481090</v>
      </c>
      <c r="E748" s="16" t="s">
        <v>7</v>
      </c>
      <c r="F748" s="3">
        <v>1</v>
      </c>
      <c r="G748" s="3">
        <v>119000</v>
      </c>
      <c r="H748" s="3">
        <v>119000</v>
      </c>
      <c r="I748" s="3">
        <v>80920</v>
      </c>
      <c r="J748" s="3">
        <v>108181.81818181818</v>
      </c>
      <c r="K748" s="25">
        <v>61496</v>
      </c>
      <c r="L748" s="25">
        <v>61496</v>
      </c>
      <c r="M748" t="s">
        <v>42</v>
      </c>
    </row>
    <row r="749" spans="1:13" x14ac:dyDescent="0.3">
      <c r="A749" t="s">
        <v>41</v>
      </c>
      <c r="B749">
        <v>20260210361013</v>
      </c>
      <c r="C749" t="s">
        <v>112</v>
      </c>
      <c r="D749">
        <v>58481090</v>
      </c>
      <c r="E749" s="16" t="s">
        <v>7</v>
      </c>
      <c r="F749" s="3">
        <v>1</v>
      </c>
      <c r="G749" s="3">
        <v>119000</v>
      </c>
      <c r="H749" s="3">
        <v>119000</v>
      </c>
      <c r="I749" s="3">
        <v>80920</v>
      </c>
      <c r="J749" s="3">
        <v>108181.81818181818</v>
      </c>
      <c r="K749" s="25">
        <v>61496</v>
      </c>
      <c r="L749" s="25">
        <v>61496</v>
      </c>
      <c r="M749" t="s">
        <v>42</v>
      </c>
    </row>
    <row r="750" spans="1:13" x14ac:dyDescent="0.3">
      <c r="A750" t="s">
        <v>41</v>
      </c>
      <c r="B750">
        <v>20260210360886</v>
      </c>
      <c r="C750" t="s">
        <v>112</v>
      </c>
      <c r="D750">
        <v>58481090</v>
      </c>
      <c r="E750" s="16" t="s">
        <v>7</v>
      </c>
      <c r="F750" s="3">
        <v>1</v>
      </c>
      <c r="G750" s="3">
        <v>119000</v>
      </c>
      <c r="H750" s="3">
        <v>119000</v>
      </c>
      <c r="I750" s="3">
        <v>80920</v>
      </c>
      <c r="J750" s="3">
        <v>108181.81818181818</v>
      </c>
      <c r="K750" s="25">
        <v>61496</v>
      </c>
      <c r="L750" s="25">
        <v>61496</v>
      </c>
      <c r="M750" t="s">
        <v>42</v>
      </c>
    </row>
    <row r="751" spans="1:13" x14ac:dyDescent="0.3">
      <c r="A751" t="s">
        <v>41</v>
      </c>
      <c r="B751">
        <v>20260210360902</v>
      </c>
      <c r="C751" t="s">
        <v>112</v>
      </c>
      <c r="D751">
        <v>58481090</v>
      </c>
      <c r="E751" s="16" t="s">
        <v>7</v>
      </c>
      <c r="F751" s="3">
        <v>1</v>
      </c>
      <c r="G751" s="3">
        <v>119000</v>
      </c>
      <c r="H751" s="3">
        <v>95200</v>
      </c>
      <c r="I751" s="3">
        <v>80920</v>
      </c>
      <c r="J751" s="3">
        <v>86545.454545454544</v>
      </c>
      <c r="K751" s="25">
        <v>61496</v>
      </c>
      <c r="L751" s="25">
        <v>61496</v>
      </c>
      <c r="M751" t="s">
        <v>42</v>
      </c>
    </row>
    <row r="752" spans="1:13" x14ac:dyDescent="0.3">
      <c r="A752" t="s">
        <v>41</v>
      </c>
      <c r="B752">
        <v>20260210361527</v>
      </c>
      <c r="C752" t="s">
        <v>112</v>
      </c>
      <c r="D752">
        <v>58481090</v>
      </c>
      <c r="E752" s="16" t="s">
        <v>7</v>
      </c>
      <c r="F752" s="3">
        <v>1</v>
      </c>
      <c r="G752" s="3">
        <v>119000</v>
      </c>
      <c r="H752" s="3">
        <v>119000</v>
      </c>
      <c r="I752" s="3">
        <v>80920</v>
      </c>
      <c r="J752" s="3">
        <v>108181.81818181818</v>
      </c>
      <c r="K752" s="25">
        <v>61496</v>
      </c>
      <c r="L752" s="25">
        <v>61496</v>
      </c>
      <c r="M752" t="s">
        <v>42</v>
      </c>
    </row>
    <row r="753" spans="1:13" x14ac:dyDescent="0.3">
      <c r="A753" t="s">
        <v>41</v>
      </c>
      <c r="B753">
        <v>20260210360785</v>
      </c>
      <c r="C753" t="s">
        <v>112</v>
      </c>
      <c r="D753">
        <v>58481090</v>
      </c>
      <c r="E753" s="16" t="s">
        <v>7</v>
      </c>
      <c r="F753" s="3">
        <v>1</v>
      </c>
      <c r="G753" s="3">
        <v>119000</v>
      </c>
      <c r="H753" s="3">
        <v>119000</v>
      </c>
      <c r="I753" s="3">
        <v>80920</v>
      </c>
      <c r="J753" s="3">
        <v>108181.81818181818</v>
      </c>
      <c r="K753" s="25">
        <v>61496</v>
      </c>
      <c r="L753" s="25">
        <v>61496</v>
      </c>
      <c r="M753" t="s">
        <v>42</v>
      </c>
    </row>
    <row r="754" spans="1:13" x14ac:dyDescent="0.3">
      <c r="A754" t="s">
        <v>41</v>
      </c>
      <c r="B754">
        <v>20260210360903</v>
      </c>
      <c r="C754" t="s">
        <v>112</v>
      </c>
      <c r="D754">
        <v>58481090</v>
      </c>
      <c r="E754" s="16" t="s">
        <v>7</v>
      </c>
      <c r="F754" s="3">
        <v>1</v>
      </c>
      <c r="G754" s="3">
        <v>119000</v>
      </c>
      <c r="H754" s="3">
        <v>113050</v>
      </c>
      <c r="I754" s="3">
        <v>80920</v>
      </c>
      <c r="J754" s="3">
        <v>102772.72727272726</v>
      </c>
      <c r="K754" s="25">
        <v>61496</v>
      </c>
      <c r="L754" s="25">
        <v>61496</v>
      </c>
      <c r="M754" t="s">
        <v>42</v>
      </c>
    </row>
    <row r="755" spans="1:13" x14ac:dyDescent="0.3">
      <c r="A755" t="s">
        <v>41</v>
      </c>
      <c r="B755">
        <v>20260210360818</v>
      </c>
      <c r="C755" t="s">
        <v>112</v>
      </c>
      <c r="D755">
        <v>58481090</v>
      </c>
      <c r="E755" s="16" t="s">
        <v>7</v>
      </c>
      <c r="F755" s="3">
        <v>1</v>
      </c>
      <c r="G755" s="3">
        <v>119000</v>
      </c>
      <c r="H755" s="3">
        <v>119000</v>
      </c>
      <c r="I755" s="3">
        <v>80920</v>
      </c>
      <c r="J755" s="3">
        <v>108181.81818181818</v>
      </c>
      <c r="K755" s="25">
        <v>61496</v>
      </c>
      <c r="L755" s="25">
        <v>61496</v>
      </c>
      <c r="M755" t="s">
        <v>42</v>
      </c>
    </row>
    <row r="756" spans="1:13" x14ac:dyDescent="0.3">
      <c r="A756" t="s">
        <v>41</v>
      </c>
      <c r="B756">
        <v>20260210361184</v>
      </c>
      <c r="C756" t="s">
        <v>112</v>
      </c>
      <c r="D756">
        <v>58481090</v>
      </c>
      <c r="E756" s="16" t="s">
        <v>7</v>
      </c>
      <c r="F756" s="3">
        <v>1</v>
      </c>
      <c r="G756" s="3">
        <v>119000</v>
      </c>
      <c r="H756" s="3">
        <v>114000</v>
      </c>
      <c r="I756" s="3">
        <v>80920</v>
      </c>
      <c r="J756" s="3">
        <v>103636.36363636365</v>
      </c>
      <c r="K756" s="25">
        <v>61496</v>
      </c>
      <c r="L756" s="25">
        <v>61496</v>
      </c>
      <c r="M756" t="s">
        <v>42</v>
      </c>
    </row>
    <row r="757" spans="1:13" x14ac:dyDescent="0.3">
      <c r="A757" t="s">
        <v>41</v>
      </c>
      <c r="B757">
        <v>20260210360436</v>
      </c>
      <c r="C757" t="s">
        <v>112</v>
      </c>
      <c r="D757">
        <v>58481090</v>
      </c>
      <c r="E757" s="16" t="s">
        <v>7</v>
      </c>
      <c r="F757" s="3">
        <v>1</v>
      </c>
      <c r="G757" s="3">
        <v>119000</v>
      </c>
      <c r="H757" s="3">
        <v>119000</v>
      </c>
      <c r="I757" s="3">
        <v>80920</v>
      </c>
      <c r="J757" s="3">
        <v>108181.81818181818</v>
      </c>
      <c r="K757" s="25">
        <v>61496</v>
      </c>
      <c r="L757" s="25">
        <v>61496</v>
      </c>
      <c r="M757" t="s">
        <v>42</v>
      </c>
    </row>
    <row r="758" spans="1:13" x14ac:dyDescent="0.3">
      <c r="A758" t="s">
        <v>41</v>
      </c>
      <c r="B758">
        <v>20260210361793</v>
      </c>
      <c r="C758" t="s">
        <v>112</v>
      </c>
      <c r="D758">
        <v>58481090</v>
      </c>
      <c r="E758" s="16" t="s">
        <v>7</v>
      </c>
      <c r="F758" s="3">
        <v>1</v>
      </c>
      <c r="G758" s="3">
        <v>119000</v>
      </c>
      <c r="H758" s="3">
        <v>119000</v>
      </c>
      <c r="I758" s="3">
        <v>80920</v>
      </c>
      <c r="J758" s="3">
        <v>108181.81818181818</v>
      </c>
      <c r="K758" s="25">
        <v>61496</v>
      </c>
      <c r="L758" s="25">
        <v>61496</v>
      </c>
      <c r="M758" t="s">
        <v>42</v>
      </c>
    </row>
    <row r="759" spans="1:13" x14ac:dyDescent="0.3">
      <c r="A759" t="s">
        <v>41</v>
      </c>
      <c r="B759">
        <v>20260210361964</v>
      </c>
      <c r="C759" t="s">
        <v>112</v>
      </c>
      <c r="D759">
        <v>58481090</v>
      </c>
      <c r="E759" s="16" t="s">
        <v>7</v>
      </c>
      <c r="F759" s="3">
        <v>1</v>
      </c>
      <c r="G759" s="3">
        <v>119000</v>
      </c>
      <c r="H759" s="3">
        <v>119000</v>
      </c>
      <c r="I759" s="3">
        <v>80920</v>
      </c>
      <c r="J759" s="3">
        <v>108181.81818181818</v>
      </c>
      <c r="K759" s="25">
        <v>61496</v>
      </c>
      <c r="L759" s="25">
        <v>61496</v>
      </c>
      <c r="M759" t="s">
        <v>42</v>
      </c>
    </row>
    <row r="760" spans="1:13" x14ac:dyDescent="0.3">
      <c r="A760" t="s">
        <v>41</v>
      </c>
      <c r="B760">
        <v>20260210361971</v>
      </c>
      <c r="C760" t="s">
        <v>112</v>
      </c>
      <c r="D760">
        <v>58481090</v>
      </c>
      <c r="E760" s="16" t="s">
        <v>7</v>
      </c>
      <c r="F760" s="3">
        <v>1</v>
      </c>
      <c r="G760" s="3">
        <v>119000</v>
      </c>
      <c r="H760" s="3">
        <v>119000</v>
      </c>
      <c r="I760" s="3">
        <v>80920</v>
      </c>
      <c r="J760" s="3">
        <v>108181.81818181818</v>
      </c>
      <c r="K760" s="25">
        <v>61496</v>
      </c>
      <c r="L760" s="25">
        <v>61496</v>
      </c>
      <c r="M760" t="s">
        <v>42</v>
      </c>
    </row>
    <row r="761" spans="1:13" x14ac:dyDescent="0.3">
      <c r="A761" t="s">
        <v>41</v>
      </c>
      <c r="B761">
        <v>20260210360781</v>
      </c>
      <c r="C761" t="s">
        <v>112</v>
      </c>
      <c r="D761">
        <v>58481090</v>
      </c>
      <c r="E761" s="16" t="s">
        <v>7</v>
      </c>
      <c r="F761" s="3">
        <v>1</v>
      </c>
      <c r="G761" s="3">
        <v>119000</v>
      </c>
      <c r="H761" s="3">
        <v>119000</v>
      </c>
      <c r="I761" s="3">
        <v>80920</v>
      </c>
      <c r="J761" s="3">
        <v>108181.81818181818</v>
      </c>
      <c r="K761" s="25">
        <v>61496</v>
      </c>
      <c r="L761" s="25">
        <v>61496</v>
      </c>
      <c r="M761" t="s">
        <v>42</v>
      </c>
    </row>
    <row r="762" spans="1:13" x14ac:dyDescent="0.3">
      <c r="A762" t="s">
        <v>41</v>
      </c>
      <c r="B762">
        <v>20260210361080</v>
      </c>
      <c r="C762" t="s">
        <v>112</v>
      </c>
      <c r="D762">
        <v>58481090</v>
      </c>
      <c r="E762" s="16" t="s">
        <v>7</v>
      </c>
      <c r="F762" s="3">
        <v>1</v>
      </c>
      <c r="G762" s="3">
        <v>119000</v>
      </c>
      <c r="H762" s="3">
        <v>119000</v>
      </c>
      <c r="I762" s="3">
        <v>80920</v>
      </c>
      <c r="J762" s="3">
        <v>108181.81818181818</v>
      </c>
      <c r="K762" s="25">
        <v>61496</v>
      </c>
      <c r="L762" s="25">
        <v>61496</v>
      </c>
      <c r="M762" t="s">
        <v>42</v>
      </c>
    </row>
    <row r="763" spans="1:13" x14ac:dyDescent="0.3">
      <c r="A763" t="s">
        <v>41</v>
      </c>
      <c r="B763">
        <v>20260210361198</v>
      </c>
      <c r="C763" t="s">
        <v>112</v>
      </c>
      <c r="D763">
        <v>58481090</v>
      </c>
      <c r="E763" s="16" t="s">
        <v>7</v>
      </c>
      <c r="F763" s="3">
        <v>1</v>
      </c>
      <c r="G763" s="3">
        <v>119000</v>
      </c>
      <c r="H763" s="3">
        <v>113050</v>
      </c>
      <c r="I763" s="3">
        <v>80920</v>
      </c>
      <c r="J763" s="3">
        <v>102772.72727272726</v>
      </c>
      <c r="K763" s="25">
        <v>61496</v>
      </c>
      <c r="L763" s="25">
        <v>61496</v>
      </c>
      <c r="M763" t="s">
        <v>42</v>
      </c>
    </row>
    <row r="764" spans="1:13" x14ac:dyDescent="0.3">
      <c r="A764" t="s">
        <v>41</v>
      </c>
      <c r="B764">
        <v>20260210361300</v>
      </c>
      <c r="C764" t="s">
        <v>112</v>
      </c>
      <c r="D764">
        <v>58481090</v>
      </c>
      <c r="E764" s="16" t="s">
        <v>7</v>
      </c>
      <c r="F764" s="3">
        <v>1</v>
      </c>
      <c r="G764" s="3">
        <v>119000</v>
      </c>
      <c r="H764" s="3">
        <v>113050</v>
      </c>
      <c r="I764" s="3">
        <v>80920</v>
      </c>
      <c r="J764" s="3">
        <v>102772.72727272726</v>
      </c>
      <c r="K764" s="25">
        <v>61496</v>
      </c>
      <c r="L764" s="25">
        <v>61496</v>
      </c>
      <c r="M764" t="s">
        <v>42</v>
      </c>
    </row>
    <row r="765" spans="1:13" x14ac:dyDescent="0.3">
      <c r="A765" t="s">
        <v>41</v>
      </c>
      <c r="B765">
        <v>20260210360466</v>
      </c>
      <c r="C765" t="s">
        <v>112</v>
      </c>
      <c r="D765">
        <v>58481090</v>
      </c>
      <c r="E765" s="16" t="s">
        <v>7</v>
      </c>
      <c r="F765" s="3">
        <v>1</v>
      </c>
      <c r="G765" s="3">
        <v>119000</v>
      </c>
      <c r="H765" s="3">
        <v>119000</v>
      </c>
      <c r="I765" s="3">
        <v>80920</v>
      </c>
      <c r="J765" s="3">
        <v>108181.81818181818</v>
      </c>
      <c r="K765" s="25">
        <v>61496</v>
      </c>
      <c r="L765" s="25">
        <v>61496</v>
      </c>
      <c r="M765" t="s">
        <v>42</v>
      </c>
    </row>
    <row r="766" spans="1:13" x14ac:dyDescent="0.3">
      <c r="A766" t="s">
        <v>41</v>
      </c>
      <c r="B766">
        <v>20260210360681</v>
      </c>
      <c r="C766" t="s">
        <v>112</v>
      </c>
      <c r="D766">
        <v>58481090</v>
      </c>
      <c r="E766" s="16" t="s">
        <v>7</v>
      </c>
      <c r="F766" s="3">
        <v>1</v>
      </c>
      <c r="G766" s="3">
        <v>119000</v>
      </c>
      <c r="H766" s="3">
        <v>113050</v>
      </c>
      <c r="I766" s="3">
        <v>80920</v>
      </c>
      <c r="J766" s="3">
        <v>102772.72727272726</v>
      </c>
      <c r="K766" s="25">
        <v>61496</v>
      </c>
      <c r="L766" s="25">
        <v>61496</v>
      </c>
      <c r="M766" t="s">
        <v>42</v>
      </c>
    </row>
    <row r="767" spans="1:13" x14ac:dyDescent="0.3">
      <c r="A767" t="s">
        <v>41</v>
      </c>
      <c r="B767">
        <v>20260210361731</v>
      </c>
      <c r="C767" t="s">
        <v>112</v>
      </c>
      <c r="D767">
        <v>58481090</v>
      </c>
      <c r="E767" s="16" t="s">
        <v>7</v>
      </c>
      <c r="F767" s="3">
        <v>1</v>
      </c>
      <c r="G767" s="3">
        <v>119000</v>
      </c>
      <c r="H767" s="3">
        <v>119000</v>
      </c>
      <c r="I767" s="3">
        <v>80920</v>
      </c>
      <c r="J767" s="3">
        <v>108181.81818181818</v>
      </c>
      <c r="K767" s="25">
        <v>61496</v>
      </c>
      <c r="L767" s="25">
        <v>61496</v>
      </c>
      <c r="M767" t="s">
        <v>42</v>
      </c>
    </row>
    <row r="768" spans="1:13" x14ac:dyDescent="0.3">
      <c r="A768" t="s">
        <v>41</v>
      </c>
      <c r="B768">
        <v>20260210361854</v>
      </c>
      <c r="C768" t="s">
        <v>112</v>
      </c>
      <c r="D768">
        <v>58481090</v>
      </c>
      <c r="E768" s="16" t="s">
        <v>7</v>
      </c>
      <c r="F768" s="3">
        <v>1</v>
      </c>
      <c r="G768" s="3">
        <v>119000</v>
      </c>
      <c r="H768" s="3">
        <v>119000</v>
      </c>
      <c r="I768" s="3">
        <v>80920</v>
      </c>
      <c r="J768" s="3">
        <v>108181.81818181818</v>
      </c>
      <c r="K768" s="25">
        <v>61496</v>
      </c>
      <c r="L768" s="25">
        <v>61496</v>
      </c>
      <c r="M768" t="s">
        <v>42</v>
      </c>
    </row>
    <row r="769" spans="1:13" x14ac:dyDescent="0.3">
      <c r="A769" t="s">
        <v>41</v>
      </c>
      <c r="B769">
        <v>20260210362118</v>
      </c>
      <c r="C769" t="s">
        <v>112</v>
      </c>
      <c r="D769">
        <v>58481090</v>
      </c>
      <c r="E769" s="16" t="s">
        <v>7</v>
      </c>
      <c r="F769" s="3">
        <v>1</v>
      </c>
      <c r="G769" s="3">
        <v>119000</v>
      </c>
      <c r="H769" s="3">
        <v>119000</v>
      </c>
      <c r="I769" s="3">
        <v>80920</v>
      </c>
      <c r="J769" s="3">
        <v>108181.81818181818</v>
      </c>
      <c r="K769" s="25">
        <v>61496</v>
      </c>
      <c r="L769" s="25">
        <v>61496</v>
      </c>
      <c r="M769" t="s">
        <v>42</v>
      </c>
    </row>
    <row r="770" spans="1:13" x14ac:dyDescent="0.3">
      <c r="A770" t="s">
        <v>41</v>
      </c>
      <c r="B770">
        <v>20260210360847</v>
      </c>
      <c r="C770" t="s">
        <v>112</v>
      </c>
      <c r="D770">
        <v>58481090</v>
      </c>
      <c r="E770" s="16" t="s">
        <v>7</v>
      </c>
      <c r="F770" s="3">
        <v>1</v>
      </c>
      <c r="G770" s="3">
        <v>119000</v>
      </c>
      <c r="H770" s="3">
        <v>119000</v>
      </c>
      <c r="I770" s="3">
        <v>80920</v>
      </c>
      <c r="J770" s="3">
        <v>108181.81818181818</v>
      </c>
      <c r="K770" s="25">
        <v>61496</v>
      </c>
      <c r="L770" s="25">
        <v>61496</v>
      </c>
      <c r="M770" t="s">
        <v>42</v>
      </c>
    </row>
    <row r="771" spans="1:13" x14ac:dyDescent="0.3">
      <c r="A771" t="s">
        <v>41</v>
      </c>
      <c r="B771">
        <v>20260210360648</v>
      </c>
      <c r="C771" t="s">
        <v>112</v>
      </c>
      <c r="D771">
        <v>58481090</v>
      </c>
      <c r="E771" s="16" t="s">
        <v>7</v>
      </c>
      <c r="F771" s="3">
        <v>1</v>
      </c>
      <c r="G771" s="3">
        <v>119000</v>
      </c>
      <c r="H771" s="3">
        <v>119000</v>
      </c>
      <c r="I771" s="3">
        <v>80920</v>
      </c>
      <c r="J771" s="3">
        <v>108181.81818181818</v>
      </c>
      <c r="K771" s="25">
        <v>61496</v>
      </c>
      <c r="L771" s="25">
        <v>61496</v>
      </c>
      <c r="M771" t="s">
        <v>42</v>
      </c>
    </row>
    <row r="772" spans="1:13" x14ac:dyDescent="0.3">
      <c r="A772" t="s">
        <v>41</v>
      </c>
      <c r="B772">
        <v>20260210360890</v>
      </c>
      <c r="C772" t="s">
        <v>112</v>
      </c>
      <c r="D772">
        <v>58481090</v>
      </c>
      <c r="E772" s="16" t="s">
        <v>7</v>
      </c>
      <c r="F772" s="3">
        <v>1</v>
      </c>
      <c r="G772" s="3">
        <v>119000</v>
      </c>
      <c r="H772" s="3">
        <v>119000</v>
      </c>
      <c r="I772" s="3">
        <v>80920</v>
      </c>
      <c r="J772" s="3">
        <v>108181.81818181818</v>
      </c>
      <c r="K772" s="25">
        <v>61496</v>
      </c>
      <c r="L772" s="25">
        <v>61496</v>
      </c>
      <c r="M772" t="s">
        <v>42</v>
      </c>
    </row>
    <row r="773" spans="1:13" x14ac:dyDescent="0.3">
      <c r="A773" t="s">
        <v>41</v>
      </c>
      <c r="B773">
        <v>20260210360922</v>
      </c>
      <c r="C773" t="s">
        <v>112</v>
      </c>
      <c r="D773">
        <v>58481090</v>
      </c>
      <c r="E773" s="16" t="s">
        <v>7</v>
      </c>
      <c r="F773" s="3">
        <v>1</v>
      </c>
      <c r="G773" s="3">
        <v>119000</v>
      </c>
      <c r="H773" s="3">
        <v>119000</v>
      </c>
      <c r="I773" s="3">
        <v>80920</v>
      </c>
      <c r="J773" s="3">
        <v>108181.81818181818</v>
      </c>
      <c r="K773" s="25">
        <v>61496</v>
      </c>
      <c r="L773" s="25">
        <v>61496</v>
      </c>
      <c r="M773" t="s">
        <v>42</v>
      </c>
    </row>
    <row r="774" spans="1:13" x14ac:dyDescent="0.3">
      <c r="A774" t="s">
        <v>41</v>
      </c>
      <c r="B774">
        <v>20260210361100</v>
      </c>
      <c r="C774" t="s">
        <v>112</v>
      </c>
      <c r="D774">
        <v>58481090</v>
      </c>
      <c r="E774" s="16" t="s">
        <v>7</v>
      </c>
      <c r="F774" s="3">
        <v>1</v>
      </c>
      <c r="G774" s="3">
        <v>119000</v>
      </c>
      <c r="H774" s="3">
        <v>119000</v>
      </c>
      <c r="I774" s="3">
        <v>80920</v>
      </c>
      <c r="J774" s="3">
        <v>108181.81818181818</v>
      </c>
      <c r="K774" s="25">
        <v>61496</v>
      </c>
      <c r="L774" s="25">
        <v>61496</v>
      </c>
      <c r="M774" t="s">
        <v>42</v>
      </c>
    </row>
    <row r="775" spans="1:13" x14ac:dyDescent="0.3">
      <c r="A775" t="s">
        <v>41</v>
      </c>
      <c r="B775">
        <v>20260210361163</v>
      </c>
      <c r="C775" t="s">
        <v>112</v>
      </c>
      <c r="D775">
        <v>58481090</v>
      </c>
      <c r="E775" s="16" t="s">
        <v>7</v>
      </c>
      <c r="F775" s="3">
        <v>1</v>
      </c>
      <c r="G775" s="3">
        <v>119000</v>
      </c>
      <c r="H775" s="3">
        <v>119000</v>
      </c>
      <c r="I775" s="3">
        <v>80920</v>
      </c>
      <c r="J775" s="3">
        <v>108181.81818181818</v>
      </c>
      <c r="K775" s="25">
        <v>61496</v>
      </c>
      <c r="L775" s="25">
        <v>61496</v>
      </c>
      <c r="M775" t="s">
        <v>42</v>
      </c>
    </row>
    <row r="776" spans="1:13" x14ac:dyDescent="0.3">
      <c r="A776" t="s">
        <v>41</v>
      </c>
      <c r="B776">
        <v>20260210360249</v>
      </c>
      <c r="C776" t="s">
        <v>112</v>
      </c>
      <c r="D776">
        <v>58481090</v>
      </c>
      <c r="E776" s="16" t="s">
        <v>7</v>
      </c>
      <c r="F776" s="3">
        <v>1</v>
      </c>
      <c r="G776" s="3">
        <v>119000</v>
      </c>
      <c r="H776" s="3">
        <v>119000</v>
      </c>
      <c r="I776" s="3">
        <v>80920</v>
      </c>
      <c r="J776" s="3">
        <v>108181.81818181818</v>
      </c>
      <c r="K776" s="25">
        <v>61496</v>
      </c>
      <c r="L776" s="25">
        <v>61496</v>
      </c>
      <c r="M776" t="s">
        <v>42</v>
      </c>
    </row>
    <row r="777" spans="1:13" x14ac:dyDescent="0.3">
      <c r="A777" t="s">
        <v>41</v>
      </c>
      <c r="B777">
        <v>20260210360429</v>
      </c>
      <c r="C777" t="s">
        <v>112</v>
      </c>
      <c r="D777">
        <v>58481090</v>
      </c>
      <c r="E777" s="16" t="s">
        <v>7</v>
      </c>
      <c r="F777" s="3">
        <v>1</v>
      </c>
      <c r="G777" s="3">
        <v>119000</v>
      </c>
      <c r="H777" s="3">
        <v>119000</v>
      </c>
      <c r="I777" s="3">
        <v>80920</v>
      </c>
      <c r="J777" s="3">
        <v>108181.81818181818</v>
      </c>
      <c r="K777" s="25">
        <v>61496</v>
      </c>
      <c r="L777" s="25">
        <v>61496</v>
      </c>
      <c r="M777" t="s">
        <v>42</v>
      </c>
    </row>
    <row r="778" spans="1:13" x14ac:dyDescent="0.3">
      <c r="A778" t="s">
        <v>41</v>
      </c>
      <c r="B778">
        <v>20260210361277</v>
      </c>
      <c r="C778" t="s">
        <v>112</v>
      </c>
      <c r="D778">
        <v>58481090</v>
      </c>
      <c r="E778" s="16" t="s">
        <v>7</v>
      </c>
      <c r="F778" s="3">
        <v>1</v>
      </c>
      <c r="G778" s="3">
        <v>119000</v>
      </c>
      <c r="H778" s="3">
        <v>119000</v>
      </c>
      <c r="I778" s="3">
        <v>80920</v>
      </c>
      <c r="J778" s="3">
        <v>108181.81818181818</v>
      </c>
      <c r="K778" s="25">
        <v>61496</v>
      </c>
      <c r="L778" s="25">
        <v>61496</v>
      </c>
      <c r="M778" t="s">
        <v>42</v>
      </c>
    </row>
    <row r="779" spans="1:13" x14ac:dyDescent="0.3">
      <c r="A779" t="s">
        <v>41</v>
      </c>
      <c r="B779">
        <v>20260210361301</v>
      </c>
      <c r="C779" t="s">
        <v>112</v>
      </c>
      <c r="D779">
        <v>58481090</v>
      </c>
      <c r="E779" s="16" t="s">
        <v>7</v>
      </c>
      <c r="F779" s="3">
        <v>1</v>
      </c>
      <c r="G779" s="3">
        <v>119000</v>
      </c>
      <c r="H779" s="3">
        <v>119000</v>
      </c>
      <c r="I779" s="3">
        <v>80920</v>
      </c>
      <c r="J779" s="3">
        <v>108181.81818181818</v>
      </c>
      <c r="K779" s="25">
        <v>61496</v>
      </c>
      <c r="L779" s="25">
        <v>61496</v>
      </c>
      <c r="M779" t="s">
        <v>42</v>
      </c>
    </row>
    <row r="780" spans="1:13" x14ac:dyDescent="0.3">
      <c r="A780" t="s">
        <v>41</v>
      </c>
      <c r="B780">
        <v>20260210360542</v>
      </c>
      <c r="C780" t="s">
        <v>112</v>
      </c>
      <c r="D780">
        <v>58481090</v>
      </c>
      <c r="E780" s="16" t="s">
        <v>7</v>
      </c>
      <c r="F780" s="3">
        <v>1</v>
      </c>
      <c r="G780" s="3">
        <v>119000</v>
      </c>
      <c r="H780" s="3">
        <v>119000</v>
      </c>
      <c r="I780" s="3">
        <v>80920</v>
      </c>
      <c r="J780" s="3">
        <v>108181.81818181818</v>
      </c>
      <c r="K780" s="25">
        <v>61496</v>
      </c>
      <c r="L780" s="25">
        <v>61496</v>
      </c>
      <c r="M780" t="s">
        <v>42</v>
      </c>
    </row>
    <row r="781" spans="1:13" x14ac:dyDescent="0.3">
      <c r="A781" t="s">
        <v>41</v>
      </c>
      <c r="B781">
        <v>20260210361360</v>
      </c>
      <c r="C781" t="s">
        <v>112</v>
      </c>
      <c r="D781">
        <v>58481090</v>
      </c>
      <c r="E781" s="16" t="s">
        <v>7</v>
      </c>
      <c r="F781" s="3">
        <v>1</v>
      </c>
      <c r="G781" s="3">
        <v>119000</v>
      </c>
      <c r="H781" s="3">
        <v>119000</v>
      </c>
      <c r="I781" s="3">
        <v>80920</v>
      </c>
      <c r="J781" s="3">
        <v>108181.81818181818</v>
      </c>
      <c r="K781" s="25">
        <v>61496</v>
      </c>
      <c r="L781" s="25">
        <v>61496</v>
      </c>
      <c r="M781" t="s">
        <v>42</v>
      </c>
    </row>
    <row r="782" spans="1:13" x14ac:dyDescent="0.3">
      <c r="A782" t="s">
        <v>41</v>
      </c>
      <c r="B782">
        <v>20260210361536</v>
      </c>
      <c r="C782" t="s">
        <v>112</v>
      </c>
      <c r="D782">
        <v>58481090</v>
      </c>
      <c r="E782" s="16" t="s">
        <v>7</v>
      </c>
      <c r="F782" s="3">
        <v>1</v>
      </c>
      <c r="G782" s="3">
        <v>119000</v>
      </c>
      <c r="H782" s="3">
        <v>119000</v>
      </c>
      <c r="I782" s="3">
        <v>80920</v>
      </c>
      <c r="J782" s="3">
        <v>108181.81818181818</v>
      </c>
      <c r="K782" s="25">
        <v>61496</v>
      </c>
      <c r="L782" s="25">
        <v>61496</v>
      </c>
      <c r="M782" t="s">
        <v>42</v>
      </c>
    </row>
    <row r="783" spans="1:13" x14ac:dyDescent="0.3">
      <c r="A783" t="s">
        <v>41</v>
      </c>
      <c r="B783">
        <v>20260210361726</v>
      </c>
      <c r="C783" t="s">
        <v>112</v>
      </c>
      <c r="D783">
        <v>58481090</v>
      </c>
      <c r="E783" s="16" t="s">
        <v>7</v>
      </c>
      <c r="F783" s="3">
        <v>1</v>
      </c>
      <c r="G783" s="3">
        <v>119000</v>
      </c>
      <c r="H783" s="3">
        <v>119000</v>
      </c>
      <c r="I783" s="3">
        <v>80920</v>
      </c>
      <c r="J783" s="3">
        <v>108181.81818181818</v>
      </c>
      <c r="K783" s="25">
        <v>61496</v>
      </c>
      <c r="L783" s="25">
        <v>61496</v>
      </c>
      <c r="M783" t="s">
        <v>42</v>
      </c>
    </row>
    <row r="784" spans="1:13" x14ac:dyDescent="0.3">
      <c r="A784" t="s">
        <v>41</v>
      </c>
      <c r="B784">
        <v>20260210361322</v>
      </c>
      <c r="C784" t="s">
        <v>112</v>
      </c>
      <c r="D784">
        <v>58481090</v>
      </c>
      <c r="E784" s="16" t="s">
        <v>7</v>
      </c>
      <c r="F784" s="3">
        <v>1</v>
      </c>
      <c r="G784" s="3">
        <v>119000</v>
      </c>
      <c r="H784" s="3">
        <v>119000</v>
      </c>
      <c r="I784" s="3">
        <v>80920</v>
      </c>
      <c r="J784" s="3">
        <v>108181.81818181818</v>
      </c>
      <c r="K784" s="25">
        <v>61496</v>
      </c>
      <c r="L784" s="25">
        <v>61496</v>
      </c>
      <c r="M784" t="s">
        <v>42</v>
      </c>
    </row>
    <row r="785" spans="1:13" x14ac:dyDescent="0.3">
      <c r="A785" t="s">
        <v>41</v>
      </c>
      <c r="B785">
        <v>20260210361734</v>
      </c>
      <c r="C785" t="s">
        <v>112</v>
      </c>
      <c r="D785">
        <v>58481090</v>
      </c>
      <c r="E785" s="16" t="s">
        <v>7</v>
      </c>
      <c r="F785" s="3">
        <v>1</v>
      </c>
      <c r="G785" s="3">
        <v>119000</v>
      </c>
      <c r="H785" s="3">
        <v>119000</v>
      </c>
      <c r="I785" s="3">
        <v>80920</v>
      </c>
      <c r="J785" s="3">
        <v>108181.81818181818</v>
      </c>
      <c r="K785" s="25">
        <v>61496</v>
      </c>
      <c r="L785" s="25">
        <v>61496</v>
      </c>
      <c r="M785" t="s">
        <v>42</v>
      </c>
    </row>
    <row r="786" spans="1:13" x14ac:dyDescent="0.3">
      <c r="A786" t="s">
        <v>41</v>
      </c>
      <c r="B786">
        <v>20260210361697</v>
      </c>
      <c r="C786" t="s">
        <v>112</v>
      </c>
      <c r="D786">
        <v>58481090</v>
      </c>
      <c r="E786" s="16" t="s">
        <v>7</v>
      </c>
      <c r="F786" s="3">
        <v>1</v>
      </c>
      <c r="G786" s="3">
        <v>119000</v>
      </c>
      <c r="H786" s="3">
        <v>119000</v>
      </c>
      <c r="I786" s="3">
        <v>80920</v>
      </c>
      <c r="J786" s="3">
        <v>108181.81818181818</v>
      </c>
      <c r="K786" s="25">
        <v>61496</v>
      </c>
      <c r="L786" s="25">
        <v>61496</v>
      </c>
      <c r="M786" t="s">
        <v>42</v>
      </c>
    </row>
    <row r="787" spans="1:13" x14ac:dyDescent="0.3">
      <c r="A787" t="s">
        <v>41</v>
      </c>
      <c r="B787">
        <v>20260210361959</v>
      </c>
      <c r="C787" t="s">
        <v>112</v>
      </c>
      <c r="D787">
        <v>58481090</v>
      </c>
      <c r="E787" s="16" t="s">
        <v>7</v>
      </c>
      <c r="F787" s="3">
        <v>1</v>
      </c>
      <c r="G787" s="3">
        <v>119000</v>
      </c>
      <c r="H787" s="3">
        <v>119000</v>
      </c>
      <c r="I787" s="3">
        <v>80920</v>
      </c>
      <c r="J787" s="3">
        <v>108181.81818181818</v>
      </c>
      <c r="K787" s="25">
        <v>61496</v>
      </c>
      <c r="L787" s="25">
        <v>61496</v>
      </c>
      <c r="M787" t="s">
        <v>42</v>
      </c>
    </row>
    <row r="788" spans="1:13" x14ac:dyDescent="0.3">
      <c r="A788" t="s">
        <v>41</v>
      </c>
      <c r="B788">
        <v>20260210361974</v>
      </c>
      <c r="C788" t="s">
        <v>112</v>
      </c>
      <c r="D788">
        <v>58481090</v>
      </c>
      <c r="E788" s="16" t="s">
        <v>7</v>
      </c>
      <c r="F788" s="3">
        <v>1</v>
      </c>
      <c r="G788" s="3">
        <v>119000</v>
      </c>
      <c r="H788" s="3">
        <v>119000</v>
      </c>
      <c r="I788" s="3">
        <v>80920</v>
      </c>
      <c r="J788" s="3">
        <v>108181.81818181818</v>
      </c>
      <c r="K788" s="25">
        <v>61496</v>
      </c>
      <c r="L788" s="25">
        <v>61496</v>
      </c>
      <c r="M788" t="s">
        <v>42</v>
      </c>
    </row>
    <row r="789" spans="1:13" x14ac:dyDescent="0.3">
      <c r="A789" t="s">
        <v>41</v>
      </c>
      <c r="B789">
        <v>20260210362007</v>
      </c>
      <c r="C789" t="s">
        <v>112</v>
      </c>
      <c r="D789">
        <v>58481090</v>
      </c>
      <c r="E789" s="16" t="s">
        <v>7</v>
      </c>
      <c r="F789" s="3">
        <v>1</v>
      </c>
      <c r="G789" s="3">
        <v>119000</v>
      </c>
      <c r="H789" s="3">
        <v>119000</v>
      </c>
      <c r="I789" s="3">
        <v>80920</v>
      </c>
      <c r="J789" s="3">
        <v>108181.81818181818</v>
      </c>
      <c r="K789" s="25">
        <v>61496</v>
      </c>
      <c r="L789" s="25">
        <v>61496</v>
      </c>
      <c r="M789" t="s">
        <v>42</v>
      </c>
    </row>
    <row r="790" spans="1:13" x14ac:dyDescent="0.3">
      <c r="A790" t="s">
        <v>41</v>
      </c>
      <c r="B790">
        <v>20260210360828</v>
      </c>
      <c r="C790" t="s">
        <v>112</v>
      </c>
      <c r="D790">
        <v>58481090</v>
      </c>
      <c r="E790" s="16" t="s">
        <v>7</v>
      </c>
      <c r="F790" s="3">
        <v>1</v>
      </c>
      <c r="G790" s="3">
        <v>119000</v>
      </c>
      <c r="H790" s="3">
        <v>113050</v>
      </c>
      <c r="I790" s="3">
        <v>80920</v>
      </c>
      <c r="J790" s="3">
        <v>102772.72727272726</v>
      </c>
      <c r="K790" s="25">
        <v>61496</v>
      </c>
      <c r="L790" s="25">
        <v>61496</v>
      </c>
      <c r="M790" t="s">
        <v>42</v>
      </c>
    </row>
    <row r="791" spans="1:13" x14ac:dyDescent="0.3">
      <c r="A791" t="s">
        <v>41</v>
      </c>
      <c r="B791">
        <v>20260210360893</v>
      </c>
      <c r="C791" t="s">
        <v>112</v>
      </c>
      <c r="D791">
        <v>58481090</v>
      </c>
      <c r="E791" s="16" t="s">
        <v>7</v>
      </c>
      <c r="F791" s="3">
        <v>1</v>
      </c>
      <c r="G791" s="3">
        <v>119000</v>
      </c>
      <c r="H791" s="3">
        <v>119000</v>
      </c>
      <c r="I791" s="3">
        <v>80920</v>
      </c>
      <c r="J791" s="3">
        <v>108181.81818181818</v>
      </c>
      <c r="K791" s="25">
        <v>61496</v>
      </c>
      <c r="L791" s="25">
        <v>61496</v>
      </c>
      <c r="M791" t="s">
        <v>42</v>
      </c>
    </row>
    <row r="792" spans="1:13" x14ac:dyDescent="0.3">
      <c r="A792" t="s">
        <v>41</v>
      </c>
      <c r="B792">
        <v>20260210360092</v>
      </c>
      <c r="C792" t="s">
        <v>112</v>
      </c>
      <c r="D792">
        <v>58481090</v>
      </c>
      <c r="E792" s="16" t="s">
        <v>7</v>
      </c>
      <c r="F792" s="3">
        <v>1</v>
      </c>
      <c r="G792" s="3">
        <v>119000</v>
      </c>
      <c r="H792" s="3">
        <v>119000</v>
      </c>
      <c r="I792" s="3">
        <v>80920</v>
      </c>
      <c r="J792" s="3">
        <v>108181.81818181818</v>
      </c>
      <c r="K792" s="25">
        <v>61496</v>
      </c>
      <c r="L792" s="25">
        <v>61496</v>
      </c>
      <c r="M792" t="s">
        <v>42</v>
      </c>
    </row>
    <row r="793" spans="1:13" x14ac:dyDescent="0.3">
      <c r="A793" t="s">
        <v>41</v>
      </c>
      <c r="B793">
        <v>20260210360272</v>
      </c>
      <c r="C793" t="s">
        <v>112</v>
      </c>
      <c r="D793">
        <v>58481090</v>
      </c>
      <c r="E793" s="16" t="s">
        <v>7</v>
      </c>
      <c r="F793" s="3">
        <v>1</v>
      </c>
      <c r="G793" s="3">
        <v>119000</v>
      </c>
      <c r="H793" s="3">
        <v>119000</v>
      </c>
      <c r="I793" s="3">
        <v>80920</v>
      </c>
      <c r="J793" s="3">
        <v>108181.81818181818</v>
      </c>
      <c r="K793" s="25">
        <v>61496</v>
      </c>
      <c r="L793" s="25">
        <v>61496</v>
      </c>
      <c r="M793" t="s">
        <v>42</v>
      </c>
    </row>
    <row r="794" spans="1:13" x14ac:dyDescent="0.3">
      <c r="A794" t="s">
        <v>41</v>
      </c>
      <c r="B794">
        <v>20260210361097</v>
      </c>
      <c r="C794" t="s">
        <v>112</v>
      </c>
      <c r="D794">
        <v>58481090</v>
      </c>
      <c r="E794" s="16" t="s">
        <v>7</v>
      </c>
      <c r="F794" s="3">
        <v>1</v>
      </c>
      <c r="G794" s="3">
        <v>119000</v>
      </c>
      <c r="H794" s="3">
        <v>113050</v>
      </c>
      <c r="I794" s="3">
        <v>80920</v>
      </c>
      <c r="J794" s="3">
        <v>102772.72727272726</v>
      </c>
      <c r="K794" s="25">
        <v>61496</v>
      </c>
      <c r="L794" s="25">
        <v>61496</v>
      </c>
      <c r="M794" t="s">
        <v>42</v>
      </c>
    </row>
    <row r="795" spans="1:13" x14ac:dyDescent="0.3">
      <c r="A795" t="s">
        <v>41</v>
      </c>
      <c r="B795">
        <v>20260210360282</v>
      </c>
      <c r="C795" t="s">
        <v>112</v>
      </c>
      <c r="D795">
        <v>58481090</v>
      </c>
      <c r="E795" s="16" t="s">
        <v>7</v>
      </c>
      <c r="F795" s="3">
        <v>1</v>
      </c>
      <c r="G795" s="3">
        <v>119000</v>
      </c>
      <c r="H795" s="3">
        <v>119000</v>
      </c>
      <c r="I795" s="3">
        <v>80920</v>
      </c>
      <c r="J795" s="3">
        <v>108181.81818181818</v>
      </c>
      <c r="K795" s="25">
        <v>61496</v>
      </c>
      <c r="L795" s="25">
        <v>61496</v>
      </c>
      <c r="M795" t="s">
        <v>42</v>
      </c>
    </row>
    <row r="796" spans="1:13" x14ac:dyDescent="0.3">
      <c r="A796" t="s">
        <v>41</v>
      </c>
      <c r="B796">
        <v>20260210361403</v>
      </c>
      <c r="C796" t="s">
        <v>112</v>
      </c>
      <c r="D796">
        <v>58481090</v>
      </c>
      <c r="E796" s="16" t="s">
        <v>7</v>
      </c>
      <c r="F796" s="3">
        <v>1</v>
      </c>
      <c r="G796" s="3">
        <v>119000</v>
      </c>
      <c r="H796" s="3">
        <v>119000</v>
      </c>
      <c r="I796" s="3">
        <v>80920</v>
      </c>
      <c r="J796" s="3">
        <v>108181.81818181818</v>
      </c>
      <c r="K796" s="25">
        <v>61496</v>
      </c>
      <c r="L796" s="25">
        <v>61496</v>
      </c>
      <c r="M796" t="s">
        <v>42</v>
      </c>
    </row>
    <row r="797" spans="1:13" x14ac:dyDescent="0.3">
      <c r="A797" t="s">
        <v>41</v>
      </c>
      <c r="B797">
        <v>20260210360433</v>
      </c>
      <c r="C797" t="s">
        <v>112</v>
      </c>
      <c r="D797">
        <v>58481090</v>
      </c>
      <c r="E797" s="16" t="s">
        <v>7</v>
      </c>
      <c r="F797" s="3">
        <v>1</v>
      </c>
      <c r="G797" s="3">
        <v>119000</v>
      </c>
      <c r="H797" s="3">
        <v>119000</v>
      </c>
      <c r="I797" s="3">
        <v>80920</v>
      </c>
      <c r="J797" s="3">
        <v>108181.81818181818</v>
      </c>
      <c r="K797" s="25">
        <v>61496</v>
      </c>
      <c r="L797" s="25">
        <v>61496</v>
      </c>
      <c r="M797" t="s">
        <v>42</v>
      </c>
    </row>
    <row r="798" spans="1:13" x14ac:dyDescent="0.3">
      <c r="A798" t="s">
        <v>41</v>
      </c>
      <c r="B798">
        <v>20260210361474</v>
      </c>
      <c r="C798" t="s">
        <v>112</v>
      </c>
      <c r="D798">
        <v>58481090</v>
      </c>
      <c r="E798" s="16" t="s">
        <v>7</v>
      </c>
      <c r="F798" s="3">
        <v>1</v>
      </c>
      <c r="G798" s="3">
        <v>119000</v>
      </c>
      <c r="H798" s="3">
        <v>119000</v>
      </c>
      <c r="I798" s="3">
        <v>80920</v>
      </c>
      <c r="J798" s="3">
        <v>108181.81818181818</v>
      </c>
      <c r="K798" s="25">
        <v>61496</v>
      </c>
      <c r="L798" s="25">
        <v>61496</v>
      </c>
      <c r="M798" t="s">
        <v>42</v>
      </c>
    </row>
    <row r="799" spans="1:13" x14ac:dyDescent="0.3">
      <c r="A799" t="s">
        <v>41</v>
      </c>
      <c r="B799">
        <v>20260210360656</v>
      </c>
      <c r="C799" t="s">
        <v>112</v>
      </c>
      <c r="D799">
        <v>58481090</v>
      </c>
      <c r="E799" s="16" t="s">
        <v>7</v>
      </c>
      <c r="F799" s="3">
        <v>1</v>
      </c>
      <c r="G799" s="3">
        <v>119000</v>
      </c>
      <c r="H799" s="3">
        <v>98770</v>
      </c>
      <c r="I799" s="3">
        <v>80920</v>
      </c>
      <c r="J799" s="3">
        <v>89790.909090909088</v>
      </c>
      <c r="K799" s="25">
        <v>61496</v>
      </c>
      <c r="L799" s="25">
        <v>61496</v>
      </c>
      <c r="M799" t="s">
        <v>42</v>
      </c>
    </row>
    <row r="800" spans="1:13" x14ac:dyDescent="0.3">
      <c r="A800" t="s">
        <v>41</v>
      </c>
      <c r="B800">
        <v>20260210361500</v>
      </c>
      <c r="C800" t="s">
        <v>112</v>
      </c>
      <c r="D800">
        <v>58481090</v>
      </c>
      <c r="E800" s="16" t="s">
        <v>7</v>
      </c>
      <c r="F800" s="3">
        <v>1</v>
      </c>
      <c r="G800" s="3">
        <v>119000</v>
      </c>
      <c r="H800" s="3">
        <v>119000</v>
      </c>
      <c r="I800" s="3">
        <v>80920</v>
      </c>
      <c r="J800" s="3">
        <v>108181.81818181818</v>
      </c>
      <c r="K800" s="25">
        <v>61496</v>
      </c>
      <c r="L800" s="25">
        <v>61496</v>
      </c>
      <c r="M800" t="s">
        <v>42</v>
      </c>
    </row>
    <row r="801" spans="1:13" x14ac:dyDescent="0.3">
      <c r="A801" t="s">
        <v>41</v>
      </c>
      <c r="B801">
        <v>20260210360722</v>
      </c>
      <c r="C801" t="s">
        <v>112</v>
      </c>
      <c r="D801">
        <v>58481090</v>
      </c>
      <c r="E801" s="16" t="s">
        <v>7</v>
      </c>
      <c r="F801" s="3">
        <v>1</v>
      </c>
      <c r="G801" s="3">
        <v>119000</v>
      </c>
      <c r="H801" s="3">
        <v>113050</v>
      </c>
      <c r="I801" s="3">
        <v>80920</v>
      </c>
      <c r="J801" s="3">
        <v>102772.72727272726</v>
      </c>
      <c r="K801" s="25">
        <v>61496</v>
      </c>
      <c r="L801" s="25">
        <v>61496</v>
      </c>
      <c r="M801" t="s">
        <v>42</v>
      </c>
    </row>
    <row r="802" spans="1:13" x14ac:dyDescent="0.3">
      <c r="A802" t="s">
        <v>41</v>
      </c>
      <c r="B802">
        <v>20260210361757</v>
      </c>
      <c r="C802" t="s">
        <v>112</v>
      </c>
      <c r="D802">
        <v>58481090</v>
      </c>
      <c r="E802" s="16" t="s">
        <v>7</v>
      </c>
      <c r="F802" s="3">
        <v>1</v>
      </c>
      <c r="G802" s="3">
        <v>119000</v>
      </c>
      <c r="H802" s="3">
        <v>119000</v>
      </c>
      <c r="I802" s="3">
        <v>80920</v>
      </c>
      <c r="J802" s="3">
        <v>108181.81818181818</v>
      </c>
      <c r="K802" s="25">
        <v>61496</v>
      </c>
      <c r="L802" s="25">
        <v>61496</v>
      </c>
      <c r="M802" t="s">
        <v>42</v>
      </c>
    </row>
    <row r="803" spans="1:13" x14ac:dyDescent="0.3">
      <c r="A803" t="s">
        <v>41</v>
      </c>
      <c r="B803">
        <v>20260210360526</v>
      </c>
      <c r="C803" t="s">
        <v>112</v>
      </c>
      <c r="D803">
        <v>58481090</v>
      </c>
      <c r="E803" s="16" t="s">
        <v>7</v>
      </c>
      <c r="F803" s="3">
        <v>1</v>
      </c>
      <c r="G803" s="3">
        <v>119000</v>
      </c>
      <c r="H803" s="3">
        <v>119000</v>
      </c>
      <c r="I803" s="3">
        <v>80920</v>
      </c>
      <c r="J803" s="3">
        <v>108181.81818181818</v>
      </c>
      <c r="K803" s="25">
        <v>61496</v>
      </c>
      <c r="L803" s="25">
        <v>61496</v>
      </c>
      <c r="M803" t="s">
        <v>42</v>
      </c>
    </row>
    <row r="804" spans="1:13" x14ac:dyDescent="0.3">
      <c r="A804" t="s">
        <v>41</v>
      </c>
      <c r="B804">
        <v>20260210361758</v>
      </c>
      <c r="C804" t="s">
        <v>112</v>
      </c>
      <c r="D804">
        <v>58481090</v>
      </c>
      <c r="E804" s="16" t="s">
        <v>7</v>
      </c>
      <c r="F804" s="3">
        <v>1</v>
      </c>
      <c r="G804" s="3">
        <v>119000</v>
      </c>
      <c r="H804" s="3">
        <v>119000</v>
      </c>
      <c r="I804" s="3">
        <v>80920</v>
      </c>
      <c r="J804" s="3">
        <v>108181.81818181818</v>
      </c>
      <c r="K804" s="25">
        <v>61496</v>
      </c>
      <c r="L804" s="25">
        <v>61496</v>
      </c>
      <c r="M804" t="s">
        <v>42</v>
      </c>
    </row>
    <row r="805" spans="1:13" x14ac:dyDescent="0.3">
      <c r="A805" t="s">
        <v>41</v>
      </c>
      <c r="B805">
        <v>20260210361268</v>
      </c>
      <c r="C805" t="s">
        <v>112</v>
      </c>
      <c r="D805">
        <v>58481090</v>
      </c>
      <c r="E805" s="16" t="s">
        <v>7</v>
      </c>
      <c r="F805" s="3">
        <v>1</v>
      </c>
      <c r="G805" s="3">
        <v>119000</v>
      </c>
      <c r="H805" s="3">
        <v>119000</v>
      </c>
      <c r="I805" s="3">
        <v>80920</v>
      </c>
      <c r="J805" s="3">
        <v>108181.81818181818</v>
      </c>
      <c r="K805" s="25">
        <v>61496</v>
      </c>
      <c r="L805" s="25">
        <v>61496</v>
      </c>
      <c r="M805" t="s">
        <v>42</v>
      </c>
    </row>
    <row r="806" spans="1:13" x14ac:dyDescent="0.3">
      <c r="A806" t="s">
        <v>41</v>
      </c>
      <c r="B806">
        <v>20260210361522</v>
      </c>
      <c r="C806" t="s">
        <v>112</v>
      </c>
      <c r="D806">
        <v>58481090</v>
      </c>
      <c r="E806" s="16" t="s">
        <v>7</v>
      </c>
      <c r="F806" s="3">
        <v>1</v>
      </c>
      <c r="G806" s="3">
        <v>119000</v>
      </c>
      <c r="H806" s="3">
        <v>119000</v>
      </c>
      <c r="I806" s="3">
        <v>80920</v>
      </c>
      <c r="J806" s="3">
        <v>108181.81818181818</v>
      </c>
      <c r="K806" s="25">
        <v>61496</v>
      </c>
      <c r="L806" s="25">
        <v>61496</v>
      </c>
      <c r="M806" t="s">
        <v>42</v>
      </c>
    </row>
    <row r="807" spans="1:13" x14ac:dyDescent="0.3">
      <c r="A807" t="s">
        <v>41</v>
      </c>
      <c r="B807">
        <v>20260210362264</v>
      </c>
      <c r="C807" t="s">
        <v>112</v>
      </c>
      <c r="D807">
        <v>58481090</v>
      </c>
      <c r="E807" s="16" t="s">
        <v>7</v>
      </c>
      <c r="F807" s="3">
        <v>1</v>
      </c>
      <c r="G807" s="3">
        <v>119000</v>
      </c>
      <c r="H807" s="3">
        <v>113050</v>
      </c>
      <c r="I807" s="3">
        <v>80920</v>
      </c>
      <c r="J807" s="3">
        <v>102772.72727272726</v>
      </c>
      <c r="K807" s="25">
        <v>61496</v>
      </c>
      <c r="L807" s="25">
        <v>61496</v>
      </c>
      <c r="M807" t="s">
        <v>42</v>
      </c>
    </row>
    <row r="808" spans="1:13" x14ac:dyDescent="0.3">
      <c r="A808" t="s">
        <v>41</v>
      </c>
      <c r="B808">
        <v>20260210360898</v>
      </c>
      <c r="C808" t="s">
        <v>112</v>
      </c>
      <c r="D808">
        <v>58481090</v>
      </c>
      <c r="E808" s="16" t="s">
        <v>7</v>
      </c>
      <c r="F808" s="3">
        <v>1</v>
      </c>
      <c r="G808" s="3">
        <v>119000</v>
      </c>
      <c r="H808" s="3">
        <v>119000</v>
      </c>
      <c r="I808" s="3">
        <v>80920</v>
      </c>
      <c r="J808" s="3">
        <v>108181.81818181818</v>
      </c>
      <c r="K808" s="25">
        <v>61496</v>
      </c>
      <c r="L808" s="25">
        <v>61496</v>
      </c>
      <c r="M808" t="s">
        <v>42</v>
      </c>
    </row>
    <row r="809" spans="1:13" x14ac:dyDescent="0.3">
      <c r="A809" t="s">
        <v>41</v>
      </c>
      <c r="B809">
        <v>20260210360968</v>
      </c>
      <c r="C809" t="s">
        <v>112</v>
      </c>
      <c r="D809">
        <v>58481090</v>
      </c>
      <c r="E809" s="16" t="s">
        <v>7</v>
      </c>
      <c r="F809" s="3">
        <v>1</v>
      </c>
      <c r="G809" s="3">
        <v>119000</v>
      </c>
      <c r="H809" s="3">
        <v>119000</v>
      </c>
      <c r="I809" s="3">
        <v>80920</v>
      </c>
      <c r="J809" s="3">
        <v>108181.81818181818</v>
      </c>
      <c r="K809" s="25">
        <v>61496</v>
      </c>
      <c r="L809" s="25">
        <v>61496</v>
      </c>
      <c r="M809" t="s">
        <v>42</v>
      </c>
    </row>
    <row r="810" spans="1:13" x14ac:dyDescent="0.3">
      <c r="A810" t="s">
        <v>41</v>
      </c>
      <c r="B810">
        <v>20260210361315</v>
      </c>
      <c r="C810" t="s">
        <v>112</v>
      </c>
      <c r="D810">
        <v>58481090</v>
      </c>
      <c r="E810" s="16" t="s">
        <v>7</v>
      </c>
      <c r="F810" s="3">
        <v>1</v>
      </c>
      <c r="G810" s="3">
        <v>119000</v>
      </c>
      <c r="H810" s="3">
        <v>119000</v>
      </c>
      <c r="I810" s="3">
        <v>80920</v>
      </c>
      <c r="J810" s="3">
        <v>108181.81818181818</v>
      </c>
      <c r="K810" s="25">
        <v>61496</v>
      </c>
      <c r="L810" s="25">
        <v>61496</v>
      </c>
      <c r="M810" t="s">
        <v>42</v>
      </c>
    </row>
    <row r="811" spans="1:13" x14ac:dyDescent="0.3">
      <c r="A811" t="s">
        <v>41</v>
      </c>
      <c r="B811">
        <v>20260210364732</v>
      </c>
      <c r="C811" t="s">
        <v>112</v>
      </c>
      <c r="D811">
        <v>58481090</v>
      </c>
      <c r="E811" s="16" t="s">
        <v>7</v>
      </c>
      <c r="F811" s="3">
        <v>1</v>
      </c>
      <c r="G811" s="3">
        <v>119000</v>
      </c>
      <c r="H811" s="3">
        <v>113050</v>
      </c>
      <c r="I811" s="3">
        <v>80920</v>
      </c>
      <c r="J811" s="3">
        <v>102772.72727272726</v>
      </c>
      <c r="K811" s="25">
        <v>61496</v>
      </c>
      <c r="L811" s="25">
        <v>61496</v>
      </c>
      <c r="M811" t="s">
        <v>42</v>
      </c>
    </row>
    <row r="812" spans="1:13" x14ac:dyDescent="0.3">
      <c r="A812" t="s">
        <v>41</v>
      </c>
      <c r="B812">
        <v>20260210361752</v>
      </c>
      <c r="C812" t="s">
        <v>112</v>
      </c>
      <c r="D812">
        <v>58481090</v>
      </c>
      <c r="E812" s="16" t="s">
        <v>7</v>
      </c>
      <c r="F812" s="3">
        <v>1</v>
      </c>
      <c r="G812" s="3">
        <v>119000</v>
      </c>
      <c r="H812" s="3">
        <v>119000</v>
      </c>
      <c r="I812" s="3">
        <v>80920</v>
      </c>
      <c r="J812" s="3">
        <v>108181.81818181818</v>
      </c>
      <c r="K812" s="25">
        <v>61496</v>
      </c>
      <c r="L812" s="25">
        <v>61496</v>
      </c>
      <c r="M812" t="s">
        <v>42</v>
      </c>
    </row>
    <row r="813" spans="1:13" x14ac:dyDescent="0.3">
      <c r="A813" t="s">
        <v>41</v>
      </c>
      <c r="B813">
        <v>20260210361404</v>
      </c>
      <c r="C813" t="s">
        <v>112</v>
      </c>
      <c r="D813">
        <v>58481090</v>
      </c>
      <c r="E813" s="16" t="s">
        <v>7</v>
      </c>
      <c r="F813" s="3">
        <v>1</v>
      </c>
      <c r="G813" s="3">
        <v>119000</v>
      </c>
      <c r="H813" s="3">
        <v>119000</v>
      </c>
      <c r="I813" s="3">
        <v>80920</v>
      </c>
      <c r="J813" s="3">
        <v>108181.81818181818</v>
      </c>
      <c r="K813" s="25">
        <v>61496</v>
      </c>
      <c r="L813" s="25">
        <v>61496</v>
      </c>
      <c r="M813" t="s">
        <v>42</v>
      </c>
    </row>
    <row r="814" spans="1:13" x14ac:dyDescent="0.3">
      <c r="A814" t="s">
        <v>41</v>
      </c>
      <c r="B814">
        <v>20260210361750</v>
      </c>
      <c r="C814" t="s">
        <v>112</v>
      </c>
      <c r="D814">
        <v>58481090</v>
      </c>
      <c r="E814" s="16" t="s">
        <v>7</v>
      </c>
      <c r="F814" s="3">
        <v>1</v>
      </c>
      <c r="G814" s="3">
        <v>119000</v>
      </c>
      <c r="H814" s="3">
        <v>119000</v>
      </c>
      <c r="I814" s="3">
        <v>80920</v>
      </c>
      <c r="J814" s="3">
        <v>108181.81818181818</v>
      </c>
      <c r="K814" s="25">
        <v>61496</v>
      </c>
      <c r="L814" s="25">
        <v>61496</v>
      </c>
      <c r="M814" t="s">
        <v>42</v>
      </c>
    </row>
    <row r="815" spans="1:13" x14ac:dyDescent="0.3">
      <c r="A815" t="s">
        <v>41</v>
      </c>
      <c r="B815">
        <v>20260210361384</v>
      </c>
      <c r="C815" t="s">
        <v>112</v>
      </c>
      <c r="D815">
        <v>58481090</v>
      </c>
      <c r="E815" s="16" t="s">
        <v>7</v>
      </c>
      <c r="F815" s="3">
        <v>1</v>
      </c>
      <c r="G815" s="3">
        <v>119000</v>
      </c>
      <c r="H815" s="3">
        <v>113050</v>
      </c>
      <c r="I815" s="3">
        <v>80920</v>
      </c>
      <c r="J815" s="3">
        <v>102772.72727272726</v>
      </c>
      <c r="K815" s="25">
        <v>61496</v>
      </c>
      <c r="L815" s="25">
        <v>61496</v>
      </c>
      <c r="M815" t="s">
        <v>42</v>
      </c>
    </row>
    <row r="816" spans="1:13" x14ac:dyDescent="0.3">
      <c r="A816" t="s">
        <v>41</v>
      </c>
      <c r="B816">
        <v>20260210360934</v>
      </c>
      <c r="C816" t="s">
        <v>112</v>
      </c>
      <c r="D816">
        <v>58481090</v>
      </c>
      <c r="E816" s="16" t="s">
        <v>7</v>
      </c>
      <c r="F816" s="3">
        <v>1</v>
      </c>
      <c r="G816" s="3">
        <v>119000</v>
      </c>
      <c r="H816" s="3">
        <v>119000</v>
      </c>
      <c r="I816" s="3">
        <v>80920</v>
      </c>
      <c r="J816" s="3">
        <v>108181.81818181818</v>
      </c>
      <c r="K816" s="25">
        <v>61496</v>
      </c>
      <c r="L816" s="25">
        <v>61496</v>
      </c>
      <c r="M816" t="s">
        <v>42</v>
      </c>
    </row>
    <row r="817" spans="1:13" x14ac:dyDescent="0.3">
      <c r="A817" t="s">
        <v>41</v>
      </c>
      <c r="B817">
        <v>20260210360899</v>
      </c>
      <c r="C817" t="s">
        <v>112</v>
      </c>
      <c r="D817">
        <v>58481090</v>
      </c>
      <c r="E817" s="16" t="s">
        <v>7</v>
      </c>
      <c r="F817" s="3">
        <v>1</v>
      </c>
      <c r="G817" s="3">
        <v>119000</v>
      </c>
      <c r="H817" s="3">
        <v>119000</v>
      </c>
      <c r="I817" s="3">
        <v>80920</v>
      </c>
      <c r="J817" s="3">
        <v>108181.81818181818</v>
      </c>
      <c r="K817" s="25">
        <v>61496</v>
      </c>
      <c r="L817" s="25">
        <v>61496</v>
      </c>
      <c r="M817" t="s">
        <v>42</v>
      </c>
    </row>
    <row r="818" spans="1:13" x14ac:dyDescent="0.3">
      <c r="A818" t="s">
        <v>41</v>
      </c>
      <c r="B818">
        <v>20260210360206</v>
      </c>
      <c r="C818" t="s">
        <v>112</v>
      </c>
      <c r="D818">
        <v>58481090</v>
      </c>
      <c r="E818" s="16" t="s">
        <v>7</v>
      </c>
      <c r="F818" s="3">
        <v>1</v>
      </c>
      <c r="G818" s="3">
        <v>119000</v>
      </c>
      <c r="H818" s="3">
        <v>119000</v>
      </c>
      <c r="I818" s="3">
        <v>80920</v>
      </c>
      <c r="J818" s="3">
        <v>108181.81818181818</v>
      </c>
      <c r="K818" s="25">
        <v>61496</v>
      </c>
      <c r="L818" s="25">
        <v>61496</v>
      </c>
      <c r="M818" t="s">
        <v>42</v>
      </c>
    </row>
    <row r="819" spans="1:13" x14ac:dyDescent="0.3">
      <c r="A819" t="s">
        <v>41</v>
      </c>
      <c r="B819">
        <v>20260210360674</v>
      </c>
      <c r="C819" t="s">
        <v>112</v>
      </c>
      <c r="D819">
        <v>58481090</v>
      </c>
      <c r="E819" s="16" t="s">
        <v>7</v>
      </c>
      <c r="F819" s="3">
        <v>1</v>
      </c>
      <c r="G819" s="3">
        <v>119000</v>
      </c>
      <c r="H819" s="3">
        <v>119000</v>
      </c>
      <c r="I819" s="3">
        <v>80920</v>
      </c>
      <c r="J819" s="3">
        <v>108181.81818181818</v>
      </c>
      <c r="K819" s="25">
        <v>61496</v>
      </c>
      <c r="L819" s="25">
        <v>61496</v>
      </c>
      <c r="M819" t="s">
        <v>42</v>
      </c>
    </row>
    <row r="820" spans="1:13" x14ac:dyDescent="0.3">
      <c r="A820" t="s">
        <v>41</v>
      </c>
      <c r="B820">
        <v>20260210361998</v>
      </c>
      <c r="C820" t="s">
        <v>112</v>
      </c>
      <c r="D820">
        <v>58481090</v>
      </c>
      <c r="E820" s="16" t="s">
        <v>7</v>
      </c>
      <c r="F820" s="3">
        <v>1</v>
      </c>
      <c r="G820" s="3">
        <v>119000</v>
      </c>
      <c r="H820" s="3">
        <v>109000</v>
      </c>
      <c r="I820" s="3">
        <v>80920</v>
      </c>
      <c r="J820" s="3">
        <v>99090.909090909074</v>
      </c>
      <c r="K820" s="25">
        <v>61496</v>
      </c>
      <c r="L820" s="25">
        <v>61496</v>
      </c>
      <c r="M820" t="s">
        <v>42</v>
      </c>
    </row>
    <row r="821" spans="1:13" x14ac:dyDescent="0.3">
      <c r="A821" t="s">
        <v>41</v>
      </c>
      <c r="B821">
        <v>20260210362210</v>
      </c>
      <c r="C821" t="s">
        <v>112</v>
      </c>
      <c r="D821">
        <v>58481090</v>
      </c>
      <c r="E821" s="16" t="s">
        <v>7</v>
      </c>
      <c r="F821" s="3">
        <v>1</v>
      </c>
      <c r="G821" s="3">
        <v>119000</v>
      </c>
      <c r="H821" s="3">
        <v>113050</v>
      </c>
      <c r="I821" s="3">
        <v>80920</v>
      </c>
      <c r="J821" s="3">
        <v>102772.72727272726</v>
      </c>
      <c r="K821" s="25">
        <v>61496</v>
      </c>
      <c r="L821" s="25">
        <v>61496</v>
      </c>
      <c r="M821" t="s">
        <v>42</v>
      </c>
    </row>
    <row r="822" spans="1:13" x14ac:dyDescent="0.3">
      <c r="A822" t="s">
        <v>41</v>
      </c>
      <c r="B822">
        <v>20260210361648</v>
      </c>
      <c r="C822" t="s">
        <v>112</v>
      </c>
      <c r="D822">
        <v>58481090</v>
      </c>
      <c r="E822" s="16" t="s">
        <v>7</v>
      </c>
      <c r="F822" s="3">
        <v>1</v>
      </c>
      <c r="G822" s="3">
        <v>119000</v>
      </c>
      <c r="H822" s="3">
        <v>113050</v>
      </c>
      <c r="I822" s="3">
        <v>80920</v>
      </c>
      <c r="J822" s="3">
        <v>102772.72727272726</v>
      </c>
      <c r="K822" s="25">
        <v>61496</v>
      </c>
      <c r="L822" s="25">
        <v>61496</v>
      </c>
      <c r="M822" t="s">
        <v>42</v>
      </c>
    </row>
    <row r="823" spans="1:13" x14ac:dyDescent="0.3">
      <c r="A823" t="s">
        <v>41</v>
      </c>
      <c r="B823">
        <v>20260210361577</v>
      </c>
      <c r="C823" t="s">
        <v>112</v>
      </c>
      <c r="D823">
        <v>58481090</v>
      </c>
      <c r="E823" s="16" t="s">
        <v>7</v>
      </c>
      <c r="F823" s="3">
        <v>1</v>
      </c>
      <c r="G823" s="3">
        <v>119000</v>
      </c>
      <c r="H823" s="3">
        <v>119000</v>
      </c>
      <c r="I823" s="3">
        <v>80920</v>
      </c>
      <c r="J823" s="3">
        <v>108181.81818181818</v>
      </c>
      <c r="K823" s="25">
        <v>61496</v>
      </c>
      <c r="L823" s="25">
        <v>61496</v>
      </c>
      <c r="M823" t="s">
        <v>42</v>
      </c>
    </row>
    <row r="824" spans="1:13" x14ac:dyDescent="0.3">
      <c r="A824" t="s">
        <v>41</v>
      </c>
      <c r="B824">
        <v>20260210361256</v>
      </c>
      <c r="C824" t="s">
        <v>112</v>
      </c>
      <c r="D824">
        <v>58481090</v>
      </c>
      <c r="E824" s="16" t="s">
        <v>7</v>
      </c>
      <c r="F824" s="3">
        <v>1</v>
      </c>
      <c r="G824" s="3">
        <v>119000</v>
      </c>
      <c r="H824" s="3">
        <v>113050</v>
      </c>
      <c r="I824" s="3">
        <v>80920</v>
      </c>
      <c r="J824" s="3">
        <v>102772.72727272726</v>
      </c>
      <c r="K824" s="25">
        <v>61496</v>
      </c>
      <c r="L824" s="25">
        <v>61496</v>
      </c>
      <c r="M824" t="s">
        <v>42</v>
      </c>
    </row>
    <row r="825" spans="1:13" x14ac:dyDescent="0.3">
      <c r="A825" t="s">
        <v>41</v>
      </c>
      <c r="B825">
        <v>20260210361264</v>
      </c>
      <c r="C825" t="s">
        <v>112</v>
      </c>
      <c r="D825">
        <v>58481090</v>
      </c>
      <c r="E825" s="16" t="s">
        <v>7</v>
      </c>
      <c r="F825" s="3">
        <v>1</v>
      </c>
      <c r="G825" s="3">
        <v>119000</v>
      </c>
      <c r="H825" s="3">
        <v>119000</v>
      </c>
      <c r="I825" s="3">
        <v>80920</v>
      </c>
      <c r="J825" s="3">
        <v>108181.81818181818</v>
      </c>
      <c r="K825" s="25">
        <v>61496</v>
      </c>
      <c r="L825" s="25">
        <v>61496</v>
      </c>
      <c r="M825" t="s">
        <v>42</v>
      </c>
    </row>
    <row r="826" spans="1:13" x14ac:dyDescent="0.3">
      <c r="A826" t="s">
        <v>41</v>
      </c>
      <c r="B826">
        <v>20260210360518</v>
      </c>
      <c r="C826" t="s">
        <v>112</v>
      </c>
      <c r="D826">
        <v>58481090</v>
      </c>
      <c r="E826" s="16" t="s">
        <v>7</v>
      </c>
      <c r="F826" s="3">
        <v>1</v>
      </c>
      <c r="G826" s="3">
        <v>119000</v>
      </c>
      <c r="H826" s="3">
        <v>119000</v>
      </c>
      <c r="I826" s="3">
        <v>80920</v>
      </c>
      <c r="J826" s="3">
        <v>108181.81818181818</v>
      </c>
      <c r="K826" s="25">
        <v>61496</v>
      </c>
      <c r="L826" s="25">
        <v>61496</v>
      </c>
      <c r="M826" t="s">
        <v>42</v>
      </c>
    </row>
    <row r="827" spans="1:13" x14ac:dyDescent="0.3">
      <c r="A827" t="s">
        <v>41</v>
      </c>
      <c r="B827">
        <v>20260210361362</v>
      </c>
      <c r="C827" t="s">
        <v>112</v>
      </c>
      <c r="D827">
        <v>58481090</v>
      </c>
      <c r="E827" s="16" t="s">
        <v>7</v>
      </c>
      <c r="F827" s="3">
        <v>1</v>
      </c>
      <c r="G827" s="3">
        <v>119000</v>
      </c>
      <c r="H827" s="3">
        <v>98770</v>
      </c>
      <c r="I827" s="3">
        <v>80920</v>
      </c>
      <c r="J827" s="3">
        <v>89790.909090909088</v>
      </c>
      <c r="K827" s="25">
        <v>61496</v>
      </c>
      <c r="L827" s="25">
        <v>61496</v>
      </c>
      <c r="M827" t="s">
        <v>42</v>
      </c>
    </row>
    <row r="828" spans="1:13" x14ac:dyDescent="0.3">
      <c r="A828" t="s">
        <v>41</v>
      </c>
      <c r="B828">
        <v>20260210361601</v>
      </c>
      <c r="C828" t="s">
        <v>112</v>
      </c>
      <c r="D828">
        <v>58481090</v>
      </c>
      <c r="E828" s="16" t="s">
        <v>7</v>
      </c>
      <c r="F828" s="3">
        <v>1</v>
      </c>
      <c r="G828" s="3">
        <v>119000</v>
      </c>
      <c r="H828" s="3">
        <v>109000</v>
      </c>
      <c r="I828" s="3">
        <v>80920</v>
      </c>
      <c r="J828" s="3">
        <v>99090.909090909074</v>
      </c>
      <c r="K828" s="25">
        <v>61496</v>
      </c>
      <c r="L828" s="25">
        <v>61496</v>
      </c>
      <c r="M828" t="s">
        <v>42</v>
      </c>
    </row>
    <row r="829" spans="1:13" x14ac:dyDescent="0.3">
      <c r="A829" t="s">
        <v>41</v>
      </c>
      <c r="B829">
        <v>20260210361654</v>
      </c>
      <c r="C829" t="s">
        <v>112</v>
      </c>
      <c r="D829">
        <v>58481090</v>
      </c>
      <c r="E829" s="16" t="s">
        <v>7</v>
      </c>
      <c r="F829" s="3">
        <v>1</v>
      </c>
      <c r="G829" s="3">
        <v>119000</v>
      </c>
      <c r="H829" s="3">
        <v>113050</v>
      </c>
      <c r="I829" s="3">
        <v>80920</v>
      </c>
      <c r="J829" s="3">
        <v>102772.72727272726</v>
      </c>
      <c r="K829" s="25">
        <v>61496</v>
      </c>
      <c r="L829" s="25">
        <v>61496</v>
      </c>
      <c r="M829" t="s">
        <v>42</v>
      </c>
    </row>
    <row r="830" spans="1:13" x14ac:dyDescent="0.3">
      <c r="A830" t="s">
        <v>41</v>
      </c>
      <c r="B830">
        <v>20260210360588</v>
      </c>
      <c r="C830" t="s">
        <v>112</v>
      </c>
      <c r="D830">
        <v>58481090</v>
      </c>
      <c r="E830" s="16" t="s">
        <v>7</v>
      </c>
      <c r="F830" s="3">
        <v>1</v>
      </c>
      <c r="G830" s="3">
        <v>119000</v>
      </c>
      <c r="H830" s="3">
        <v>119000</v>
      </c>
      <c r="I830" s="3">
        <v>80920</v>
      </c>
      <c r="J830" s="3">
        <v>108181.81818181818</v>
      </c>
      <c r="K830" s="25">
        <v>61496</v>
      </c>
      <c r="L830" s="25">
        <v>61496</v>
      </c>
      <c r="M830" t="s">
        <v>42</v>
      </c>
    </row>
    <row r="831" spans="1:13" x14ac:dyDescent="0.3">
      <c r="A831" t="s">
        <v>41</v>
      </c>
      <c r="B831">
        <v>20260210361176</v>
      </c>
      <c r="C831" t="s">
        <v>112</v>
      </c>
      <c r="D831">
        <v>58481090</v>
      </c>
      <c r="E831" s="16" t="s">
        <v>7</v>
      </c>
      <c r="F831" s="3">
        <v>1</v>
      </c>
      <c r="G831" s="3">
        <v>119000</v>
      </c>
      <c r="H831" s="3">
        <v>119000</v>
      </c>
      <c r="I831" s="3">
        <v>80920</v>
      </c>
      <c r="J831" s="3">
        <v>108181.81818181818</v>
      </c>
      <c r="K831" s="25">
        <v>61496</v>
      </c>
      <c r="L831" s="25">
        <v>61496</v>
      </c>
      <c r="M831" t="s">
        <v>42</v>
      </c>
    </row>
    <row r="832" spans="1:13" x14ac:dyDescent="0.3">
      <c r="A832" t="s">
        <v>41</v>
      </c>
      <c r="B832">
        <v>20260210362003</v>
      </c>
      <c r="C832" t="s">
        <v>112</v>
      </c>
      <c r="D832">
        <v>58481090</v>
      </c>
      <c r="E832" s="16" t="s">
        <v>7</v>
      </c>
      <c r="F832" s="3">
        <v>1</v>
      </c>
      <c r="G832" s="3">
        <v>119000</v>
      </c>
      <c r="H832" s="3">
        <v>119000</v>
      </c>
      <c r="I832" s="3">
        <v>80920</v>
      </c>
      <c r="J832" s="3">
        <v>108181.81818181818</v>
      </c>
      <c r="K832" s="25">
        <v>61496</v>
      </c>
      <c r="L832" s="25">
        <v>61496</v>
      </c>
      <c r="M832" t="s">
        <v>42</v>
      </c>
    </row>
    <row r="833" spans="1:13" x14ac:dyDescent="0.3">
      <c r="A833" t="s">
        <v>41</v>
      </c>
      <c r="B833">
        <v>20260210360969</v>
      </c>
      <c r="C833" t="s">
        <v>112</v>
      </c>
      <c r="D833">
        <v>58481090</v>
      </c>
      <c r="E833" s="16" t="s">
        <v>7</v>
      </c>
      <c r="F833" s="3">
        <v>1</v>
      </c>
      <c r="G833" s="3">
        <v>119000</v>
      </c>
      <c r="H833" s="3">
        <v>119000</v>
      </c>
      <c r="I833" s="3">
        <v>80920</v>
      </c>
      <c r="J833" s="3">
        <v>108181.81818181818</v>
      </c>
      <c r="K833" s="25">
        <v>61496</v>
      </c>
      <c r="L833" s="25">
        <v>61496</v>
      </c>
      <c r="M833" t="s">
        <v>42</v>
      </c>
    </row>
    <row r="834" spans="1:13" x14ac:dyDescent="0.3">
      <c r="A834" t="s">
        <v>41</v>
      </c>
      <c r="B834">
        <v>20260210361596</v>
      </c>
      <c r="C834" t="s">
        <v>112</v>
      </c>
      <c r="D834">
        <v>58481090</v>
      </c>
      <c r="E834" s="16" t="s">
        <v>7</v>
      </c>
      <c r="F834" s="3">
        <v>2</v>
      </c>
      <c r="G834" s="3">
        <v>119000</v>
      </c>
      <c r="H834" s="3">
        <v>238000</v>
      </c>
      <c r="I834" s="3">
        <v>161840</v>
      </c>
      <c r="J834" s="3">
        <v>216363.63636363635</v>
      </c>
      <c r="K834" s="25">
        <v>61496</v>
      </c>
      <c r="L834" s="25">
        <v>122992</v>
      </c>
      <c r="M834" t="s">
        <v>42</v>
      </c>
    </row>
    <row r="835" spans="1:13" x14ac:dyDescent="0.3">
      <c r="A835" t="s">
        <v>41</v>
      </c>
      <c r="B835">
        <v>20260210361138</v>
      </c>
      <c r="C835" t="s">
        <v>112</v>
      </c>
      <c r="D835">
        <v>58481090</v>
      </c>
      <c r="E835" s="16" t="s">
        <v>7</v>
      </c>
      <c r="F835" s="3">
        <v>1</v>
      </c>
      <c r="G835" s="3">
        <v>119000</v>
      </c>
      <c r="H835" s="3">
        <v>119000</v>
      </c>
      <c r="I835" s="3">
        <v>80920</v>
      </c>
      <c r="J835" s="3">
        <v>108181.81818181818</v>
      </c>
      <c r="K835" s="25">
        <v>61496</v>
      </c>
      <c r="L835" s="25">
        <v>61496</v>
      </c>
      <c r="M835" t="s">
        <v>42</v>
      </c>
    </row>
    <row r="836" spans="1:13" x14ac:dyDescent="0.3">
      <c r="A836" t="s">
        <v>41</v>
      </c>
      <c r="B836">
        <v>20260210361906</v>
      </c>
      <c r="C836" t="s">
        <v>112</v>
      </c>
      <c r="D836">
        <v>58481090</v>
      </c>
      <c r="E836" s="16" t="s">
        <v>7</v>
      </c>
      <c r="F836" s="3">
        <v>1</v>
      </c>
      <c r="G836" s="3">
        <v>119000</v>
      </c>
      <c r="H836" s="3">
        <v>119000</v>
      </c>
      <c r="I836" s="3">
        <v>80920</v>
      </c>
      <c r="J836" s="3">
        <v>108181.81818181818</v>
      </c>
      <c r="K836" s="25">
        <v>61496</v>
      </c>
      <c r="L836" s="25">
        <v>61496</v>
      </c>
      <c r="M836" t="s">
        <v>42</v>
      </c>
    </row>
    <row r="837" spans="1:13" x14ac:dyDescent="0.3">
      <c r="A837" t="s">
        <v>41</v>
      </c>
      <c r="B837">
        <v>20260210360875</v>
      </c>
      <c r="C837" t="s">
        <v>112</v>
      </c>
      <c r="D837">
        <v>58481090</v>
      </c>
      <c r="E837" s="16" t="s">
        <v>7</v>
      </c>
      <c r="F837" s="3">
        <v>1</v>
      </c>
      <c r="G837" s="3">
        <v>119000</v>
      </c>
      <c r="H837" s="3">
        <v>119000</v>
      </c>
      <c r="I837" s="3">
        <v>80920</v>
      </c>
      <c r="J837" s="3">
        <v>108181.81818181818</v>
      </c>
      <c r="K837" s="25">
        <v>61496</v>
      </c>
      <c r="L837" s="25">
        <v>61496</v>
      </c>
      <c r="M837" t="s">
        <v>42</v>
      </c>
    </row>
    <row r="838" spans="1:13" x14ac:dyDescent="0.3">
      <c r="A838" t="s">
        <v>41</v>
      </c>
      <c r="B838">
        <v>20260210360271</v>
      </c>
      <c r="C838" t="s">
        <v>112</v>
      </c>
      <c r="D838">
        <v>58481090</v>
      </c>
      <c r="E838" s="16" t="s">
        <v>7</v>
      </c>
      <c r="F838" s="3">
        <v>2</v>
      </c>
      <c r="G838" s="3">
        <v>119000</v>
      </c>
      <c r="H838" s="3">
        <v>238000</v>
      </c>
      <c r="I838" s="3">
        <v>161840</v>
      </c>
      <c r="J838" s="3">
        <v>216363.63636363635</v>
      </c>
      <c r="K838" s="25">
        <v>61496</v>
      </c>
      <c r="L838" s="25">
        <v>122992</v>
      </c>
      <c r="M838" t="s">
        <v>42</v>
      </c>
    </row>
    <row r="839" spans="1:13" x14ac:dyDescent="0.3">
      <c r="A839" t="s">
        <v>41</v>
      </c>
      <c r="B839">
        <v>20260210360371</v>
      </c>
      <c r="C839" t="s">
        <v>112</v>
      </c>
      <c r="D839">
        <v>58481090</v>
      </c>
      <c r="E839" s="16" t="s">
        <v>7</v>
      </c>
      <c r="F839" s="3">
        <v>1</v>
      </c>
      <c r="G839" s="3">
        <v>119000</v>
      </c>
      <c r="H839" s="3">
        <v>113050</v>
      </c>
      <c r="I839" s="3">
        <v>80920</v>
      </c>
      <c r="J839" s="3">
        <v>102772.72727272726</v>
      </c>
      <c r="K839" s="25">
        <v>61496</v>
      </c>
      <c r="L839" s="25">
        <v>61496</v>
      </c>
      <c r="M839" t="s">
        <v>42</v>
      </c>
    </row>
    <row r="840" spans="1:13" x14ac:dyDescent="0.3">
      <c r="A840" t="s">
        <v>41</v>
      </c>
      <c r="B840">
        <v>20260210361908</v>
      </c>
      <c r="C840" t="s">
        <v>112</v>
      </c>
      <c r="D840">
        <v>58481090</v>
      </c>
      <c r="E840" s="16" t="s">
        <v>7</v>
      </c>
      <c r="F840" s="3">
        <v>1</v>
      </c>
      <c r="G840" s="3">
        <v>119000</v>
      </c>
      <c r="H840" s="3">
        <v>119000</v>
      </c>
      <c r="I840" s="3">
        <v>80920</v>
      </c>
      <c r="J840" s="3">
        <v>108181.81818181818</v>
      </c>
      <c r="K840" s="25">
        <v>61496</v>
      </c>
      <c r="L840" s="25">
        <v>61496</v>
      </c>
      <c r="M840" t="s">
        <v>42</v>
      </c>
    </row>
    <row r="841" spans="1:13" x14ac:dyDescent="0.3">
      <c r="A841" t="s">
        <v>41</v>
      </c>
      <c r="B841">
        <v>20260210360177</v>
      </c>
      <c r="C841" t="s">
        <v>112</v>
      </c>
      <c r="D841">
        <v>58481090</v>
      </c>
      <c r="E841" s="16" t="s">
        <v>7</v>
      </c>
      <c r="F841" s="3">
        <v>1</v>
      </c>
      <c r="G841" s="3">
        <v>119000</v>
      </c>
      <c r="H841" s="3">
        <v>119000</v>
      </c>
      <c r="I841" s="3">
        <v>80920</v>
      </c>
      <c r="J841" s="3">
        <v>108181.81818181818</v>
      </c>
      <c r="K841" s="25">
        <v>61496</v>
      </c>
      <c r="L841" s="25">
        <v>61496</v>
      </c>
      <c r="M841" t="s">
        <v>42</v>
      </c>
    </row>
    <row r="842" spans="1:13" x14ac:dyDescent="0.3">
      <c r="A842" t="s">
        <v>41</v>
      </c>
      <c r="B842">
        <v>20260210360979</v>
      </c>
      <c r="C842" t="s">
        <v>112</v>
      </c>
      <c r="D842">
        <v>58481090</v>
      </c>
      <c r="E842" s="16" t="s">
        <v>7</v>
      </c>
      <c r="F842" s="3">
        <v>1</v>
      </c>
      <c r="G842" s="3">
        <v>119000</v>
      </c>
      <c r="H842" s="3">
        <v>119000</v>
      </c>
      <c r="I842" s="3">
        <v>80920</v>
      </c>
      <c r="J842" s="3">
        <v>108181.81818181818</v>
      </c>
      <c r="K842" s="25">
        <v>61496</v>
      </c>
      <c r="L842" s="25">
        <v>61496</v>
      </c>
      <c r="M842" t="s">
        <v>42</v>
      </c>
    </row>
    <row r="843" spans="1:13" x14ac:dyDescent="0.3">
      <c r="A843" t="s">
        <v>41</v>
      </c>
      <c r="B843">
        <v>20260210361530</v>
      </c>
      <c r="C843" t="s">
        <v>112</v>
      </c>
      <c r="D843">
        <v>58481090</v>
      </c>
      <c r="E843" s="16" t="s">
        <v>7</v>
      </c>
      <c r="F843" s="3">
        <v>1</v>
      </c>
      <c r="G843" s="3">
        <v>119000</v>
      </c>
      <c r="H843" s="3">
        <v>119000</v>
      </c>
      <c r="I843" s="3">
        <v>80920</v>
      </c>
      <c r="J843" s="3">
        <v>108181.81818181818</v>
      </c>
      <c r="K843" s="25">
        <v>61496</v>
      </c>
      <c r="L843" s="25">
        <v>61496</v>
      </c>
      <c r="M843" t="s">
        <v>42</v>
      </c>
    </row>
    <row r="844" spans="1:13" x14ac:dyDescent="0.3">
      <c r="A844" t="s">
        <v>41</v>
      </c>
      <c r="B844">
        <v>20260210361628</v>
      </c>
      <c r="C844" t="s">
        <v>112</v>
      </c>
      <c r="D844">
        <v>58481090</v>
      </c>
      <c r="E844" s="16" t="s">
        <v>7</v>
      </c>
      <c r="F844" s="3">
        <v>1</v>
      </c>
      <c r="G844" s="3">
        <v>119000</v>
      </c>
      <c r="H844" s="3">
        <v>119000</v>
      </c>
      <c r="I844" s="3">
        <v>80920</v>
      </c>
      <c r="J844" s="3">
        <v>108181.81818181818</v>
      </c>
      <c r="K844" s="25">
        <v>61496</v>
      </c>
      <c r="L844" s="25">
        <v>61496</v>
      </c>
      <c r="M844" t="s">
        <v>42</v>
      </c>
    </row>
    <row r="845" spans="1:13" x14ac:dyDescent="0.3">
      <c r="A845" t="s">
        <v>41</v>
      </c>
      <c r="B845">
        <v>20260210360293</v>
      </c>
      <c r="C845" t="s">
        <v>112</v>
      </c>
      <c r="D845">
        <v>58481090</v>
      </c>
      <c r="E845" s="16" t="s">
        <v>7</v>
      </c>
      <c r="F845" s="3">
        <v>1</v>
      </c>
      <c r="G845" s="3">
        <v>119000</v>
      </c>
      <c r="H845" s="3">
        <v>119000</v>
      </c>
      <c r="I845" s="3">
        <v>80920</v>
      </c>
      <c r="J845" s="3">
        <v>108181.81818181818</v>
      </c>
      <c r="K845" s="25">
        <v>61496</v>
      </c>
      <c r="L845" s="25">
        <v>61496</v>
      </c>
      <c r="M845" t="s">
        <v>42</v>
      </c>
    </row>
    <row r="846" spans="1:13" x14ac:dyDescent="0.3">
      <c r="A846" t="s">
        <v>41</v>
      </c>
      <c r="B846">
        <v>20260210361554</v>
      </c>
      <c r="C846" t="s">
        <v>112</v>
      </c>
      <c r="D846">
        <v>58481090</v>
      </c>
      <c r="E846" s="16" t="s">
        <v>7</v>
      </c>
      <c r="F846" s="3">
        <v>1</v>
      </c>
      <c r="G846" s="3">
        <v>119000</v>
      </c>
      <c r="H846" s="3">
        <v>95200</v>
      </c>
      <c r="I846" s="3">
        <v>80920</v>
      </c>
      <c r="J846" s="3">
        <v>86545.454545454544</v>
      </c>
      <c r="K846" s="25">
        <v>61496</v>
      </c>
      <c r="L846" s="25">
        <v>61496</v>
      </c>
      <c r="M846" t="s">
        <v>42</v>
      </c>
    </row>
    <row r="847" spans="1:13" x14ac:dyDescent="0.3">
      <c r="A847" t="s">
        <v>41</v>
      </c>
      <c r="B847">
        <v>20260210360720</v>
      </c>
      <c r="C847" t="s">
        <v>112</v>
      </c>
      <c r="D847">
        <v>58481090</v>
      </c>
      <c r="E847" s="16" t="s">
        <v>7</v>
      </c>
      <c r="F847" s="3">
        <v>1</v>
      </c>
      <c r="G847" s="3">
        <v>119000</v>
      </c>
      <c r="H847" s="3">
        <v>119000</v>
      </c>
      <c r="I847" s="3">
        <v>80920</v>
      </c>
      <c r="J847" s="3">
        <v>108181.81818181818</v>
      </c>
      <c r="K847" s="25">
        <v>61496</v>
      </c>
      <c r="L847" s="25">
        <v>61496</v>
      </c>
      <c r="M847" t="s">
        <v>42</v>
      </c>
    </row>
    <row r="848" spans="1:13" x14ac:dyDescent="0.3">
      <c r="A848" t="s">
        <v>41</v>
      </c>
      <c r="B848">
        <v>20260210360283</v>
      </c>
      <c r="C848" t="s">
        <v>112</v>
      </c>
      <c r="D848">
        <v>58481090</v>
      </c>
      <c r="E848" s="16" t="s">
        <v>7</v>
      </c>
      <c r="F848" s="3">
        <v>2</v>
      </c>
      <c r="G848" s="3">
        <v>119000</v>
      </c>
      <c r="H848" s="3">
        <v>238000</v>
      </c>
      <c r="I848" s="3">
        <v>161840</v>
      </c>
      <c r="J848" s="3">
        <v>216363.63636363635</v>
      </c>
      <c r="K848" s="25">
        <v>61496</v>
      </c>
      <c r="L848" s="25">
        <v>122992</v>
      </c>
      <c r="M848" t="s">
        <v>42</v>
      </c>
    </row>
    <row r="849" spans="1:13" x14ac:dyDescent="0.3">
      <c r="A849" t="s">
        <v>41</v>
      </c>
      <c r="B849">
        <v>20260210361227</v>
      </c>
      <c r="C849" t="s">
        <v>112</v>
      </c>
      <c r="D849">
        <v>58481090</v>
      </c>
      <c r="E849" s="16" t="s">
        <v>7</v>
      </c>
      <c r="F849" s="3">
        <v>2</v>
      </c>
      <c r="G849" s="3">
        <v>119000</v>
      </c>
      <c r="H849" s="3">
        <v>238000</v>
      </c>
      <c r="I849" s="3">
        <v>161840</v>
      </c>
      <c r="J849" s="3">
        <v>216363.63636363635</v>
      </c>
      <c r="K849" s="25">
        <v>61496</v>
      </c>
      <c r="L849" s="25">
        <v>122992</v>
      </c>
      <c r="M849" t="s">
        <v>42</v>
      </c>
    </row>
    <row r="850" spans="1:13" x14ac:dyDescent="0.3">
      <c r="A850" t="s">
        <v>41</v>
      </c>
      <c r="B850">
        <v>20260210367975</v>
      </c>
      <c r="C850" t="s">
        <v>112</v>
      </c>
      <c r="D850">
        <v>58481090</v>
      </c>
      <c r="E850" s="16" t="s">
        <v>7</v>
      </c>
      <c r="F850" s="3">
        <v>1</v>
      </c>
      <c r="G850" s="3">
        <v>119000</v>
      </c>
      <c r="H850" s="3">
        <v>113050</v>
      </c>
      <c r="I850" s="3">
        <v>80920</v>
      </c>
      <c r="J850" s="3">
        <v>102772.72727272726</v>
      </c>
      <c r="K850" s="25">
        <v>61496</v>
      </c>
      <c r="L850" s="25">
        <v>61496</v>
      </c>
      <c r="M850" t="s">
        <v>42</v>
      </c>
    </row>
    <row r="851" spans="1:13" x14ac:dyDescent="0.3">
      <c r="A851" t="s">
        <v>41</v>
      </c>
      <c r="B851">
        <v>20260205994463</v>
      </c>
      <c r="C851" t="s">
        <v>112</v>
      </c>
      <c r="D851">
        <v>58481090</v>
      </c>
      <c r="E851" s="16" t="s">
        <v>7</v>
      </c>
      <c r="F851" s="3">
        <v>1</v>
      </c>
      <c r="G851" s="3">
        <v>119000</v>
      </c>
      <c r="H851" s="3">
        <v>119000</v>
      </c>
      <c r="I851" s="3">
        <v>82110</v>
      </c>
      <c r="J851" s="3">
        <v>108181.81818181818</v>
      </c>
      <c r="K851" s="25">
        <v>61496</v>
      </c>
      <c r="L851" s="25">
        <v>61496</v>
      </c>
      <c r="M851" t="s">
        <v>42</v>
      </c>
    </row>
    <row r="852" spans="1:13" x14ac:dyDescent="0.3">
      <c r="A852" t="s">
        <v>41</v>
      </c>
      <c r="B852">
        <v>20260210360499</v>
      </c>
      <c r="C852" t="s">
        <v>112</v>
      </c>
      <c r="D852">
        <v>58481090</v>
      </c>
      <c r="E852" s="16" t="s">
        <v>7</v>
      </c>
      <c r="F852" s="3">
        <v>1</v>
      </c>
      <c r="G852" s="3">
        <v>119000</v>
      </c>
      <c r="H852" s="3">
        <v>113050</v>
      </c>
      <c r="I852" s="3">
        <v>80920</v>
      </c>
      <c r="J852" s="3">
        <v>102772.72727272726</v>
      </c>
      <c r="K852" s="25">
        <v>61496</v>
      </c>
      <c r="L852" s="25">
        <v>61496</v>
      </c>
      <c r="M852" t="s">
        <v>42</v>
      </c>
    </row>
    <row r="853" spans="1:13" x14ac:dyDescent="0.3">
      <c r="A853" t="s">
        <v>41</v>
      </c>
      <c r="B853">
        <v>20260210361304</v>
      </c>
      <c r="C853" t="s">
        <v>112</v>
      </c>
      <c r="D853">
        <v>58481090</v>
      </c>
      <c r="E853" s="16" t="s">
        <v>7</v>
      </c>
      <c r="F853" s="3">
        <v>1</v>
      </c>
      <c r="G853" s="3">
        <v>119000</v>
      </c>
      <c r="H853" s="3">
        <v>119000</v>
      </c>
      <c r="I853" s="3">
        <v>80920</v>
      </c>
      <c r="J853" s="3">
        <v>108181.81818181818</v>
      </c>
      <c r="K853" s="25">
        <v>61496</v>
      </c>
      <c r="L853" s="25">
        <v>61496</v>
      </c>
      <c r="M853" t="s">
        <v>42</v>
      </c>
    </row>
    <row r="854" spans="1:13" x14ac:dyDescent="0.3">
      <c r="A854" t="s">
        <v>41</v>
      </c>
      <c r="B854">
        <v>20260210361296</v>
      </c>
      <c r="C854" t="s">
        <v>112</v>
      </c>
      <c r="D854">
        <v>58481090</v>
      </c>
      <c r="E854" s="16" t="s">
        <v>7</v>
      </c>
      <c r="F854" s="3">
        <v>1</v>
      </c>
      <c r="G854" s="3">
        <v>119000</v>
      </c>
      <c r="H854" s="3">
        <v>109000</v>
      </c>
      <c r="I854" s="3">
        <v>80920</v>
      </c>
      <c r="J854" s="3">
        <v>99090.909090909074</v>
      </c>
      <c r="K854" s="25">
        <v>61496</v>
      </c>
      <c r="L854" s="25">
        <v>61496</v>
      </c>
      <c r="M854" t="s">
        <v>42</v>
      </c>
    </row>
    <row r="855" spans="1:13" x14ac:dyDescent="0.3">
      <c r="A855" t="s">
        <v>41</v>
      </c>
      <c r="B855">
        <v>20260210361578</v>
      </c>
      <c r="C855" t="s">
        <v>112</v>
      </c>
      <c r="D855">
        <v>58481090</v>
      </c>
      <c r="E855" s="16" t="s">
        <v>7</v>
      </c>
      <c r="F855" s="3">
        <v>1</v>
      </c>
      <c r="G855" s="3">
        <v>119000</v>
      </c>
      <c r="H855" s="3">
        <v>119000</v>
      </c>
      <c r="I855" s="3">
        <v>80920</v>
      </c>
      <c r="J855" s="3">
        <v>108181.81818181818</v>
      </c>
      <c r="K855" s="25">
        <v>61496</v>
      </c>
      <c r="L855" s="25">
        <v>61496</v>
      </c>
      <c r="M855" t="s">
        <v>42</v>
      </c>
    </row>
    <row r="856" spans="1:13" x14ac:dyDescent="0.3">
      <c r="A856" t="s">
        <v>41</v>
      </c>
      <c r="B856">
        <v>20260210360604</v>
      </c>
      <c r="C856" t="s">
        <v>112</v>
      </c>
      <c r="D856">
        <v>58481090</v>
      </c>
      <c r="E856" s="16" t="s">
        <v>7</v>
      </c>
      <c r="F856" s="3">
        <v>1</v>
      </c>
      <c r="G856" s="3">
        <v>119000</v>
      </c>
      <c r="H856" s="3">
        <v>119000</v>
      </c>
      <c r="I856" s="3">
        <v>80920</v>
      </c>
      <c r="J856" s="3">
        <v>108181.81818181818</v>
      </c>
      <c r="K856" s="25">
        <v>61496</v>
      </c>
      <c r="L856" s="25">
        <v>61496</v>
      </c>
      <c r="M856" t="s">
        <v>42</v>
      </c>
    </row>
    <row r="857" spans="1:13" x14ac:dyDescent="0.3">
      <c r="A857" t="s">
        <v>41</v>
      </c>
      <c r="B857">
        <v>20260210361837</v>
      </c>
      <c r="C857" t="s">
        <v>112</v>
      </c>
      <c r="D857">
        <v>58481090</v>
      </c>
      <c r="E857" s="16" t="s">
        <v>7</v>
      </c>
      <c r="F857" s="3">
        <v>1</v>
      </c>
      <c r="G857" s="3">
        <v>119000</v>
      </c>
      <c r="H857" s="3">
        <v>113050</v>
      </c>
      <c r="I857" s="3">
        <v>80920</v>
      </c>
      <c r="J857" s="3">
        <v>102772.72727272726</v>
      </c>
      <c r="K857" s="25">
        <v>61496</v>
      </c>
      <c r="L857" s="25">
        <v>61496</v>
      </c>
      <c r="M857" t="s">
        <v>42</v>
      </c>
    </row>
    <row r="858" spans="1:13" x14ac:dyDescent="0.3">
      <c r="A858" t="s">
        <v>41</v>
      </c>
      <c r="B858">
        <v>20260210361837</v>
      </c>
      <c r="C858" t="s">
        <v>112</v>
      </c>
      <c r="D858">
        <v>58481090</v>
      </c>
      <c r="E858" s="16" t="s">
        <v>7</v>
      </c>
      <c r="F858" s="3">
        <v>1</v>
      </c>
      <c r="G858" s="3">
        <v>119000</v>
      </c>
      <c r="H858" s="3">
        <v>113050</v>
      </c>
      <c r="I858" s="3">
        <v>80920</v>
      </c>
      <c r="J858" s="3">
        <v>102772.72727272726</v>
      </c>
      <c r="K858" s="25">
        <v>61496</v>
      </c>
      <c r="L858" s="25">
        <v>61496</v>
      </c>
      <c r="M858" t="s">
        <v>42</v>
      </c>
    </row>
    <row r="859" spans="1:13" x14ac:dyDescent="0.3">
      <c r="A859" t="s">
        <v>41</v>
      </c>
      <c r="B859">
        <v>20260210360558</v>
      </c>
      <c r="C859" t="s">
        <v>112</v>
      </c>
      <c r="D859">
        <v>58481090</v>
      </c>
      <c r="E859" s="16" t="s">
        <v>7</v>
      </c>
      <c r="F859" s="3">
        <v>1</v>
      </c>
      <c r="G859" s="3">
        <v>119000</v>
      </c>
      <c r="H859" s="3">
        <v>119000</v>
      </c>
      <c r="I859" s="3">
        <v>80920</v>
      </c>
      <c r="J859" s="3">
        <v>108181.81818181818</v>
      </c>
      <c r="K859" s="25">
        <v>61496</v>
      </c>
      <c r="L859" s="25">
        <v>61496</v>
      </c>
      <c r="M859" t="s">
        <v>42</v>
      </c>
    </row>
    <row r="860" spans="1:13" x14ac:dyDescent="0.3">
      <c r="A860" t="s">
        <v>41</v>
      </c>
      <c r="B860">
        <v>20260210360940</v>
      </c>
      <c r="C860" t="s">
        <v>112</v>
      </c>
      <c r="D860">
        <v>58481090</v>
      </c>
      <c r="E860" s="16" t="s">
        <v>7</v>
      </c>
      <c r="F860" s="3">
        <v>1</v>
      </c>
      <c r="G860" s="3">
        <v>119000</v>
      </c>
      <c r="H860" s="3">
        <v>119000</v>
      </c>
      <c r="I860" s="3">
        <v>80920</v>
      </c>
      <c r="J860" s="3">
        <v>108181.81818181818</v>
      </c>
      <c r="K860" s="25">
        <v>61496</v>
      </c>
      <c r="L860" s="25">
        <v>61496</v>
      </c>
      <c r="M860" t="s">
        <v>42</v>
      </c>
    </row>
    <row r="861" spans="1:13" x14ac:dyDescent="0.3">
      <c r="A861" t="s">
        <v>41</v>
      </c>
      <c r="B861">
        <v>20260210360934</v>
      </c>
      <c r="C861" t="s">
        <v>112</v>
      </c>
      <c r="D861">
        <v>58481090</v>
      </c>
      <c r="E861" s="16" t="s">
        <v>7</v>
      </c>
      <c r="F861" s="3">
        <v>1</v>
      </c>
      <c r="G861" s="3">
        <v>119000</v>
      </c>
      <c r="H861" s="3">
        <v>119000</v>
      </c>
      <c r="I861" s="3">
        <v>80920</v>
      </c>
      <c r="J861" s="3">
        <v>108181.81818181818</v>
      </c>
      <c r="K861" s="25">
        <v>61496</v>
      </c>
      <c r="L861" s="25">
        <v>61496</v>
      </c>
      <c r="M861" t="s">
        <v>42</v>
      </c>
    </row>
    <row r="862" spans="1:13" x14ac:dyDescent="0.3">
      <c r="A862" t="s">
        <v>41</v>
      </c>
      <c r="B862">
        <v>20260210360612</v>
      </c>
      <c r="C862" t="s">
        <v>112</v>
      </c>
      <c r="D862">
        <v>58481090</v>
      </c>
      <c r="E862" s="16" t="s">
        <v>7</v>
      </c>
      <c r="F862" s="3">
        <v>1</v>
      </c>
      <c r="G862" s="3">
        <v>119000</v>
      </c>
      <c r="H862" s="3">
        <v>113050</v>
      </c>
      <c r="I862" s="3">
        <v>80920</v>
      </c>
      <c r="J862" s="3">
        <v>102772.72727272726</v>
      </c>
      <c r="K862" s="25">
        <v>61496</v>
      </c>
      <c r="L862" s="25">
        <v>61496</v>
      </c>
      <c r="M862" t="s">
        <v>42</v>
      </c>
    </row>
    <row r="863" spans="1:13" x14ac:dyDescent="0.3">
      <c r="A863" t="s">
        <v>41</v>
      </c>
      <c r="B863">
        <v>20260210361645</v>
      </c>
      <c r="C863" t="s">
        <v>112</v>
      </c>
      <c r="D863">
        <v>58481090</v>
      </c>
      <c r="E863" s="16" t="s">
        <v>7</v>
      </c>
      <c r="F863" s="3">
        <v>1</v>
      </c>
      <c r="G863" s="3">
        <v>119000</v>
      </c>
      <c r="H863" s="3">
        <v>119000</v>
      </c>
      <c r="I863" s="3">
        <v>80920</v>
      </c>
      <c r="J863" s="3">
        <v>108181.81818181818</v>
      </c>
      <c r="K863" s="25">
        <v>61496</v>
      </c>
      <c r="L863" s="25">
        <v>61496</v>
      </c>
      <c r="M863" t="s">
        <v>42</v>
      </c>
    </row>
    <row r="864" spans="1:13" x14ac:dyDescent="0.3">
      <c r="A864" t="s">
        <v>41</v>
      </c>
      <c r="B864">
        <v>20260210362008</v>
      </c>
      <c r="C864" t="s">
        <v>112</v>
      </c>
      <c r="D864">
        <v>58481090</v>
      </c>
      <c r="E864" s="16" t="s">
        <v>7</v>
      </c>
      <c r="F864" s="3">
        <v>1</v>
      </c>
      <c r="G864" s="3">
        <v>119000</v>
      </c>
      <c r="H864" s="3">
        <v>119000</v>
      </c>
      <c r="I864" s="3">
        <v>80920</v>
      </c>
      <c r="J864" s="3">
        <v>108181.81818181818</v>
      </c>
      <c r="K864" s="25">
        <v>61496</v>
      </c>
      <c r="L864" s="25">
        <v>61496</v>
      </c>
      <c r="M864" t="s">
        <v>42</v>
      </c>
    </row>
    <row r="865" spans="1:13" x14ac:dyDescent="0.3">
      <c r="A865" t="s">
        <v>41</v>
      </c>
      <c r="B865">
        <v>20260210360697</v>
      </c>
      <c r="C865" t="s">
        <v>112</v>
      </c>
      <c r="D865">
        <v>58481090</v>
      </c>
      <c r="E865" s="16" t="s">
        <v>7</v>
      </c>
      <c r="F865" s="3">
        <v>1</v>
      </c>
      <c r="G865" s="3">
        <v>119000</v>
      </c>
      <c r="H865" s="3">
        <v>101150</v>
      </c>
      <c r="I865" s="3">
        <v>80920</v>
      </c>
      <c r="J865" s="3">
        <v>91954.545454545441</v>
      </c>
      <c r="K865" s="25">
        <v>61496</v>
      </c>
      <c r="L865" s="25">
        <v>61496</v>
      </c>
      <c r="M865" t="s">
        <v>42</v>
      </c>
    </row>
    <row r="866" spans="1:13" x14ac:dyDescent="0.3">
      <c r="A866" t="s">
        <v>41</v>
      </c>
      <c r="B866">
        <v>20260210362079</v>
      </c>
      <c r="C866" t="s">
        <v>112</v>
      </c>
      <c r="D866">
        <v>58481090</v>
      </c>
      <c r="E866" s="16" t="s">
        <v>7</v>
      </c>
      <c r="F866" s="3">
        <v>1</v>
      </c>
      <c r="G866" s="3">
        <v>119000</v>
      </c>
      <c r="H866" s="3">
        <v>119000</v>
      </c>
      <c r="I866" s="3">
        <v>80920</v>
      </c>
      <c r="J866" s="3">
        <v>108181.81818181818</v>
      </c>
      <c r="K866" s="25">
        <v>61496</v>
      </c>
      <c r="L866" s="25">
        <v>61496</v>
      </c>
      <c r="M866" t="s">
        <v>42</v>
      </c>
    </row>
    <row r="867" spans="1:13" x14ac:dyDescent="0.3">
      <c r="A867" t="s">
        <v>41</v>
      </c>
      <c r="B867">
        <v>20260210361307</v>
      </c>
      <c r="C867" t="s">
        <v>112</v>
      </c>
      <c r="D867">
        <v>58481090</v>
      </c>
      <c r="E867" s="16" t="s">
        <v>7</v>
      </c>
      <c r="F867" s="3">
        <v>1</v>
      </c>
      <c r="G867" s="3">
        <v>119000</v>
      </c>
      <c r="H867" s="3">
        <v>119000</v>
      </c>
      <c r="I867" s="3">
        <v>80920</v>
      </c>
      <c r="J867" s="3">
        <v>108181.81818181818</v>
      </c>
      <c r="K867" s="25">
        <v>61496</v>
      </c>
      <c r="L867" s="25">
        <v>61496</v>
      </c>
      <c r="M867" t="s">
        <v>42</v>
      </c>
    </row>
    <row r="868" spans="1:13" x14ac:dyDescent="0.3">
      <c r="A868" t="s">
        <v>41</v>
      </c>
      <c r="B868">
        <v>20260210360709</v>
      </c>
      <c r="C868" t="s">
        <v>112</v>
      </c>
      <c r="D868">
        <v>58481090</v>
      </c>
      <c r="E868" s="16" t="s">
        <v>7</v>
      </c>
      <c r="F868" s="3">
        <v>1</v>
      </c>
      <c r="G868" s="3">
        <v>119000</v>
      </c>
      <c r="H868" s="3">
        <v>119000</v>
      </c>
      <c r="I868" s="3">
        <v>80920</v>
      </c>
      <c r="J868" s="3">
        <v>108181.81818181818</v>
      </c>
      <c r="K868" s="25">
        <v>61496</v>
      </c>
      <c r="L868" s="25">
        <v>61496</v>
      </c>
      <c r="M868" t="s">
        <v>42</v>
      </c>
    </row>
    <row r="869" spans="1:13" x14ac:dyDescent="0.3">
      <c r="A869" t="s">
        <v>41</v>
      </c>
      <c r="B869">
        <v>20260210361913</v>
      </c>
      <c r="C869" t="s">
        <v>112</v>
      </c>
      <c r="D869">
        <v>58481090</v>
      </c>
      <c r="E869" s="16" t="s">
        <v>7</v>
      </c>
      <c r="F869" s="3">
        <v>1</v>
      </c>
      <c r="G869" s="3">
        <v>119000</v>
      </c>
      <c r="H869" s="3">
        <v>119000</v>
      </c>
      <c r="I869" s="3">
        <v>80920</v>
      </c>
      <c r="J869" s="3">
        <v>108181.81818181818</v>
      </c>
      <c r="K869" s="25">
        <v>61496</v>
      </c>
      <c r="L869" s="25">
        <v>61496</v>
      </c>
      <c r="M869" t="s">
        <v>42</v>
      </c>
    </row>
    <row r="870" spans="1:13" x14ac:dyDescent="0.3">
      <c r="A870" t="s">
        <v>41</v>
      </c>
      <c r="B870">
        <v>20260210360756</v>
      </c>
      <c r="C870" t="s">
        <v>112</v>
      </c>
      <c r="D870">
        <v>58481090</v>
      </c>
      <c r="E870" s="16" t="s">
        <v>7</v>
      </c>
      <c r="F870" s="3">
        <v>1</v>
      </c>
      <c r="G870" s="3">
        <v>119000</v>
      </c>
      <c r="H870" s="3">
        <v>119000</v>
      </c>
      <c r="I870" s="3">
        <v>80920</v>
      </c>
      <c r="J870" s="3">
        <v>108181.81818181818</v>
      </c>
      <c r="K870" s="25">
        <v>61496</v>
      </c>
      <c r="L870" s="25">
        <v>61496</v>
      </c>
      <c r="M870" t="s">
        <v>42</v>
      </c>
    </row>
    <row r="871" spans="1:13" x14ac:dyDescent="0.3">
      <c r="A871" t="s">
        <v>41</v>
      </c>
      <c r="B871">
        <v>20260210361263</v>
      </c>
      <c r="C871" t="s">
        <v>112</v>
      </c>
      <c r="D871">
        <v>58481090</v>
      </c>
      <c r="E871" s="16" t="s">
        <v>7</v>
      </c>
      <c r="F871" s="3">
        <v>1</v>
      </c>
      <c r="G871" s="3">
        <v>119000</v>
      </c>
      <c r="H871" s="3">
        <v>119000</v>
      </c>
      <c r="I871" s="3">
        <v>80920</v>
      </c>
      <c r="J871" s="3">
        <v>108181.81818181818</v>
      </c>
      <c r="K871" s="25">
        <v>61496</v>
      </c>
      <c r="L871" s="25">
        <v>61496</v>
      </c>
      <c r="M871" t="s">
        <v>42</v>
      </c>
    </row>
    <row r="872" spans="1:13" x14ac:dyDescent="0.3">
      <c r="A872" t="s">
        <v>41</v>
      </c>
      <c r="B872">
        <v>20260210361539</v>
      </c>
      <c r="C872" t="s">
        <v>112</v>
      </c>
      <c r="D872">
        <v>58481090</v>
      </c>
      <c r="E872" s="16" t="s">
        <v>7</v>
      </c>
      <c r="F872" s="3">
        <v>1</v>
      </c>
      <c r="G872" s="3">
        <v>119000</v>
      </c>
      <c r="H872" s="3">
        <v>119000</v>
      </c>
      <c r="I872" s="3">
        <v>80920</v>
      </c>
      <c r="J872" s="3">
        <v>108181.81818181818</v>
      </c>
      <c r="K872" s="25">
        <v>61496</v>
      </c>
      <c r="L872" s="25">
        <v>61496</v>
      </c>
      <c r="M872" t="s">
        <v>42</v>
      </c>
    </row>
    <row r="873" spans="1:13" x14ac:dyDescent="0.3">
      <c r="A873" t="s">
        <v>41</v>
      </c>
      <c r="B873">
        <v>20260210361940</v>
      </c>
      <c r="C873" t="s">
        <v>112</v>
      </c>
      <c r="D873">
        <v>58481090</v>
      </c>
      <c r="E873" s="16" t="s">
        <v>7</v>
      </c>
      <c r="F873" s="3">
        <v>1</v>
      </c>
      <c r="G873" s="3">
        <v>119000</v>
      </c>
      <c r="H873" s="3">
        <v>119000</v>
      </c>
      <c r="I873" s="3">
        <v>80920</v>
      </c>
      <c r="J873" s="3">
        <v>108181.81818181818</v>
      </c>
      <c r="K873" s="25">
        <v>61496</v>
      </c>
      <c r="L873" s="25">
        <v>61496</v>
      </c>
      <c r="M873" t="s">
        <v>42</v>
      </c>
    </row>
    <row r="874" spans="1:13" x14ac:dyDescent="0.3">
      <c r="A874" t="s">
        <v>41</v>
      </c>
      <c r="B874">
        <v>20260210362078</v>
      </c>
      <c r="C874" t="s">
        <v>112</v>
      </c>
      <c r="D874">
        <v>58481090</v>
      </c>
      <c r="E874" s="16" t="s">
        <v>7</v>
      </c>
      <c r="F874" s="3">
        <v>1</v>
      </c>
      <c r="G874" s="3">
        <v>119000</v>
      </c>
      <c r="H874" s="3">
        <v>119000</v>
      </c>
      <c r="I874" s="3">
        <v>80920</v>
      </c>
      <c r="J874" s="3">
        <v>108181.81818181818</v>
      </c>
      <c r="K874" s="25">
        <v>61496</v>
      </c>
      <c r="L874" s="25">
        <v>61496</v>
      </c>
      <c r="M874" t="s">
        <v>42</v>
      </c>
    </row>
    <row r="875" spans="1:13" x14ac:dyDescent="0.3">
      <c r="A875" t="s">
        <v>41</v>
      </c>
      <c r="B875">
        <v>20260210361721</v>
      </c>
      <c r="C875" t="s">
        <v>112</v>
      </c>
      <c r="D875">
        <v>58481090</v>
      </c>
      <c r="E875" s="16" t="s">
        <v>7</v>
      </c>
      <c r="F875" s="3">
        <v>1</v>
      </c>
      <c r="G875" s="3">
        <v>119000</v>
      </c>
      <c r="H875" s="3">
        <v>119000</v>
      </c>
      <c r="I875" s="3">
        <v>80920</v>
      </c>
      <c r="J875" s="3">
        <v>108181.81818181818</v>
      </c>
      <c r="K875" s="25">
        <v>61496</v>
      </c>
      <c r="L875" s="25">
        <v>61496</v>
      </c>
      <c r="M875" t="s">
        <v>42</v>
      </c>
    </row>
    <row r="876" spans="1:13" x14ac:dyDescent="0.3">
      <c r="A876" t="s">
        <v>41</v>
      </c>
      <c r="B876">
        <v>20260210361178</v>
      </c>
      <c r="C876" t="s">
        <v>112</v>
      </c>
      <c r="D876">
        <v>58481090</v>
      </c>
      <c r="E876" s="16" t="s">
        <v>7</v>
      </c>
      <c r="F876" s="3">
        <v>1</v>
      </c>
      <c r="G876" s="3">
        <v>119000</v>
      </c>
      <c r="H876" s="3">
        <v>119000</v>
      </c>
      <c r="I876" s="3">
        <v>80920</v>
      </c>
      <c r="J876" s="3">
        <v>108181.81818181818</v>
      </c>
      <c r="K876" s="25">
        <v>61496</v>
      </c>
      <c r="L876" s="25">
        <v>61496</v>
      </c>
      <c r="M876" t="s">
        <v>42</v>
      </c>
    </row>
    <row r="877" spans="1:13" x14ac:dyDescent="0.3">
      <c r="A877" t="s">
        <v>41</v>
      </c>
      <c r="B877">
        <v>20260210360216</v>
      </c>
      <c r="C877" t="s">
        <v>112</v>
      </c>
      <c r="D877">
        <v>58481090</v>
      </c>
      <c r="E877" s="16" t="s">
        <v>7</v>
      </c>
      <c r="F877" s="3">
        <v>1</v>
      </c>
      <c r="G877" s="3">
        <v>119000</v>
      </c>
      <c r="H877" s="3">
        <v>119000</v>
      </c>
      <c r="I877" s="3">
        <v>80920</v>
      </c>
      <c r="J877" s="3">
        <v>108181.81818181818</v>
      </c>
      <c r="K877" s="25">
        <v>61496</v>
      </c>
      <c r="L877" s="25">
        <v>61496</v>
      </c>
      <c r="M877" t="s">
        <v>42</v>
      </c>
    </row>
    <row r="878" spans="1:13" x14ac:dyDescent="0.3">
      <c r="A878" t="s">
        <v>41</v>
      </c>
      <c r="B878">
        <v>20260210360543</v>
      </c>
      <c r="C878" t="s">
        <v>112</v>
      </c>
      <c r="D878">
        <v>58481090</v>
      </c>
      <c r="E878" s="16" t="s">
        <v>7</v>
      </c>
      <c r="F878" s="3">
        <v>1</v>
      </c>
      <c r="G878" s="3">
        <v>119000</v>
      </c>
      <c r="H878" s="3">
        <v>119000</v>
      </c>
      <c r="I878" s="3">
        <v>80920</v>
      </c>
      <c r="J878" s="3">
        <v>108181.81818181818</v>
      </c>
      <c r="K878" s="25">
        <v>61496</v>
      </c>
      <c r="L878" s="25">
        <v>61496</v>
      </c>
      <c r="M878" t="s">
        <v>42</v>
      </c>
    </row>
    <row r="879" spans="1:13" x14ac:dyDescent="0.3">
      <c r="A879" t="s">
        <v>41</v>
      </c>
      <c r="B879">
        <v>20260210361735</v>
      </c>
      <c r="C879" t="s">
        <v>112</v>
      </c>
      <c r="D879">
        <v>58481090</v>
      </c>
      <c r="E879" s="16" t="s">
        <v>7</v>
      </c>
      <c r="F879" s="3">
        <v>1</v>
      </c>
      <c r="G879" s="3">
        <v>119000</v>
      </c>
      <c r="H879" s="3">
        <v>113050</v>
      </c>
      <c r="I879" s="3">
        <v>80920</v>
      </c>
      <c r="J879" s="3">
        <v>102772.72727272726</v>
      </c>
      <c r="K879" s="25">
        <v>61496</v>
      </c>
      <c r="L879" s="25">
        <v>61496</v>
      </c>
      <c r="M879" t="s">
        <v>42</v>
      </c>
    </row>
    <row r="880" spans="1:13" x14ac:dyDescent="0.3">
      <c r="A880" t="s">
        <v>41</v>
      </c>
      <c r="B880">
        <v>20260210360908</v>
      </c>
      <c r="C880" t="s">
        <v>112</v>
      </c>
      <c r="D880">
        <v>58481090</v>
      </c>
      <c r="E880" s="16" t="s">
        <v>7</v>
      </c>
      <c r="F880" s="3">
        <v>1</v>
      </c>
      <c r="G880" s="3">
        <v>119000</v>
      </c>
      <c r="H880" s="3">
        <v>113050</v>
      </c>
      <c r="I880" s="3">
        <v>80920</v>
      </c>
      <c r="J880" s="3">
        <v>102772.72727272726</v>
      </c>
      <c r="K880" s="25">
        <v>61496</v>
      </c>
      <c r="L880" s="25">
        <v>61496</v>
      </c>
      <c r="M880" t="s">
        <v>42</v>
      </c>
    </row>
    <row r="881" spans="1:12" x14ac:dyDescent="0.3">
      <c r="A881" t="s">
        <v>41</v>
      </c>
      <c r="B881">
        <v>20260210342835</v>
      </c>
      <c r="C881" t="s">
        <v>112</v>
      </c>
      <c r="D881">
        <v>58481090</v>
      </c>
      <c r="E881" s="16" t="s">
        <v>7</v>
      </c>
      <c r="F881" s="3">
        <v>1</v>
      </c>
      <c r="G881" s="3">
        <v>119000</v>
      </c>
      <c r="H881" s="3">
        <v>119000</v>
      </c>
      <c r="I881" s="3">
        <v>80920</v>
      </c>
      <c r="J881" s="3">
        <v>108181.81818181818</v>
      </c>
      <c r="K881" s="25">
        <v>61496</v>
      </c>
      <c r="L881" s="25">
        <v>61496</v>
      </c>
    </row>
    <row r="882" spans="1:12" x14ac:dyDescent="0.3">
      <c r="A882" t="s">
        <v>1673</v>
      </c>
      <c r="B882">
        <v>12100169248866</v>
      </c>
      <c r="C882" t="s">
        <v>2555</v>
      </c>
      <c r="D882" t="s">
        <v>5595</v>
      </c>
      <c r="E882" s="16" t="s">
        <v>7</v>
      </c>
      <c r="F882" s="3">
        <v>1</v>
      </c>
      <c r="G882" s="3">
        <v>20900</v>
      </c>
      <c r="H882" s="3">
        <v>20900</v>
      </c>
      <c r="I882" s="3">
        <v>18183</v>
      </c>
      <c r="J882" s="3">
        <v>19000</v>
      </c>
      <c r="K882" s="25">
        <v>7687</v>
      </c>
      <c r="L882" s="25">
        <v>7687</v>
      </c>
    </row>
    <row r="883" spans="1:12" x14ac:dyDescent="0.3">
      <c r="A883" t="s">
        <v>1673</v>
      </c>
      <c r="B883">
        <v>28100169339326</v>
      </c>
      <c r="C883" t="s">
        <v>2555</v>
      </c>
      <c r="D883" t="s">
        <v>5595</v>
      </c>
      <c r="E883" s="16" t="s">
        <v>7</v>
      </c>
      <c r="F883" s="3">
        <v>1</v>
      </c>
      <c r="G883" s="3">
        <v>20900</v>
      </c>
      <c r="H883" s="3">
        <v>20900</v>
      </c>
      <c r="I883" s="3">
        <v>18183</v>
      </c>
      <c r="J883" s="3">
        <v>19000</v>
      </c>
      <c r="K883" s="25">
        <v>7687</v>
      </c>
      <c r="L883" s="25">
        <v>7687</v>
      </c>
    </row>
    <row r="884" spans="1:12" x14ac:dyDescent="0.3">
      <c r="A884" t="s">
        <v>1673</v>
      </c>
      <c r="B884">
        <v>30100169868577</v>
      </c>
      <c r="C884" t="s">
        <v>2555</v>
      </c>
      <c r="D884" t="s">
        <v>5595</v>
      </c>
      <c r="E884" s="16" t="s">
        <v>7</v>
      </c>
      <c r="F884" s="3">
        <v>3</v>
      </c>
      <c r="G884" s="3">
        <v>20900</v>
      </c>
      <c r="H884" s="3">
        <v>62700</v>
      </c>
      <c r="I884" s="3">
        <v>54549</v>
      </c>
      <c r="J884" s="3">
        <v>56999.999999999993</v>
      </c>
      <c r="K884" s="25">
        <v>7687</v>
      </c>
      <c r="L884" s="25">
        <v>23061</v>
      </c>
    </row>
    <row r="885" spans="1:12" x14ac:dyDescent="0.3">
      <c r="A885" t="s">
        <v>1673</v>
      </c>
      <c r="B885">
        <v>19100169693948</v>
      </c>
      <c r="C885" t="s">
        <v>2555</v>
      </c>
      <c r="D885" t="s">
        <v>5595</v>
      </c>
      <c r="E885" s="16" t="s">
        <v>7</v>
      </c>
      <c r="F885" s="3">
        <v>1</v>
      </c>
      <c r="G885" s="3">
        <v>20900</v>
      </c>
      <c r="H885" s="3">
        <v>20900</v>
      </c>
      <c r="I885" s="3">
        <v>18183</v>
      </c>
      <c r="J885" s="3">
        <v>19000</v>
      </c>
      <c r="K885" s="25">
        <v>7687</v>
      </c>
      <c r="L885" s="25">
        <v>7687</v>
      </c>
    </row>
    <row r="886" spans="1:12" x14ac:dyDescent="0.3">
      <c r="A886" t="s">
        <v>1673</v>
      </c>
      <c r="B886">
        <v>26100169614931</v>
      </c>
      <c r="C886" t="s">
        <v>2555</v>
      </c>
      <c r="D886" t="s">
        <v>5595</v>
      </c>
      <c r="E886" s="16" t="s">
        <v>7</v>
      </c>
      <c r="F886" s="3">
        <v>1</v>
      </c>
      <c r="G886" s="3">
        <v>40000</v>
      </c>
      <c r="H886" s="3">
        <v>40000</v>
      </c>
      <c r="I886" s="3">
        <v>34800</v>
      </c>
      <c r="J886" s="3">
        <v>36363.63636363636</v>
      </c>
      <c r="K886" s="25">
        <v>7687</v>
      </c>
      <c r="L886" s="25">
        <v>7687</v>
      </c>
    </row>
    <row r="887" spans="1:12" x14ac:dyDescent="0.3">
      <c r="A887" t="s">
        <v>1673</v>
      </c>
      <c r="B887">
        <v>7100170513612</v>
      </c>
      <c r="C887" t="s">
        <v>2555</v>
      </c>
      <c r="D887" t="s">
        <v>5595</v>
      </c>
      <c r="E887" s="16" t="s">
        <v>7</v>
      </c>
      <c r="F887" s="3">
        <v>1</v>
      </c>
      <c r="G887" s="3">
        <v>78000</v>
      </c>
      <c r="H887" s="3">
        <v>78000</v>
      </c>
      <c r="I887" s="3">
        <v>67860</v>
      </c>
      <c r="J887" s="3">
        <v>70909.090909090897</v>
      </c>
      <c r="K887" s="25">
        <v>7687</v>
      </c>
      <c r="L887" s="25">
        <v>7687</v>
      </c>
    </row>
    <row r="888" spans="1:12" x14ac:dyDescent="0.3">
      <c r="A888" t="s">
        <v>1673</v>
      </c>
      <c r="B888">
        <v>32100170207333</v>
      </c>
      <c r="C888" t="s">
        <v>2555</v>
      </c>
      <c r="D888" t="s">
        <v>5595</v>
      </c>
      <c r="E888" s="16" t="s">
        <v>7</v>
      </c>
      <c r="F888" s="3">
        <v>1</v>
      </c>
      <c r="G888" s="3">
        <v>78000</v>
      </c>
      <c r="H888" s="3">
        <v>78000</v>
      </c>
      <c r="I888" s="3">
        <v>67860</v>
      </c>
      <c r="J888" s="3">
        <v>70909.090909090897</v>
      </c>
      <c r="K888" s="25">
        <v>7687</v>
      </c>
      <c r="L888" s="25">
        <v>7687</v>
      </c>
    </row>
    <row r="889" spans="1:12" x14ac:dyDescent="0.3">
      <c r="A889" t="s">
        <v>1673</v>
      </c>
      <c r="B889">
        <v>18100170248996</v>
      </c>
      <c r="C889" t="s">
        <v>2555</v>
      </c>
      <c r="D889" t="s">
        <v>5595</v>
      </c>
      <c r="E889" s="16" t="s">
        <v>7</v>
      </c>
      <c r="F889" s="3">
        <v>1</v>
      </c>
      <c r="G889" s="3">
        <v>40000</v>
      </c>
      <c r="H889" s="3">
        <v>40000</v>
      </c>
      <c r="I889" s="3">
        <v>34800</v>
      </c>
      <c r="J889" s="3">
        <v>36363.63636363636</v>
      </c>
      <c r="K889" s="25">
        <v>7687</v>
      </c>
      <c r="L889" s="25">
        <v>7687</v>
      </c>
    </row>
    <row r="890" spans="1:12" x14ac:dyDescent="0.3">
      <c r="A890" t="s">
        <v>1673</v>
      </c>
      <c r="B890">
        <v>9100170443201</v>
      </c>
      <c r="C890" t="s">
        <v>2555</v>
      </c>
      <c r="D890" t="s">
        <v>5595</v>
      </c>
      <c r="E890" s="16" t="s">
        <v>7</v>
      </c>
      <c r="F890" s="3">
        <v>1</v>
      </c>
      <c r="G890" s="3">
        <v>78000</v>
      </c>
      <c r="H890" s="3">
        <v>78000</v>
      </c>
      <c r="I890" s="3">
        <v>67860</v>
      </c>
      <c r="J890" s="3">
        <v>70909.090909090897</v>
      </c>
      <c r="K890" s="25">
        <v>7687</v>
      </c>
      <c r="L890" s="25">
        <v>7687</v>
      </c>
    </row>
    <row r="891" spans="1:12" x14ac:dyDescent="0.3">
      <c r="A891" t="s">
        <v>1673</v>
      </c>
      <c r="B891">
        <v>9100170453124</v>
      </c>
      <c r="C891" t="s">
        <v>2555</v>
      </c>
      <c r="D891" t="s">
        <v>5595</v>
      </c>
      <c r="E891" s="16" t="s">
        <v>7</v>
      </c>
      <c r="F891" s="3">
        <v>1</v>
      </c>
      <c r="G891" s="3">
        <v>78000</v>
      </c>
      <c r="H891" s="3">
        <v>78000</v>
      </c>
      <c r="I891" s="3">
        <v>67860</v>
      </c>
      <c r="J891" s="3">
        <v>70909.090909090897</v>
      </c>
      <c r="K891" s="25">
        <v>7687</v>
      </c>
      <c r="L891" s="25">
        <v>7687</v>
      </c>
    </row>
    <row r="892" spans="1:12" x14ac:dyDescent="0.3">
      <c r="A892" t="s">
        <v>1673</v>
      </c>
      <c r="B892">
        <v>16100171241527</v>
      </c>
      <c r="C892" t="s">
        <v>2555</v>
      </c>
      <c r="D892" t="s">
        <v>5595</v>
      </c>
      <c r="E892" s="16" t="s">
        <v>7</v>
      </c>
      <c r="F892" s="3">
        <v>1</v>
      </c>
      <c r="G892" s="3">
        <v>40000</v>
      </c>
      <c r="H892" s="3">
        <v>40000</v>
      </c>
      <c r="I892" s="3">
        <v>34800</v>
      </c>
      <c r="J892" s="3">
        <v>36363.63636363636</v>
      </c>
      <c r="K892" s="25">
        <v>7687</v>
      </c>
      <c r="L892" s="25">
        <v>7687</v>
      </c>
    </row>
    <row r="893" spans="1:12" x14ac:dyDescent="0.3">
      <c r="A893" t="s">
        <v>1673</v>
      </c>
      <c r="B893">
        <v>32100170791524</v>
      </c>
      <c r="C893" t="s">
        <v>2555</v>
      </c>
      <c r="D893" t="s">
        <v>5595</v>
      </c>
      <c r="E893" s="16" t="s">
        <v>7</v>
      </c>
      <c r="F893" s="3">
        <v>1</v>
      </c>
      <c r="G893" s="3">
        <v>78000</v>
      </c>
      <c r="H893" s="3">
        <v>78000</v>
      </c>
      <c r="I893" s="3">
        <v>67860</v>
      </c>
      <c r="J893" s="3">
        <v>70909.090909090897</v>
      </c>
      <c r="K893" s="25">
        <v>7687</v>
      </c>
      <c r="L893" s="25">
        <v>7687</v>
      </c>
    </row>
    <row r="894" spans="1:12" x14ac:dyDescent="0.3">
      <c r="A894" t="s">
        <v>1673</v>
      </c>
      <c r="B894">
        <v>6100170728171</v>
      </c>
      <c r="C894" t="s">
        <v>2555</v>
      </c>
      <c r="D894" t="s">
        <v>5595</v>
      </c>
      <c r="E894" s="16" t="s">
        <v>7</v>
      </c>
      <c r="F894" s="3">
        <v>1</v>
      </c>
      <c r="G894" s="3">
        <v>40000</v>
      </c>
      <c r="H894" s="3">
        <v>40000</v>
      </c>
      <c r="I894" s="3">
        <v>34800</v>
      </c>
      <c r="J894" s="3">
        <v>36363.63636363636</v>
      </c>
      <c r="K894" s="25">
        <v>7687</v>
      </c>
      <c r="L894" s="25">
        <v>7687</v>
      </c>
    </row>
    <row r="895" spans="1:12" x14ac:dyDescent="0.3">
      <c r="A895" t="s">
        <v>1673</v>
      </c>
      <c r="B895">
        <v>17100170827220</v>
      </c>
      <c r="C895" t="s">
        <v>2555</v>
      </c>
      <c r="D895" t="s">
        <v>5595</v>
      </c>
      <c r="E895" s="16" t="s">
        <v>7</v>
      </c>
      <c r="F895" s="3">
        <v>2</v>
      </c>
      <c r="G895" s="3">
        <v>40000</v>
      </c>
      <c r="H895" s="3">
        <v>80000</v>
      </c>
      <c r="I895" s="3">
        <v>69600</v>
      </c>
      <c r="J895" s="3">
        <v>72727.272727272721</v>
      </c>
      <c r="K895" s="25">
        <v>7687</v>
      </c>
      <c r="L895" s="25">
        <v>15374</v>
      </c>
    </row>
    <row r="896" spans="1:12" x14ac:dyDescent="0.3">
      <c r="A896" t="s">
        <v>1673</v>
      </c>
      <c r="B896">
        <v>20100171016693</v>
      </c>
      <c r="C896" t="s">
        <v>2555</v>
      </c>
      <c r="D896" t="s">
        <v>5595</v>
      </c>
      <c r="E896" s="16" t="s">
        <v>7</v>
      </c>
      <c r="F896" s="3">
        <v>1</v>
      </c>
      <c r="G896" s="3">
        <v>20900</v>
      </c>
      <c r="H896" s="3">
        <v>20900</v>
      </c>
      <c r="I896" s="3">
        <v>18183</v>
      </c>
      <c r="J896" s="3">
        <v>19000</v>
      </c>
      <c r="K896" s="25">
        <v>7687</v>
      </c>
      <c r="L896" s="25">
        <v>7687</v>
      </c>
    </row>
    <row r="897" spans="1:12" x14ac:dyDescent="0.3">
      <c r="A897" t="s">
        <v>1672</v>
      </c>
      <c r="B897">
        <v>2026020586548500</v>
      </c>
      <c r="C897" t="s">
        <v>2694</v>
      </c>
      <c r="D897" t="s">
        <v>2698</v>
      </c>
      <c r="E897" s="16" t="s">
        <v>7</v>
      </c>
      <c r="F897" s="3">
        <v>1</v>
      </c>
      <c r="G897" s="3">
        <v>45800</v>
      </c>
      <c r="H897" s="3">
        <v>33900</v>
      </c>
      <c r="I897" s="3">
        <v>32205</v>
      </c>
      <c r="J897" s="3">
        <v>30818.181818181816</v>
      </c>
      <c r="K897" s="25">
        <v>15374</v>
      </c>
      <c r="L897" s="25">
        <v>15374</v>
      </c>
    </row>
    <row r="898" spans="1:12" x14ac:dyDescent="0.3">
      <c r="A898" t="s">
        <v>1672</v>
      </c>
      <c r="B898">
        <v>2026020586295070</v>
      </c>
      <c r="C898" t="s">
        <v>2707</v>
      </c>
      <c r="D898" t="s">
        <v>2708</v>
      </c>
      <c r="E898" s="16" t="s">
        <v>7</v>
      </c>
      <c r="F898" s="3">
        <v>1</v>
      </c>
      <c r="G898" s="3">
        <v>22900</v>
      </c>
      <c r="H898" s="3">
        <v>17800</v>
      </c>
      <c r="I898" s="3">
        <v>16910</v>
      </c>
      <c r="J898" s="3">
        <v>16181.81818181818</v>
      </c>
      <c r="K898" s="25">
        <v>7687</v>
      </c>
      <c r="L898" s="25">
        <v>7687</v>
      </c>
    </row>
    <row r="899" spans="1:12" x14ac:dyDescent="0.3">
      <c r="A899" t="s">
        <v>1672</v>
      </c>
      <c r="B899">
        <v>2026020480361830</v>
      </c>
      <c r="C899" t="s">
        <v>2707</v>
      </c>
      <c r="D899" t="s">
        <v>2708</v>
      </c>
      <c r="E899" s="16" t="s">
        <v>7</v>
      </c>
      <c r="F899" s="3">
        <v>1</v>
      </c>
      <c r="G899" s="3">
        <v>22900</v>
      </c>
      <c r="H899" s="3">
        <v>17800</v>
      </c>
      <c r="I899" s="3">
        <v>16910</v>
      </c>
      <c r="J899" s="3">
        <v>16181.81818181818</v>
      </c>
      <c r="K899" s="25">
        <v>7687</v>
      </c>
      <c r="L899" s="25">
        <v>7687</v>
      </c>
    </row>
    <row r="900" spans="1:12" x14ac:dyDescent="0.3">
      <c r="A900" t="s">
        <v>1672</v>
      </c>
      <c r="B900">
        <v>2026020641602910</v>
      </c>
      <c r="C900" t="s">
        <v>2694</v>
      </c>
      <c r="D900" t="s">
        <v>2698</v>
      </c>
      <c r="E900" s="16" t="s">
        <v>7</v>
      </c>
      <c r="F900" s="3">
        <v>1</v>
      </c>
      <c r="G900" s="3">
        <v>45800</v>
      </c>
      <c r="H900" s="3">
        <v>33900</v>
      </c>
      <c r="I900" s="3">
        <v>32205</v>
      </c>
      <c r="J900" s="3">
        <v>30818.181818181816</v>
      </c>
      <c r="K900" s="25">
        <v>15374</v>
      </c>
      <c r="L900" s="25">
        <v>15374</v>
      </c>
    </row>
    <row r="901" spans="1:12" x14ac:dyDescent="0.3">
      <c r="A901" t="s">
        <v>5596</v>
      </c>
      <c r="B901">
        <v>3242789909</v>
      </c>
      <c r="C901" t="s">
        <v>2707</v>
      </c>
      <c r="D901" t="s">
        <v>2708</v>
      </c>
      <c r="E901" s="16" t="s">
        <v>7</v>
      </c>
      <c r="F901" s="3">
        <v>1</v>
      </c>
      <c r="G901" s="3">
        <v>22900</v>
      </c>
      <c r="H901" s="3">
        <v>22900</v>
      </c>
      <c r="I901" s="3">
        <v>21297</v>
      </c>
      <c r="J901" s="3">
        <v>20818.181818181816</v>
      </c>
      <c r="K901" s="25">
        <v>7687</v>
      </c>
      <c r="L901" s="25">
        <v>7687</v>
      </c>
    </row>
    <row r="902" spans="1:12" x14ac:dyDescent="0.3">
      <c r="A902" t="s">
        <v>5596</v>
      </c>
      <c r="B902">
        <v>3242866950</v>
      </c>
      <c r="C902" t="s">
        <v>2707</v>
      </c>
      <c r="D902" t="s">
        <v>2708</v>
      </c>
      <c r="E902" s="16" t="s">
        <v>7</v>
      </c>
      <c r="F902" s="3">
        <v>2</v>
      </c>
      <c r="G902" s="3">
        <v>45800</v>
      </c>
      <c r="H902" s="3">
        <v>91600</v>
      </c>
      <c r="I902" s="3">
        <v>85188</v>
      </c>
      <c r="J902" s="3">
        <v>83272.727272727265</v>
      </c>
      <c r="K902" s="25">
        <v>7687</v>
      </c>
      <c r="L902" s="25">
        <v>15374</v>
      </c>
    </row>
    <row r="903" spans="1:12" x14ac:dyDescent="0.3">
      <c r="A903" t="s">
        <v>5596</v>
      </c>
      <c r="B903">
        <v>3242952358</v>
      </c>
      <c r="C903" t="s">
        <v>2707</v>
      </c>
      <c r="D903" t="s">
        <v>2708</v>
      </c>
      <c r="E903" s="16" t="s">
        <v>7</v>
      </c>
      <c r="F903" s="3">
        <v>1</v>
      </c>
      <c r="G903" s="3">
        <v>22900</v>
      </c>
      <c r="H903" s="3">
        <v>22900</v>
      </c>
      <c r="I903" s="3">
        <v>21297</v>
      </c>
      <c r="J903" s="3">
        <v>20818.181818181816</v>
      </c>
      <c r="K903" s="25">
        <v>7687</v>
      </c>
      <c r="L903" s="25">
        <v>7687</v>
      </c>
    </row>
    <row r="904" spans="1:12" x14ac:dyDescent="0.3">
      <c r="A904" t="s">
        <v>5596</v>
      </c>
      <c r="B904">
        <v>3242962470</v>
      </c>
      <c r="C904" t="s">
        <v>2707</v>
      </c>
      <c r="D904" t="s">
        <v>2708</v>
      </c>
      <c r="E904" s="16" t="s">
        <v>7</v>
      </c>
      <c r="F904" s="3">
        <v>2</v>
      </c>
      <c r="G904" s="3">
        <v>45800</v>
      </c>
      <c r="H904" s="3">
        <v>91600</v>
      </c>
      <c r="I904" s="3">
        <v>85188</v>
      </c>
      <c r="J904" s="3">
        <v>83272.727272727265</v>
      </c>
      <c r="K904" s="25">
        <v>7687</v>
      </c>
      <c r="L904" s="25">
        <v>15374</v>
      </c>
    </row>
    <row r="905" spans="1:12" x14ac:dyDescent="0.3">
      <c r="A905" t="s">
        <v>5596</v>
      </c>
      <c r="B905">
        <v>3242973875</v>
      </c>
      <c r="C905" t="s">
        <v>2707</v>
      </c>
      <c r="D905" t="s">
        <v>2708</v>
      </c>
      <c r="E905" s="16" t="s">
        <v>7</v>
      </c>
      <c r="F905" s="3">
        <v>2</v>
      </c>
      <c r="G905" s="3">
        <v>45800</v>
      </c>
      <c r="H905" s="3">
        <v>91600</v>
      </c>
      <c r="I905" s="3">
        <v>85188</v>
      </c>
      <c r="J905" s="3">
        <v>83272.727272727265</v>
      </c>
      <c r="K905" s="25">
        <v>7687</v>
      </c>
      <c r="L905" s="25">
        <v>15374</v>
      </c>
    </row>
    <row r="906" spans="1:12" x14ac:dyDescent="0.3">
      <c r="A906" t="s">
        <v>5594</v>
      </c>
      <c r="B906">
        <v>2.0260205105831501E+18</v>
      </c>
      <c r="C906" t="s">
        <v>5602</v>
      </c>
      <c r="D906">
        <v>143790</v>
      </c>
      <c r="E906" s="16" t="s">
        <v>7</v>
      </c>
      <c r="F906" s="3">
        <v>1</v>
      </c>
      <c r="G906" s="3">
        <v>41363.636363636302</v>
      </c>
      <c r="H906" s="3">
        <v>45499.999999999935</v>
      </c>
      <c r="I906" s="3">
        <v>45500</v>
      </c>
      <c r="J906" s="3">
        <v>41363.636363636302</v>
      </c>
      <c r="K906" s="25">
        <v>30748</v>
      </c>
      <c r="L906" s="25">
        <v>30748</v>
      </c>
    </row>
    <row r="907" spans="1:12" x14ac:dyDescent="0.3">
      <c r="A907" t="s">
        <v>5594</v>
      </c>
      <c r="B907">
        <v>2.02602051039395E+18</v>
      </c>
      <c r="C907" t="s">
        <v>5602</v>
      </c>
      <c r="D907">
        <v>143790</v>
      </c>
      <c r="E907" s="16" t="s">
        <v>7</v>
      </c>
      <c r="F907" s="3">
        <v>1</v>
      </c>
      <c r="G907" s="3">
        <v>41363.636363636302</v>
      </c>
      <c r="H907" s="3">
        <v>45499.999999999935</v>
      </c>
      <c r="I907" s="3">
        <v>45500</v>
      </c>
      <c r="J907" s="3">
        <v>41363.636363636302</v>
      </c>
      <c r="K907" s="25">
        <v>30748</v>
      </c>
      <c r="L907" s="25">
        <v>30748</v>
      </c>
    </row>
    <row r="908" spans="1:12" x14ac:dyDescent="0.3">
      <c r="A908" t="s">
        <v>5594</v>
      </c>
      <c r="B908">
        <v>2.0260205103855301E+18</v>
      </c>
      <c r="C908" t="s">
        <v>5602</v>
      </c>
      <c r="D908">
        <v>143790</v>
      </c>
      <c r="E908" s="16" t="s">
        <v>7</v>
      </c>
      <c r="F908" s="3">
        <v>1</v>
      </c>
      <c r="G908" s="3">
        <v>41363.636363636302</v>
      </c>
      <c r="H908" s="3">
        <v>45499.999999999935</v>
      </c>
      <c r="I908" s="3">
        <v>45500</v>
      </c>
      <c r="J908" s="3">
        <v>41363.636363636302</v>
      </c>
      <c r="K908" s="25">
        <v>30748</v>
      </c>
      <c r="L908" s="25">
        <v>30748</v>
      </c>
    </row>
    <row r="909" spans="1:12" x14ac:dyDescent="0.3">
      <c r="A909" t="s">
        <v>5594</v>
      </c>
      <c r="B909">
        <v>2.0260205102430001E+18</v>
      </c>
      <c r="C909" t="s">
        <v>5602</v>
      </c>
      <c r="D909">
        <v>143790</v>
      </c>
      <c r="E909" s="16" t="s">
        <v>7</v>
      </c>
      <c r="F909" s="3">
        <v>1</v>
      </c>
      <c r="G909" s="3">
        <v>41363.636363636302</v>
      </c>
      <c r="H909" s="3">
        <v>45499.999999999935</v>
      </c>
      <c r="I909" s="3">
        <v>45500</v>
      </c>
      <c r="J909" s="3">
        <v>41363.636363636302</v>
      </c>
      <c r="K909" s="25">
        <v>30748</v>
      </c>
      <c r="L909" s="25">
        <v>30748</v>
      </c>
    </row>
    <row r="910" spans="1:12" x14ac:dyDescent="0.3">
      <c r="A910" t="s">
        <v>5594</v>
      </c>
      <c r="B910">
        <v>2.0260205102414999E+18</v>
      </c>
      <c r="C910" t="s">
        <v>5602</v>
      </c>
      <c r="D910">
        <v>143790</v>
      </c>
      <c r="E910" s="16" t="s">
        <v>7</v>
      </c>
      <c r="F910" s="3">
        <v>1</v>
      </c>
      <c r="G910" s="3">
        <v>41363.636363636302</v>
      </c>
      <c r="H910" s="3">
        <v>45499.999999999935</v>
      </c>
      <c r="I910" s="3">
        <v>45500</v>
      </c>
      <c r="J910" s="3">
        <v>41363.636363636302</v>
      </c>
      <c r="K910" s="25">
        <v>30748</v>
      </c>
      <c r="L910" s="25">
        <v>30748</v>
      </c>
    </row>
    <row r="911" spans="1:12" x14ac:dyDescent="0.3">
      <c r="A911" t="s">
        <v>5594</v>
      </c>
      <c r="B911">
        <v>2.02602051023325E+18</v>
      </c>
      <c r="C911" t="s">
        <v>5602</v>
      </c>
      <c r="D911">
        <v>143790</v>
      </c>
      <c r="E911" s="16" t="s">
        <v>7</v>
      </c>
      <c r="F911" s="3">
        <v>1</v>
      </c>
      <c r="G911" s="3">
        <v>41363.636363636302</v>
      </c>
      <c r="H911" s="3">
        <v>45499.999999999935</v>
      </c>
      <c r="I911" s="3">
        <v>45500</v>
      </c>
      <c r="J911" s="3">
        <v>41363.636363636302</v>
      </c>
      <c r="K911" s="25">
        <v>30748</v>
      </c>
      <c r="L911" s="25">
        <v>30748</v>
      </c>
    </row>
    <row r="912" spans="1:12" x14ac:dyDescent="0.3">
      <c r="A912" t="s">
        <v>5594</v>
      </c>
      <c r="B912">
        <v>2.0260205101943401E+18</v>
      </c>
      <c r="C912" t="s">
        <v>5602</v>
      </c>
      <c r="D912">
        <v>143790</v>
      </c>
      <c r="E912" s="16" t="s">
        <v>7</v>
      </c>
      <c r="F912" s="3">
        <v>2</v>
      </c>
      <c r="G912" s="3">
        <v>41363.636363636353</v>
      </c>
      <c r="H912" s="3">
        <v>91000</v>
      </c>
      <c r="I912" s="3">
        <v>91000</v>
      </c>
      <c r="J912" s="3">
        <v>82727.272727272706</v>
      </c>
      <c r="K912" s="25">
        <v>30748</v>
      </c>
      <c r="L912" s="25">
        <v>61496</v>
      </c>
    </row>
    <row r="913" spans="1:12" x14ac:dyDescent="0.3">
      <c r="A913" t="s">
        <v>5594</v>
      </c>
      <c r="B913">
        <v>2.02602051008162E+18</v>
      </c>
      <c r="C913" t="s">
        <v>5602</v>
      </c>
      <c r="D913">
        <v>143790</v>
      </c>
      <c r="E913" s="16" t="s">
        <v>7</v>
      </c>
      <c r="F913" s="3">
        <v>1</v>
      </c>
      <c r="G913" s="3">
        <v>41363.636363636302</v>
      </c>
      <c r="H913" s="3">
        <v>45499.999999999935</v>
      </c>
      <c r="I913" s="3">
        <v>45500</v>
      </c>
      <c r="J913" s="3">
        <v>41363.636363636302</v>
      </c>
      <c r="K913" s="25">
        <v>30748</v>
      </c>
      <c r="L913" s="25">
        <v>30748</v>
      </c>
    </row>
    <row r="914" spans="1:12" x14ac:dyDescent="0.3">
      <c r="A914" t="s">
        <v>5594</v>
      </c>
      <c r="B914">
        <v>2.0260205100247401E+18</v>
      </c>
      <c r="C914" t="s">
        <v>5602</v>
      </c>
      <c r="D914">
        <v>143790</v>
      </c>
      <c r="E914" s="16" t="s">
        <v>7</v>
      </c>
      <c r="F914" s="3">
        <v>1</v>
      </c>
      <c r="G914" s="3">
        <v>41363.636363636302</v>
      </c>
      <c r="H914" s="3">
        <v>45499.999999999935</v>
      </c>
      <c r="I914" s="3">
        <v>45500</v>
      </c>
      <c r="J914" s="3">
        <v>41363.636363636302</v>
      </c>
      <c r="K914" s="25">
        <v>30748</v>
      </c>
      <c r="L914" s="25">
        <v>30748</v>
      </c>
    </row>
    <row r="915" spans="1:12" x14ac:dyDescent="0.3">
      <c r="A915" t="s">
        <v>5594</v>
      </c>
      <c r="B915">
        <v>2.0260205095056499E+18</v>
      </c>
      <c r="C915" t="s">
        <v>5602</v>
      </c>
      <c r="D915">
        <v>143790</v>
      </c>
      <c r="E915" s="16" t="s">
        <v>7</v>
      </c>
      <c r="F915" s="3">
        <v>1</v>
      </c>
      <c r="G915" s="3">
        <v>41363.636363636302</v>
      </c>
      <c r="H915" s="3">
        <v>45499.999999999935</v>
      </c>
      <c r="I915" s="3">
        <v>45500</v>
      </c>
      <c r="J915" s="3">
        <v>41363.636363636302</v>
      </c>
      <c r="K915" s="25">
        <v>30748</v>
      </c>
      <c r="L915" s="25">
        <v>30748</v>
      </c>
    </row>
    <row r="916" spans="1:12" x14ac:dyDescent="0.3">
      <c r="A916" t="s">
        <v>5594</v>
      </c>
      <c r="B916">
        <v>2.0260205094735601E+18</v>
      </c>
      <c r="C916" t="s">
        <v>5602</v>
      </c>
      <c r="D916">
        <v>143790</v>
      </c>
      <c r="E916" s="16" t="s">
        <v>7</v>
      </c>
      <c r="F916" s="3">
        <v>1</v>
      </c>
      <c r="G916" s="3">
        <v>41363.636363636302</v>
      </c>
      <c r="H916" s="3">
        <v>45499.999999999935</v>
      </c>
      <c r="I916" s="3">
        <v>45500</v>
      </c>
      <c r="J916" s="3">
        <v>41363.636363636302</v>
      </c>
      <c r="K916" s="25">
        <v>30748</v>
      </c>
      <c r="L916" s="25">
        <v>30748</v>
      </c>
    </row>
    <row r="917" spans="1:12" x14ac:dyDescent="0.3">
      <c r="A917" t="s">
        <v>5594</v>
      </c>
      <c r="B917">
        <v>2.0260205094305999E+18</v>
      </c>
      <c r="C917" t="s">
        <v>5602</v>
      </c>
      <c r="D917">
        <v>143790</v>
      </c>
      <c r="E917" s="16" t="s">
        <v>7</v>
      </c>
      <c r="F917" s="3">
        <v>1</v>
      </c>
      <c r="G917" s="3">
        <v>41363.636363636302</v>
      </c>
      <c r="H917" s="3">
        <v>45499.999999999935</v>
      </c>
      <c r="I917" s="3">
        <v>45500</v>
      </c>
      <c r="J917" s="3">
        <v>41363.636363636302</v>
      </c>
      <c r="K917" s="25">
        <v>30748</v>
      </c>
      <c r="L917" s="25">
        <v>30748</v>
      </c>
    </row>
    <row r="918" spans="1:12" x14ac:dyDescent="0.3">
      <c r="A918" t="s">
        <v>5594</v>
      </c>
      <c r="B918">
        <v>2.0260205094337001E+18</v>
      </c>
      <c r="C918" t="s">
        <v>5602</v>
      </c>
      <c r="D918">
        <v>143790</v>
      </c>
      <c r="E918" s="16" t="s">
        <v>7</v>
      </c>
      <c r="F918" s="3">
        <v>1</v>
      </c>
      <c r="G918" s="3">
        <v>41363.636363636302</v>
      </c>
      <c r="H918" s="3">
        <v>45499.999999999935</v>
      </c>
      <c r="I918" s="3">
        <v>45500</v>
      </c>
      <c r="J918" s="3">
        <v>41363.636363636302</v>
      </c>
      <c r="K918" s="25">
        <v>30748</v>
      </c>
      <c r="L918" s="25">
        <v>30748</v>
      </c>
    </row>
    <row r="919" spans="1:12" x14ac:dyDescent="0.3">
      <c r="A919" t="s">
        <v>5594</v>
      </c>
      <c r="B919">
        <v>2.0260205094230899E+18</v>
      </c>
      <c r="C919" t="s">
        <v>5602</v>
      </c>
      <c r="D919">
        <v>143790</v>
      </c>
      <c r="E919" s="16" t="s">
        <v>7</v>
      </c>
      <c r="F919" s="3">
        <v>1</v>
      </c>
      <c r="G919" s="3">
        <v>41363.636363636302</v>
      </c>
      <c r="H919" s="3">
        <v>45499.999999999935</v>
      </c>
      <c r="I919" s="3">
        <v>45500</v>
      </c>
      <c r="J919" s="3">
        <v>41363.636363636302</v>
      </c>
      <c r="K919" s="25">
        <v>30748</v>
      </c>
      <c r="L919" s="25">
        <v>30748</v>
      </c>
    </row>
    <row r="920" spans="1:12" x14ac:dyDescent="0.3">
      <c r="A920" t="s">
        <v>5594</v>
      </c>
      <c r="B920">
        <v>2.0260205093831501E+18</v>
      </c>
      <c r="C920" t="s">
        <v>5602</v>
      </c>
      <c r="D920">
        <v>143790</v>
      </c>
      <c r="E920" s="16" t="s">
        <v>7</v>
      </c>
      <c r="F920" s="3">
        <v>2</v>
      </c>
      <c r="G920" s="3">
        <v>41363.636363636353</v>
      </c>
      <c r="H920" s="3">
        <v>91000</v>
      </c>
      <c r="I920" s="3">
        <v>91000</v>
      </c>
      <c r="J920" s="3">
        <v>82727.272727272706</v>
      </c>
      <c r="K920" s="25">
        <v>30748</v>
      </c>
      <c r="L920" s="25">
        <v>61496</v>
      </c>
    </row>
    <row r="921" spans="1:12" x14ac:dyDescent="0.3">
      <c r="A921" t="s">
        <v>5594</v>
      </c>
      <c r="B921">
        <v>2.0260205093328599E+18</v>
      </c>
      <c r="C921" t="s">
        <v>5602</v>
      </c>
      <c r="D921">
        <v>143790</v>
      </c>
      <c r="E921" s="16" t="s">
        <v>7</v>
      </c>
      <c r="F921" s="3">
        <v>1</v>
      </c>
      <c r="G921" s="3">
        <v>41363.636363636302</v>
      </c>
      <c r="H921" s="3">
        <v>45499.999999999935</v>
      </c>
      <c r="I921" s="3">
        <v>45500</v>
      </c>
      <c r="J921" s="3">
        <v>41363.636363636302</v>
      </c>
      <c r="K921" s="25">
        <v>30748</v>
      </c>
      <c r="L921" s="25">
        <v>30748</v>
      </c>
    </row>
    <row r="922" spans="1:12" x14ac:dyDescent="0.3">
      <c r="A922" t="s">
        <v>5594</v>
      </c>
      <c r="B922">
        <v>2.0260205093010601E+18</v>
      </c>
      <c r="C922" t="s">
        <v>5602</v>
      </c>
      <c r="D922">
        <v>143790</v>
      </c>
      <c r="E922" s="16" t="s">
        <v>7</v>
      </c>
      <c r="F922" s="3">
        <v>1</v>
      </c>
      <c r="G922" s="3">
        <v>41363.636363636302</v>
      </c>
      <c r="H922" s="3">
        <v>45499.999999999935</v>
      </c>
      <c r="I922" s="3">
        <v>45500</v>
      </c>
      <c r="J922" s="3">
        <v>41363.636363636302</v>
      </c>
      <c r="K922" s="25">
        <v>30748</v>
      </c>
      <c r="L922" s="25">
        <v>30748</v>
      </c>
    </row>
    <row r="923" spans="1:12" x14ac:dyDescent="0.3">
      <c r="A923" t="s">
        <v>5594</v>
      </c>
      <c r="B923">
        <v>2.02602050925264E+18</v>
      </c>
      <c r="C923" t="s">
        <v>5602</v>
      </c>
      <c r="D923">
        <v>143790</v>
      </c>
      <c r="E923" s="16" t="s">
        <v>7</v>
      </c>
      <c r="F923" s="3">
        <v>1</v>
      </c>
      <c r="G923" s="3">
        <v>41363.636363636302</v>
      </c>
      <c r="H923" s="3">
        <v>45499.999999999935</v>
      </c>
      <c r="I923" s="3">
        <v>45500</v>
      </c>
      <c r="J923" s="3">
        <v>41363.636363636302</v>
      </c>
      <c r="K923" s="25">
        <v>30748</v>
      </c>
      <c r="L923" s="25">
        <v>30748</v>
      </c>
    </row>
    <row r="924" spans="1:12" x14ac:dyDescent="0.3">
      <c r="A924" t="s">
        <v>5594</v>
      </c>
      <c r="B924">
        <v>2.02602050919327E+18</v>
      </c>
      <c r="C924" t="s">
        <v>5602</v>
      </c>
      <c r="D924">
        <v>143790</v>
      </c>
      <c r="E924" s="16" t="s">
        <v>7</v>
      </c>
      <c r="F924" s="3">
        <v>1</v>
      </c>
      <c r="G924" s="3">
        <v>41363.636363636302</v>
      </c>
      <c r="H924" s="3">
        <v>45499.999999999935</v>
      </c>
      <c r="I924" s="3">
        <v>45500</v>
      </c>
      <c r="J924" s="3">
        <v>41363.636363636302</v>
      </c>
      <c r="K924" s="25">
        <v>30748</v>
      </c>
      <c r="L924" s="25">
        <v>30748</v>
      </c>
    </row>
    <row r="925" spans="1:12" x14ac:dyDescent="0.3">
      <c r="A925" t="s">
        <v>5594</v>
      </c>
      <c r="B925">
        <v>2.0260205091626299E+18</v>
      </c>
      <c r="C925" t="s">
        <v>5602</v>
      </c>
      <c r="D925">
        <v>143790</v>
      </c>
      <c r="E925" s="16" t="s">
        <v>7</v>
      </c>
      <c r="F925" s="3">
        <v>1</v>
      </c>
      <c r="G925" s="3">
        <v>41363.636363636302</v>
      </c>
      <c r="H925" s="3">
        <v>45499.999999999935</v>
      </c>
      <c r="I925" s="3">
        <v>45500</v>
      </c>
      <c r="J925" s="3">
        <v>41363.636363636302</v>
      </c>
      <c r="K925" s="25">
        <v>30748</v>
      </c>
      <c r="L925" s="25">
        <v>30748</v>
      </c>
    </row>
    <row r="926" spans="1:12" x14ac:dyDescent="0.3">
      <c r="A926" t="s">
        <v>5594</v>
      </c>
      <c r="B926">
        <v>2.0260205091303199E+18</v>
      </c>
      <c r="C926" t="s">
        <v>5602</v>
      </c>
      <c r="D926">
        <v>143790</v>
      </c>
      <c r="E926" s="16" t="s">
        <v>7</v>
      </c>
      <c r="F926" s="3">
        <v>1</v>
      </c>
      <c r="G926" s="3">
        <v>41363.636363636302</v>
      </c>
      <c r="H926" s="3">
        <v>45499.999999999935</v>
      </c>
      <c r="I926" s="3">
        <v>45500</v>
      </c>
      <c r="J926" s="3">
        <v>41363.636363636302</v>
      </c>
      <c r="K926" s="25">
        <v>30748</v>
      </c>
      <c r="L926" s="25">
        <v>30748</v>
      </c>
    </row>
    <row r="927" spans="1:12" x14ac:dyDescent="0.3">
      <c r="A927" t="s">
        <v>5594</v>
      </c>
      <c r="B927">
        <v>2.0260205091251999E+18</v>
      </c>
      <c r="C927" t="s">
        <v>5602</v>
      </c>
      <c r="D927">
        <v>143790</v>
      </c>
      <c r="E927" s="16" t="s">
        <v>7</v>
      </c>
      <c r="F927" s="3">
        <v>1</v>
      </c>
      <c r="G927" s="3">
        <v>41363.636363636302</v>
      </c>
      <c r="H927" s="3">
        <v>45499.999999999935</v>
      </c>
      <c r="I927" s="3">
        <v>45500</v>
      </c>
      <c r="J927" s="3">
        <v>41363.636363636302</v>
      </c>
      <c r="K927" s="25">
        <v>30748</v>
      </c>
      <c r="L927" s="25">
        <v>30748</v>
      </c>
    </row>
    <row r="928" spans="1:12" x14ac:dyDescent="0.3">
      <c r="A928" t="s">
        <v>5594</v>
      </c>
      <c r="B928">
        <v>2.0260205090842701E+18</v>
      </c>
      <c r="C928" t="s">
        <v>5602</v>
      </c>
      <c r="D928">
        <v>143790</v>
      </c>
      <c r="E928" s="16" t="s">
        <v>7</v>
      </c>
      <c r="F928" s="3">
        <v>1</v>
      </c>
      <c r="G928" s="3">
        <v>41363.636363636302</v>
      </c>
      <c r="H928" s="3">
        <v>45499.999999999935</v>
      </c>
      <c r="I928" s="3">
        <v>45500</v>
      </c>
      <c r="J928" s="3">
        <v>41363.636363636302</v>
      </c>
      <c r="K928" s="25">
        <v>30748</v>
      </c>
      <c r="L928" s="25">
        <v>30748</v>
      </c>
    </row>
    <row r="929" spans="1:12" x14ac:dyDescent="0.3">
      <c r="A929" t="s">
        <v>5594</v>
      </c>
      <c r="B929">
        <v>2.0260205090740301E+18</v>
      </c>
      <c r="C929" t="s">
        <v>5602</v>
      </c>
      <c r="D929">
        <v>143790</v>
      </c>
      <c r="E929" s="16" t="s">
        <v>7</v>
      </c>
      <c r="F929" s="3">
        <v>1</v>
      </c>
      <c r="G929" s="3">
        <v>41363.636363636302</v>
      </c>
      <c r="H929" s="3">
        <v>45499.999999999935</v>
      </c>
      <c r="I929" s="3">
        <v>45500</v>
      </c>
      <c r="J929" s="3">
        <v>41363.636363636302</v>
      </c>
      <c r="K929" s="25">
        <v>30748</v>
      </c>
      <c r="L929" s="25">
        <v>30748</v>
      </c>
    </row>
    <row r="930" spans="1:12" x14ac:dyDescent="0.3">
      <c r="A930" t="s">
        <v>5594</v>
      </c>
      <c r="B930">
        <v>2.0260205090347699E+18</v>
      </c>
      <c r="C930" t="s">
        <v>5602</v>
      </c>
      <c r="D930">
        <v>143790</v>
      </c>
      <c r="E930" s="16" t="s">
        <v>7</v>
      </c>
      <c r="F930" s="3">
        <v>1</v>
      </c>
      <c r="G930" s="3">
        <v>41363.636363636302</v>
      </c>
      <c r="H930" s="3">
        <v>45499.999999999935</v>
      </c>
      <c r="I930" s="3">
        <v>45500</v>
      </c>
      <c r="J930" s="3">
        <v>41363.636363636302</v>
      </c>
      <c r="K930" s="25">
        <v>30748</v>
      </c>
      <c r="L930" s="25">
        <v>30748</v>
      </c>
    </row>
    <row r="931" spans="1:12" x14ac:dyDescent="0.3">
      <c r="A931" t="s">
        <v>5594</v>
      </c>
      <c r="B931">
        <v>2.02602050900546E+18</v>
      </c>
      <c r="C931" t="s">
        <v>5602</v>
      </c>
      <c r="D931">
        <v>143790</v>
      </c>
      <c r="E931" s="16" t="s">
        <v>7</v>
      </c>
      <c r="F931" s="3">
        <v>2</v>
      </c>
      <c r="G931" s="3">
        <v>41363.636363636353</v>
      </c>
      <c r="H931" s="3">
        <v>91000</v>
      </c>
      <c r="I931" s="3">
        <v>91000</v>
      </c>
      <c r="J931" s="3">
        <v>82727.272727272706</v>
      </c>
      <c r="K931" s="25">
        <v>30748</v>
      </c>
      <c r="L931" s="25">
        <v>61496</v>
      </c>
    </row>
    <row r="932" spans="1:12" x14ac:dyDescent="0.3">
      <c r="A932" t="s">
        <v>5594</v>
      </c>
      <c r="B932">
        <v>2.0260205090016499E+18</v>
      </c>
      <c r="C932" t="s">
        <v>5602</v>
      </c>
      <c r="D932">
        <v>143790</v>
      </c>
      <c r="E932" s="16" t="s">
        <v>7</v>
      </c>
      <c r="F932" s="3">
        <v>1</v>
      </c>
      <c r="G932" s="3">
        <v>41363.636363636302</v>
      </c>
      <c r="H932" s="3">
        <v>45499.999999999935</v>
      </c>
      <c r="I932" s="3">
        <v>45500</v>
      </c>
      <c r="J932" s="3">
        <v>41363.636363636302</v>
      </c>
      <c r="K932" s="25">
        <v>30748</v>
      </c>
      <c r="L932" s="25">
        <v>30748</v>
      </c>
    </row>
    <row r="933" spans="1:12" x14ac:dyDescent="0.3">
      <c r="A933" t="s">
        <v>5594</v>
      </c>
      <c r="B933">
        <v>2.02602050837278E+18</v>
      </c>
      <c r="C933" t="s">
        <v>5602</v>
      </c>
      <c r="D933">
        <v>143790</v>
      </c>
      <c r="E933" s="16" t="s">
        <v>7</v>
      </c>
      <c r="F933" s="3">
        <v>3</v>
      </c>
      <c r="G933" s="3">
        <v>41363.636363636331</v>
      </c>
      <c r="H933" s="3">
        <v>136499.99999999991</v>
      </c>
      <c r="I933" s="3">
        <v>136500</v>
      </c>
      <c r="J933" s="3">
        <v>124090.909090909</v>
      </c>
      <c r="K933" s="25">
        <v>30748</v>
      </c>
      <c r="L933" s="25">
        <v>92244</v>
      </c>
    </row>
    <row r="934" spans="1:12" x14ac:dyDescent="0.3">
      <c r="A934" t="s">
        <v>5594</v>
      </c>
      <c r="B934">
        <v>2.02602050854272E+18</v>
      </c>
      <c r="C934" t="s">
        <v>5602</v>
      </c>
      <c r="D934">
        <v>143790</v>
      </c>
      <c r="E934" s="16" t="s">
        <v>7</v>
      </c>
      <c r="F934" s="3">
        <v>1</v>
      </c>
      <c r="G934" s="3">
        <v>41363.636363636302</v>
      </c>
      <c r="H934" s="3">
        <v>45499.999999999935</v>
      </c>
      <c r="I934" s="3">
        <v>45500</v>
      </c>
      <c r="J934" s="3">
        <v>41363.636363636302</v>
      </c>
      <c r="K934" s="25">
        <v>30748</v>
      </c>
      <c r="L934" s="25">
        <v>30748</v>
      </c>
    </row>
    <row r="935" spans="1:12" x14ac:dyDescent="0.3">
      <c r="A935" t="s">
        <v>5594</v>
      </c>
      <c r="B935">
        <v>2.0260205085447501E+18</v>
      </c>
      <c r="C935" t="s">
        <v>5602</v>
      </c>
      <c r="D935">
        <v>143790</v>
      </c>
      <c r="E935" s="16" t="s">
        <v>7</v>
      </c>
      <c r="F935" s="3">
        <v>1</v>
      </c>
      <c r="G935" s="3">
        <v>41363.636363636302</v>
      </c>
      <c r="H935" s="3">
        <v>45499.999999999935</v>
      </c>
      <c r="I935" s="3">
        <v>45500</v>
      </c>
      <c r="J935" s="3">
        <v>41363.636363636302</v>
      </c>
      <c r="K935" s="25">
        <v>30748</v>
      </c>
      <c r="L935" s="25">
        <v>30748</v>
      </c>
    </row>
    <row r="936" spans="1:12" x14ac:dyDescent="0.3">
      <c r="A936" t="s">
        <v>5594</v>
      </c>
      <c r="B936">
        <v>2.02602050847137E+18</v>
      </c>
      <c r="C936" t="s">
        <v>5602</v>
      </c>
      <c r="D936">
        <v>143790</v>
      </c>
      <c r="E936" s="16" t="s">
        <v>7</v>
      </c>
      <c r="F936" s="3">
        <v>1</v>
      </c>
      <c r="G936" s="3">
        <v>41363.636363636302</v>
      </c>
      <c r="H936" s="3">
        <v>45499.999999999935</v>
      </c>
      <c r="I936" s="3">
        <v>45500</v>
      </c>
      <c r="J936" s="3">
        <v>41363.636363636302</v>
      </c>
      <c r="K936" s="25">
        <v>30748</v>
      </c>
      <c r="L936" s="25">
        <v>30748</v>
      </c>
    </row>
    <row r="937" spans="1:12" x14ac:dyDescent="0.3">
      <c r="A937" t="s">
        <v>5594</v>
      </c>
      <c r="B937">
        <v>2.02602050849389E+18</v>
      </c>
      <c r="C937" t="s">
        <v>5602</v>
      </c>
      <c r="D937">
        <v>143790</v>
      </c>
      <c r="E937" s="16" t="s">
        <v>7</v>
      </c>
      <c r="F937" s="3">
        <v>1</v>
      </c>
      <c r="G937" s="3">
        <v>41363.636363636302</v>
      </c>
      <c r="H937" s="3">
        <v>45499.999999999935</v>
      </c>
      <c r="I937" s="3">
        <v>45500</v>
      </c>
      <c r="J937" s="3">
        <v>41363.636363636302</v>
      </c>
      <c r="K937" s="25">
        <v>30748</v>
      </c>
      <c r="L937" s="25">
        <v>30748</v>
      </c>
    </row>
    <row r="938" spans="1:12" x14ac:dyDescent="0.3">
      <c r="A938" t="s">
        <v>5594</v>
      </c>
      <c r="B938">
        <v>2.02602050848349E+18</v>
      </c>
      <c r="C938" t="s">
        <v>5602</v>
      </c>
      <c r="D938">
        <v>143790</v>
      </c>
      <c r="E938" s="16" t="s">
        <v>7</v>
      </c>
      <c r="F938" s="3">
        <v>1</v>
      </c>
      <c r="G938" s="3">
        <v>41363.636363636302</v>
      </c>
      <c r="H938" s="3">
        <v>45499.999999999935</v>
      </c>
      <c r="I938" s="3">
        <v>45500</v>
      </c>
      <c r="J938" s="3">
        <v>41363.636363636302</v>
      </c>
      <c r="K938" s="25">
        <v>30748</v>
      </c>
      <c r="L938" s="25">
        <v>30748</v>
      </c>
    </row>
    <row r="939" spans="1:12" x14ac:dyDescent="0.3">
      <c r="A939" t="s">
        <v>5594</v>
      </c>
      <c r="B939">
        <v>2.0260205084509901E+18</v>
      </c>
      <c r="C939" t="s">
        <v>5602</v>
      </c>
      <c r="D939">
        <v>143790</v>
      </c>
      <c r="E939" s="16" t="s">
        <v>7</v>
      </c>
      <c r="F939" s="3">
        <v>1</v>
      </c>
      <c r="G939" s="3">
        <v>41363.636363636302</v>
      </c>
      <c r="H939" s="3">
        <v>45499.999999999935</v>
      </c>
      <c r="I939" s="3">
        <v>45500</v>
      </c>
      <c r="J939" s="3">
        <v>41363.636363636302</v>
      </c>
      <c r="K939" s="25">
        <v>30748</v>
      </c>
      <c r="L939" s="25">
        <v>30748</v>
      </c>
    </row>
    <row r="940" spans="1:12" x14ac:dyDescent="0.3">
      <c r="A940" t="s">
        <v>5594</v>
      </c>
      <c r="B940">
        <v>2.02602050842125E+18</v>
      </c>
      <c r="C940" t="s">
        <v>5602</v>
      </c>
      <c r="D940">
        <v>143790</v>
      </c>
      <c r="E940" s="16" t="s">
        <v>7</v>
      </c>
      <c r="F940" s="3">
        <v>1</v>
      </c>
      <c r="G940" s="3">
        <v>41363.636363636302</v>
      </c>
      <c r="H940" s="3">
        <v>45499.999999999935</v>
      </c>
      <c r="I940" s="3">
        <v>45500</v>
      </c>
      <c r="J940" s="3">
        <v>41363.636363636302</v>
      </c>
      <c r="K940" s="25">
        <v>30748</v>
      </c>
      <c r="L940" s="25">
        <v>30748</v>
      </c>
    </row>
    <row r="941" spans="1:12" x14ac:dyDescent="0.3">
      <c r="A941" t="s">
        <v>5594</v>
      </c>
      <c r="B941">
        <v>2.02602050843263E+18</v>
      </c>
      <c r="C941" t="s">
        <v>5602</v>
      </c>
      <c r="D941">
        <v>143790</v>
      </c>
      <c r="E941" s="16" t="s">
        <v>7</v>
      </c>
      <c r="F941" s="3">
        <v>1</v>
      </c>
      <c r="G941" s="3">
        <v>41363.636363636302</v>
      </c>
      <c r="H941" s="3">
        <v>45499.999999999935</v>
      </c>
      <c r="I941" s="3">
        <v>45500</v>
      </c>
      <c r="J941" s="3">
        <v>41363.636363636302</v>
      </c>
      <c r="K941" s="25">
        <v>30748</v>
      </c>
      <c r="L941" s="25">
        <v>30748</v>
      </c>
    </row>
    <row r="942" spans="1:12" x14ac:dyDescent="0.3">
      <c r="A942" t="s">
        <v>5594</v>
      </c>
      <c r="B942">
        <v>2.0260205083347999E+18</v>
      </c>
      <c r="C942" t="s">
        <v>5602</v>
      </c>
      <c r="D942">
        <v>143790</v>
      </c>
      <c r="E942" s="16" t="s">
        <v>7</v>
      </c>
      <c r="F942" s="3">
        <v>1</v>
      </c>
      <c r="G942" s="3">
        <v>41363.636363636302</v>
      </c>
      <c r="H942" s="3">
        <v>45499.999999999935</v>
      </c>
      <c r="I942" s="3">
        <v>45500</v>
      </c>
      <c r="J942" s="3">
        <v>41363.636363636302</v>
      </c>
      <c r="K942" s="25">
        <v>30748</v>
      </c>
      <c r="L942" s="25">
        <v>30748</v>
      </c>
    </row>
    <row r="943" spans="1:12" x14ac:dyDescent="0.3">
      <c r="A943" t="s">
        <v>5594</v>
      </c>
      <c r="B943">
        <v>2.0260205083925499E+18</v>
      </c>
      <c r="C943" t="s">
        <v>5602</v>
      </c>
      <c r="D943">
        <v>143790</v>
      </c>
      <c r="E943" s="16" t="s">
        <v>7</v>
      </c>
      <c r="F943" s="3">
        <v>1</v>
      </c>
      <c r="G943" s="3">
        <v>41363.636363636302</v>
      </c>
      <c r="H943" s="3">
        <v>45499.999999999935</v>
      </c>
      <c r="I943" s="3">
        <v>45500</v>
      </c>
      <c r="J943" s="3">
        <v>41363.636363636302</v>
      </c>
      <c r="K943" s="25">
        <v>30748</v>
      </c>
      <c r="L943" s="25">
        <v>30748</v>
      </c>
    </row>
    <row r="944" spans="1:12" x14ac:dyDescent="0.3">
      <c r="A944" t="s">
        <v>5594</v>
      </c>
      <c r="B944">
        <v>2.02602050835165E+18</v>
      </c>
      <c r="C944" t="s">
        <v>5602</v>
      </c>
      <c r="D944">
        <v>143790</v>
      </c>
      <c r="E944" s="16" t="s">
        <v>7</v>
      </c>
      <c r="F944" s="3">
        <v>2</v>
      </c>
      <c r="G944" s="3">
        <v>41363.636363636353</v>
      </c>
      <c r="H944" s="3">
        <v>91000</v>
      </c>
      <c r="I944" s="3">
        <v>91000</v>
      </c>
      <c r="J944" s="3">
        <v>82727.272727272706</v>
      </c>
      <c r="K944" s="25">
        <v>30748</v>
      </c>
      <c r="L944" s="25">
        <v>61496</v>
      </c>
    </row>
    <row r="945" spans="1:12" x14ac:dyDescent="0.3">
      <c r="A945" t="s">
        <v>5594</v>
      </c>
      <c r="B945">
        <v>2.02602050836337E+18</v>
      </c>
      <c r="C945" t="s">
        <v>5602</v>
      </c>
      <c r="D945">
        <v>143790</v>
      </c>
      <c r="E945" s="16" t="s">
        <v>7</v>
      </c>
      <c r="F945" s="3">
        <v>1</v>
      </c>
      <c r="G945" s="3">
        <v>41363.636363636302</v>
      </c>
      <c r="H945" s="3">
        <v>45499.999999999935</v>
      </c>
      <c r="I945" s="3">
        <v>45500</v>
      </c>
      <c r="J945" s="3">
        <v>41363.636363636302</v>
      </c>
      <c r="K945" s="25">
        <v>30748</v>
      </c>
      <c r="L945" s="25">
        <v>30748</v>
      </c>
    </row>
    <row r="946" spans="1:12" x14ac:dyDescent="0.3">
      <c r="A946" t="s">
        <v>5594</v>
      </c>
      <c r="B946">
        <v>2.02602050833106E+18</v>
      </c>
      <c r="C946" t="s">
        <v>5602</v>
      </c>
      <c r="D946">
        <v>143790</v>
      </c>
      <c r="E946" s="16" t="s">
        <v>7</v>
      </c>
      <c r="F946" s="3">
        <v>1</v>
      </c>
      <c r="G946" s="3">
        <v>41363.636363636302</v>
      </c>
      <c r="H946" s="3">
        <v>45499.999999999935</v>
      </c>
      <c r="I946" s="3">
        <v>45500</v>
      </c>
      <c r="J946" s="3">
        <v>41363.636363636302</v>
      </c>
      <c r="K946" s="25">
        <v>30748</v>
      </c>
      <c r="L946" s="25">
        <v>30748</v>
      </c>
    </row>
    <row r="947" spans="1:12" x14ac:dyDescent="0.3">
      <c r="A947" t="s">
        <v>5594</v>
      </c>
      <c r="B947">
        <v>2.0260205083219E+18</v>
      </c>
      <c r="C947" t="s">
        <v>5602</v>
      </c>
      <c r="D947">
        <v>143790</v>
      </c>
      <c r="E947" s="16" t="s">
        <v>7</v>
      </c>
      <c r="F947" s="3">
        <v>1</v>
      </c>
      <c r="G947" s="3">
        <v>41363.636363636302</v>
      </c>
      <c r="H947" s="3">
        <v>45499.999999999935</v>
      </c>
      <c r="I947" s="3">
        <v>45500</v>
      </c>
      <c r="J947" s="3">
        <v>41363.636363636302</v>
      </c>
      <c r="K947" s="25">
        <v>30748</v>
      </c>
      <c r="L947" s="25">
        <v>30748</v>
      </c>
    </row>
    <row r="948" spans="1:12" x14ac:dyDescent="0.3">
      <c r="A948" t="s">
        <v>5594</v>
      </c>
      <c r="B948">
        <v>2.02602050833026E+18</v>
      </c>
      <c r="C948" t="s">
        <v>5602</v>
      </c>
      <c r="D948">
        <v>143790</v>
      </c>
      <c r="E948" s="16" t="s">
        <v>7</v>
      </c>
      <c r="F948" s="3">
        <v>1</v>
      </c>
      <c r="G948" s="3">
        <v>41363.636363636302</v>
      </c>
      <c r="H948" s="3">
        <v>45499.999999999935</v>
      </c>
      <c r="I948" s="3">
        <v>45500</v>
      </c>
      <c r="J948" s="3">
        <v>41363.636363636302</v>
      </c>
      <c r="K948" s="25">
        <v>30748</v>
      </c>
      <c r="L948" s="25">
        <v>30748</v>
      </c>
    </row>
    <row r="949" spans="1:12" x14ac:dyDescent="0.3">
      <c r="A949" t="s">
        <v>5594</v>
      </c>
      <c r="B949">
        <v>2.02602050830125E+18</v>
      </c>
      <c r="C949" t="s">
        <v>5602</v>
      </c>
      <c r="D949">
        <v>143790</v>
      </c>
      <c r="E949" s="16" t="s">
        <v>7</v>
      </c>
      <c r="F949" s="3">
        <v>1</v>
      </c>
      <c r="G949" s="3">
        <v>41363.636363636302</v>
      </c>
      <c r="H949" s="3">
        <v>45499.999999999935</v>
      </c>
      <c r="I949" s="3">
        <v>45500</v>
      </c>
      <c r="J949" s="3">
        <v>41363.636363636302</v>
      </c>
      <c r="K949" s="25">
        <v>30748</v>
      </c>
      <c r="L949" s="25">
        <v>30748</v>
      </c>
    </row>
    <row r="950" spans="1:12" x14ac:dyDescent="0.3">
      <c r="A950" t="s">
        <v>5594</v>
      </c>
      <c r="B950">
        <v>2.0260205082946701E+18</v>
      </c>
      <c r="C950" t="s">
        <v>5602</v>
      </c>
      <c r="D950">
        <v>143790</v>
      </c>
      <c r="E950" s="16" t="s">
        <v>7</v>
      </c>
      <c r="F950" s="3">
        <v>1</v>
      </c>
      <c r="G950" s="3">
        <v>41363.636363636302</v>
      </c>
      <c r="H950" s="3">
        <v>45499.999999999935</v>
      </c>
      <c r="I950" s="3">
        <v>45500</v>
      </c>
      <c r="J950" s="3">
        <v>41363.636363636302</v>
      </c>
      <c r="K950" s="25">
        <v>30748</v>
      </c>
      <c r="L950" s="25">
        <v>30748</v>
      </c>
    </row>
    <row r="951" spans="1:12" x14ac:dyDescent="0.3">
      <c r="A951" t="s">
        <v>5594</v>
      </c>
      <c r="B951">
        <v>2.0260205082545001E+18</v>
      </c>
      <c r="C951" t="s">
        <v>5602</v>
      </c>
      <c r="D951">
        <v>143790</v>
      </c>
      <c r="E951" s="16" t="s">
        <v>7</v>
      </c>
      <c r="F951" s="3">
        <v>1</v>
      </c>
      <c r="G951" s="3">
        <v>41363.636363636302</v>
      </c>
      <c r="H951" s="3">
        <v>45499.999999999935</v>
      </c>
      <c r="I951" s="3">
        <v>45500</v>
      </c>
      <c r="J951" s="3">
        <v>41363.636363636302</v>
      </c>
      <c r="K951" s="25">
        <v>30748</v>
      </c>
      <c r="L951" s="25">
        <v>30748</v>
      </c>
    </row>
    <row r="952" spans="1:12" x14ac:dyDescent="0.3">
      <c r="A952" t="s">
        <v>5594</v>
      </c>
      <c r="B952">
        <v>2.02602050828414E+18</v>
      </c>
      <c r="C952" t="s">
        <v>5602</v>
      </c>
      <c r="D952">
        <v>143790</v>
      </c>
      <c r="E952" s="16" t="s">
        <v>7</v>
      </c>
      <c r="F952" s="3">
        <v>1</v>
      </c>
      <c r="G952" s="3">
        <v>41363.636363636302</v>
      </c>
      <c r="H952" s="3">
        <v>45499.999999999935</v>
      </c>
      <c r="I952" s="3">
        <v>45500</v>
      </c>
      <c r="J952" s="3">
        <v>41363.636363636302</v>
      </c>
      <c r="K952" s="25">
        <v>30748</v>
      </c>
      <c r="L952" s="25">
        <v>30748</v>
      </c>
    </row>
    <row r="953" spans="1:12" x14ac:dyDescent="0.3">
      <c r="A953" t="s">
        <v>5594</v>
      </c>
      <c r="B953">
        <v>2.02602050823519E+18</v>
      </c>
      <c r="C953" t="s">
        <v>5602</v>
      </c>
      <c r="D953">
        <v>143790</v>
      </c>
      <c r="E953" s="16" t="s">
        <v>7</v>
      </c>
      <c r="F953" s="3">
        <v>1</v>
      </c>
      <c r="G953" s="3">
        <v>41363.636363636302</v>
      </c>
      <c r="H953" s="3">
        <v>45499.999999999935</v>
      </c>
      <c r="I953" s="3">
        <v>45500</v>
      </c>
      <c r="J953" s="3">
        <v>41363.636363636302</v>
      </c>
      <c r="K953" s="25">
        <v>30748</v>
      </c>
      <c r="L953" s="25">
        <v>30748</v>
      </c>
    </row>
    <row r="954" spans="1:12" x14ac:dyDescent="0.3">
      <c r="A954" t="s">
        <v>5594</v>
      </c>
      <c r="B954">
        <v>2.0260205081959099E+18</v>
      </c>
      <c r="C954" t="s">
        <v>5602</v>
      </c>
      <c r="D954">
        <v>143790</v>
      </c>
      <c r="E954" s="16" t="s">
        <v>7</v>
      </c>
      <c r="F954" s="3">
        <v>1</v>
      </c>
      <c r="G954" s="3">
        <v>41363.636363636302</v>
      </c>
      <c r="H954" s="3">
        <v>45499.999999999935</v>
      </c>
      <c r="I954" s="3">
        <v>45500</v>
      </c>
      <c r="J954" s="3">
        <v>41363.636363636302</v>
      </c>
      <c r="K954" s="25">
        <v>30748</v>
      </c>
      <c r="L954" s="25">
        <v>30748</v>
      </c>
    </row>
    <row r="955" spans="1:12" x14ac:dyDescent="0.3">
      <c r="A955" t="s">
        <v>5594</v>
      </c>
      <c r="B955">
        <v>2.0260205081955999E+18</v>
      </c>
      <c r="C955" t="s">
        <v>5602</v>
      </c>
      <c r="D955">
        <v>143790</v>
      </c>
      <c r="E955" s="16" t="s">
        <v>7</v>
      </c>
      <c r="F955" s="3">
        <v>1</v>
      </c>
      <c r="G955" s="3">
        <v>41363.636363636302</v>
      </c>
      <c r="H955" s="3">
        <v>45499.999999999935</v>
      </c>
      <c r="I955" s="3">
        <v>45500</v>
      </c>
      <c r="J955" s="3">
        <v>41363.636363636302</v>
      </c>
      <c r="K955" s="25">
        <v>30748</v>
      </c>
      <c r="L955" s="25">
        <v>30748</v>
      </c>
    </row>
    <row r="956" spans="1:12" x14ac:dyDescent="0.3">
      <c r="A956" t="s">
        <v>5594</v>
      </c>
      <c r="B956">
        <v>2.0260205082016E+18</v>
      </c>
      <c r="C956" t="s">
        <v>5602</v>
      </c>
      <c r="D956">
        <v>143790</v>
      </c>
      <c r="E956" s="16" t="s">
        <v>7</v>
      </c>
      <c r="F956" s="3">
        <v>2</v>
      </c>
      <c r="G956" s="3">
        <v>41363.636363636353</v>
      </c>
      <c r="H956" s="3">
        <v>91000</v>
      </c>
      <c r="I956" s="3">
        <v>91000</v>
      </c>
      <c r="J956" s="3">
        <v>82727.272727272706</v>
      </c>
      <c r="K956" s="25">
        <v>30748</v>
      </c>
      <c r="L956" s="25">
        <v>61496</v>
      </c>
    </row>
    <row r="957" spans="1:12" x14ac:dyDescent="0.3">
      <c r="A957" t="s">
        <v>5594</v>
      </c>
      <c r="B957">
        <v>2.0260205081637901E+18</v>
      </c>
      <c r="C957" t="s">
        <v>5602</v>
      </c>
      <c r="D957">
        <v>143790</v>
      </c>
      <c r="E957" s="16" t="s">
        <v>7</v>
      </c>
      <c r="F957" s="3">
        <v>1</v>
      </c>
      <c r="G957" s="3">
        <v>41363.636363636302</v>
      </c>
      <c r="H957" s="3">
        <v>45499.999999999935</v>
      </c>
      <c r="I957" s="3">
        <v>45500</v>
      </c>
      <c r="J957" s="3">
        <v>41363.636363636302</v>
      </c>
      <c r="K957" s="25">
        <v>30748</v>
      </c>
      <c r="L957" s="25">
        <v>30748</v>
      </c>
    </row>
    <row r="958" spans="1:12" x14ac:dyDescent="0.3">
      <c r="A958" t="s">
        <v>5594</v>
      </c>
      <c r="B958">
        <v>2.02602050817439E+18</v>
      </c>
      <c r="C958" t="s">
        <v>5602</v>
      </c>
      <c r="D958">
        <v>143790</v>
      </c>
      <c r="E958" s="16" t="s">
        <v>7</v>
      </c>
      <c r="F958" s="3">
        <v>1</v>
      </c>
      <c r="G958" s="3">
        <v>41363.636363636302</v>
      </c>
      <c r="H958" s="3">
        <v>45499.999999999935</v>
      </c>
      <c r="I958" s="3">
        <v>45500</v>
      </c>
      <c r="J958" s="3">
        <v>41363.636363636302</v>
      </c>
      <c r="K958" s="25">
        <v>30748</v>
      </c>
      <c r="L958" s="25">
        <v>30748</v>
      </c>
    </row>
    <row r="959" spans="1:12" x14ac:dyDescent="0.3">
      <c r="A959" t="s">
        <v>5594</v>
      </c>
      <c r="B959">
        <v>2.0260205081316201E+18</v>
      </c>
      <c r="C959" t="s">
        <v>5602</v>
      </c>
      <c r="D959">
        <v>143790</v>
      </c>
      <c r="E959" s="16" t="s">
        <v>7</v>
      </c>
      <c r="F959" s="3">
        <v>1</v>
      </c>
      <c r="G959" s="3">
        <v>41363.636363636302</v>
      </c>
      <c r="H959" s="3">
        <v>45499.999999999935</v>
      </c>
      <c r="I959" s="3">
        <v>45500</v>
      </c>
      <c r="J959" s="3">
        <v>41363.636363636302</v>
      </c>
      <c r="K959" s="25">
        <v>30748</v>
      </c>
      <c r="L959" s="25">
        <v>30748</v>
      </c>
    </row>
    <row r="960" spans="1:12" x14ac:dyDescent="0.3">
      <c r="A960" t="s">
        <v>5594</v>
      </c>
      <c r="B960">
        <v>2.0260205081550899E+18</v>
      </c>
      <c r="C960" t="s">
        <v>5602</v>
      </c>
      <c r="D960">
        <v>143790</v>
      </c>
      <c r="E960" s="16" t="s">
        <v>7</v>
      </c>
      <c r="F960" s="3">
        <v>1</v>
      </c>
      <c r="G960" s="3">
        <v>41363.636363636302</v>
      </c>
      <c r="H960" s="3">
        <v>45499.999999999935</v>
      </c>
      <c r="I960" s="3">
        <v>45500</v>
      </c>
      <c r="J960" s="3">
        <v>41363.636363636302</v>
      </c>
      <c r="K960" s="25">
        <v>30748</v>
      </c>
      <c r="L960" s="25">
        <v>30748</v>
      </c>
    </row>
    <row r="961" spans="1:12" x14ac:dyDescent="0.3">
      <c r="A961" t="s">
        <v>5594</v>
      </c>
      <c r="B961">
        <v>2.02602050814254E+18</v>
      </c>
      <c r="C961" t="s">
        <v>5602</v>
      </c>
      <c r="D961">
        <v>143790</v>
      </c>
      <c r="E961" s="16" t="s">
        <v>7</v>
      </c>
      <c r="F961" s="3">
        <v>1</v>
      </c>
      <c r="G961" s="3">
        <v>41363.636363636302</v>
      </c>
      <c r="H961" s="3">
        <v>45499.999999999935</v>
      </c>
      <c r="I961" s="3">
        <v>45500</v>
      </c>
      <c r="J961" s="3">
        <v>41363.636363636302</v>
      </c>
      <c r="K961" s="25">
        <v>30748</v>
      </c>
      <c r="L961" s="25">
        <v>30748</v>
      </c>
    </row>
    <row r="962" spans="1:12" x14ac:dyDescent="0.3">
      <c r="A962" t="s">
        <v>5594</v>
      </c>
      <c r="B962">
        <v>2.02602050814271E+18</v>
      </c>
      <c r="C962" t="s">
        <v>5602</v>
      </c>
      <c r="D962">
        <v>143790</v>
      </c>
      <c r="E962" s="16" t="s">
        <v>7</v>
      </c>
      <c r="F962" s="3">
        <v>1</v>
      </c>
      <c r="G962" s="3">
        <v>41363.636363636302</v>
      </c>
      <c r="H962" s="3">
        <v>45499.999999999935</v>
      </c>
      <c r="I962" s="3">
        <v>45500</v>
      </c>
      <c r="J962" s="3">
        <v>41363.636363636302</v>
      </c>
      <c r="K962" s="25">
        <v>30748</v>
      </c>
      <c r="L962" s="25">
        <v>30748</v>
      </c>
    </row>
    <row r="963" spans="1:12" x14ac:dyDescent="0.3">
      <c r="A963" t="s">
        <v>5594</v>
      </c>
      <c r="B963">
        <v>2.0260205081336499E+18</v>
      </c>
      <c r="C963" t="s">
        <v>5602</v>
      </c>
      <c r="D963">
        <v>143790</v>
      </c>
      <c r="E963" s="16" t="s">
        <v>7</v>
      </c>
      <c r="F963" s="3">
        <v>1</v>
      </c>
      <c r="G963" s="3">
        <v>41363.636363636302</v>
      </c>
      <c r="H963" s="3">
        <v>45499.999999999935</v>
      </c>
      <c r="I963" s="3">
        <v>45500</v>
      </c>
      <c r="J963" s="3">
        <v>41363.636363636302</v>
      </c>
      <c r="K963" s="25">
        <v>30748</v>
      </c>
      <c r="L963" s="25">
        <v>30748</v>
      </c>
    </row>
    <row r="964" spans="1:12" x14ac:dyDescent="0.3">
      <c r="A964" t="s">
        <v>5594</v>
      </c>
      <c r="B964">
        <v>2.02602050813342E+18</v>
      </c>
      <c r="C964" t="s">
        <v>5602</v>
      </c>
      <c r="D964">
        <v>143790</v>
      </c>
      <c r="E964" s="16" t="s">
        <v>7</v>
      </c>
      <c r="F964" s="3">
        <v>1</v>
      </c>
      <c r="G964" s="3">
        <v>41363.636363636302</v>
      </c>
      <c r="H964" s="3">
        <v>45499.999999999935</v>
      </c>
      <c r="I964" s="3">
        <v>45500</v>
      </c>
      <c r="J964" s="3">
        <v>41363.636363636302</v>
      </c>
      <c r="K964" s="25">
        <v>30748</v>
      </c>
      <c r="L964" s="25">
        <v>30748</v>
      </c>
    </row>
    <row r="965" spans="1:12" x14ac:dyDescent="0.3">
      <c r="A965" t="s">
        <v>5594</v>
      </c>
      <c r="B965">
        <v>2.02602050809534E+18</v>
      </c>
      <c r="C965" t="s">
        <v>5602</v>
      </c>
      <c r="D965">
        <v>143790</v>
      </c>
      <c r="E965" s="16" t="s">
        <v>7</v>
      </c>
      <c r="F965" s="3">
        <v>1</v>
      </c>
      <c r="G965" s="3">
        <v>41363.636363636302</v>
      </c>
      <c r="H965" s="3">
        <v>45499.999999999935</v>
      </c>
      <c r="I965" s="3">
        <v>45500</v>
      </c>
      <c r="J965" s="3">
        <v>41363.636363636302</v>
      </c>
      <c r="K965" s="25">
        <v>30748</v>
      </c>
      <c r="L965" s="25">
        <v>30748</v>
      </c>
    </row>
    <row r="966" spans="1:12" x14ac:dyDescent="0.3">
      <c r="A966" t="s">
        <v>5594</v>
      </c>
      <c r="B966">
        <v>2.02602050811037E+18</v>
      </c>
      <c r="C966" t="s">
        <v>5602</v>
      </c>
      <c r="D966">
        <v>143790</v>
      </c>
      <c r="E966" s="16" t="s">
        <v>7</v>
      </c>
      <c r="F966" s="3">
        <v>1</v>
      </c>
      <c r="G966" s="3">
        <v>41363.636363636302</v>
      </c>
      <c r="H966" s="3">
        <v>45499.999999999935</v>
      </c>
      <c r="I966" s="3">
        <v>45500</v>
      </c>
      <c r="J966" s="3">
        <v>41363.636363636302</v>
      </c>
      <c r="K966" s="25">
        <v>30748</v>
      </c>
      <c r="L966" s="25">
        <v>30748</v>
      </c>
    </row>
    <row r="967" spans="1:12" x14ac:dyDescent="0.3">
      <c r="A967" t="s">
        <v>5594</v>
      </c>
      <c r="B967">
        <v>2.02602050811315E+18</v>
      </c>
      <c r="C967" t="s">
        <v>5602</v>
      </c>
      <c r="D967">
        <v>143790</v>
      </c>
      <c r="E967" s="16" t="s">
        <v>7</v>
      </c>
      <c r="F967" s="3">
        <v>1</v>
      </c>
      <c r="G967" s="3">
        <v>41363.636363636302</v>
      </c>
      <c r="H967" s="3">
        <v>45499.999999999935</v>
      </c>
      <c r="I967" s="3">
        <v>45500</v>
      </c>
      <c r="J967" s="3">
        <v>41363.636363636302</v>
      </c>
      <c r="K967" s="25">
        <v>30748</v>
      </c>
      <c r="L967" s="25">
        <v>30748</v>
      </c>
    </row>
    <row r="968" spans="1:12" x14ac:dyDescent="0.3">
      <c r="A968" t="s">
        <v>5594</v>
      </c>
      <c r="B968">
        <v>2.0260205080940301E+18</v>
      </c>
      <c r="C968" t="s">
        <v>5602</v>
      </c>
      <c r="D968">
        <v>143790</v>
      </c>
      <c r="E968" s="16" t="s">
        <v>7</v>
      </c>
      <c r="F968" s="3">
        <v>1</v>
      </c>
      <c r="G968" s="3">
        <v>41363.636363636302</v>
      </c>
      <c r="H968" s="3">
        <v>45499.999999999935</v>
      </c>
      <c r="I968" s="3">
        <v>45500</v>
      </c>
      <c r="J968" s="3">
        <v>41363.636363636302</v>
      </c>
      <c r="K968" s="25">
        <v>30748</v>
      </c>
      <c r="L968" s="25">
        <v>30748</v>
      </c>
    </row>
    <row r="969" spans="1:12" x14ac:dyDescent="0.3">
      <c r="A969" t="s">
        <v>5594</v>
      </c>
      <c r="B969">
        <v>2.0260205075842801E+18</v>
      </c>
      <c r="C969" t="s">
        <v>5602</v>
      </c>
      <c r="D969">
        <v>143790</v>
      </c>
      <c r="E969" s="16" t="s">
        <v>7</v>
      </c>
      <c r="F969" s="3">
        <v>1</v>
      </c>
      <c r="G969" s="3">
        <v>41363.636363636302</v>
      </c>
      <c r="H969" s="3">
        <v>45499.999999999935</v>
      </c>
      <c r="I969" s="3">
        <v>45500</v>
      </c>
      <c r="J969" s="3">
        <v>41363.636363636302</v>
      </c>
      <c r="K969" s="25">
        <v>30748</v>
      </c>
      <c r="L969" s="25">
        <v>30748</v>
      </c>
    </row>
    <row r="970" spans="1:12" x14ac:dyDescent="0.3">
      <c r="A970" t="s">
        <v>5594</v>
      </c>
      <c r="B970">
        <v>2.02602050806224E+18</v>
      </c>
      <c r="C970" t="s">
        <v>5602</v>
      </c>
      <c r="D970">
        <v>143790</v>
      </c>
      <c r="E970" s="16" t="s">
        <v>7</v>
      </c>
      <c r="F970" s="3">
        <v>1</v>
      </c>
      <c r="G970" s="3">
        <v>41363.636363636302</v>
      </c>
      <c r="H970" s="3">
        <v>45499.999999999935</v>
      </c>
      <c r="I970" s="3">
        <v>45500</v>
      </c>
      <c r="J970" s="3">
        <v>41363.636363636302</v>
      </c>
      <c r="K970" s="25">
        <v>30748</v>
      </c>
      <c r="L970" s="25">
        <v>30748</v>
      </c>
    </row>
    <row r="971" spans="1:12" x14ac:dyDescent="0.3">
      <c r="A971" t="s">
        <v>5594</v>
      </c>
      <c r="B971">
        <v>2.0260205080821601E+18</v>
      </c>
      <c r="C971" t="s">
        <v>5602</v>
      </c>
      <c r="D971">
        <v>143790</v>
      </c>
      <c r="E971" s="16" t="s">
        <v>7</v>
      </c>
      <c r="F971" s="3">
        <v>1</v>
      </c>
      <c r="G971" s="3">
        <v>41363.636363636302</v>
      </c>
      <c r="H971" s="3">
        <v>45499.999999999935</v>
      </c>
      <c r="I971" s="3">
        <v>45500</v>
      </c>
      <c r="J971" s="3">
        <v>41363.636363636302</v>
      </c>
      <c r="K971" s="25">
        <v>30748</v>
      </c>
      <c r="L971" s="25">
        <v>30748</v>
      </c>
    </row>
    <row r="972" spans="1:12" x14ac:dyDescent="0.3">
      <c r="A972" t="s">
        <v>5594</v>
      </c>
      <c r="B972">
        <v>2.0260205080858801E+18</v>
      </c>
      <c r="C972" t="s">
        <v>5602</v>
      </c>
      <c r="D972">
        <v>143790</v>
      </c>
      <c r="E972" s="16" t="s">
        <v>7</v>
      </c>
      <c r="F972" s="3">
        <v>1</v>
      </c>
      <c r="G972" s="3">
        <v>41363.636363636302</v>
      </c>
      <c r="H972" s="3">
        <v>45499.999999999935</v>
      </c>
      <c r="I972" s="3">
        <v>45500</v>
      </c>
      <c r="J972" s="3">
        <v>41363.636363636302</v>
      </c>
      <c r="K972" s="25">
        <v>30748</v>
      </c>
      <c r="L972" s="25">
        <v>30748</v>
      </c>
    </row>
    <row r="973" spans="1:12" x14ac:dyDescent="0.3">
      <c r="A973" t="s">
        <v>5594</v>
      </c>
      <c r="B973">
        <v>2.0260205080038899E+18</v>
      </c>
      <c r="C973" t="s">
        <v>5602</v>
      </c>
      <c r="D973">
        <v>143790</v>
      </c>
      <c r="E973" s="16" t="s">
        <v>7</v>
      </c>
      <c r="F973" s="3">
        <v>1</v>
      </c>
      <c r="G973" s="3">
        <v>41363.636363636302</v>
      </c>
      <c r="H973" s="3">
        <v>45499.999999999935</v>
      </c>
      <c r="I973" s="3">
        <v>45500</v>
      </c>
      <c r="J973" s="3">
        <v>41363.636363636302</v>
      </c>
      <c r="K973" s="25">
        <v>30748</v>
      </c>
      <c r="L973" s="25">
        <v>30748</v>
      </c>
    </row>
    <row r="974" spans="1:12" x14ac:dyDescent="0.3">
      <c r="A974" t="s">
        <v>5594</v>
      </c>
      <c r="B974">
        <v>2.02602050808482E+18</v>
      </c>
      <c r="C974" t="s">
        <v>5602</v>
      </c>
      <c r="D974">
        <v>143790</v>
      </c>
      <c r="E974" s="16" t="s">
        <v>7</v>
      </c>
      <c r="F974" s="3">
        <v>1</v>
      </c>
      <c r="G974" s="3">
        <v>41363.636363636302</v>
      </c>
      <c r="H974" s="3">
        <v>45499.999999999935</v>
      </c>
      <c r="I974" s="3">
        <v>45500</v>
      </c>
      <c r="J974" s="3">
        <v>41363.636363636302</v>
      </c>
      <c r="K974" s="25">
        <v>30748</v>
      </c>
      <c r="L974" s="25">
        <v>30748</v>
      </c>
    </row>
    <row r="975" spans="1:12" x14ac:dyDescent="0.3">
      <c r="A975" t="s">
        <v>5594</v>
      </c>
      <c r="B975">
        <v>2.0260205075952E+18</v>
      </c>
      <c r="C975" t="s">
        <v>5602</v>
      </c>
      <c r="D975">
        <v>143790</v>
      </c>
      <c r="E975" s="16" t="s">
        <v>7</v>
      </c>
      <c r="F975" s="3">
        <v>1</v>
      </c>
      <c r="G975" s="3">
        <v>41363.636363636302</v>
      </c>
      <c r="H975" s="3">
        <v>45499.999999999935</v>
      </c>
      <c r="I975" s="3">
        <v>45500</v>
      </c>
      <c r="J975" s="3">
        <v>41363.636363636302</v>
      </c>
      <c r="K975" s="25">
        <v>30748</v>
      </c>
      <c r="L975" s="25">
        <v>30748</v>
      </c>
    </row>
    <row r="976" spans="1:12" x14ac:dyDescent="0.3">
      <c r="A976" t="s">
        <v>5594</v>
      </c>
      <c r="B976">
        <v>2.0260205080814899E+18</v>
      </c>
      <c r="C976" t="s">
        <v>5602</v>
      </c>
      <c r="D976">
        <v>143790</v>
      </c>
      <c r="E976" s="16" t="s">
        <v>7</v>
      </c>
      <c r="F976" s="3">
        <v>1</v>
      </c>
      <c r="G976" s="3">
        <v>41363.636363636302</v>
      </c>
      <c r="H976" s="3">
        <v>45499.999999999935</v>
      </c>
      <c r="I976" s="3">
        <v>45500</v>
      </c>
      <c r="J976" s="3">
        <v>41363.636363636302</v>
      </c>
      <c r="K976" s="25">
        <v>30748</v>
      </c>
      <c r="L976" s="25">
        <v>30748</v>
      </c>
    </row>
    <row r="977" spans="1:12" x14ac:dyDescent="0.3">
      <c r="A977" t="s">
        <v>5594</v>
      </c>
      <c r="B977">
        <v>2.02602050807247E+18</v>
      </c>
      <c r="C977" t="s">
        <v>5602</v>
      </c>
      <c r="D977">
        <v>143790</v>
      </c>
      <c r="E977" s="16" t="s">
        <v>7</v>
      </c>
      <c r="F977" s="3">
        <v>1</v>
      </c>
      <c r="G977" s="3">
        <v>41363.636363636302</v>
      </c>
      <c r="H977" s="3">
        <v>45499.999999999935</v>
      </c>
      <c r="I977" s="3">
        <v>45500</v>
      </c>
      <c r="J977" s="3">
        <v>41363.636363636302</v>
      </c>
      <c r="K977" s="25">
        <v>30748</v>
      </c>
      <c r="L977" s="25">
        <v>30748</v>
      </c>
    </row>
    <row r="978" spans="1:12" x14ac:dyDescent="0.3">
      <c r="A978" t="s">
        <v>5594</v>
      </c>
      <c r="B978">
        <v>2.02602050805293E+18</v>
      </c>
      <c r="C978" t="s">
        <v>5602</v>
      </c>
      <c r="D978">
        <v>143790</v>
      </c>
      <c r="E978" s="16" t="s">
        <v>7</v>
      </c>
      <c r="F978" s="3">
        <v>1</v>
      </c>
      <c r="G978" s="3">
        <v>41363.636363636302</v>
      </c>
      <c r="H978" s="3">
        <v>45499.999999999935</v>
      </c>
      <c r="I978" s="3">
        <v>45500</v>
      </c>
      <c r="J978" s="3">
        <v>41363.636363636302</v>
      </c>
      <c r="K978" s="25">
        <v>30748</v>
      </c>
      <c r="L978" s="25">
        <v>30748</v>
      </c>
    </row>
    <row r="979" spans="1:12" x14ac:dyDescent="0.3">
      <c r="A979" t="s">
        <v>5594</v>
      </c>
      <c r="B979">
        <v>2.0260205080437801E+18</v>
      </c>
      <c r="C979" t="s">
        <v>5602</v>
      </c>
      <c r="D979">
        <v>143790</v>
      </c>
      <c r="E979" s="16" t="s">
        <v>7</v>
      </c>
      <c r="F979" s="3">
        <v>1</v>
      </c>
      <c r="G979" s="3">
        <v>41363.636363636302</v>
      </c>
      <c r="H979" s="3">
        <v>45499.999999999935</v>
      </c>
      <c r="I979" s="3">
        <v>45500</v>
      </c>
      <c r="J979" s="3">
        <v>41363.636363636302</v>
      </c>
      <c r="K979" s="25">
        <v>30748</v>
      </c>
      <c r="L979" s="25">
        <v>30748</v>
      </c>
    </row>
    <row r="980" spans="1:12" x14ac:dyDescent="0.3">
      <c r="A980" t="s">
        <v>5594</v>
      </c>
      <c r="B980">
        <v>2.02602050803357E+18</v>
      </c>
      <c r="C980" t="s">
        <v>5602</v>
      </c>
      <c r="D980">
        <v>143790</v>
      </c>
      <c r="E980" s="16" t="s">
        <v>7</v>
      </c>
      <c r="F980" s="3">
        <v>1</v>
      </c>
      <c r="G980" s="3">
        <v>41363.636363636302</v>
      </c>
      <c r="H980" s="3">
        <v>45499.999999999935</v>
      </c>
      <c r="I980" s="3">
        <v>45500</v>
      </c>
      <c r="J980" s="3">
        <v>41363.636363636302</v>
      </c>
      <c r="K980" s="25">
        <v>30748</v>
      </c>
      <c r="L980" s="25">
        <v>30748</v>
      </c>
    </row>
    <row r="981" spans="1:12" x14ac:dyDescent="0.3">
      <c r="A981" t="s">
        <v>5594</v>
      </c>
      <c r="B981">
        <v>2.0260205080325601E+18</v>
      </c>
      <c r="C981" t="s">
        <v>5602</v>
      </c>
      <c r="D981">
        <v>143790</v>
      </c>
      <c r="E981" s="16" t="s">
        <v>7</v>
      </c>
      <c r="F981" s="3">
        <v>1</v>
      </c>
      <c r="G981" s="3">
        <v>41363.636363636302</v>
      </c>
      <c r="H981" s="3">
        <v>45499.999999999935</v>
      </c>
      <c r="I981" s="3">
        <v>45500</v>
      </c>
      <c r="J981" s="3">
        <v>41363.636363636302</v>
      </c>
      <c r="K981" s="25">
        <v>30748</v>
      </c>
      <c r="L981" s="25">
        <v>30748</v>
      </c>
    </row>
    <row r="982" spans="1:12" x14ac:dyDescent="0.3">
      <c r="A982" t="s">
        <v>5594</v>
      </c>
      <c r="B982">
        <v>2.0260205080509599E+18</v>
      </c>
      <c r="C982" t="s">
        <v>5602</v>
      </c>
      <c r="D982">
        <v>143790</v>
      </c>
      <c r="E982" s="16" t="s">
        <v>7</v>
      </c>
      <c r="F982" s="3">
        <v>1</v>
      </c>
      <c r="G982" s="3">
        <v>41363.636363636302</v>
      </c>
      <c r="H982" s="3">
        <v>45499.999999999935</v>
      </c>
      <c r="I982" s="3">
        <v>45500</v>
      </c>
      <c r="J982" s="3">
        <v>41363.636363636302</v>
      </c>
      <c r="K982" s="25">
        <v>30748</v>
      </c>
      <c r="L982" s="25">
        <v>30748</v>
      </c>
    </row>
    <row r="983" spans="1:12" x14ac:dyDescent="0.3">
      <c r="A983" t="s">
        <v>5594</v>
      </c>
      <c r="B983">
        <v>2.02602050759391E+18</v>
      </c>
      <c r="C983" t="s">
        <v>5602</v>
      </c>
      <c r="D983">
        <v>143790</v>
      </c>
      <c r="E983" s="16" t="s">
        <v>7</v>
      </c>
      <c r="F983" s="3">
        <v>1</v>
      </c>
      <c r="G983" s="3">
        <v>41363.636363636302</v>
      </c>
      <c r="H983" s="3">
        <v>45499.999999999935</v>
      </c>
      <c r="I983" s="3">
        <v>45500</v>
      </c>
      <c r="J983" s="3">
        <v>41363.636363636302</v>
      </c>
      <c r="K983" s="25">
        <v>30748</v>
      </c>
      <c r="L983" s="25">
        <v>30748</v>
      </c>
    </row>
    <row r="984" spans="1:12" x14ac:dyDescent="0.3">
      <c r="A984" t="s">
        <v>5594</v>
      </c>
      <c r="B984">
        <v>2.02602050805121E+18</v>
      </c>
      <c r="C984" t="s">
        <v>5602</v>
      </c>
      <c r="D984">
        <v>143790</v>
      </c>
      <c r="E984" s="16" t="s">
        <v>7</v>
      </c>
      <c r="F984" s="3">
        <v>2</v>
      </c>
      <c r="G984" s="3">
        <v>41363.636363636353</v>
      </c>
      <c r="H984" s="3">
        <v>91000</v>
      </c>
      <c r="I984" s="3">
        <v>91000</v>
      </c>
      <c r="J984" s="3">
        <v>82727.272727272706</v>
      </c>
      <c r="K984" s="25">
        <v>30748</v>
      </c>
      <c r="L984" s="25">
        <v>61496</v>
      </c>
    </row>
    <row r="985" spans="1:12" x14ac:dyDescent="0.3">
      <c r="A985" t="s">
        <v>5594</v>
      </c>
      <c r="B985">
        <v>2.02602050804273E+18</v>
      </c>
      <c r="C985" t="s">
        <v>5602</v>
      </c>
      <c r="D985">
        <v>143790</v>
      </c>
      <c r="E985" s="16" t="s">
        <v>7</v>
      </c>
      <c r="F985" s="3">
        <v>1</v>
      </c>
      <c r="G985" s="3">
        <v>41363.636363636302</v>
      </c>
      <c r="H985" s="3">
        <v>45499.999999999935</v>
      </c>
      <c r="I985" s="3">
        <v>45500</v>
      </c>
      <c r="J985" s="3">
        <v>41363.636363636302</v>
      </c>
      <c r="K985" s="25">
        <v>30748</v>
      </c>
      <c r="L985" s="25">
        <v>30748</v>
      </c>
    </row>
    <row r="986" spans="1:12" x14ac:dyDescent="0.3">
      <c r="A986" t="s">
        <v>5594</v>
      </c>
      <c r="B986">
        <v>2.0260205080136599E+18</v>
      </c>
      <c r="C986" t="s">
        <v>5602</v>
      </c>
      <c r="D986">
        <v>143790</v>
      </c>
      <c r="E986" s="16" t="s">
        <v>7</v>
      </c>
      <c r="F986" s="3">
        <v>1</v>
      </c>
      <c r="G986" s="3">
        <v>41363.636363636302</v>
      </c>
      <c r="H986" s="3">
        <v>45499.999999999935</v>
      </c>
      <c r="I986" s="3">
        <v>45500</v>
      </c>
      <c r="J986" s="3">
        <v>41363.636363636302</v>
      </c>
      <c r="K986" s="25">
        <v>30748</v>
      </c>
      <c r="L986" s="25">
        <v>30748</v>
      </c>
    </row>
    <row r="987" spans="1:12" x14ac:dyDescent="0.3">
      <c r="A987" t="s">
        <v>5594</v>
      </c>
      <c r="B987">
        <v>2.0260205075619599E+18</v>
      </c>
      <c r="C987" t="s">
        <v>5602</v>
      </c>
      <c r="D987">
        <v>143790</v>
      </c>
      <c r="E987" s="16" t="s">
        <v>7</v>
      </c>
      <c r="F987" s="3">
        <v>1</v>
      </c>
      <c r="G987" s="3">
        <v>41363.636363636302</v>
      </c>
      <c r="H987" s="3">
        <v>45499.999999999935</v>
      </c>
      <c r="I987" s="3">
        <v>45500</v>
      </c>
      <c r="J987" s="3">
        <v>41363.636363636302</v>
      </c>
      <c r="K987" s="25">
        <v>30748</v>
      </c>
      <c r="L987" s="25">
        <v>30748</v>
      </c>
    </row>
    <row r="988" spans="1:12" x14ac:dyDescent="0.3">
      <c r="A988" t="s">
        <v>5594</v>
      </c>
      <c r="B988">
        <v>2.02602050802594E+18</v>
      </c>
      <c r="C988" t="s">
        <v>5602</v>
      </c>
      <c r="D988">
        <v>143790</v>
      </c>
      <c r="E988" s="16" t="s">
        <v>7</v>
      </c>
      <c r="F988" s="3">
        <v>1</v>
      </c>
      <c r="G988" s="3">
        <v>41363.636363636302</v>
      </c>
      <c r="H988" s="3">
        <v>45499.999999999935</v>
      </c>
      <c r="I988" s="3">
        <v>45500</v>
      </c>
      <c r="J988" s="3">
        <v>41363.636363636302</v>
      </c>
      <c r="K988" s="25">
        <v>30748</v>
      </c>
      <c r="L988" s="25">
        <v>30748</v>
      </c>
    </row>
    <row r="989" spans="1:12" x14ac:dyDescent="0.3">
      <c r="A989" t="s">
        <v>5594</v>
      </c>
      <c r="B989">
        <v>2.0260205080005499E+18</v>
      </c>
      <c r="C989" t="s">
        <v>5602</v>
      </c>
      <c r="D989">
        <v>143790</v>
      </c>
      <c r="E989" s="16" t="s">
        <v>7</v>
      </c>
      <c r="F989" s="3">
        <v>1</v>
      </c>
      <c r="G989" s="3">
        <v>41363.636363636302</v>
      </c>
      <c r="H989" s="3">
        <v>45499.999999999935</v>
      </c>
      <c r="I989" s="3">
        <v>45500</v>
      </c>
      <c r="J989" s="3">
        <v>41363.636363636302</v>
      </c>
      <c r="K989" s="25">
        <v>30748</v>
      </c>
      <c r="L989" s="25">
        <v>30748</v>
      </c>
    </row>
    <row r="990" spans="1:12" x14ac:dyDescent="0.3">
      <c r="A990" t="s">
        <v>5594</v>
      </c>
      <c r="B990">
        <v>2.0260205080255099E+18</v>
      </c>
      <c r="C990" t="s">
        <v>5602</v>
      </c>
      <c r="D990">
        <v>143790</v>
      </c>
      <c r="E990" s="16" t="s">
        <v>7</v>
      </c>
      <c r="F990" s="3">
        <v>1</v>
      </c>
      <c r="G990" s="3">
        <v>41363.636363636302</v>
      </c>
      <c r="H990" s="3">
        <v>45499.999999999935</v>
      </c>
      <c r="I990" s="3">
        <v>45500</v>
      </c>
      <c r="J990" s="3">
        <v>41363.636363636302</v>
      </c>
      <c r="K990" s="25">
        <v>30748</v>
      </c>
      <c r="L990" s="25">
        <v>30748</v>
      </c>
    </row>
    <row r="991" spans="1:12" x14ac:dyDescent="0.3">
      <c r="A991" t="s">
        <v>5594</v>
      </c>
      <c r="B991">
        <v>2.0260205080119601E+18</v>
      </c>
      <c r="C991" t="s">
        <v>5602</v>
      </c>
      <c r="D991">
        <v>143790</v>
      </c>
      <c r="E991" s="16" t="s">
        <v>7</v>
      </c>
      <c r="F991" s="3">
        <v>1</v>
      </c>
      <c r="G991" s="3">
        <v>41363.636363636302</v>
      </c>
      <c r="H991" s="3">
        <v>45499.999999999935</v>
      </c>
      <c r="I991" s="3">
        <v>45500</v>
      </c>
      <c r="J991" s="3">
        <v>41363.636363636302</v>
      </c>
      <c r="K991" s="25">
        <v>30748</v>
      </c>
      <c r="L991" s="25">
        <v>30748</v>
      </c>
    </row>
    <row r="992" spans="1:12" x14ac:dyDescent="0.3">
      <c r="A992" t="s">
        <v>5594</v>
      </c>
      <c r="B992">
        <v>2.02602050801263E+18</v>
      </c>
      <c r="C992" t="s">
        <v>5602</v>
      </c>
      <c r="D992">
        <v>143790</v>
      </c>
      <c r="E992" s="16" t="s">
        <v>7</v>
      </c>
      <c r="F992" s="3">
        <v>1</v>
      </c>
      <c r="G992" s="3">
        <v>41363.636363636302</v>
      </c>
      <c r="H992" s="3">
        <v>45499.999999999935</v>
      </c>
      <c r="I992" s="3">
        <v>45500</v>
      </c>
      <c r="J992" s="3">
        <v>41363.636363636302</v>
      </c>
      <c r="K992" s="25">
        <v>30748</v>
      </c>
      <c r="L992" s="25">
        <v>30748</v>
      </c>
    </row>
    <row r="993" spans="1:12" x14ac:dyDescent="0.3">
      <c r="A993" t="s">
        <v>5594</v>
      </c>
      <c r="B993">
        <v>2.0260205075728E+18</v>
      </c>
      <c r="C993" t="s">
        <v>5602</v>
      </c>
      <c r="D993">
        <v>143790</v>
      </c>
      <c r="E993" s="16" t="s">
        <v>7</v>
      </c>
      <c r="F993" s="3">
        <v>1</v>
      </c>
      <c r="G993" s="3">
        <v>41363.636363636302</v>
      </c>
      <c r="H993" s="3">
        <v>45499.999999999935</v>
      </c>
      <c r="I993" s="3">
        <v>45500</v>
      </c>
      <c r="J993" s="3">
        <v>41363.636363636302</v>
      </c>
      <c r="K993" s="25">
        <v>30748</v>
      </c>
      <c r="L993" s="25">
        <v>30748</v>
      </c>
    </row>
    <row r="994" spans="1:12" x14ac:dyDescent="0.3">
      <c r="A994" t="s">
        <v>5594</v>
      </c>
      <c r="B994">
        <v>2.02602050801231E+18</v>
      </c>
      <c r="C994" t="s">
        <v>5602</v>
      </c>
      <c r="D994">
        <v>143790</v>
      </c>
      <c r="E994" s="16" t="s">
        <v>7</v>
      </c>
      <c r="F994" s="3">
        <v>1</v>
      </c>
      <c r="G994" s="3">
        <v>41363.636363636302</v>
      </c>
      <c r="H994" s="3">
        <v>45499.999999999935</v>
      </c>
      <c r="I994" s="3">
        <v>45500</v>
      </c>
      <c r="J994" s="3">
        <v>41363.636363636302</v>
      </c>
      <c r="K994" s="25">
        <v>30748</v>
      </c>
      <c r="L994" s="25">
        <v>30748</v>
      </c>
    </row>
    <row r="995" spans="1:12" x14ac:dyDescent="0.3">
      <c r="A995" t="s">
        <v>5594</v>
      </c>
      <c r="B995">
        <v>2.0260205080028401E+18</v>
      </c>
      <c r="C995" t="s">
        <v>5602</v>
      </c>
      <c r="D995">
        <v>143790</v>
      </c>
      <c r="E995" s="16" t="s">
        <v>7</v>
      </c>
      <c r="F995" s="3">
        <v>1</v>
      </c>
      <c r="G995" s="3">
        <v>41363.636363636302</v>
      </c>
      <c r="H995" s="3">
        <v>45499.999999999935</v>
      </c>
      <c r="I995" s="3">
        <v>45500</v>
      </c>
      <c r="J995" s="3">
        <v>41363.636363636302</v>
      </c>
      <c r="K995" s="25">
        <v>30748</v>
      </c>
      <c r="L995" s="25">
        <v>30748</v>
      </c>
    </row>
    <row r="996" spans="1:12" x14ac:dyDescent="0.3">
      <c r="A996" t="s">
        <v>5594</v>
      </c>
      <c r="B996">
        <v>2.02602050759584E+18</v>
      </c>
      <c r="C996" t="s">
        <v>5602</v>
      </c>
      <c r="D996">
        <v>143790</v>
      </c>
      <c r="E996" s="16" t="s">
        <v>7</v>
      </c>
      <c r="F996" s="3">
        <v>1</v>
      </c>
      <c r="G996" s="3">
        <v>41363.636363636302</v>
      </c>
      <c r="H996" s="3">
        <v>45499.999999999935</v>
      </c>
      <c r="I996" s="3">
        <v>45500</v>
      </c>
      <c r="J996" s="3">
        <v>41363.636363636302</v>
      </c>
      <c r="K996" s="25">
        <v>30748</v>
      </c>
      <c r="L996" s="25">
        <v>30748</v>
      </c>
    </row>
    <row r="997" spans="1:12" x14ac:dyDescent="0.3">
      <c r="A997" t="s">
        <v>5594</v>
      </c>
      <c r="B997">
        <v>2.0260205080057001E+18</v>
      </c>
      <c r="C997" t="s">
        <v>5602</v>
      </c>
      <c r="D997">
        <v>143790</v>
      </c>
      <c r="E997" s="16" t="s">
        <v>7</v>
      </c>
      <c r="F997" s="3">
        <v>1</v>
      </c>
      <c r="G997" s="3">
        <v>41363.636363636302</v>
      </c>
      <c r="H997" s="3">
        <v>45499.999999999935</v>
      </c>
      <c r="I997" s="3">
        <v>45500</v>
      </c>
      <c r="J997" s="3">
        <v>41363.636363636302</v>
      </c>
      <c r="K997" s="25">
        <v>30748</v>
      </c>
      <c r="L997" s="25">
        <v>30748</v>
      </c>
    </row>
    <row r="998" spans="1:12" x14ac:dyDescent="0.3">
      <c r="A998" t="s">
        <v>5594</v>
      </c>
      <c r="B998">
        <v>2.02602050757519E+18</v>
      </c>
      <c r="C998" t="s">
        <v>5602</v>
      </c>
      <c r="D998">
        <v>143790</v>
      </c>
      <c r="E998" s="16" t="s">
        <v>7</v>
      </c>
      <c r="F998" s="3">
        <v>1</v>
      </c>
      <c r="G998" s="3">
        <v>41363.636363636302</v>
      </c>
      <c r="H998" s="3">
        <v>45499.999999999935</v>
      </c>
      <c r="I998" s="3">
        <v>45500</v>
      </c>
      <c r="J998" s="3">
        <v>41363.636363636302</v>
      </c>
      <c r="K998" s="25">
        <v>30748</v>
      </c>
      <c r="L998" s="25">
        <v>30748</v>
      </c>
    </row>
    <row r="999" spans="1:12" x14ac:dyDescent="0.3">
      <c r="A999" t="s">
        <v>5594</v>
      </c>
      <c r="B999">
        <v>2.0260205080053901E+18</v>
      </c>
      <c r="C999" t="s">
        <v>5602</v>
      </c>
      <c r="D999">
        <v>143790</v>
      </c>
      <c r="E999" s="16" t="s">
        <v>7</v>
      </c>
      <c r="F999" s="3">
        <v>1</v>
      </c>
      <c r="G999" s="3">
        <v>41363.636363636302</v>
      </c>
      <c r="H999" s="3">
        <v>45499.999999999935</v>
      </c>
      <c r="I999" s="3">
        <v>45500</v>
      </c>
      <c r="J999" s="3">
        <v>41363.636363636302</v>
      </c>
      <c r="K999" s="25">
        <v>30748</v>
      </c>
      <c r="L999" s="25">
        <v>30748</v>
      </c>
    </row>
    <row r="1000" spans="1:12" x14ac:dyDescent="0.3">
      <c r="A1000" t="s">
        <v>5594</v>
      </c>
      <c r="B1000">
        <v>2.02602050759005E+18</v>
      </c>
      <c r="C1000" t="s">
        <v>5602</v>
      </c>
      <c r="D1000">
        <v>143790</v>
      </c>
      <c r="E1000" s="16" t="s">
        <v>7</v>
      </c>
      <c r="F1000" s="3">
        <v>1</v>
      </c>
      <c r="G1000" s="3">
        <v>41363.636363636302</v>
      </c>
      <c r="H1000" s="3">
        <v>45499.999999999935</v>
      </c>
      <c r="I1000" s="3">
        <v>45500</v>
      </c>
      <c r="J1000" s="3">
        <v>41363.636363636302</v>
      </c>
      <c r="K1000" s="25">
        <v>30748</v>
      </c>
      <c r="L1000" s="25">
        <v>30748</v>
      </c>
    </row>
    <row r="1001" spans="1:12" x14ac:dyDescent="0.3">
      <c r="A1001" t="s">
        <v>5594</v>
      </c>
      <c r="B1001">
        <v>2.0260205075738099E+18</v>
      </c>
      <c r="C1001" t="s">
        <v>5602</v>
      </c>
      <c r="D1001">
        <v>143790</v>
      </c>
      <c r="E1001" s="16" t="s">
        <v>7</v>
      </c>
      <c r="F1001" s="3">
        <v>1</v>
      </c>
      <c r="G1001" s="3">
        <v>41363.636363636302</v>
      </c>
      <c r="H1001" s="3">
        <v>45499.999999999935</v>
      </c>
      <c r="I1001" s="3">
        <v>45500</v>
      </c>
      <c r="J1001" s="3">
        <v>41363.636363636302</v>
      </c>
      <c r="K1001" s="25">
        <v>30748</v>
      </c>
      <c r="L1001" s="25">
        <v>30748</v>
      </c>
    </row>
    <row r="1002" spans="1:12" x14ac:dyDescent="0.3">
      <c r="A1002" t="s">
        <v>5594</v>
      </c>
      <c r="B1002">
        <v>2.0260205080035599E+18</v>
      </c>
      <c r="C1002" t="s">
        <v>5602</v>
      </c>
      <c r="D1002">
        <v>143790</v>
      </c>
      <c r="E1002" s="16" t="s">
        <v>7</v>
      </c>
      <c r="F1002" s="3">
        <v>1</v>
      </c>
      <c r="G1002" s="3">
        <v>41363.636363636302</v>
      </c>
      <c r="H1002" s="3">
        <v>45499.999999999935</v>
      </c>
      <c r="I1002" s="3">
        <v>45500</v>
      </c>
      <c r="J1002" s="3">
        <v>41363.636363636302</v>
      </c>
      <c r="K1002" s="25">
        <v>30748</v>
      </c>
      <c r="L1002" s="25">
        <v>30748</v>
      </c>
    </row>
    <row r="1003" spans="1:12" x14ac:dyDescent="0.3">
      <c r="A1003" t="s">
        <v>5594</v>
      </c>
      <c r="B1003">
        <v>2.0260205075910001E+18</v>
      </c>
      <c r="C1003" t="s">
        <v>5602</v>
      </c>
      <c r="D1003">
        <v>143790</v>
      </c>
      <c r="E1003" s="16" t="s">
        <v>7</v>
      </c>
      <c r="F1003" s="3">
        <v>1</v>
      </c>
      <c r="G1003" s="3">
        <v>41363.636363636302</v>
      </c>
      <c r="H1003" s="3">
        <v>45499.999999999935</v>
      </c>
      <c r="I1003" s="3">
        <v>45500</v>
      </c>
      <c r="J1003" s="3">
        <v>41363.636363636302</v>
      </c>
      <c r="K1003" s="25">
        <v>30748</v>
      </c>
      <c r="L1003" s="25">
        <v>30748</v>
      </c>
    </row>
    <row r="1004" spans="1:12" x14ac:dyDescent="0.3">
      <c r="A1004" t="s">
        <v>5594</v>
      </c>
      <c r="B1004">
        <v>2.02602050759598E+18</v>
      </c>
      <c r="C1004" t="s">
        <v>5602</v>
      </c>
      <c r="D1004">
        <v>143790</v>
      </c>
      <c r="E1004" s="16" t="s">
        <v>7</v>
      </c>
      <c r="F1004" s="3">
        <v>1</v>
      </c>
      <c r="G1004" s="3">
        <v>41363.636363636302</v>
      </c>
      <c r="H1004" s="3">
        <v>45499.999999999935</v>
      </c>
      <c r="I1004" s="3">
        <v>45500</v>
      </c>
      <c r="J1004" s="3">
        <v>41363.636363636302</v>
      </c>
      <c r="K1004" s="25">
        <v>30748</v>
      </c>
      <c r="L1004" s="25">
        <v>30748</v>
      </c>
    </row>
    <row r="1005" spans="1:12" x14ac:dyDescent="0.3">
      <c r="A1005" t="s">
        <v>5594</v>
      </c>
      <c r="B1005">
        <v>2.0260205075814899E+18</v>
      </c>
      <c r="C1005" t="s">
        <v>5602</v>
      </c>
      <c r="D1005">
        <v>143790</v>
      </c>
      <c r="E1005" s="16" t="s">
        <v>7</v>
      </c>
      <c r="F1005" s="3">
        <v>1</v>
      </c>
      <c r="G1005" s="3">
        <v>41363.636363636302</v>
      </c>
      <c r="H1005" s="3">
        <v>45499.999999999935</v>
      </c>
      <c r="I1005" s="3">
        <v>45500</v>
      </c>
      <c r="J1005" s="3">
        <v>41363.636363636302</v>
      </c>
      <c r="K1005" s="25">
        <v>30748</v>
      </c>
      <c r="L1005" s="25">
        <v>30748</v>
      </c>
    </row>
    <row r="1006" spans="1:12" x14ac:dyDescent="0.3">
      <c r="A1006" t="s">
        <v>5594</v>
      </c>
      <c r="B1006">
        <v>2.0260205075848E+18</v>
      </c>
      <c r="C1006" t="s">
        <v>5602</v>
      </c>
      <c r="D1006">
        <v>143790</v>
      </c>
      <c r="E1006" s="16" t="s">
        <v>7</v>
      </c>
      <c r="F1006" s="3">
        <v>1</v>
      </c>
      <c r="G1006" s="3">
        <v>41363.636363636302</v>
      </c>
      <c r="H1006" s="3">
        <v>45499.999999999935</v>
      </c>
      <c r="I1006" s="3">
        <v>45500</v>
      </c>
      <c r="J1006" s="3">
        <v>41363.636363636302</v>
      </c>
      <c r="K1006" s="25">
        <v>30748</v>
      </c>
      <c r="L1006" s="25">
        <v>30748</v>
      </c>
    </row>
    <row r="1007" spans="1:12" x14ac:dyDescent="0.3">
      <c r="A1007" t="s">
        <v>5594</v>
      </c>
      <c r="B1007">
        <v>2.0260205075729001E+18</v>
      </c>
      <c r="C1007" t="s">
        <v>5602</v>
      </c>
      <c r="D1007">
        <v>143790</v>
      </c>
      <c r="E1007" s="16" t="s">
        <v>7</v>
      </c>
      <c r="F1007" s="3">
        <v>1</v>
      </c>
      <c r="G1007" s="3">
        <v>41363.636363636302</v>
      </c>
      <c r="H1007" s="3">
        <v>45499.999999999935</v>
      </c>
      <c r="I1007" s="3">
        <v>45500</v>
      </c>
      <c r="J1007" s="3">
        <v>41363.636363636302</v>
      </c>
      <c r="K1007" s="25">
        <v>30748</v>
      </c>
      <c r="L1007" s="25">
        <v>30748</v>
      </c>
    </row>
    <row r="1008" spans="1:12" x14ac:dyDescent="0.3">
      <c r="A1008" t="s">
        <v>5594</v>
      </c>
      <c r="B1008">
        <v>2.02602050758032E+18</v>
      </c>
      <c r="C1008" t="s">
        <v>5602</v>
      </c>
      <c r="D1008">
        <v>143790</v>
      </c>
      <c r="E1008" s="16" t="s">
        <v>7</v>
      </c>
      <c r="F1008" s="3">
        <v>1</v>
      </c>
      <c r="G1008" s="3">
        <v>41363.636363636302</v>
      </c>
      <c r="H1008" s="3">
        <v>45499.999999999935</v>
      </c>
      <c r="I1008" s="3">
        <v>45500</v>
      </c>
      <c r="J1008" s="3">
        <v>41363.636363636302</v>
      </c>
      <c r="K1008" s="25">
        <v>30748</v>
      </c>
      <c r="L1008" s="25">
        <v>30748</v>
      </c>
    </row>
    <row r="1009" spans="1:12" x14ac:dyDescent="0.3">
      <c r="A1009" t="s">
        <v>5594</v>
      </c>
      <c r="B1009">
        <v>2.0260205075856E+18</v>
      </c>
      <c r="C1009" t="s">
        <v>5602</v>
      </c>
      <c r="D1009">
        <v>143790</v>
      </c>
      <c r="E1009" s="16" t="s">
        <v>7</v>
      </c>
      <c r="F1009" s="3">
        <v>1</v>
      </c>
      <c r="G1009" s="3">
        <v>41363.636363636302</v>
      </c>
      <c r="H1009" s="3">
        <v>45499.999999999935</v>
      </c>
      <c r="I1009" s="3">
        <v>45500</v>
      </c>
      <c r="J1009" s="3">
        <v>41363.636363636302</v>
      </c>
      <c r="K1009" s="25">
        <v>30748</v>
      </c>
      <c r="L1009" s="25">
        <v>30748</v>
      </c>
    </row>
    <row r="1010" spans="1:12" x14ac:dyDescent="0.3">
      <c r="A1010" t="s">
        <v>5594</v>
      </c>
      <c r="B1010">
        <v>2.0260205075712499E+18</v>
      </c>
      <c r="C1010" t="s">
        <v>5602</v>
      </c>
      <c r="D1010">
        <v>143790</v>
      </c>
      <c r="E1010" s="16" t="s">
        <v>7</v>
      </c>
      <c r="F1010" s="3">
        <v>2</v>
      </c>
      <c r="G1010" s="3">
        <v>41363.636363636353</v>
      </c>
      <c r="H1010" s="3">
        <v>91000</v>
      </c>
      <c r="I1010" s="3">
        <v>91000</v>
      </c>
      <c r="J1010" s="3">
        <v>82727.272727272706</v>
      </c>
      <c r="K1010" s="25">
        <v>30748</v>
      </c>
      <c r="L1010" s="25">
        <v>61496</v>
      </c>
    </row>
    <row r="1011" spans="1:12" x14ac:dyDescent="0.3">
      <c r="A1011" t="s">
        <v>5594</v>
      </c>
      <c r="B1011">
        <v>2.0260205075755E+18</v>
      </c>
      <c r="C1011" t="s">
        <v>5602</v>
      </c>
      <c r="D1011">
        <v>143790</v>
      </c>
      <c r="E1011" s="16" t="s">
        <v>7</v>
      </c>
      <c r="F1011" s="3">
        <v>1</v>
      </c>
      <c r="G1011" s="3">
        <v>41363.636363636302</v>
      </c>
      <c r="H1011" s="3">
        <v>45499.999999999935</v>
      </c>
      <c r="I1011" s="3">
        <v>45500</v>
      </c>
      <c r="J1011" s="3">
        <v>41363.636363636302</v>
      </c>
      <c r="K1011" s="25">
        <v>30748</v>
      </c>
      <c r="L1011" s="25">
        <v>30748</v>
      </c>
    </row>
    <row r="1012" spans="1:12" x14ac:dyDescent="0.3">
      <c r="A1012" t="s">
        <v>5594</v>
      </c>
      <c r="B1012">
        <v>2.02602050759135E+18</v>
      </c>
      <c r="C1012" t="s">
        <v>5602</v>
      </c>
      <c r="D1012">
        <v>143790</v>
      </c>
      <c r="E1012" s="16" t="s">
        <v>7</v>
      </c>
      <c r="F1012" s="3">
        <v>1</v>
      </c>
      <c r="G1012" s="3">
        <v>41363.636363636302</v>
      </c>
      <c r="H1012" s="3">
        <v>45499.999999999935</v>
      </c>
      <c r="I1012" s="3">
        <v>45500</v>
      </c>
      <c r="J1012" s="3">
        <v>41363.636363636302</v>
      </c>
      <c r="K1012" s="25">
        <v>30748</v>
      </c>
      <c r="L1012" s="25">
        <v>30748</v>
      </c>
    </row>
    <row r="1013" spans="1:12" x14ac:dyDescent="0.3">
      <c r="A1013" t="s">
        <v>5594</v>
      </c>
      <c r="B1013">
        <v>2.02602050756174E+18</v>
      </c>
      <c r="C1013" t="s">
        <v>5602</v>
      </c>
      <c r="D1013">
        <v>143790</v>
      </c>
      <c r="E1013" s="16" t="s">
        <v>7</v>
      </c>
      <c r="F1013" s="3">
        <v>2</v>
      </c>
      <c r="G1013" s="3">
        <v>41363.636363636353</v>
      </c>
      <c r="H1013" s="3">
        <v>91000</v>
      </c>
      <c r="I1013" s="3">
        <v>91000</v>
      </c>
      <c r="J1013" s="3">
        <v>82727.272727272706</v>
      </c>
      <c r="K1013" s="25">
        <v>30748</v>
      </c>
      <c r="L1013" s="25">
        <v>61496</v>
      </c>
    </row>
    <row r="1014" spans="1:12" x14ac:dyDescent="0.3">
      <c r="A1014" t="s">
        <v>5594</v>
      </c>
      <c r="B1014">
        <v>2.02602050758461E+18</v>
      </c>
      <c r="C1014" t="s">
        <v>5602</v>
      </c>
      <c r="D1014">
        <v>143790</v>
      </c>
      <c r="E1014" s="16" t="s">
        <v>7</v>
      </c>
      <c r="F1014" s="3">
        <v>1</v>
      </c>
      <c r="G1014" s="3">
        <v>41363.636363636302</v>
      </c>
      <c r="H1014" s="3">
        <v>45499.999999999935</v>
      </c>
      <c r="I1014" s="3">
        <v>45500</v>
      </c>
      <c r="J1014" s="3">
        <v>41363.636363636302</v>
      </c>
      <c r="K1014" s="25">
        <v>30748</v>
      </c>
      <c r="L1014" s="25">
        <v>30748</v>
      </c>
    </row>
    <row r="1015" spans="1:12" x14ac:dyDescent="0.3">
      <c r="A1015" t="s">
        <v>5594</v>
      </c>
      <c r="B1015">
        <v>2.0260205075730099E+18</v>
      </c>
      <c r="C1015" t="s">
        <v>5602</v>
      </c>
      <c r="D1015">
        <v>143790</v>
      </c>
      <c r="E1015" s="16" t="s">
        <v>7</v>
      </c>
      <c r="F1015" s="3">
        <v>1</v>
      </c>
      <c r="G1015" s="3">
        <v>41363.636363636302</v>
      </c>
      <c r="H1015" s="3">
        <v>45499.999999999935</v>
      </c>
      <c r="I1015" s="3">
        <v>45500</v>
      </c>
      <c r="J1015" s="3">
        <v>41363.636363636302</v>
      </c>
      <c r="K1015" s="25">
        <v>30748</v>
      </c>
      <c r="L1015" s="25">
        <v>30748</v>
      </c>
    </row>
    <row r="1016" spans="1:12" x14ac:dyDescent="0.3">
      <c r="A1016" t="s">
        <v>5594</v>
      </c>
      <c r="B1016">
        <v>2.02602050759039E+18</v>
      </c>
      <c r="C1016" t="s">
        <v>5602</v>
      </c>
      <c r="D1016">
        <v>143790</v>
      </c>
      <c r="E1016" s="16" t="s">
        <v>7</v>
      </c>
      <c r="F1016" s="3">
        <v>1</v>
      </c>
      <c r="G1016" s="3">
        <v>41363.636363636302</v>
      </c>
      <c r="H1016" s="3">
        <v>45499.999999999935</v>
      </c>
      <c r="I1016" s="3">
        <v>45500</v>
      </c>
      <c r="J1016" s="3">
        <v>41363.636363636302</v>
      </c>
      <c r="K1016" s="25">
        <v>30748</v>
      </c>
      <c r="L1016" s="25">
        <v>30748</v>
      </c>
    </row>
    <row r="1017" spans="1:12" x14ac:dyDescent="0.3">
      <c r="A1017" t="s">
        <v>5594</v>
      </c>
      <c r="B1017">
        <v>2.0260205075718001E+18</v>
      </c>
      <c r="C1017" t="s">
        <v>5602</v>
      </c>
      <c r="D1017">
        <v>143790</v>
      </c>
      <c r="E1017" s="16" t="s">
        <v>7</v>
      </c>
      <c r="F1017" s="3">
        <v>1</v>
      </c>
      <c r="G1017" s="3">
        <v>41363.636363636302</v>
      </c>
      <c r="H1017" s="3">
        <v>45499.999999999935</v>
      </c>
      <c r="I1017" s="3">
        <v>45500</v>
      </c>
      <c r="J1017" s="3">
        <v>41363.636363636302</v>
      </c>
      <c r="K1017" s="25">
        <v>30748</v>
      </c>
      <c r="L1017" s="25">
        <v>30748</v>
      </c>
    </row>
    <row r="1018" spans="1:12" x14ac:dyDescent="0.3">
      <c r="A1018" t="s">
        <v>5594</v>
      </c>
      <c r="B1018">
        <v>2.0260205075754801E+18</v>
      </c>
      <c r="C1018" t="s">
        <v>5602</v>
      </c>
      <c r="D1018">
        <v>143790</v>
      </c>
      <c r="E1018" s="16" t="s">
        <v>7</v>
      </c>
      <c r="F1018" s="3">
        <v>1</v>
      </c>
      <c r="G1018" s="3">
        <v>41363.636363636302</v>
      </c>
      <c r="H1018" s="3">
        <v>45499.999999999935</v>
      </c>
      <c r="I1018" s="3">
        <v>45500</v>
      </c>
      <c r="J1018" s="3">
        <v>41363.636363636302</v>
      </c>
      <c r="K1018" s="25">
        <v>30748</v>
      </c>
      <c r="L1018" s="25">
        <v>30748</v>
      </c>
    </row>
    <row r="1019" spans="1:12" x14ac:dyDescent="0.3">
      <c r="A1019" t="s">
        <v>5594</v>
      </c>
      <c r="B1019">
        <v>2.0260205075726999E+18</v>
      </c>
      <c r="C1019" t="s">
        <v>5602</v>
      </c>
      <c r="D1019">
        <v>143790</v>
      </c>
      <c r="E1019" s="16" t="s">
        <v>7</v>
      </c>
      <c r="F1019" s="3">
        <v>2</v>
      </c>
      <c r="G1019" s="3">
        <v>41363.636363636353</v>
      </c>
      <c r="H1019" s="3">
        <v>91000</v>
      </c>
      <c r="I1019" s="3">
        <v>91000</v>
      </c>
      <c r="J1019" s="3">
        <v>82727.272727272706</v>
      </c>
      <c r="K1019" s="25">
        <v>30748</v>
      </c>
      <c r="L1019" s="25">
        <v>61496</v>
      </c>
    </row>
    <row r="1020" spans="1:12" x14ac:dyDescent="0.3">
      <c r="A1020" t="s">
        <v>5594</v>
      </c>
      <c r="B1020">
        <v>2.02602050756099E+18</v>
      </c>
      <c r="C1020" t="s">
        <v>5602</v>
      </c>
      <c r="D1020">
        <v>143790</v>
      </c>
      <c r="E1020" s="16" t="s">
        <v>7</v>
      </c>
      <c r="F1020" s="3">
        <v>2</v>
      </c>
      <c r="G1020" s="3">
        <v>41363.636363636353</v>
      </c>
      <c r="H1020" s="3">
        <v>91000</v>
      </c>
      <c r="I1020" s="3">
        <v>91000</v>
      </c>
      <c r="J1020" s="3">
        <v>82727.272727272706</v>
      </c>
      <c r="K1020" s="25">
        <v>30748</v>
      </c>
      <c r="L1020" s="25">
        <v>61496</v>
      </c>
    </row>
    <row r="1021" spans="1:12" x14ac:dyDescent="0.3">
      <c r="A1021" t="s">
        <v>5594</v>
      </c>
      <c r="B1021">
        <v>2.02602050757472E+18</v>
      </c>
      <c r="C1021" t="s">
        <v>5602</v>
      </c>
      <c r="D1021">
        <v>143790</v>
      </c>
      <c r="E1021" s="16" t="s">
        <v>7</v>
      </c>
      <c r="F1021" s="3">
        <v>1</v>
      </c>
      <c r="G1021" s="3">
        <v>41363.636363636302</v>
      </c>
      <c r="H1021" s="3">
        <v>45499.999999999935</v>
      </c>
      <c r="I1021" s="3">
        <v>45500</v>
      </c>
      <c r="J1021" s="3">
        <v>41363.636363636302</v>
      </c>
      <c r="K1021" s="25">
        <v>30748</v>
      </c>
      <c r="L1021" s="25">
        <v>30748</v>
      </c>
    </row>
    <row r="1022" spans="1:12" x14ac:dyDescent="0.3">
      <c r="A1022" t="s">
        <v>5594</v>
      </c>
      <c r="B1022">
        <v>2.0260205075434601E+18</v>
      </c>
      <c r="C1022" t="s">
        <v>5602</v>
      </c>
      <c r="D1022">
        <v>143790</v>
      </c>
      <c r="E1022" s="16" t="s">
        <v>7</v>
      </c>
      <c r="F1022" s="3">
        <v>1</v>
      </c>
      <c r="G1022" s="3">
        <v>41363.636363636302</v>
      </c>
      <c r="H1022" s="3">
        <v>45499.999999999935</v>
      </c>
      <c r="I1022" s="3">
        <v>45500</v>
      </c>
      <c r="J1022" s="3">
        <v>41363.636363636302</v>
      </c>
      <c r="K1022" s="25">
        <v>30748</v>
      </c>
      <c r="L1022" s="25">
        <v>30748</v>
      </c>
    </row>
    <row r="1023" spans="1:12" x14ac:dyDescent="0.3">
      <c r="A1023" t="s">
        <v>5594</v>
      </c>
      <c r="B1023">
        <v>2.0260205075836301E+18</v>
      </c>
      <c r="C1023" t="s">
        <v>5602</v>
      </c>
      <c r="D1023">
        <v>143790</v>
      </c>
      <c r="E1023" s="16" t="s">
        <v>7</v>
      </c>
      <c r="F1023" s="3">
        <v>1</v>
      </c>
      <c r="G1023" s="3">
        <v>41363.636363636302</v>
      </c>
      <c r="H1023" s="3">
        <v>45499.999999999935</v>
      </c>
      <c r="I1023" s="3">
        <v>45500</v>
      </c>
      <c r="J1023" s="3">
        <v>41363.636363636302</v>
      </c>
      <c r="K1023" s="25">
        <v>30748</v>
      </c>
      <c r="L1023" s="25">
        <v>30748</v>
      </c>
    </row>
    <row r="1024" spans="1:12" x14ac:dyDescent="0.3">
      <c r="A1024" t="s">
        <v>5594</v>
      </c>
      <c r="B1024">
        <v>2.0260205075533399E+18</v>
      </c>
      <c r="C1024" t="s">
        <v>5602</v>
      </c>
      <c r="D1024">
        <v>143790</v>
      </c>
      <c r="E1024" s="16" t="s">
        <v>7</v>
      </c>
      <c r="F1024" s="3">
        <v>1</v>
      </c>
      <c r="G1024" s="3">
        <v>41363.636363636302</v>
      </c>
      <c r="H1024" s="3">
        <v>45499.999999999935</v>
      </c>
      <c r="I1024" s="3">
        <v>45500</v>
      </c>
      <c r="J1024" s="3">
        <v>41363.636363636302</v>
      </c>
      <c r="K1024" s="25">
        <v>30748</v>
      </c>
      <c r="L1024" s="25">
        <v>30748</v>
      </c>
    </row>
    <row r="1025" spans="1:12" x14ac:dyDescent="0.3">
      <c r="A1025" t="s">
        <v>5594</v>
      </c>
      <c r="B1025">
        <v>2.02602050757283E+18</v>
      </c>
      <c r="C1025" t="s">
        <v>5602</v>
      </c>
      <c r="D1025">
        <v>143790</v>
      </c>
      <c r="E1025" s="16" t="s">
        <v>7</v>
      </c>
      <c r="F1025" s="3">
        <v>1</v>
      </c>
      <c r="G1025" s="3">
        <v>41363.636363636302</v>
      </c>
      <c r="H1025" s="3">
        <v>45499.999999999935</v>
      </c>
      <c r="I1025" s="3">
        <v>45500</v>
      </c>
      <c r="J1025" s="3">
        <v>41363.636363636302</v>
      </c>
      <c r="K1025" s="25">
        <v>30748</v>
      </c>
      <c r="L1025" s="25">
        <v>30748</v>
      </c>
    </row>
    <row r="1026" spans="1:12" x14ac:dyDescent="0.3">
      <c r="A1026" t="s">
        <v>5594</v>
      </c>
      <c r="B1026">
        <v>2.0260205075816801E+18</v>
      </c>
      <c r="C1026" t="s">
        <v>5602</v>
      </c>
      <c r="D1026">
        <v>143790</v>
      </c>
      <c r="E1026" s="16" t="s">
        <v>7</v>
      </c>
      <c r="F1026" s="3">
        <v>1</v>
      </c>
      <c r="G1026" s="3">
        <v>41363.636363636302</v>
      </c>
      <c r="H1026" s="3">
        <v>45499.999999999935</v>
      </c>
      <c r="I1026" s="3">
        <v>45500</v>
      </c>
      <c r="J1026" s="3">
        <v>41363.636363636302</v>
      </c>
      <c r="K1026" s="25">
        <v>30748</v>
      </c>
      <c r="L1026" s="25">
        <v>30748</v>
      </c>
    </row>
    <row r="1027" spans="1:12" x14ac:dyDescent="0.3">
      <c r="A1027" t="s">
        <v>5594</v>
      </c>
      <c r="B1027">
        <v>2.0260205075549701E+18</v>
      </c>
      <c r="C1027" t="s">
        <v>5602</v>
      </c>
      <c r="D1027">
        <v>143790</v>
      </c>
      <c r="E1027" s="16" t="s">
        <v>7</v>
      </c>
      <c r="F1027" s="3">
        <v>1</v>
      </c>
      <c r="G1027" s="3">
        <v>41363.636363636302</v>
      </c>
      <c r="H1027" s="3">
        <v>45499.999999999935</v>
      </c>
      <c r="I1027" s="3">
        <v>45500</v>
      </c>
      <c r="J1027" s="3">
        <v>41363.636363636302</v>
      </c>
      <c r="K1027" s="25">
        <v>30748</v>
      </c>
      <c r="L1027" s="25">
        <v>30748</v>
      </c>
    </row>
    <row r="1028" spans="1:12" x14ac:dyDescent="0.3">
      <c r="A1028" t="s">
        <v>5594</v>
      </c>
      <c r="B1028">
        <v>2.0260205075636401E+18</v>
      </c>
      <c r="C1028" t="s">
        <v>5602</v>
      </c>
      <c r="D1028">
        <v>143790</v>
      </c>
      <c r="E1028" s="16" t="s">
        <v>7</v>
      </c>
      <c r="F1028" s="3">
        <v>1</v>
      </c>
      <c r="G1028" s="3">
        <v>41363.636363636302</v>
      </c>
      <c r="H1028" s="3">
        <v>45499.999999999935</v>
      </c>
      <c r="I1028" s="3">
        <v>45500</v>
      </c>
      <c r="J1028" s="3">
        <v>41363.636363636302</v>
      </c>
      <c r="K1028" s="25">
        <v>30748</v>
      </c>
      <c r="L1028" s="25">
        <v>30748</v>
      </c>
    </row>
    <row r="1029" spans="1:12" x14ac:dyDescent="0.3">
      <c r="A1029" t="s">
        <v>5594</v>
      </c>
      <c r="B1029">
        <v>2.02602050756433E+18</v>
      </c>
      <c r="C1029" t="s">
        <v>5602</v>
      </c>
      <c r="D1029">
        <v>143790</v>
      </c>
      <c r="E1029" s="16" t="s">
        <v>7</v>
      </c>
      <c r="F1029" s="3">
        <v>1</v>
      </c>
      <c r="G1029" s="3">
        <v>41363.636363636302</v>
      </c>
      <c r="H1029" s="3">
        <v>45499.999999999935</v>
      </c>
      <c r="I1029" s="3">
        <v>45500</v>
      </c>
      <c r="J1029" s="3">
        <v>41363.636363636302</v>
      </c>
      <c r="K1029" s="25">
        <v>30748</v>
      </c>
      <c r="L1029" s="25">
        <v>30748</v>
      </c>
    </row>
    <row r="1030" spans="1:12" x14ac:dyDescent="0.3">
      <c r="A1030" t="s">
        <v>5594</v>
      </c>
      <c r="B1030">
        <v>2.0260205075626099E+18</v>
      </c>
      <c r="C1030" t="s">
        <v>5602</v>
      </c>
      <c r="D1030">
        <v>143790</v>
      </c>
      <c r="E1030" s="16" t="s">
        <v>7</v>
      </c>
      <c r="F1030" s="3">
        <v>1</v>
      </c>
      <c r="G1030" s="3">
        <v>41363.636363636302</v>
      </c>
      <c r="H1030" s="3">
        <v>45499.999999999935</v>
      </c>
      <c r="I1030" s="3">
        <v>45500</v>
      </c>
      <c r="J1030" s="3">
        <v>41363.636363636302</v>
      </c>
      <c r="K1030" s="25">
        <v>30748</v>
      </c>
      <c r="L1030" s="25">
        <v>30748</v>
      </c>
    </row>
    <row r="1031" spans="1:12" x14ac:dyDescent="0.3">
      <c r="A1031" t="s">
        <v>5594</v>
      </c>
      <c r="B1031">
        <v>2.02602050757437E+18</v>
      </c>
      <c r="C1031" t="s">
        <v>5602</v>
      </c>
      <c r="D1031">
        <v>143790</v>
      </c>
      <c r="E1031" s="16" t="s">
        <v>7</v>
      </c>
      <c r="F1031" s="3">
        <v>2</v>
      </c>
      <c r="G1031" s="3">
        <v>41363.636363636353</v>
      </c>
      <c r="H1031" s="3">
        <v>91000</v>
      </c>
      <c r="I1031" s="3">
        <v>91000</v>
      </c>
      <c r="J1031" s="3">
        <v>82727.272727272706</v>
      </c>
      <c r="K1031" s="25">
        <v>30748</v>
      </c>
      <c r="L1031" s="25">
        <v>61496</v>
      </c>
    </row>
    <row r="1032" spans="1:12" x14ac:dyDescent="0.3">
      <c r="A1032" t="s">
        <v>5594</v>
      </c>
      <c r="B1032">
        <v>2.0260205075616399E+18</v>
      </c>
      <c r="C1032" t="s">
        <v>5602</v>
      </c>
      <c r="D1032">
        <v>143790</v>
      </c>
      <c r="E1032" s="16" t="s">
        <v>7</v>
      </c>
      <c r="F1032" s="3">
        <v>1</v>
      </c>
      <c r="G1032" s="3">
        <v>41363.636363636302</v>
      </c>
      <c r="H1032" s="3">
        <v>45499.999999999935</v>
      </c>
      <c r="I1032" s="3">
        <v>45500</v>
      </c>
      <c r="J1032" s="3">
        <v>41363.636363636302</v>
      </c>
      <c r="K1032" s="25">
        <v>30748</v>
      </c>
      <c r="L1032" s="25">
        <v>30748</v>
      </c>
    </row>
    <row r="1033" spans="1:12" x14ac:dyDescent="0.3">
      <c r="A1033" t="s">
        <v>5594</v>
      </c>
      <c r="B1033">
        <v>2.0260205075559199E+18</v>
      </c>
      <c r="C1033" t="s">
        <v>5602</v>
      </c>
      <c r="D1033">
        <v>143790</v>
      </c>
      <c r="E1033" s="16" t="s">
        <v>7</v>
      </c>
      <c r="F1033" s="3">
        <v>1</v>
      </c>
      <c r="G1033" s="3">
        <v>41363.636363636302</v>
      </c>
      <c r="H1033" s="3">
        <v>45499.999999999935</v>
      </c>
      <c r="I1033" s="3">
        <v>45500</v>
      </c>
      <c r="J1033" s="3">
        <v>41363.636363636302</v>
      </c>
      <c r="K1033" s="25">
        <v>30748</v>
      </c>
      <c r="L1033" s="25">
        <v>30748</v>
      </c>
    </row>
    <row r="1034" spans="1:12" x14ac:dyDescent="0.3">
      <c r="A1034" t="s">
        <v>5594</v>
      </c>
      <c r="B1034">
        <v>2.02602050757123E+18</v>
      </c>
      <c r="C1034" t="s">
        <v>5602</v>
      </c>
      <c r="D1034">
        <v>143790</v>
      </c>
      <c r="E1034" s="16" t="s">
        <v>7</v>
      </c>
      <c r="F1034" s="3">
        <v>1</v>
      </c>
      <c r="G1034" s="3">
        <v>41363.636363636302</v>
      </c>
      <c r="H1034" s="3">
        <v>45499.999999999935</v>
      </c>
      <c r="I1034" s="3">
        <v>45500</v>
      </c>
      <c r="J1034" s="3">
        <v>41363.636363636302</v>
      </c>
      <c r="K1034" s="25">
        <v>30748</v>
      </c>
      <c r="L1034" s="25">
        <v>30748</v>
      </c>
    </row>
    <row r="1035" spans="1:12" x14ac:dyDescent="0.3">
      <c r="A1035" t="s">
        <v>5594</v>
      </c>
      <c r="B1035">
        <v>2.02602050756355E+18</v>
      </c>
      <c r="C1035" t="s">
        <v>5602</v>
      </c>
      <c r="D1035">
        <v>143790</v>
      </c>
      <c r="E1035" s="16" t="s">
        <v>7</v>
      </c>
      <c r="F1035" s="3">
        <v>1</v>
      </c>
      <c r="G1035" s="3">
        <v>41363.636363636302</v>
      </c>
      <c r="H1035" s="3">
        <v>45499.999999999935</v>
      </c>
      <c r="I1035" s="3">
        <v>45500</v>
      </c>
      <c r="J1035" s="3">
        <v>41363.636363636302</v>
      </c>
      <c r="K1035" s="25">
        <v>30748</v>
      </c>
      <c r="L1035" s="25">
        <v>30748</v>
      </c>
    </row>
    <row r="1036" spans="1:12" x14ac:dyDescent="0.3">
      <c r="A1036" t="s">
        <v>5594</v>
      </c>
      <c r="B1036">
        <v>2.0260205075546701E+18</v>
      </c>
      <c r="C1036" t="s">
        <v>5602</v>
      </c>
      <c r="D1036">
        <v>143790</v>
      </c>
      <c r="E1036" s="16" t="s">
        <v>7</v>
      </c>
      <c r="F1036" s="3">
        <v>1</v>
      </c>
      <c r="G1036" s="3">
        <v>41363.636363636302</v>
      </c>
      <c r="H1036" s="3">
        <v>45499.999999999935</v>
      </c>
      <c r="I1036" s="3">
        <v>45500</v>
      </c>
      <c r="J1036" s="3">
        <v>41363.636363636302</v>
      </c>
      <c r="K1036" s="25">
        <v>30748</v>
      </c>
      <c r="L1036" s="25">
        <v>30748</v>
      </c>
    </row>
    <row r="1037" spans="1:12" x14ac:dyDescent="0.3">
      <c r="A1037" t="s">
        <v>5594</v>
      </c>
      <c r="B1037">
        <v>2.0260205075626199E+18</v>
      </c>
      <c r="C1037" t="s">
        <v>5602</v>
      </c>
      <c r="D1037">
        <v>143790</v>
      </c>
      <c r="E1037" s="16" t="s">
        <v>7</v>
      </c>
      <c r="F1037" s="3">
        <v>1</v>
      </c>
      <c r="G1037" s="3">
        <v>41363.636363636302</v>
      </c>
      <c r="H1037" s="3">
        <v>45499.999999999935</v>
      </c>
      <c r="I1037" s="3">
        <v>45500</v>
      </c>
      <c r="J1037" s="3">
        <v>41363.636363636302</v>
      </c>
      <c r="K1037" s="25">
        <v>30748</v>
      </c>
      <c r="L1037" s="25">
        <v>30748</v>
      </c>
    </row>
    <row r="1038" spans="1:12" x14ac:dyDescent="0.3">
      <c r="A1038" t="s">
        <v>5594</v>
      </c>
      <c r="B1038">
        <v>2.02602050755297E+18</v>
      </c>
      <c r="C1038" t="s">
        <v>5602</v>
      </c>
      <c r="D1038">
        <v>143790</v>
      </c>
      <c r="E1038" s="16" t="s">
        <v>7</v>
      </c>
      <c r="F1038" s="3">
        <v>2</v>
      </c>
      <c r="G1038" s="3">
        <v>41363.636363636353</v>
      </c>
      <c r="H1038" s="3">
        <v>91000</v>
      </c>
      <c r="I1038" s="3">
        <v>91000</v>
      </c>
      <c r="J1038" s="3">
        <v>82727.272727272706</v>
      </c>
      <c r="K1038" s="25">
        <v>30748</v>
      </c>
      <c r="L1038" s="25">
        <v>61496</v>
      </c>
    </row>
    <row r="1039" spans="1:12" x14ac:dyDescent="0.3">
      <c r="A1039" t="s">
        <v>5594</v>
      </c>
      <c r="B1039">
        <v>2.0260205075556201E+18</v>
      </c>
      <c r="C1039" t="s">
        <v>5602</v>
      </c>
      <c r="D1039">
        <v>143790</v>
      </c>
      <c r="E1039" s="16" t="s">
        <v>7</v>
      </c>
      <c r="F1039" s="3">
        <v>4</v>
      </c>
      <c r="G1039" s="3">
        <v>41363.636363636251</v>
      </c>
      <c r="H1039" s="3">
        <v>181999.99999999956</v>
      </c>
      <c r="I1039" s="3">
        <v>182000</v>
      </c>
      <c r="J1039" s="3">
        <v>165454.545454545</v>
      </c>
      <c r="K1039" s="25">
        <v>30748</v>
      </c>
      <c r="L1039" s="25">
        <v>122992</v>
      </c>
    </row>
    <row r="1040" spans="1:12" x14ac:dyDescent="0.3">
      <c r="A1040" t="s">
        <v>5594</v>
      </c>
      <c r="B1040">
        <v>2.0260205075624399E+18</v>
      </c>
      <c r="C1040" t="s">
        <v>5602</v>
      </c>
      <c r="D1040">
        <v>143790</v>
      </c>
      <c r="E1040" s="16" t="s">
        <v>7</v>
      </c>
      <c r="F1040" s="3">
        <v>3</v>
      </c>
      <c r="G1040" s="3">
        <v>41363.636363636331</v>
      </c>
      <c r="H1040" s="3">
        <v>136499.99999999991</v>
      </c>
      <c r="I1040" s="3">
        <v>136500</v>
      </c>
      <c r="J1040" s="3">
        <v>124090.909090909</v>
      </c>
      <c r="K1040" s="25">
        <v>30748</v>
      </c>
      <c r="L1040" s="25">
        <v>92244</v>
      </c>
    </row>
    <row r="1041" spans="1:12" x14ac:dyDescent="0.3">
      <c r="A1041" t="s">
        <v>5594</v>
      </c>
      <c r="B1041">
        <v>2.02602050756339E+18</v>
      </c>
      <c r="C1041" t="s">
        <v>5602</v>
      </c>
      <c r="D1041">
        <v>143790</v>
      </c>
      <c r="E1041" s="16" t="s">
        <v>7</v>
      </c>
      <c r="F1041" s="3">
        <v>1</v>
      </c>
      <c r="G1041" s="3">
        <v>41363.636363636302</v>
      </c>
      <c r="H1041" s="3">
        <v>45499.999999999935</v>
      </c>
      <c r="I1041" s="3">
        <v>45500</v>
      </c>
      <c r="J1041" s="3">
        <v>41363.636363636302</v>
      </c>
      <c r="K1041" s="25">
        <v>30748</v>
      </c>
      <c r="L1041" s="25">
        <v>30748</v>
      </c>
    </row>
    <row r="1042" spans="1:12" x14ac:dyDescent="0.3">
      <c r="A1042" t="s">
        <v>5594</v>
      </c>
      <c r="B1042">
        <v>2.02602050756192E+18</v>
      </c>
      <c r="C1042" t="s">
        <v>5602</v>
      </c>
      <c r="D1042">
        <v>143790</v>
      </c>
      <c r="E1042" s="16" t="s">
        <v>7</v>
      </c>
      <c r="F1042" s="3">
        <v>1</v>
      </c>
      <c r="G1042" s="3">
        <v>41363.636363636302</v>
      </c>
      <c r="H1042" s="3">
        <v>45499.999999999935</v>
      </c>
      <c r="I1042" s="3">
        <v>45500</v>
      </c>
      <c r="J1042" s="3">
        <v>41363.636363636302</v>
      </c>
      <c r="K1042" s="25">
        <v>30748</v>
      </c>
      <c r="L1042" s="25">
        <v>30748</v>
      </c>
    </row>
    <row r="1043" spans="1:12" x14ac:dyDescent="0.3">
      <c r="A1043" t="s">
        <v>5594</v>
      </c>
      <c r="B1043">
        <v>2.0260205075522501E+18</v>
      </c>
      <c r="C1043" t="s">
        <v>5602</v>
      </c>
      <c r="D1043">
        <v>143790</v>
      </c>
      <c r="E1043" s="16" t="s">
        <v>7</v>
      </c>
      <c r="F1043" s="3">
        <v>1</v>
      </c>
      <c r="G1043" s="3">
        <v>41363.636363636302</v>
      </c>
      <c r="H1043" s="3">
        <v>45499.999999999935</v>
      </c>
      <c r="I1043" s="3">
        <v>45500</v>
      </c>
      <c r="J1043" s="3">
        <v>41363.636363636302</v>
      </c>
      <c r="K1043" s="25">
        <v>30748</v>
      </c>
      <c r="L1043" s="25">
        <v>30748</v>
      </c>
    </row>
    <row r="1044" spans="1:12" x14ac:dyDescent="0.3">
      <c r="A1044" t="s">
        <v>5594</v>
      </c>
      <c r="B1044">
        <v>2.02602050754302E+18</v>
      </c>
      <c r="C1044" t="s">
        <v>5602</v>
      </c>
      <c r="D1044">
        <v>143790</v>
      </c>
      <c r="E1044" s="16" t="s">
        <v>7</v>
      </c>
      <c r="F1044" s="3">
        <v>1</v>
      </c>
      <c r="G1044" s="3">
        <v>41363.636363636302</v>
      </c>
      <c r="H1044" s="3">
        <v>45499.999999999935</v>
      </c>
      <c r="I1044" s="3">
        <v>45500</v>
      </c>
      <c r="J1044" s="3">
        <v>41363.636363636302</v>
      </c>
      <c r="K1044" s="25">
        <v>30748</v>
      </c>
      <c r="L1044" s="25">
        <v>30748</v>
      </c>
    </row>
    <row r="1045" spans="1:12" x14ac:dyDescent="0.3">
      <c r="A1045" t="s">
        <v>5594</v>
      </c>
      <c r="B1045">
        <v>2.0260205075541901E+18</v>
      </c>
      <c r="C1045" t="s">
        <v>5602</v>
      </c>
      <c r="D1045">
        <v>143790</v>
      </c>
      <c r="E1045" s="16" t="s">
        <v>7</v>
      </c>
      <c r="F1045" s="3">
        <v>1</v>
      </c>
      <c r="G1045" s="3">
        <v>41363.636363636302</v>
      </c>
      <c r="H1045" s="3">
        <v>45499.999999999935</v>
      </c>
      <c r="I1045" s="3">
        <v>45500</v>
      </c>
      <c r="J1045" s="3">
        <v>41363.636363636302</v>
      </c>
      <c r="K1045" s="25">
        <v>30748</v>
      </c>
      <c r="L1045" s="25">
        <v>30748</v>
      </c>
    </row>
    <row r="1046" spans="1:12" x14ac:dyDescent="0.3">
      <c r="A1046" t="s">
        <v>5594</v>
      </c>
      <c r="B1046">
        <v>2.0260205075630999E+18</v>
      </c>
      <c r="C1046" t="s">
        <v>5602</v>
      </c>
      <c r="D1046">
        <v>143790</v>
      </c>
      <c r="E1046" s="16" t="s">
        <v>7</v>
      </c>
      <c r="F1046" s="3">
        <v>1</v>
      </c>
      <c r="G1046" s="3">
        <v>41363.636363636302</v>
      </c>
      <c r="H1046" s="3">
        <v>45499.999999999935</v>
      </c>
      <c r="I1046" s="3">
        <v>45500</v>
      </c>
      <c r="J1046" s="3">
        <v>41363.636363636302</v>
      </c>
      <c r="K1046" s="25">
        <v>30748</v>
      </c>
      <c r="L1046" s="25">
        <v>30748</v>
      </c>
    </row>
    <row r="1047" spans="1:12" x14ac:dyDescent="0.3">
      <c r="A1047" t="s">
        <v>5594</v>
      </c>
      <c r="B1047">
        <v>2.02602050755311E+18</v>
      </c>
      <c r="C1047" t="s">
        <v>5602</v>
      </c>
      <c r="D1047">
        <v>143790</v>
      </c>
      <c r="E1047" s="16" t="s">
        <v>7</v>
      </c>
      <c r="F1047" s="3">
        <v>1</v>
      </c>
      <c r="G1047" s="3">
        <v>41363.636363636302</v>
      </c>
      <c r="H1047" s="3">
        <v>45499.999999999935</v>
      </c>
      <c r="I1047" s="3">
        <v>45500</v>
      </c>
      <c r="J1047" s="3">
        <v>41363.636363636302</v>
      </c>
      <c r="K1047" s="25">
        <v>30748</v>
      </c>
      <c r="L1047" s="25">
        <v>30748</v>
      </c>
    </row>
    <row r="1048" spans="1:12" x14ac:dyDescent="0.3">
      <c r="A1048" t="s">
        <v>5594</v>
      </c>
      <c r="B1048">
        <v>2.0260205075451899E+18</v>
      </c>
      <c r="C1048" t="s">
        <v>5602</v>
      </c>
      <c r="D1048">
        <v>143790</v>
      </c>
      <c r="E1048" s="16" t="s">
        <v>7</v>
      </c>
      <c r="F1048" s="3">
        <v>1</v>
      </c>
      <c r="G1048" s="3">
        <v>41363.636363636302</v>
      </c>
      <c r="H1048" s="3">
        <v>45499.999999999935</v>
      </c>
      <c r="I1048" s="3">
        <v>45500</v>
      </c>
      <c r="J1048" s="3">
        <v>41363.636363636302</v>
      </c>
      <c r="K1048" s="25">
        <v>30748</v>
      </c>
      <c r="L1048" s="25">
        <v>30748</v>
      </c>
    </row>
    <row r="1049" spans="1:12" x14ac:dyDescent="0.3">
      <c r="A1049" t="s">
        <v>5594</v>
      </c>
      <c r="B1049">
        <v>2.02602050755535E+18</v>
      </c>
      <c r="C1049" t="s">
        <v>5602</v>
      </c>
      <c r="D1049">
        <v>143790</v>
      </c>
      <c r="E1049" s="16" t="s">
        <v>7</v>
      </c>
      <c r="F1049" s="3">
        <v>2</v>
      </c>
      <c r="G1049" s="3">
        <v>41363.636363636353</v>
      </c>
      <c r="H1049" s="3">
        <v>91000</v>
      </c>
      <c r="I1049" s="3">
        <v>91000</v>
      </c>
      <c r="J1049" s="3">
        <v>82727.272727272706</v>
      </c>
      <c r="K1049" s="25">
        <v>30748</v>
      </c>
      <c r="L1049" s="25">
        <v>61496</v>
      </c>
    </row>
    <row r="1050" spans="1:12" x14ac:dyDescent="0.3">
      <c r="A1050" t="s">
        <v>5594</v>
      </c>
      <c r="B1050">
        <v>2.0260205075420301E+18</v>
      </c>
      <c r="C1050" t="s">
        <v>5602</v>
      </c>
      <c r="D1050">
        <v>143790</v>
      </c>
      <c r="E1050" s="16" t="s">
        <v>7</v>
      </c>
      <c r="F1050" s="3">
        <v>1</v>
      </c>
      <c r="G1050" s="3">
        <v>41363.636363636302</v>
      </c>
      <c r="H1050" s="3">
        <v>45499.999999999935</v>
      </c>
      <c r="I1050" s="3">
        <v>45500</v>
      </c>
      <c r="J1050" s="3">
        <v>41363.636363636302</v>
      </c>
      <c r="K1050" s="25">
        <v>30748</v>
      </c>
      <c r="L1050" s="25">
        <v>30748</v>
      </c>
    </row>
    <row r="1051" spans="1:12" x14ac:dyDescent="0.3">
      <c r="A1051" t="s">
        <v>5594</v>
      </c>
      <c r="B1051">
        <v>2.02602050755038E+18</v>
      </c>
      <c r="C1051" t="s">
        <v>5602</v>
      </c>
      <c r="D1051">
        <v>143790</v>
      </c>
      <c r="E1051" s="16" t="s">
        <v>7</v>
      </c>
      <c r="F1051" s="3">
        <v>1</v>
      </c>
      <c r="G1051" s="3">
        <v>41363.636363636302</v>
      </c>
      <c r="H1051" s="3">
        <v>45499.999999999935</v>
      </c>
      <c r="I1051" s="3">
        <v>45500</v>
      </c>
      <c r="J1051" s="3">
        <v>41363.636363636302</v>
      </c>
      <c r="K1051" s="25">
        <v>30748</v>
      </c>
      <c r="L1051" s="25">
        <v>30748</v>
      </c>
    </row>
    <row r="1052" spans="1:12" x14ac:dyDescent="0.3">
      <c r="A1052" t="s">
        <v>5594</v>
      </c>
      <c r="B1052">
        <v>2.02602050754528E+18</v>
      </c>
      <c r="C1052" t="s">
        <v>5602</v>
      </c>
      <c r="D1052">
        <v>143790</v>
      </c>
      <c r="E1052" s="16" t="s">
        <v>7</v>
      </c>
      <c r="F1052" s="3">
        <v>1</v>
      </c>
      <c r="G1052" s="3">
        <v>41363.636363636302</v>
      </c>
      <c r="H1052" s="3">
        <v>45499.999999999935</v>
      </c>
      <c r="I1052" s="3">
        <v>45500</v>
      </c>
      <c r="J1052" s="3">
        <v>41363.636363636302</v>
      </c>
      <c r="K1052" s="25">
        <v>30748</v>
      </c>
      <c r="L1052" s="25">
        <v>30748</v>
      </c>
    </row>
    <row r="1053" spans="1:12" x14ac:dyDescent="0.3">
      <c r="A1053" t="s">
        <v>5594</v>
      </c>
      <c r="B1053">
        <v>2.0260205075422001E+18</v>
      </c>
      <c r="C1053" t="s">
        <v>5602</v>
      </c>
      <c r="D1053">
        <v>143790</v>
      </c>
      <c r="E1053" s="16" t="s">
        <v>7</v>
      </c>
      <c r="F1053" s="3">
        <v>1</v>
      </c>
      <c r="G1053" s="3">
        <v>41363.636363636302</v>
      </c>
      <c r="H1053" s="3">
        <v>45499.999999999935</v>
      </c>
      <c r="I1053" s="3">
        <v>45500</v>
      </c>
      <c r="J1053" s="3">
        <v>41363.636363636302</v>
      </c>
      <c r="K1053" s="25">
        <v>30748</v>
      </c>
      <c r="L1053" s="25">
        <v>30748</v>
      </c>
    </row>
    <row r="1054" spans="1:12" x14ac:dyDescent="0.3">
      <c r="A1054" t="s">
        <v>5594</v>
      </c>
      <c r="B1054">
        <v>2.02602050754016E+18</v>
      </c>
      <c r="C1054" t="s">
        <v>5602</v>
      </c>
      <c r="D1054">
        <v>143790</v>
      </c>
      <c r="E1054" s="16" t="s">
        <v>7</v>
      </c>
      <c r="F1054" s="3">
        <v>1</v>
      </c>
      <c r="G1054" s="3">
        <v>41363.636363636302</v>
      </c>
      <c r="H1054" s="3">
        <v>45499.999999999935</v>
      </c>
      <c r="I1054" s="3">
        <v>45500</v>
      </c>
      <c r="J1054" s="3">
        <v>41363.636363636302</v>
      </c>
      <c r="K1054" s="25">
        <v>30748</v>
      </c>
      <c r="L1054" s="25">
        <v>30748</v>
      </c>
    </row>
    <row r="1055" spans="1:12" x14ac:dyDescent="0.3">
      <c r="A1055" t="s">
        <v>5594</v>
      </c>
      <c r="B1055">
        <v>2.02602050754159E+18</v>
      </c>
      <c r="C1055" t="s">
        <v>5602</v>
      </c>
      <c r="D1055">
        <v>143790</v>
      </c>
      <c r="E1055" s="16" t="s">
        <v>7</v>
      </c>
      <c r="F1055" s="3">
        <v>1</v>
      </c>
      <c r="G1055" s="3">
        <v>41363.636363636302</v>
      </c>
      <c r="H1055" s="3">
        <v>45499.999999999935</v>
      </c>
      <c r="I1055" s="3">
        <v>45500</v>
      </c>
      <c r="J1055" s="3">
        <v>41363.636363636302</v>
      </c>
      <c r="K1055" s="25">
        <v>30748</v>
      </c>
      <c r="L1055" s="25">
        <v>30748</v>
      </c>
    </row>
    <row r="1056" spans="1:12" x14ac:dyDescent="0.3">
      <c r="A1056" t="s">
        <v>5594</v>
      </c>
      <c r="B1056">
        <v>2.0260205074431401E+18</v>
      </c>
      <c r="C1056" t="s">
        <v>5602</v>
      </c>
      <c r="D1056">
        <v>143790</v>
      </c>
      <c r="E1056" s="16" t="s">
        <v>7</v>
      </c>
      <c r="F1056" s="3">
        <v>1</v>
      </c>
      <c r="G1056" s="3">
        <v>41363.636363636302</v>
      </c>
      <c r="H1056" s="3">
        <v>45499.999999999935</v>
      </c>
      <c r="I1056" s="3">
        <v>45500</v>
      </c>
      <c r="J1056" s="3">
        <v>41363.636363636302</v>
      </c>
      <c r="K1056" s="25">
        <v>30748</v>
      </c>
      <c r="L1056" s="25">
        <v>30748</v>
      </c>
    </row>
    <row r="1057" spans="1:12" x14ac:dyDescent="0.3">
      <c r="A1057" t="s">
        <v>5594</v>
      </c>
      <c r="B1057">
        <v>2.02602050740414E+18</v>
      </c>
      <c r="C1057" t="s">
        <v>5602</v>
      </c>
      <c r="D1057">
        <v>143790</v>
      </c>
      <c r="E1057" s="16" t="s">
        <v>7</v>
      </c>
      <c r="F1057" s="3">
        <v>1</v>
      </c>
      <c r="G1057" s="3">
        <v>41363.636363636302</v>
      </c>
      <c r="H1057" s="3">
        <v>45499.999999999935</v>
      </c>
      <c r="I1057" s="3">
        <v>45500</v>
      </c>
      <c r="J1057" s="3">
        <v>41363.636363636302</v>
      </c>
      <c r="K1057" s="25">
        <v>30748</v>
      </c>
      <c r="L1057" s="25">
        <v>30748</v>
      </c>
    </row>
    <row r="1058" spans="1:12" x14ac:dyDescent="0.3">
      <c r="A1058" t="s">
        <v>5594</v>
      </c>
      <c r="B1058">
        <v>2.0260205072802199E+18</v>
      </c>
      <c r="C1058" t="s">
        <v>5602</v>
      </c>
      <c r="D1058">
        <v>143790</v>
      </c>
      <c r="E1058" s="16" t="s">
        <v>7</v>
      </c>
      <c r="F1058" s="3">
        <v>1</v>
      </c>
      <c r="G1058" s="3">
        <v>41363.636363636302</v>
      </c>
      <c r="H1058" s="3">
        <v>45499.999999999935</v>
      </c>
      <c r="I1058" s="3">
        <v>45500</v>
      </c>
      <c r="J1058" s="3">
        <v>41363.636363636302</v>
      </c>
      <c r="K1058" s="25">
        <v>30748</v>
      </c>
      <c r="L1058" s="25">
        <v>30748</v>
      </c>
    </row>
    <row r="1059" spans="1:12" x14ac:dyDescent="0.3">
      <c r="A1059" t="s">
        <v>5594</v>
      </c>
      <c r="B1059">
        <v>2.02602050723347E+18</v>
      </c>
      <c r="C1059" t="s">
        <v>5602</v>
      </c>
      <c r="D1059">
        <v>143790</v>
      </c>
      <c r="E1059" s="16" t="s">
        <v>7</v>
      </c>
      <c r="F1059" s="3">
        <v>1</v>
      </c>
      <c r="G1059" s="3">
        <v>41363.636363636302</v>
      </c>
      <c r="H1059" s="3">
        <v>45499.999999999935</v>
      </c>
      <c r="I1059" s="3">
        <v>45500</v>
      </c>
      <c r="J1059" s="3">
        <v>41363.636363636302</v>
      </c>
      <c r="K1059" s="25">
        <v>30748</v>
      </c>
      <c r="L1059" s="25">
        <v>30748</v>
      </c>
    </row>
    <row r="1060" spans="1:12" x14ac:dyDescent="0.3">
      <c r="A1060" t="s">
        <v>5594</v>
      </c>
      <c r="B1060">
        <v>2.0260205072136E+18</v>
      </c>
      <c r="C1060" t="s">
        <v>5602</v>
      </c>
      <c r="D1060">
        <v>143790</v>
      </c>
      <c r="E1060" s="16" t="s">
        <v>7</v>
      </c>
      <c r="F1060" s="3">
        <v>1</v>
      </c>
      <c r="G1060" s="3">
        <v>41363.636363636302</v>
      </c>
      <c r="H1060" s="3">
        <v>45499.999999999935</v>
      </c>
      <c r="I1060" s="3">
        <v>45500</v>
      </c>
      <c r="J1060" s="3">
        <v>41363.636363636302</v>
      </c>
      <c r="K1060" s="25">
        <v>30748</v>
      </c>
      <c r="L1060" s="25">
        <v>30748</v>
      </c>
    </row>
    <row r="1061" spans="1:12" x14ac:dyDescent="0.3">
      <c r="A1061" t="s">
        <v>5594</v>
      </c>
      <c r="B1061">
        <v>2.02602050720286E+18</v>
      </c>
      <c r="C1061" t="s">
        <v>5602</v>
      </c>
      <c r="D1061">
        <v>143790</v>
      </c>
      <c r="E1061" s="16" t="s">
        <v>7</v>
      </c>
      <c r="F1061" s="3">
        <v>1</v>
      </c>
      <c r="G1061" s="3">
        <v>41363.636363636302</v>
      </c>
      <c r="H1061" s="3">
        <v>45499.999999999935</v>
      </c>
      <c r="I1061" s="3">
        <v>45500</v>
      </c>
      <c r="J1061" s="3">
        <v>41363.636363636302</v>
      </c>
      <c r="K1061" s="25">
        <v>30748</v>
      </c>
      <c r="L1061" s="25">
        <v>30748</v>
      </c>
    </row>
    <row r="1062" spans="1:12" x14ac:dyDescent="0.3">
      <c r="A1062" t="s">
        <v>5594</v>
      </c>
      <c r="B1062">
        <v>2.0260205072022001E+18</v>
      </c>
      <c r="C1062" t="s">
        <v>5602</v>
      </c>
      <c r="D1062">
        <v>143790</v>
      </c>
      <c r="E1062" s="16" t="s">
        <v>7</v>
      </c>
      <c r="F1062" s="3">
        <v>1</v>
      </c>
      <c r="G1062" s="3">
        <v>41363.636363636302</v>
      </c>
      <c r="H1062" s="3">
        <v>45499.999999999935</v>
      </c>
      <c r="I1062" s="3">
        <v>45500</v>
      </c>
      <c r="J1062" s="3">
        <v>41363.636363636302</v>
      </c>
      <c r="K1062" s="25">
        <v>30748</v>
      </c>
      <c r="L1062" s="25">
        <v>30748</v>
      </c>
    </row>
    <row r="1063" spans="1:12" x14ac:dyDescent="0.3">
      <c r="A1063" t="s">
        <v>5594</v>
      </c>
      <c r="B1063">
        <v>2.0260205071842099E+18</v>
      </c>
      <c r="C1063" t="s">
        <v>5602</v>
      </c>
      <c r="D1063">
        <v>143790</v>
      </c>
      <c r="E1063" s="16" t="s">
        <v>7</v>
      </c>
      <c r="F1063" s="3">
        <v>1</v>
      </c>
      <c r="G1063" s="3">
        <v>41363.636363636302</v>
      </c>
      <c r="H1063" s="3">
        <v>45499.999999999935</v>
      </c>
      <c r="I1063" s="3">
        <v>45500</v>
      </c>
      <c r="J1063" s="3">
        <v>41363.636363636302</v>
      </c>
      <c r="K1063" s="25">
        <v>30748</v>
      </c>
      <c r="L1063" s="25">
        <v>30748</v>
      </c>
    </row>
    <row r="1064" spans="1:12" x14ac:dyDescent="0.3">
      <c r="A1064" t="s">
        <v>5594</v>
      </c>
      <c r="B1064">
        <v>2.0260205071725299E+18</v>
      </c>
      <c r="C1064" t="s">
        <v>5602</v>
      </c>
      <c r="D1064">
        <v>143790</v>
      </c>
      <c r="E1064" s="16" t="s">
        <v>7</v>
      </c>
      <c r="F1064" s="3">
        <v>1</v>
      </c>
      <c r="G1064" s="3">
        <v>41363.636363636302</v>
      </c>
      <c r="H1064" s="3">
        <v>45499.999999999935</v>
      </c>
      <c r="I1064" s="3">
        <v>45500</v>
      </c>
      <c r="J1064" s="3">
        <v>41363.636363636302</v>
      </c>
      <c r="K1064" s="25">
        <v>30748</v>
      </c>
      <c r="L1064" s="25">
        <v>30748</v>
      </c>
    </row>
    <row r="1065" spans="1:12" x14ac:dyDescent="0.3">
      <c r="A1065" t="s">
        <v>5594</v>
      </c>
      <c r="B1065">
        <v>2.0260205071656901E+18</v>
      </c>
      <c r="C1065" t="s">
        <v>5602</v>
      </c>
      <c r="D1065">
        <v>143790</v>
      </c>
      <c r="E1065" s="16" t="s">
        <v>7</v>
      </c>
      <c r="F1065" s="3">
        <v>1</v>
      </c>
      <c r="G1065" s="3">
        <v>41363.636363636302</v>
      </c>
      <c r="H1065" s="3">
        <v>45499.999999999935</v>
      </c>
      <c r="I1065" s="3">
        <v>45500</v>
      </c>
      <c r="J1065" s="3">
        <v>41363.636363636302</v>
      </c>
      <c r="K1065" s="25">
        <v>30748</v>
      </c>
      <c r="L1065" s="25">
        <v>30748</v>
      </c>
    </row>
    <row r="1066" spans="1:12" x14ac:dyDescent="0.3">
      <c r="A1066" t="s">
        <v>5594</v>
      </c>
      <c r="B1066">
        <v>2.02602050715567E+18</v>
      </c>
      <c r="C1066" t="s">
        <v>5602</v>
      </c>
      <c r="D1066">
        <v>143790</v>
      </c>
      <c r="E1066" s="16" t="s">
        <v>7</v>
      </c>
      <c r="F1066" s="3">
        <v>2</v>
      </c>
      <c r="G1066" s="3">
        <v>41363.636363636353</v>
      </c>
      <c r="H1066" s="3">
        <v>91000</v>
      </c>
      <c r="I1066" s="3">
        <v>91000</v>
      </c>
      <c r="J1066" s="3">
        <v>82727.272727272706</v>
      </c>
      <c r="K1066" s="25">
        <v>30748</v>
      </c>
      <c r="L1066" s="25">
        <v>61496</v>
      </c>
    </row>
    <row r="1067" spans="1:12" x14ac:dyDescent="0.3">
      <c r="A1067" t="s">
        <v>5594</v>
      </c>
      <c r="B1067">
        <v>2.0260205065123899E+18</v>
      </c>
      <c r="C1067" t="s">
        <v>5602</v>
      </c>
      <c r="D1067">
        <v>143790</v>
      </c>
      <c r="E1067" s="16" t="s">
        <v>7</v>
      </c>
      <c r="F1067" s="3">
        <v>1</v>
      </c>
      <c r="G1067" s="3">
        <v>41363.636363636302</v>
      </c>
      <c r="H1067" s="3">
        <v>45499.999999999935</v>
      </c>
      <c r="I1067" s="3">
        <v>45500</v>
      </c>
      <c r="J1067" s="3">
        <v>41363.636363636302</v>
      </c>
      <c r="K1067" s="25">
        <v>30748</v>
      </c>
      <c r="L1067" s="25">
        <v>30748</v>
      </c>
    </row>
    <row r="1068" spans="1:12" x14ac:dyDescent="0.3">
      <c r="A1068" t="s">
        <v>5594</v>
      </c>
      <c r="B1068">
        <v>2.02602050712496E+18</v>
      </c>
      <c r="C1068" t="s">
        <v>5602</v>
      </c>
      <c r="D1068">
        <v>143790</v>
      </c>
      <c r="E1068" s="16" t="s">
        <v>7</v>
      </c>
      <c r="F1068" s="3">
        <v>1</v>
      </c>
      <c r="G1068" s="3">
        <v>41363.636363636302</v>
      </c>
      <c r="H1068" s="3">
        <v>45499.999999999935</v>
      </c>
      <c r="I1068" s="3">
        <v>45500</v>
      </c>
      <c r="J1068" s="3">
        <v>41363.636363636302</v>
      </c>
      <c r="K1068" s="25">
        <v>30748</v>
      </c>
      <c r="L1068" s="25">
        <v>30748</v>
      </c>
    </row>
    <row r="1069" spans="1:12" x14ac:dyDescent="0.3">
      <c r="A1069" t="s">
        <v>5594</v>
      </c>
      <c r="B1069">
        <v>2.0260205071102999E+18</v>
      </c>
      <c r="C1069" t="s">
        <v>5602</v>
      </c>
      <c r="D1069">
        <v>143790</v>
      </c>
      <c r="E1069" s="16" t="s">
        <v>7</v>
      </c>
      <c r="F1069" s="3">
        <v>2</v>
      </c>
      <c r="G1069" s="3">
        <v>41363.636363636353</v>
      </c>
      <c r="H1069" s="3">
        <v>91000</v>
      </c>
      <c r="I1069" s="3">
        <v>91000</v>
      </c>
      <c r="J1069" s="3">
        <v>82727.272727272706</v>
      </c>
      <c r="K1069" s="25">
        <v>30748</v>
      </c>
      <c r="L1069" s="25">
        <v>61496</v>
      </c>
    </row>
    <row r="1070" spans="1:12" x14ac:dyDescent="0.3">
      <c r="A1070" t="s">
        <v>5594</v>
      </c>
      <c r="B1070">
        <v>2.0260205071043999E+18</v>
      </c>
      <c r="C1070" t="s">
        <v>5602</v>
      </c>
      <c r="D1070">
        <v>143790</v>
      </c>
      <c r="E1070" s="16" t="s">
        <v>7</v>
      </c>
      <c r="F1070" s="3">
        <v>1</v>
      </c>
      <c r="G1070" s="3">
        <v>41363.636363636302</v>
      </c>
      <c r="H1070" s="3">
        <v>45499.999999999935</v>
      </c>
      <c r="I1070" s="3">
        <v>45500</v>
      </c>
      <c r="J1070" s="3">
        <v>41363.636363636302</v>
      </c>
      <c r="K1070" s="25">
        <v>30748</v>
      </c>
      <c r="L1070" s="25">
        <v>30748</v>
      </c>
    </row>
    <row r="1071" spans="1:12" x14ac:dyDescent="0.3">
      <c r="A1071" t="s">
        <v>5594</v>
      </c>
      <c r="B1071">
        <v>2.02602050707395E+18</v>
      </c>
      <c r="C1071" t="s">
        <v>5602</v>
      </c>
      <c r="D1071">
        <v>143790</v>
      </c>
      <c r="E1071" s="16" t="s">
        <v>7</v>
      </c>
      <c r="F1071" s="3">
        <v>4</v>
      </c>
      <c r="G1071" s="3">
        <v>41363.636363636251</v>
      </c>
      <c r="H1071" s="3">
        <v>181999.99999999956</v>
      </c>
      <c r="I1071" s="3">
        <v>182000</v>
      </c>
      <c r="J1071" s="3">
        <v>165454.545454545</v>
      </c>
      <c r="K1071" s="25">
        <v>30748</v>
      </c>
      <c r="L1071" s="25">
        <v>122992</v>
      </c>
    </row>
    <row r="1072" spans="1:12" x14ac:dyDescent="0.3">
      <c r="A1072" t="s">
        <v>5594</v>
      </c>
      <c r="B1072">
        <v>2.0260205070643699E+18</v>
      </c>
      <c r="C1072" t="s">
        <v>5602</v>
      </c>
      <c r="D1072">
        <v>143790</v>
      </c>
      <c r="E1072" s="16" t="s">
        <v>7</v>
      </c>
      <c r="F1072" s="3">
        <v>1</v>
      </c>
      <c r="G1072" s="3">
        <v>41363.636363636302</v>
      </c>
      <c r="H1072" s="3">
        <v>45499.999999999935</v>
      </c>
      <c r="I1072" s="3">
        <v>45500</v>
      </c>
      <c r="J1072" s="3">
        <v>41363.636363636302</v>
      </c>
      <c r="K1072" s="25">
        <v>30748</v>
      </c>
      <c r="L1072" s="25">
        <v>30748</v>
      </c>
    </row>
    <row r="1073" spans="1:12" x14ac:dyDescent="0.3">
      <c r="A1073" t="s">
        <v>5594</v>
      </c>
      <c r="B1073">
        <v>2.02602050704543E+18</v>
      </c>
      <c r="C1073" t="s">
        <v>5602</v>
      </c>
      <c r="D1073">
        <v>143790</v>
      </c>
      <c r="E1073" s="16" t="s">
        <v>7</v>
      </c>
      <c r="F1073" s="3">
        <v>1</v>
      </c>
      <c r="G1073" s="3">
        <v>41363.636363636302</v>
      </c>
      <c r="H1073" s="3">
        <v>45499.999999999935</v>
      </c>
      <c r="I1073" s="3">
        <v>45500</v>
      </c>
      <c r="J1073" s="3">
        <v>41363.636363636302</v>
      </c>
      <c r="K1073" s="25">
        <v>30748</v>
      </c>
      <c r="L1073" s="25">
        <v>30748</v>
      </c>
    </row>
    <row r="1074" spans="1:12" x14ac:dyDescent="0.3">
      <c r="A1074" t="s">
        <v>5594</v>
      </c>
      <c r="B1074">
        <v>2.0260205070533E+18</v>
      </c>
      <c r="C1074" t="s">
        <v>5602</v>
      </c>
      <c r="D1074">
        <v>143790</v>
      </c>
      <c r="E1074" s="16" t="s">
        <v>7</v>
      </c>
      <c r="F1074" s="3">
        <v>1</v>
      </c>
      <c r="G1074" s="3">
        <v>41363.636363636302</v>
      </c>
      <c r="H1074" s="3">
        <v>45499.999999999935</v>
      </c>
      <c r="I1074" s="3">
        <v>45500</v>
      </c>
      <c r="J1074" s="3">
        <v>41363.636363636302</v>
      </c>
      <c r="K1074" s="25">
        <v>30748</v>
      </c>
      <c r="L1074" s="25">
        <v>30748</v>
      </c>
    </row>
    <row r="1075" spans="1:12" x14ac:dyDescent="0.3">
      <c r="A1075" t="s">
        <v>5594</v>
      </c>
      <c r="B1075">
        <v>2.02602050703264E+18</v>
      </c>
      <c r="C1075" t="s">
        <v>5602</v>
      </c>
      <c r="D1075">
        <v>143790</v>
      </c>
      <c r="E1075" s="16" t="s">
        <v>7</v>
      </c>
      <c r="F1075" s="3">
        <v>1</v>
      </c>
      <c r="G1075" s="3">
        <v>41363.636363636302</v>
      </c>
      <c r="H1075" s="3">
        <v>45499.999999999935</v>
      </c>
      <c r="I1075" s="3">
        <v>45500</v>
      </c>
      <c r="J1075" s="3">
        <v>41363.636363636302</v>
      </c>
      <c r="K1075" s="25">
        <v>30748</v>
      </c>
      <c r="L1075" s="25">
        <v>30748</v>
      </c>
    </row>
    <row r="1076" spans="1:12" x14ac:dyDescent="0.3">
      <c r="A1076" t="s">
        <v>5594</v>
      </c>
      <c r="B1076">
        <v>2.0260205070247199E+18</v>
      </c>
      <c r="C1076" t="s">
        <v>5602</v>
      </c>
      <c r="D1076">
        <v>143790</v>
      </c>
      <c r="E1076" s="16" t="s">
        <v>7</v>
      </c>
      <c r="F1076" s="3">
        <v>1</v>
      </c>
      <c r="G1076" s="3">
        <v>41363.636363636302</v>
      </c>
      <c r="H1076" s="3">
        <v>45499.999999999935</v>
      </c>
      <c r="I1076" s="3">
        <v>45500</v>
      </c>
      <c r="J1076" s="3">
        <v>41363.636363636302</v>
      </c>
      <c r="K1076" s="25">
        <v>30748</v>
      </c>
      <c r="L1076" s="25">
        <v>30748</v>
      </c>
    </row>
    <row r="1077" spans="1:12" x14ac:dyDescent="0.3">
      <c r="A1077" t="s">
        <v>5594</v>
      </c>
      <c r="B1077">
        <v>2.0260205065809999E+18</v>
      </c>
      <c r="C1077" t="s">
        <v>5602</v>
      </c>
      <c r="D1077">
        <v>143790</v>
      </c>
      <c r="E1077" s="16" t="s">
        <v>7</v>
      </c>
      <c r="F1077" s="3">
        <v>1</v>
      </c>
      <c r="G1077" s="3">
        <v>41363.636363636302</v>
      </c>
      <c r="H1077" s="3">
        <v>45499.999999999935</v>
      </c>
      <c r="I1077" s="3">
        <v>45500</v>
      </c>
      <c r="J1077" s="3">
        <v>41363.636363636302</v>
      </c>
      <c r="K1077" s="25">
        <v>30748</v>
      </c>
      <c r="L1077" s="25">
        <v>30748</v>
      </c>
    </row>
    <row r="1078" spans="1:12" x14ac:dyDescent="0.3">
      <c r="A1078" t="s">
        <v>5594</v>
      </c>
      <c r="B1078">
        <v>2.02602050657472E+18</v>
      </c>
      <c r="C1078" t="s">
        <v>5602</v>
      </c>
      <c r="D1078">
        <v>143790</v>
      </c>
      <c r="E1078" s="16" t="s">
        <v>7</v>
      </c>
      <c r="F1078" s="3">
        <v>1</v>
      </c>
      <c r="G1078" s="3">
        <v>41363.636363636302</v>
      </c>
      <c r="H1078" s="3">
        <v>45499.999999999935</v>
      </c>
      <c r="I1078" s="3">
        <v>45500</v>
      </c>
      <c r="J1078" s="3">
        <v>41363.636363636302</v>
      </c>
      <c r="K1078" s="25">
        <v>30748</v>
      </c>
      <c r="L1078" s="25">
        <v>30748</v>
      </c>
    </row>
    <row r="1079" spans="1:12" x14ac:dyDescent="0.3">
      <c r="A1079" t="s">
        <v>5594</v>
      </c>
      <c r="B1079">
        <v>2.0260205065653901E+18</v>
      </c>
      <c r="C1079" t="s">
        <v>5602</v>
      </c>
      <c r="D1079">
        <v>143790</v>
      </c>
      <c r="E1079" s="16" t="s">
        <v>7</v>
      </c>
      <c r="F1079" s="3">
        <v>1</v>
      </c>
      <c r="G1079" s="3">
        <v>41363.636363636302</v>
      </c>
      <c r="H1079" s="3">
        <v>45499.999999999935</v>
      </c>
      <c r="I1079" s="3">
        <v>45500</v>
      </c>
      <c r="J1079" s="3">
        <v>41363.636363636302</v>
      </c>
      <c r="K1079" s="25">
        <v>30748</v>
      </c>
      <c r="L1079" s="25">
        <v>30748</v>
      </c>
    </row>
    <row r="1080" spans="1:12" x14ac:dyDescent="0.3">
      <c r="A1080" t="s">
        <v>5594</v>
      </c>
      <c r="B1080">
        <v>2.02602050657533E+18</v>
      </c>
      <c r="C1080" t="s">
        <v>5602</v>
      </c>
      <c r="D1080">
        <v>143790</v>
      </c>
      <c r="E1080" s="16" t="s">
        <v>7</v>
      </c>
      <c r="F1080" s="3">
        <v>1</v>
      </c>
      <c r="G1080" s="3">
        <v>41363.636363636302</v>
      </c>
      <c r="H1080" s="3">
        <v>45499.999999999935</v>
      </c>
      <c r="I1080" s="3">
        <v>45500</v>
      </c>
      <c r="J1080" s="3">
        <v>41363.636363636302</v>
      </c>
      <c r="K1080" s="25">
        <v>30748</v>
      </c>
      <c r="L1080" s="25">
        <v>30748</v>
      </c>
    </row>
    <row r="1081" spans="1:12" x14ac:dyDescent="0.3">
      <c r="A1081" t="s">
        <v>5594</v>
      </c>
      <c r="B1081">
        <v>2.02602050651059E+18</v>
      </c>
      <c r="C1081" t="s">
        <v>5602</v>
      </c>
      <c r="D1081">
        <v>143790</v>
      </c>
      <c r="E1081" s="16" t="s">
        <v>7</v>
      </c>
      <c r="F1081" s="3">
        <v>1</v>
      </c>
      <c r="G1081" s="3">
        <v>41363.636363636302</v>
      </c>
      <c r="H1081" s="3">
        <v>45499.999999999935</v>
      </c>
      <c r="I1081" s="3">
        <v>45500</v>
      </c>
      <c r="J1081" s="3">
        <v>41363.636363636302</v>
      </c>
      <c r="K1081" s="25">
        <v>30748</v>
      </c>
      <c r="L1081" s="25">
        <v>30748</v>
      </c>
    </row>
    <row r="1082" spans="1:12" x14ac:dyDescent="0.3">
      <c r="A1082" t="s">
        <v>5594</v>
      </c>
      <c r="B1082">
        <v>2.0260205065440599E+18</v>
      </c>
      <c r="C1082" t="s">
        <v>5602</v>
      </c>
      <c r="D1082">
        <v>143790</v>
      </c>
      <c r="E1082" s="16" t="s">
        <v>7</v>
      </c>
      <c r="F1082" s="3">
        <v>2</v>
      </c>
      <c r="G1082" s="3">
        <v>41363.636363636353</v>
      </c>
      <c r="H1082" s="3">
        <v>91000</v>
      </c>
      <c r="I1082" s="3">
        <v>91000</v>
      </c>
      <c r="J1082" s="3">
        <v>82727.272727272706</v>
      </c>
      <c r="K1082" s="25">
        <v>30748</v>
      </c>
      <c r="L1082" s="25">
        <v>61496</v>
      </c>
    </row>
    <row r="1083" spans="1:12" x14ac:dyDescent="0.3">
      <c r="A1083" t="s">
        <v>5594</v>
      </c>
      <c r="B1083">
        <v>2.02602050653072E+18</v>
      </c>
      <c r="C1083" t="s">
        <v>5602</v>
      </c>
      <c r="D1083">
        <v>143790</v>
      </c>
      <c r="E1083" s="16" t="s">
        <v>7</v>
      </c>
      <c r="F1083" s="3">
        <v>1</v>
      </c>
      <c r="G1083" s="3">
        <v>41363.636363636302</v>
      </c>
      <c r="H1083" s="3">
        <v>45499.999999999935</v>
      </c>
      <c r="I1083" s="3">
        <v>45500</v>
      </c>
      <c r="J1083" s="3">
        <v>41363.636363636302</v>
      </c>
      <c r="K1083" s="25">
        <v>30748</v>
      </c>
      <c r="L1083" s="25">
        <v>30748</v>
      </c>
    </row>
    <row r="1084" spans="1:12" x14ac:dyDescent="0.3">
      <c r="A1084" t="s">
        <v>5594</v>
      </c>
      <c r="B1084">
        <v>2.02602050653523E+18</v>
      </c>
      <c r="C1084" t="s">
        <v>5602</v>
      </c>
      <c r="D1084">
        <v>143790</v>
      </c>
      <c r="E1084" s="16" t="s">
        <v>7</v>
      </c>
      <c r="F1084" s="3">
        <v>1</v>
      </c>
      <c r="G1084" s="3">
        <v>41363.636363636302</v>
      </c>
      <c r="H1084" s="3">
        <v>45499.999999999935</v>
      </c>
      <c r="I1084" s="3">
        <v>45500</v>
      </c>
      <c r="J1084" s="3">
        <v>41363.636363636302</v>
      </c>
      <c r="K1084" s="25">
        <v>30748</v>
      </c>
      <c r="L1084" s="25">
        <v>30748</v>
      </c>
    </row>
    <row r="1085" spans="1:12" x14ac:dyDescent="0.3">
      <c r="A1085" t="s">
        <v>5594</v>
      </c>
      <c r="B1085">
        <v>2.0260205065255401E+18</v>
      </c>
      <c r="C1085" t="s">
        <v>5602</v>
      </c>
      <c r="D1085">
        <v>143790</v>
      </c>
      <c r="E1085" s="16" t="s">
        <v>7</v>
      </c>
      <c r="F1085" s="3">
        <v>1</v>
      </c>
      <c r="G1085" s="3">
        <v>41363.636363636302</v>
      </c>
      <c r="H1085" s="3">
        <v>45499.999999999935</v>
      </c>
      <c r="I1085" s="3">
        <v>45500</v>
      </c>
      <c r="J1085" s="3">
        <v>41363.636363636302</v>
      </c>
      <c r="K1085" s="25">
        <v>30748</v>
      </c>
      <c r="L1085" s="25">
        <v>30748</v>
      </c>
    </row>
    <row r="1086" spans="1:12" x14ac:dyDescent="0.3">
      <c r="A1086" t="s">
        <v>5594</v>
      </c>
      <c r="B1086">
        <v>2.0260205065217101E+18</v>
      </c>
      <c r="C1086" t="s">
        <v>5602</v>
      </c>
      <c r="D1086">
        <v>143790</v>
      </c>
      <c r="E1086" s="16" t="s">
        <v>7</v>
      </c>
      <c r="F1086" s="3">
        <v>1</v>
      </c>
      <c r="G1086" s="3">
        <v>41363.636363636302</v>
      </c>
      <c r="H1086" s="3">
        <v>45499.999999999935</v>
      </c>
      <c r="I1086" s="3">
        <v>45500</v>
      </c>
      <c r="J1086" s="3">
        <v>41363.636363636302</v>
      </c>
      <c r="K1086" s="25">
        <v>30748</v>
      </c>
      <c r="L1086" s="25">
        <v>30748</v>
      </c>
    </row>
    <row r="1087" spans="1:12" x14ac:dyDescent="0.3">
      <c r="A1087" t="s">
        <v>5594</v>
      </c>
      <c r="B1087">
        <v>2.0260205065125801E+18</v>
      </c>
      <c r="C1087" t="s">
        <v>5602</v>
      </c>
      <c r="D1087">
        <v>143790</v>
      </c>
      <c r="E1087" s="16" t="s">
        <v>7</v>
      </c>
      <c r="F1087" s="3">
        <v>1</v>
      </c>
      <c r="G1087" s="3">
        <v>41363.636363636302</v>
      </c>
      <c r="H1087" s="3">
        <v>45499.999999999935</v>
      </c>
      <c r="I1087" s="3">
        <v>45500</v>
      </c>
      <c r="J1087" s="3">
        <v>41363.636363636302</v>
      </c>
      <c r="K1087" s="25">
        <v>30748</v>
      </c>
      <c r="L1087" s="25">
        <v>30748</v>
      </c>
    </row>
    <row r="1088" spans="1:12" x14ac:dyDescent="0.3">
      <c r="A1088" t="s">
        <v>5594</v>
      </c>
      <c r="B1088">
        <v>2.02602050651442E+18</v>
      </c>
      <c r="C1088" t="s">
        <v>5602</v>
      </c>
      <c r="D1088">
        <v>143790</v>
      </c>
      <c r="E1088" s="16" t="s">
        <v>7</v>
      </c>
      <c r="F1088" s="3">
        <v>1</v>
      </c>
      <c r="G1088" s="3">
        <v>41363.636363636302</v>
      </c>
      <c r="H1088" s="3">
        <v>45499.999999999935</v>
      </c>
      <c r="I1088" s="3">
        <v>45500</v>
      </c>
      <c r="J1088" s="3">
        <v>41363.636363636302</v>
      </c>
      <c r="K1088" s="25">
        <v>30748</v>
      </c>
      <c r="L1088" s="25">
        <v>30748</v>
      </c>
    </row>
    <row r="1089" spans="1:12" x14ac:dyDescent="0.3">
      <c r="A1089" t="s">
        <v>5594</v>
      </c>
      <c r="B1089">
        <v>2.02602050651344E+18</v>
      </c>
      <c r="C1089" t="s">
        <v>5602</v>
      </c>
      <c r="D1089">
        <v>143790</v>
      </c>
      <c r="E1089" s="16" t="s">
        <v>7</v>
      </c>
      <c r="F1089" s="3">
        <v>2</v>
      </c>
      <c r="G1089" s="3">
        <v>41363.636363636353</v>
      </c>
      <c r="H1089" s="3">
        <v>91000</v>
      </c>
      <c r="I1089" s="3">
        <v>91000</v>
      </c>
      <c r="J1089" s="3">
        <v>82727.272727272706</v>
      </c>
      <c r="K1089" s="25">
        <v>30748</v>
      </c>
      <c r="L1089" s="25">
        <v>61496</v>
      </c>
    </row>
    <row r="1090" spans="1:12" x14ac:dyDescent="0.3">
      <c r="A1090" t="s">
        <v>5594</v>
      </c>
      <c r="B1090">
        <v>2.0260205064835599E+18</v>
      </c>
      <c r="C1090" t="s">
        <v>5602</v>
      </c>
      <c r="D1090">
        <v>143790</v>
      </c>
      <c r="E1090" s="16" t="s">
        <v>7</v>
      </c>
      <c r="F1090" s="3">
        <v>1</v>
      </c>
      <c r="G1090" s="3">
        <v>41363.636363636302</v>
      </c>
      <c r="H1090" s="3">
        <v>45499.999999999935</v>
      </c>
      <c r="I1090" s="3">
        <v>45500</v>
      </c>
      <c r="J1090" s="3">
        <v>41363.636363636302</v>
      </c>
      <c r="K1090" s="25">
        <v>30748</v>
      </c>
      <c r="L1090" s="25">
        <v>30748</v>
      </c>
    </row>
    <row r="1091" spans="1:12" x14ac:dyDescent="0.3">
      <c r="A1091" t="s">
        <v>5594</v>
      </c>
      <c r="B1091">
        <v>2.02602050650403E+18</v>
      </c>
      <c r="C1091" t="s">
        <v>5602</v>
      </c>
      <c r="D1091">
        <v>143790</v>
      </c>
      <c r="E1091" s="16" t="s">
        <v>7</v>
      </c>
      <c r="F1091" s="3">
        <v>1</v>
      </c>
      <c r="G1091" s="3">
        <v>41363.636363636302</v>
      </c>
      <c r="H1091" s="3">
        <v>45499.999999999935</v>
      </c>
      <c r="I1091" s="3">
        <v>45500</v>
      </c>
      <c r="J1091" s="3">
        <v>41363.636363636302</v>
      </c>
      <c r="K1091" s="25">
        <v>30748</v>
      </c>
      <c r="L1091" s="25">
        <v>30748</v>
      </c>
    </row>
    <row r="1092" spans="1:12" x14ac:dyDescent="0.3">
      <c r="A1092" t="s">
        <v>5594</v>
      </c>
      <c r="B1092">
        <v>2.0260205065010701E+18</v>
      </c>
      <c r="C1092" t="s">
        <v>5602</v>
      </c>
      <c r="D1092">
        <v>143790</v>
      </c>
      <c r="E1092" s="16" t="s">
        <v>7</v>
      </c>
      <c r="F1092" s="3">
        <v>1</v>
      </c>
      <c r="G1092" s="3">
        <v>41363.636363636302</v>
      </c>
      <c r="H1092" s="3">
        <v>45499.999999999935</v>
      </c>
      <c r="I1092" s="3">
        <v>45500</v>
      </c>
      <c r="J1092" s="3">
        <v>41363.636363636302</v>
      </c>
      <c r="K1092" s="25">
        <v>30748</v>
      </c>
      <c r="L1092" s="25">
        <v>30748</v>
      </c>
    </row>
    <row r="1093" spans="1:12" x14ac:dyDescent="0.3">
      <c r="A1093" t="s">
        <v>5594</v>
      </c>
      <c r="B1093">
        <v>2.02602050645469E+18</v>
      </c>
      <c r="C1093" t="s">
        <v>5602</v>
      </c>
      <c r="D1093">
        <v>143790</v>
      </c>
      <c r="E1093" s="16" t="s">
        <v>7</v>
      </c>
      <c r="F1093" s="3">
        <v>1</v>
      </c>
      <c r="G1093" s="3">
        <v>41363.636363636302</v>
      </c>
      <c r="H1093" s="3">
        <v>45499.999999999935</v>
      </c>
      <c r="I1093" s="3">
        <v>45500</v>
      </c>
      <c r="J1093" s="3">
        <v>41363.636363636302</v>
      </c>
      <c r="K1093" s="25">
        <v>30748</v>
      </c>
      <c r="L1093" s="25">
        <v>30748</v>
      </c>
    </row>
    <row r="1094" spans="1:12" x14ac:dyDescent="0.3">
      <c r="A1094" t="s">
        <v>5594</v>
      </c>
      <c r="B1094">
        <v>2.02602050649357E+18</v>
      </c>
      <c r="C1094" t="s">
        <v>5602</v>
      </c>
      <c r="D1094">
        <v>143790</v>
      </c>
      <c r="E1094" s="16" t="s">
        <v>7</v>
      </c>
      <c r="F1094" s="3">
        <v>1</v>
      </c>
      <c r="G1094" s="3">
        <v>41363.636363636302</v>
      </c>
      <c r="H1094" s="3">
        <v>45499.999999999935</v>
      </c>
      <c r="I1094" s="3">
        <v>45500</v>
      </c>
      <c r="J1094" s="3">
        <v>41363.636363636302</v>
      </c>
      <c r="K1094" s="25">
        <v>30748</v>
      </c>
      <c r="L1094" s="25">
        <v>30748</v>
      </c>
    </row>
    <row r="1095" spans="1:12" x14ac:dyDescent="0.3">
      <c r="A1095" t="s">
        <v>5594</v>
      </c>
      <c r="B1095">
        <v>2.02602050646371E+18</v>
      </c>
      <c r="C1095" t="s">
        <v>5602</v>
      </c>
      <c r="D1095">
        <v>143790</v>
      </c>
      <c r="E1095" s="16" t="s">
        <v>7</v>
      </c>
      <c r="F1095" s="3">
        <v>1</v>
      </c>
      <c r="G1095" s="3">
        <v>41363.636363636302</v>
      </c>
      <c r="H1095" s="3">
        <v>45499.999999999935</v>
      </c>
      <c r="I1095" s="3">
        <v>45500</v>
      </c>
      <c r="J1095" s="3">
        <v>41363.636363636302</v>
      </c>
      <c r="K1095" s="25">
        <v>30748</v>
      </c>
      <c r="L1095" s="25">
        <v>30748</v>
      </c>
    </row>
    <row r="1096" spans="1:12" x14ac:dyDescent="0.3">
      <c r="A1096" t="s">
        <v>5594</v>
      </c>
      <c r="B1096">
        <v>2.02602050648208E+18</v>
      </c>
      <c r="C1096" t="s">
        <v>5602</v>
      </c>
      <c r="D1096">
        <v>143790</v>
      </c>
      <c r="E1096" s="16" t="s">
        <v>7</v>
      </c>
      <c r="F1096" s="3">
        <v>1</v>
      </c>
      <c r="G1096" s="3">
        <v>41363.636363636302</v>
      </c>
      <c r="H1096" s="3">
        <v>45499.999999999935</v>
      </c>
      <c r="I1096" s="3">
        <v>45500</v>
      </c>
      <c r="J1096" s="3">
        <v>41363.636363636302</v>
      </c>
      <c r="K1096" s="25">
        <v>30748</v>
      </c>
      <c r="L1096" s="25">
        <v>30748</v>
      </c>
    </row>
    <row r="1097" spans="1:12" x14ac:dyDescent="0.3">
      <c r="A1097" t="s">
        <v>5594</v>
      </c>
      <c r="B1097">
        <v>2.0260205064959501E+18</v>
      </c>
      <c r="C1097" t="s">
        <v>5602</v>
      </c>
      <c r="D1097">
        <v>143790</v>
      </c>
      <c r="E1097" s="16" t="s">
        <v>7</v>
      </c>
      <c r="F1097" s="3">
        <v>1</v>
      </c>
      <c r="G1097" s="3">
        <v>41363.636363636302</v>
      </c>
      <c r="H1097" s="3">
        <v>45499.999999999935</v>
      </c>
      <c r="I1097" s="3">
        <v>45500</v>
      </c>
      <c r="J1097" s="3">
        <v>41363.636363636302</v>
      </c>
      <c r="K1097" s="25">
        <v>30748</v>
      </c>
      <c r="L1097" s="25">
        <v>30748</v>
      </c>
    </row>
    <row r="1098" spans="1:12" x14ac:dyDescent="0.3">
      <c r="A1098" t="s">
        <v>5594</v>
      </c>
      <c r="B1098">
        <v>2.02602050649408E+18</v>
      </c>
      <c r="C1098" t="s">
        <v>5602</v>
      </c>
      <c r="D1098">
        <v>143790</v>
      </c>
      <c r="E1098" s="16" t="s">
        <v>7</v>
      </c>
      <c r="F1098" s="3">
        <v>1</v>
      </c>
      <c r="G1098" s="3">
        <v>41363.636363636302</v>
      </c>
      <c r="H1098" s="3">
        <v>45499.999999999935</v>
      </c>
      <c r="I1098" s="3">
        <v>45500</v>
      </c>
      <c r="J1098" s="3">
        <v>41363.636363636302</v>
      </c>
      <c r="K1098" s="25">
        <v>30748</v>
      </c>
      <c r="L1098" s="25">
        <v>30748</v>
      </c>
    </row>
    <row r="1099" spans="1:12" x14ac:dyDescent="0.3">
      <c r="A1099" t="s">
        <v>5594</v>
      </c>
      <c r="B1099">
        <v>2.02602050649362E+18</v>
      </c>
      <c r="C1099" t="s">
        <v>5602</v>
      </c>
      <c r="D1099">
        <v>143790</v>
      </c>
      <c r="E1099" s="16" t="s">
        <v>7</v>
      </c>
      <c r="F1099" s="3">
        <v>1</v>
      </c>
      <c r="G1099" s="3">
        <v>41363.636363636302</v>
      </c>
      <c r="H1099" s="3">
        <v>45499.999999999935</v>
      </c>
      <c r="I1099" s="3">
        <v>45500</v>
      </c>
      <c r="J1099" s="3">
        <v>41363.636363636302</v>
      </c>
      <c r="K1099" s="25">
        <v>30748</v>
      </c>
      <c r="L1099" s="25">
        <v>30748</v>
      </c>
    </row>
    <row r="1100" spans="1:12" x14ac:dyDescent="0.3">
      <c r="A1100" t="s">
        <v>5594</v>
      </c>
      <c r="B1100">
        <v>2.02602050648493E+18</v>
      </c>
      <c r="C1100" t="s">
        <v>5602</v>
      </c>
      <c r="D1100">
        <v>143790</v>
      </c>
      <c r="E1100" s="16" t="s">
        <v>7</v>
      </c>
      <c r="F1100" s="3">
        <v>1</v>
      </c>
      <c r="G1100" s="3">
        <v>41363.636363636302</v>
      </c>
      <c r="H1100" s="3">
        <v>45499.999999999935</v>
      </c>
      <c r="I1100" s="3">
        <v>45500</v>
      </c>
      <c r="J1100" s="3">
        <v>41363.636363636302</v>
      </c>
      <c r="K1100" s="25">
        <v>30748</v>
      </c>
      <c r="L1100" s="25">
        <v>30748</v>
      </c>
    </row>
    <row r="1101" spans="1:12" x14ac:dyDescent="0.3">
      <c r="A1101" t="s">
        <v>5594</v>
      </c>
      <c r="B1101">
        <v>2.02602050647538E+18</v>
      </c>
      <c r="C1101" t="s">
        <v>5602</v>
      </c>
      <c r="D1101">
        <v>143790</v>
      </c>
      <c r="E1101" s="16" t="s">
        <v>7</v>
      </c>
      <c r="F1101" s="3">
        <v>1</v>
      </c>
      <c r="G1101" s="3">
        <v>41363.636363636302</v>
      </c>
      <c r="H1101" s="3">
        <v>45499.999999999935</v>
      </c>
      <c r="I1101" s="3">
        <v>45500</v>
      </c>
      <c r="J1101" s="3">
        <v>41363.636363636302</v>
      </c>
      <c r="K1101" s="25">
        <v>30748</v>
      </c>
      <c r="L1101" s="25">
        <v>30748</v>
      </c>
    </row>
    <row r="1102" spans="1:12" x14ac:dyDescent="0.3">
      <c r="A1102" t="s">
        <v>5594</v>
      </c>
      <c r="B1102">
        <v>2.0260205064813199E+18</v>
      </c>
      <c r="C1102" t="s">
        <v>5602</v>
      </c>
      <c r="D1102">
        <v>143790</v>
      </c>
      <c r="E1102" s="16" t="s">
        <v>7</v>
      </c>
      <c r="F1102" s="3">
        <v>1</v>
      </c>
      <c r="G1102" s="3">
        <v>41363.636363636302</v>
      </c>
      <c r="H1102" s="3">
        <v>45499.999999999935</v>
      </c>
      <c r="I1102" s="3">
        <v>45500</v>
      </c>
      <c r="J1102" s="3">
        <v>41363.636363636302</v>
      </c>
      <c r="K1102" s="25">
        <v>30748</v>
      </c>
      <c r="L1102" s="25">
        <v>30748</v>
      </c>
    </row>
    <row r="1103" spans="1:12" x14ac:dyDescent="0.3">
      <c r="A1103" t="s">
        <v>5594</v>
      </c>
      <c r="B1103">
        <v>2.0260205064650601E+18</v>
      </c>
      <c r="C1103" t="s">
        <v>5602</v>
      </c>
      <c r="D1103">
        <v>143790</v>
      </c>
      <c r="E1103" s="16" t="s">
        <v>7</v>
      </c>
      <c r="F1103" s="3">
        <v>1</v>
      </c>
      <c r="G1103" s="3">
        <v>41363.636363636302</v>
      </c>
      <c r="H1103" s="3">
        <v>45499.999999999935</v>
      </c>
      <c r="I1103" s="3">
        <v>45500</v>
      </c>
      <c r="J1103" s="3">
        <v>41363.636363636302</v>
      </c>
      <c r="K1103" s="25">
        <v>30748</v>
      </c>
      <c r="L1103" s="25">
        <v>30748</v>
      </c>
    </row>
    <row r="1104" spans="1:12" x14ac:dyDescent="0.3">
      <c r="A1104" t="s">
        <v>5594</v>
      </c>
      <c r="B1104">
        <v>2.0260205064629499E+18</v>
      </c>
      <c r="C1104" t="s">
        <v>5602</v>
      </c>
      <c r="D1104">
        <v>143790</v>
      </c>
      <c r="E1104" s="16" t="s">
        <v>7</v>
      </c>
      <c r="F1104" s="3">
        <v>1</v>
      </c>
      <c r="G1104" s="3">
        <v>41363.636363636302</v>
      </c>
      <c r="H1104" s="3">
        <v>45499.999999999935</v>
      </c>
      <c r="I1104" s="3">
        <v>45500</v>
      </c>
      <c r="J1104" s="3">
        <v>41363.636363636302</v>
      </c>
      <c r="K1104" s="25">
        <v>30748</v>
      </c>
      <c r="L1104" s="25">
        <v>30748</v>
      </c>
    </row>
    <row r="1105" spans="1:12" x14ac:dyDescent="0.3">
      <c r="A1105" t="s">
        <v>5594</v>
      </c>
      <c r="B1105">
        <v>2.0260205064739E+18</v>
      </c>
      <c r="C1105" t="s">
        <v>5602</v>
      </c>
      <c r="D1105">
        <v>143790</v>
      </c>
      <c r="E1105" s="16" t="s">
        <v>7</v>
      </c>
      <c r="F1105" s="3">
        <v>1</v>
      </c>
      <c r="G1105" s="3">
        <v>41363.636363636302</v>
      </c>
      <c r="H1105" s="3">
        <v>45499.999999999935</v>
      </c>
      <c r="I1105" s="3">
        <v>45500</v>
      </c>
      <c r="J1105" s="3">
        <v>41363.636363636302</v>
      </c>
      <c r="K1105" s="25">
        <v>30748</v>
      </c>
      <c r="L1105" s="25">
        <v>30748</v>
      </c>
    </row>
    <row r="1106" spans="1:12" x14ac:dyDescent="0.3">
      <c r="A1106" t="s">
        <v>5594</v>
      </c>
      <c r="B1106">
        <v>2.0260205064643699E+18</v>
      </c>
      <c r="C1106" t="s">
        <v>5602</v>
      </c>
      <c r="D1106">
        <v>143790</v>
      </c>
      <c r="E1106" s="16" t="s">
        <v>7</v>
      </c>
      <c r="F1106" s="3">
        <v>1</v>
      </c>
      <c r="G1106" s="3">
        <v>41363.636363636302</v>
      </c>
      <c r="H1106" s="3">
        <v>45499.999999999935</v>
      </c>
      <c r="I1106" s="3">
        <v>45500</v>
      </c>
      <c r="J1106" s="3">
        <v>41363.636363636302</v>
      </c>
      <c r="K1106" s="25">
        <v>30748</v>
      </c>
      <c r="L1106" s="25">
        <v>30748</v>
      </c>
    </row>
    <row r="1107" spans="1:12" x14ac:dyDescent="0.3">
      <c r="A1107" t="s">
        <v>5594</v>
      </c>
      <c r="B1107">
        <v>2.0260205064620001E+18</v>
      </c>
      <c r="C1107" t="s">
        <v>5602</v>
      </c>
      <c r="D1107">
        <v>143790</v>
      </c>
      <c r="E1107" s="16" t="s">
        <v>7</v>
      </c>
      <c r="F1107" s="3">
        <v>1</v>
      </c>
      <c r="G1107" s="3">
        <v>41363.636363636302</v>
      </c>
      <c r="H1107" s="3">
        <v>45499.999999999935</v>
      </c>
      <c r="I1107" s="3">
        <v>45500</v>
      </c>
      <c r="J1107" s="3">
        <v>41363.636363636302</v>
      </c>
      <c r="K1107" s="25">
        <v>30748</v>
      </c>
      <c r="L1107" s="25">
        <v>30748</v>
      </c>
    </row>
    <row r="1108" spans="1:12" x14ac:dyDescent="0.3">
      <c r="A1108" t="s">
        <v>5594</v>
      </c>
      <c r="B1108">
        <v>2.0260205064609101E+18</v>
      </c>
      <c r="C1108" t="s">
        <v>5602</v>
      </c>
      <c r="D1108">
        <v>143790</v>
      </c>
      <c r="E1108" s="16" t="s">
        <v>7</v>
      </c>
      <c r="F1108" s="3">
        <v>2</v>
      </c>
      <c r="G1108" s="3">
        <v>41363.636363636353</v>
      </c>
      <c r="H1108" s="3">
        <v>91000</v>
      </c>
      <c r="I1108" s="3">
        <v>91000</v>
      </c>
      <c r="J1108" s="3">
        <v>82727.272727272706</v>
      </c>
      <c r="K1108" s="25">
        <v>30748</v>
      </c>
      <c r="L1108" s="25">
        <v>61496</v>
      </c>
    </row>
    <row r="1109" spans="1:12" x14ac:dyDescent="0.3">
      <c r="A1109" t="s">
        <v>5594</v>
      </c>
      <c r="B1109">
        <v>2.02602050645055E+18</v>
      </c>
      <c r="C1109" t="s">
        <v>5602</v>
      </c>
      <c r="D1109">
        <v>143790</v>
      </c>
      <c r="E1109" s="16" t="s">
        <v>7</v>
      </c>
      <c r="F1109" s="3">
        <v>1</v>
      </c>
      <c r="G1109" s="3">
        <v>41363.636363636302</v>
      </c>
      <c r="H1109" s="3">
        <v>45499.999999999935</v>
      </c>
      <c r="I1109" s="3">
        <v>45500</v>
      </c>
      <c r="J1109" s="3">
        <v>41363.636363636302</v>
      </c>
      <c r="K1109" s="25">
        <v>30748</v>
      </c>
      <c r="L1109" s="25">
        <v>30748</v>
      </c>
    </row>
    <row r="1110" spans="1:12" x14ac:dyDescent="0.3">
      <c r="A1110" t="s">
        <v>5594</v>
      </c>
      <c r="B1110">
        <v>2.0260205064541299E+18</v>
      </c>
      <c r="C1110" t="s">
        <v>5602</v>
      </c>
      <c r="D1110">
        <v>143790</v>
      </c>
      <c r="E1110" s="16" t="s">
        <v>7</v>
      </c>
      <c r="F1110" s="3">
        <v>1</v>
      </c>
      <c r="G1110" s="3">
        <v>41363.636363636302</v>
      </c>
      <c r="H1110" s="3">
        <v>45499.999999999935</v>
      </c>
      <c r="I1110" s="3">
        <v>45500</v>
      </c>
      <c r="J1110" s="3">
        <v>41363.636363636302</v>
      </c>
      <c r="K1110" s="25">
        <v>30748</v>
      </c>
      <c r="L1110" s="25">
        <v>30748</v>
      </c>
    </row>
    <row r="1111" spans="1:12" x14ac:dyDescent="0.3">
      <c r="A1111" t="s">
        <v>5594</v>
      </c>
      <c r="B1111">
        <v>2.02602050640286E+18</v>
      </c>
      <c r="C1111" t="s">
        <v>5602</v>
      </c>
      <c r="D1111">
        <v>143790</v>
      </c>
      <c r="E1111" s="16" t="s">
        <v>7</v>
      </c>
      <c r="F1111" s="3">
        <v>1</v>
      </c>
      <c r="G1111" s="3">
        <v>41363.636363636302</v>
      </c>
      <c r="H1111" s="3">
        <v>45499.999999999935</v>
      </c>
      <c r="I1111" s="3">
        <v>45500</v>
      </c>
      <c r="J1111" s="3">
        <v>41363.636363636302</v>
      </c>
      <c r="K1111" s="25">
        <v>30748</v>
      </c>
      <c r="L1111" s="25">
        <v>30748</v>
      </c>
    </row>
    <row r="1112" spans="1:12" x14ac:dyDescent="0.3">
      <c r="A1112" t="s">
        <v>5594</v>
      </c>
      <c r="B1112">
        <v>2.02602050627166E+18</v>
      </c>
      <c r="C1112" t="s">
        <v>5602</v>
      </c>
      <c r="D1112">
        <v>143790</v>
      </c>
      <c r="E1112" s="16" t="s">
        <v>7</v>
      </c>
      <c r="F1112" s="3">
        <v>1</v>
      </c>
      <c r="G1112" s="3">
        <v>41363.636363636302</v>
      </c>
      <c r="H1112" s="3">
        <v>45499.999999999935</v>
      </c>
      <c r="I1112" s="3">
        <v>45500</v>
      </c>
      <c r="J1112" s="3">
        <v>41363.636363636302</v>
      </c>
      <c r="K1112" s="25">
        <v>30748</v>
      </c>
      <c r="L1112" s="25">
        <v>30748</v>
      </c>
    </row>
    <row r="1113" spans="1:12" x14ac:dyDescent="0.3">
      <c r="A1113" t="s">
        <v>5594</v>
      </c>
      <c r="B1113">
        <v>2.02602050614579E+18</v>
      </c>
      <c r="C1113" t="s">
        <v>5602</v>
      </c>
      <c r="D1113">
        <v>143790</v>
      </c>
      <c r="E1113" s="16" t="s">
        <v>7</v>
      </c>
      <c r="F1113" s="3">
        <v>1</v>
      </c>
      <c r="G1113" s="3">
        <v>41363.636363636302</v>
      </c>
      <c r="H1113" s="3">
        <v>45499.999999999935</v>
      </c>
      <c r="I1113" s="3">
        <v>45500</v>
      </c>
      <c r="J1113" s="3">
        <v>41363.636363636302</v>
      </c>
      <c r="K1113" s="25">
        <v>30748</v>
      </c>
      <c r="L1113" s="25">
        <v>30748</v>
      </c>
    </row>
    <row r="1114" spans="1:12" x14ac:dyDescent="0.3">
      <c r="A1114" t="s">
        <v>5594</v>
      </c>
      <c r="B1114">
        <v>2.0260205044730801E+18</v>
      </c>
      <c r="C1114" t="s">
        <v>5602</v>
      </c>
      <c r="D1114">
        <v>143790</v>
      </c>
      <c r="E1114" s="16" t="s">
        <v>7</v>
      </c>
      <c r="F1114" s="3">
        <v>1</v>
      </c>
      <c r="G1114" s="3">
        <v>41363.636363636302</v>
      </c>
      <c r="H1114" s="3">
        <v>45499.999999999935</v>
      </c>
      <c r="I1114" s="3">
        <v>45500</v>
      </c>
      <c r="J1114" s="3">
        <v>41363.636363636302</v>
      </c>
      <c r="K1114" s="25">
        <v>30748</v>
      </c>
      <c r="L1114" s="25">
        <v>30748</v>
      </c>
    </row>
    <row r="1115" spans="1:12" x14ac:dyDescent="0.3">
      <c r="A1115" t="s">
        <v>5594</v>
      </c>
      <c r="B1115">
        <v>2.0260205033429199E+18</v>
      </c>
      <c r="C1115" t="s">
        <v>5602</v>
      </c>
      <c r="D1115">
        <v>143790</v>
      </c>
      <c r="E1115" s="16" t="s">
        <v>7</v>
      </c>
      <c r="F1115" s="3">
        <v>1</v>
      </c>
      <c r="G1115" s="3">
        <v>41363.636363636302</v>
      </c>
      <c r="H1115" s="3">
        <v>45499.999999999935</v>
      </c>
      <c r="I1115" s="3">
        <v>45500</v>
      </c>
      <c r="J1115" s="3">
        <v>41363.636363636302</v>
      </c>
      <c r="K1115" s="25">
        <v>30748</v>
      </c>
      <c r="L1115" s="25">
        <v>30748</v>
      </c>
    </row>
    <row r="1116" spans="1:12" x14ac:dyDescent="0.3">
      <c r="A1116" t="s">
        <v>5594</v>
      </c>
      <c r="B1116">
        <v>2.0260205013356401E+18</v>
      </c>
      <c r="C1116" t="s">
        <v>5602</v>
      </c>
      <c r="D1116">
        <v>143790</v>
      </c>
      <c r="E1116" s="16" t="s">
        <v>7</v>
      </c>
      <c r="F1116" s="3">
        <v>1</v>
      </c>
      <c r="G1116" s="3">
        <v>41363.636363636302</v>
      </c>
      <c r="H1116" s="3">
        <v>45499.999999999935</v>
      </c>
      <c r="I1116" s="3">
        <v>45500</v>
      </c>
      <c r="J1116" s="3">
        <v>41363.636363636302</v>
      </c>
      <c r="K1116" s="25">
        <v>30748</v>
      </c>
      <c r="L1116" s="25">
        <v>30748</v>
      </c>
    </row>
    <row r="1117" spans="1:12" x14ac:dyDescent="0.3">
      <c r="A1117" t="s">
        <v>5594</v>
      </c>
      <c r="B1117">
        <v>2.02602050049522E+18</v>
      </c>
      <c r="C1117" t="s">
        <v>5602</v>
      </c>
      <c r="D1117">
        <v>143790</v>
      </c>
      <c r="E1117" s="16" t="s">
        <v>7</v>
      </c>
      <c r="F1117" s="3">
        <v>2</v>
      </c>
      <c r="G1117" s="3">
        <v>41363.636363636353</v>
      </c>
      <c r="H1117" s="3">
        <v>91000</v>
      </c>
      <c r="I1117" s="3">
        <v>91000</v>
      </c>
      <c r="J1117" s="3">
        <v>82727.272727272706</v>
      </c>
      <c r="K1117" s="25">
        <v>30748</v>
      </c>
      <c r="L1117" s="25">
        <v>61496</v>
      </c>
    </row>
    <row r="1118" spans="1:12" x14ac:dyDescent="0.3">
      <c r="A1118" t="s">
        <v>5594</v>
      </c>
      <c r="B1118">
        <v>2.0260205002215401E+18</v>
      </c>
      <c r="C1118" t="s">
        <v>5602</v>
      </c>
      <c r="D1118">
        <v>143790</v>
      </c>
      <c r="E1118" s="16" t="s">
        <v>7</v>
      </c>
      <c r="F1118" s="3">
        <v>1</v>
      </c>
      <c r="G1118" s="3">
        <v>41363.636363636302</v>
      </c>
      <c r="H1118" s="3">
        <v>45499.999999999935</v>
      </c>
      <c r="I1118" s="3">
        <v>45500</v>
      </c>
      <c r="J1118" s="3">
        <v>41363.636363636302</v>
      </c>
      <c r="K1118" s="25">
        <v>30748</v>
      </c>
      <c r="L1118" s="25">
        <v>30748</v>
      </c>
    </row>
    <row r="1119" spans="1:12" x14ac:dyDescent="0.3">
      <c r="A1119" t="s">
        <v>5594</v>
      </c>
      <c r="B1119">
        <v>2.0260204223818399E+18</v>
      </c>
      <c r="C1119" t="s">
        <v>5602</v>
      </c>
      <c r="D1119">
        <v>143790</v>
      </c>
      <c r="E1119" s="16" t="s">
        <v>7</v>
      </c>
      <c r="F1119" s="3">
        <v>1</v>
      </c>
      <c r="G1119" s="3">
        <v>41363.636363636302</v>
      </c>
      <c r="H1119" s="3">
        <v>45499.999999999935</v>
      </c>
      <c r="I1119" s="3">
        <v>45500</v>
      </c>
      <c r="J1119" s="3">
        <v>41363.636363636302</v>
      </c>
      <c r="K1119" s="25">
        <v>30748</v>
      </c>
      <c r="L1119" s="25">
        <v>30748</v>
      </c>
    </row>
    <row r="1120" spans="1:12" x14ac:dyDescent="0.3">
      <c r="A1120" t="s">
        <v>5594</v>
      </c>
      <c r="B1120">
        <v>2.02602042234528E+18</v>
      </c>
      <c r="C1120" t="s">
        <v>5602</v>
      </c>
      <c r="D1120">
        <v>143790</v>
      </c>
      <c r="E1120" s="16" t="s">
        <v>7</v>
      </c>
      <c r="F1120" s="3">
        <v>1</v>
      </c>
      <c r="G1120" s="3">
        <v>41363.636363636302</v>
      </c>
      <c r="H1120" s="3">
        <v>45499.999999999935</v>
      </c>
      <c r="I1120" s="3">
        <v>45500</v>
      </c>
      <c r="J1120" s="3">
        <v>41363.636363636302</v>
      </c>
      <c r="K1120" s="25">
        <v>30748</v>
      </c>
      <c r="L1120" s="25">
        <v>30748</v>
      </c>
    </row>
    <row r="1121" spans="1:12" x14ac:dyDescent="0.3">
      <c r="A1121" t="s">
        <v>5594</v>
      </c>
      <c r="B1121">
        <v>2.0260204223127199E+18</v>
      </c>
      <c r="C1121" t="s">
        <v>5602</v>
      </c>
      <c r="D1121">
        <v>143790</v>
      </c>
      <c r="E1121" s="16" t="s">
        <v>7</v>
      </c>
      <c r="F1121" s="3">
        <v>1</v>
      </c>
      <c r="G1121" s="3">
        <v>41363.636363636302</v>
      </c>
      <c r="H1121" s="3">
        <v>45499.999999999935</v>
      </c>
      <c r="I1121" s="3">
        <v>45500</v>
      </c>
      <c r="J1121" s="3">
        <v>41363.636363636302</v>
      </c>
      <c r="K1121" s="25">
        <v>30748</v>
      </c>
      <c r="L1121" s="25">
        <v>30748</v>
      </c>
    </row>
    <row r="1122" spans="1:12" x14ac:dyDescent="0.3">
      <c r="A1122" t="s">
        <v>5594</v>
      </c>
      <c r="B1122">
        <v>2.0260204222154801E+18</v>
      </c>
      <c r="C1122" t="s">
        <v>5602</v>
      </c>
      <c r="D1122">
        <v>143790</v>
      </c>
      <c r="E1122" s="16" t="s">
        <v>7</v>
      </c>
      <c r="F1122" s="3">
        <v>1</v>
      </c>
      <c r="G1122" s="3">
        <v>41363.636363636302</v>
      </c>
      <c r="H1122" s="3">
        <v>45499.999999999935</v>
      </c>
      <c r="I1122" s="3">
        <v>45500</v>
      </c>
      <c r="J1122" s="3">
        <v>41363.636363636302</v>
      </c>
      <c r="K1122" s="25">
        <v>30748</v>
      </c>
      <c r="L1122" s="25">
        <v>30748</v>
      </c>
    </row>
    <row r="1123" spans="1:12" x14ac:dyDescent="0.3">
      <c r="A1123" t="s">
        <v>5594</v>
      </c>
      <c r="B1123">
        <v>2.02602042215489E+18</v>
      </c>
      <c r="C1123" t="s">
        <v>5602</v>
      </c>
      <c r="D1123">
        <v>143790</v>
      </c>
      <c r="E1123" s="16" t="s">
        <v>7</v>
      </c>
      <c r="F1123" s="3">
        <v>1</v>
      </c>
      <c r="G1123" s="3">
        <v>41363.636363636302</v>
      </c>
      <c r="H1123" s="3">
        <v>45499.999999999935</v>
      </c>
      <c r="I1123" s="3">
        <v>45500</v>
      </c>
      <c r="J1123" s="3">
        <v>41363.636363636302</v>
      </c>
      <c r="K1123" s="25">
        <v>30748</v>
      </c>
      <c r="L1123" s="25">
        <v>30748</v>
      </c>
    </row>
    <row r="1124" spans="1:12" x14ac:dyDescent="0.3">
      <c r="A1124" t="s">
        <v>5594</v>
      </c>
      <c r="B1124">
        <v>2.0260204221301299E+18</v>
      </c>
      <c r="C1124" t="s">
        <v>5602</v>
      </c>
      <c r="D1124">
        <v>143790</v>
      </c>
      <c r="E1124" s="16" t="s">
        <v>7</v>
      </c>
      <c r="F1124" s="3">
        <v>1</v>
      </c>
      <c r="G1124" s="3">
        <v>41363.636363636302</v>
      </c>
      <c r="H1124" s="3">
        <v>45499.999999999935</v>
      </c>
      <c r="I1124" s="3">
        <v>45500</v>
      </c>
      <c r="J1124" s="3">
        <v>41363.636363636302</v>
      </c>
      <c r="K1124" s="25">
        <v>30748</v>
      </c>
      <c r="L1124" s="25">
        <v>30748</v>
      </c>
    </row>
    <row r="1125" spans="1:12" x14ac:dyDescent="0.3">
      <c r="A1125" t="s">
        <v>5594</v>
      </c>
      <c r="B1125">
        <v>2.0260204214535099E+18</v>
      </c>
      <c r="C1125" t="s">
        <v>5602</v>
      </c>
      <c r="D1125">
        <v>143790</v>
      </c>
      <c r="E1125" s="16" t="s">
        <v>7</v>
      </c>
      <c r="F1125" s="3">
        <v>1</v>
      </c>
      <c r="G1125" s="3">
        <v>41363.636363636302</v>
      </c>
      <c r="H1125" s="3">
        <v>45499.999999999935</v>
      </c>
      <c r="I1125" s="3">
        <v>45500</v>
      </c>
      <c r="J1125" s="3">
        <v>41363.636363636302</v>
      </c>
      <c r="K1125" s="25">
        <v>30748</v>
      </c>
      <c r="L1125" s="25">
        <v>30748</v>
      </c>
    </row>
    <row r="1126" spans="1:12" x14ac:dyDescent="0.3">
      <c r="A1126" t="s">
        <v>5594</v>
      </c>
      <c r="B1126">
        <v>2.0260204213138299E+18</v>
      </c>
      <c r="C1126" t="s">
        <v>5602</v>
      </c>
      <c r="D1126">
        <v>143790</v>
      </c>
      <c r="E1126" s="16" t="s">
        <v>7</v>
      </c>
      <c r="F1126" s="3">
        <v>2</v>
      </c>
      <c r="G1126" s="3">
        <v>41363.636363636353</v>
      </c>
      <c r="H1126" s="3">
        <v>91000</v>
      </c>
      <c r="I1126" s="3">
        <v>91000</v>
      </c>
      <c r="J1126" s="3">
        <v>82727.272727272706</v>
      </c>
      <c r="K1126" s="25">
        <v>30748</v>
      </c>
      <c r="L1126" s="25">
        <v>61496</v>
      </c>
    </row>
    <row r="1127" spans="1:12" x14ac:dyDescent="0.3">
      <c r="A1127" t="s">
        <v>5594</v>
      </c>
      <c r="B1127">
        <v>2.02602042127102E+18</v>
      </c>
      <c r="C1127" t="s">
        <v>5602</v>
      </c>
      <c r="D1127">
        <v>143790</v>
      </c>
      <c r="E1127" s="16" t="s">
        <v>7</v>
      </c>
      <c r="F1127" s="3">
        <v>1</v>
      </c>
      <c r="G1127" s="3">
        <v>41363.636363636302</v>
      </c>
      <c r="H1127" s="3">
        <v>45499.999999999935</v>
      </c>
      <c r="I1127" s="3">
        <v>45500</v>
      </c>
      <c r="J1127" s="3">
        <v>41363.636363636302</v>
      </c>
      <c r="K1127" s="25">
        <v>30748</v>
      </c>
      <c r="L1127" s="25">
        <v>30748</v>
      </c>
    </row>
    <row r="1128" spans="1:12" x14ac:dyDescent="0.3">
      <c r="A1128" t="s">
        <v>5594</v>
      </c>
      <c r="B1128">
        <v>2.02602042110083E+18</v>
      </c>
      <c r="C1128" t="s">
        <v>5602</v>
      </c>
      <c r="D1128">
        <v>143790</v>
      </c>
      <c r="E1128" s="16" t="s">
        <v>7</v>
      </c>
      <c r="F1128" s="3">
        <v>1</v>
      </c>
      <c r="G1128" s="3">
        <v>41363.636363636302</v>
      </c>
      <c r="H1128" s="3">
        <v>45499.999999999935</v>
      </c>
      <c r="I1128" s="3">
        <v>45500</v>
      </c>
      <c r="J1128" s="3">
        <v>41363.636363636302</v>
      </c>
      <c r="K1128" s="25">
        <v>30748</v>
      </c>
      <c r="L1128" s="25">
        <v>30748</v>
      </c>
    </row>
    <row r="1129" spans="1:12" x14ac:dyDescent="0.3">
      <c r="A1129" t="s">
        <v>5594</v>
      </c>
      <c r="B1129">
        <v>2.0260204210747599E+18</v>
      </c>
      <c r="C1129" t="s">
        <v>5602</v>
      </c>
      <c r="D1129">
        <v>143790</v>
      </c>
      <c r="E1129" s="16" t="s">
        <v>7</v>
      </c>
      <c r="F1129" s="3">
        <v>1</v>
      </c>
      <c r="G1129" s="3">
        <v>41363.636363636302</v>
      </c>
      <c r="H1129" s="3">
        <v>45499.999999999935</v>
      </c>
      <c r="I1129" s="3">
        <v>45500</v>
      </c>
      <c r="J1129" s="3">
        <v>41363.636363636302</v>
      </c>
      <c r="K1129" s="25">
        <v>30748</v>
      </c>
      <c r="L1129" s="25">
        <v>30748</v>
      </c>
    </row>
    <row r="1130" spans="1:12" x14ac:dyDescent="0.3">
      <c r="A1130" t="s">
        <v>5594</v>
      </c>
      <c r="B1130">
        <v>2.02602042052206E+18</v>
      </c>
      <c r="C1130" t="s">
        <v>5602</v>
      </c>
      <c r="D1130">
        <v>143790</v>
      </c>
      <c r="E1130" s="16" t="s">
        <v>7</v>
      </c>
      <c r="F1130" s="3">
        <v>1</v>
      </c>
      <c r="G1130" s="3">
        <v>41363.636363636302</v>
      </c>
      <c r="H1130" s="3">
        <v>45499.999999999935</v>
      </c>
      <c r="I1130" s="3">
        <v>45500</v>
      </c>
      <c r="J1130" s="3">
        <v>41363.636363636302</v>
      </c>
      <c r="K1130" s="25">
        <v>30748</v>
      </c>
      <c r="L1130" s="25">
        <v>30748</v>
      </c>
    </row>
    <row r="1131" spans="1:12" x14ac:dyDescent="0.3">
      <c r="A1131" t="s">
        <v>5594</v>
      </c>
      <c r="B1131">
        <v>2.02602042052275E+18</v>
      </c>
      <c r="C1131" t="s">
        <v>5602</v>
      </c>
      <c r="D1131">
        <v>143790</v>
      </c>
      <c r="E1131" s="16" t="s">
        <v>7</v>
      </c>
      <c r="F1131" s="3">
        <v>3</v>
      </c>
      <c r="G1131" s="3">
        <v>41363.636363636331</v>
      </c>
      <c r="H1131" s="3">
        <v>136499.99999999991</v>
      </c>
      <c r="I1131" s="3">
        <v>136500</v>
      </c>
      <c r="J1131" s="3">
        <v>124090.909090909</v>
      </c>
      <c r="K1131" s="25">
        <v>30748</v>
      </c>
      <c r="L1131" s="25">
        <v>92244</v>
      </c>
    </row>
    <row r="1132" spans="1:12" x14ac:dyDescent="0.3">
      <c r="A1132" t="s">
        <v>5594</v>
      </c>
      <c r="B1132">
        <v>2.0260204201954501E+18</v>
      </c>
      <c r="C1132" t="s">
        <v>5602</v>
      </c>
      <c r="D1132">
        <v>143790</v>
      </c>
      <c r="E1132" s="16" t="s">
        <v>7</v>
      </c>
      <c r="F1132" s="3">
        <v>1</v>
      </c>
      <c r="G1132" s="3">
        <v>41363.636363636302</v>
      </c>
      <c r="H1132" s="3">
        <v>45499.999999999935</v>
      </c>
      <c r="I1132" s="3">
        <v>45500</v>
      </c>
      <c r="J1132" s="3">
        <v>41363.636363636302</v>
      </c>
      <c r="K1132" s="25">
        <v>30748</v>
      </c>
      <c r="L1132" s="25">
        <v>30748</v>
      </c>
    </row>
    <row r="1133" spans="1:12" x14ac:dyDescent="0.3">
      <c r="A1133" t="s">
        <v>5594</v>
      </c>
      <c r="B1133">
        <v>2.0260204201428301E+18</v>
      </c>
      <c r="C1133" t="s">
        <v>5602</v>
      </c>
      <c r="D1133">
        <v>143790</v>
      </c>
      <c r="E1133" s="16" t="s">
        <v>7</v>
      </c>
      <c r="F1133" s="3">
        <v>1</v>
      </c>
      <c r="G1133" s="3">
        <v>41363.636363636302</v>
      </c>
      <c r="H1133" s="3">
        <v>45499.999999999935</v>
      </c>
      <c r="I1133" s="3">
        <v>45500</v>
      </c>
      <c r="J1133" s="3">
        <v>41363.636363636302</v>
      </c>
      <c r="K1133" s="25">
        <v>30748</v>
      </c>
      <c r="L1133" s="25">
        <v>30748</v>
      </c>
    </row>
    <row r="1134" spans="1:12" x14ac:dyDescent="0.3">
      <c r="A1134" t="s">
        <v>5594</v>
      </c>
      <c r="B1134">
        <v>2.0260205103158999E+18</v>
      </c>
      <c r="C1134" t="s">
        <v>5602</v>
      </c>
      <c r="D1134">
        <v>143790</v>
      </c>
      <c r="E1134" s="16" t="s">
        <v>7</v>
      </c>
      <c r="F1134" s="3">
        <v>1</v>
      </c>
      <c r="G1134" s="3">
        <v>57272.727272727199</v>
      </c>
      <c r="H1134" s="3">
        <v>62999.999999999927</v>
      </c>
      <c r="I1134" s="3">
        <v>63000</v>
      </c>
      <c r="J1134" s="3">
        <v>57272.727272727199</v>
      </c>
      <c r="K1134" s="25">
        <v>30748</v>
      </c>
      <c r="L1134" s="25">
        <v>30748</v>
      </c>
    </row>
    <row r="1135" spans="1:12" x14ac:dyDescent="0.3">
      <c r="A1135" t="s">
        <v>5594</v>
      </c>
      <c r="B1135">
        <v>2.02602051042271E+18</v>
      </c>
      <c r="C1135" t="s">
        <v>5602</v>
      </c>
      <c r="D1135">
        <v>143790</v>
      </c>
      <c r="E1135" s="16" t="s">
        <v>7</v>
      </c>
      <c r="F1135" s="3">
        <v>1</v>
      </c>
      <c r="G1135" s="3">
        <v>57272.727272727199</v>
      </c>
      <c r="H1135" s="3">
        <v>62999.999999999927</v>
      </c>
      <c r="I1135" s="3">
        <v>63000</v>
      </c>
      <c r="J1135" s="3">
        <v>57272.727272727199</v>
      </c>
      <c r="K1135" s="25">
        <v>30748</v>
      </c>
      <c r="L1135" s="25">
        <v>30748</v>
      </c>
    </row>
    <row r="1136" spans="1:12" x14ac:dyDescent="0.3">
      <c r="A1136" t="s">
        <v>5594</v>
      </c>
      <c r="B1136">
        <v>2.0260205103831501E+18</v>
      </c>
      <c r="C1136" t="s">
        <v>5602</v>
      </c>
      <c r="D1136">
        <v>143790</v>
      </c>
      <c r="E1136" s="16" t="s">
        <v>7</v>
      </c>
      <c r="F1136" s="3">
        <v>1</v>
      </c>
      <c r="G1136" s="3">
        <v>57272.727272727199</v>
      </c>
      <c r="H1136" s="3">
        <v>62999.999999999927</v>
      </c>
      <c r="I1136" s="3">
        <v>63000</v>
      </c>
      <c r="J1136" s="3">
        <v>57272.727272727199</v>
      </c>
      <c r="K1136" s="25">
        <v>30748</v>
      </c>
      <c r="L1136" s="25">
        <v>30748</v>
      </c>
    </row>
    <row r="1137" spans="1:12" x14ac:dyDescent="0.3">
      <c r="A1137" t="s">
        <v>5594</v>
      </c>
      <c r="B1137">
        <v>2.0260205093351199E+18</v>
      </c>
      <c r="C1137" t="s">
        <v>5602</v>
      </c>
      <c r="D1137">
        <v>143790</v>
      </c>
      <c r="E1137" s="16" t="s">
        <v>7</v>
      </c>
      <c r="F1137" s="3">
        <v>1</v>
      </c>
      <c r="G1137" s="3">
        <v>57272.727272727199</v>
      </c>
      <c r="H1137" s="3">
        <v>62999.999999999927</v>
      </c>
      <c r="I1137" s="3">
        <v>63000</v>
      </c>
      <c r="J1137" s="3">
        <v>57272.727272727199</v>
      </c>
      <c r="K1137" s="25">
        <v>30748</v>
      </c>
      <c r="L1137" s="25">
        <v>30748</v>
      </c>
    </row>
    <row r="1138" spans="1:12" x14ac:dyDescent="0.3">
      <c r="A1138" t="s">
        <v>5594</v>
      </c>
      <c r="B1138">
        <v>2.02602050909311E+18</v>
      </c>
      <c r="C1138" t="s">
        <v>5602</v>
      </c>
      <c r="D1138">
        <v>143790</v>
      </c>
      <c r="E1138" s="16" t="s">
        <v>7</v>
      </c>
      <c r="F1138" s="3">
        <v>1</v>
      </c>
      <c r="G1138" s="3">
        <v>57272.727272727199</v>
      </c>
      <c r="H1138" s="3">
        <v>62999.999999999927</v>
      </c>
      <c r="I1138" s="3">
        <v>63000</v>
      </c>
      <c r="J1138" s="3">
        <v>57272.727272727199</v>
      </c>
      <c r="K1138" s="25">
        <v>30748</v>
      </c>
      <c r="L1138" s="25">
        <v>30748</v>
      </c>
    </row>
    <row r="1139" spans="1:12" x14ac:dyDescent="0.3">
      <c r="A1139" t="s">
        <v>5594</v>
      </c>
      <c r="B1139">
        <v>2.0260205085507899E+18</v>
      </c>
      <c r="C1139" t="s">
        <v>5602</v>
      </c>
      <c r="D1139">
        <v>143790</v>
      </c>
      <c r="E1139" s="16" t="s">
        <v>7</v>
      </c>
      <c r="F1139" s="3">
        <v>1</v>
      </c>
      <c r="G1139" s="3">
        <v>57272.727272727199</v>
      </c>
      <c r="H1139" s="3">
        <v>62999.999999999927</v>
      </c>
      <c r="I1139" s="3">
        <v>63000</v>
      </c>
      <c r="J1139" s="3">
        <v>57272.727272727199</v>
      </c>
      <c r="K1139" s="25">
        <v>30748</v>
      </c>
      <c r="L1139" s="25">
        <v>30748</v>
      </c>
    </row>
    <row r="1140" spans="1:12" x14ac:dyDescent="0.3">
      <c r="A1140" t="s">
        <v>5594</v>
      </c>
      <c r="B1140">
        <v>2.0260205083521999E+18</v>
      </c>
      <c r="C1140" t="s">
        <v>5602</v>
      </c>
      <c r="D1140">
        <v>143790</v>
      </c>
      <c r="E1140" s="16" t="s">
        <v>7</v>
      </c>
      <c r="F1140" s="3">
        <v>1</v>
      </c>
      <c r="G1140" s="3">
        <v>57272.727272727199</v>
      </c>
      <c r="H1140" s="3">
        <v>62999.999999999927</v>
      </c>
      <c r="I1140" s="3">
        <v>63000</v>
      </c>
      <c r="J1140" s="3">
        <v>57272.727272727199</v>
      </c>
      <c r="K1140" s="25">
        <v>30748</v>
      </c>
      <c r="L1140" s="25">
        <v>30748</v>
      </c>
    </row>
    <row r="1141" spans="1:12" x14ac:dyDescent="0.3">
      <c r="A1141" t="s">
        <v>5594</v>
      </c>
      <c r="B1141">
        <v>2.0260205082401201E+18</v>
      </c>
      <c r="C1141" t="s">
        <v>5602</v>
      </c>
      <c r="D1141">
        <v>143790</v>
      </c>
      <c r="E1141" s="16" t="s">
        <v>7</v>
      </c>
      <c r="F1141" s="3">
        <v>1</v>
      </c>
      <c r="G1141" s="3">
        <v>57272.727272727199</v>
      </c>
      <c r="H1141" s="3">
        <v>62999.999999999927</v>
      </c>
      <c r="I1141" s="3">
        <v>63000</v>
      </c>
      <c r="J1141" s="3">
        <v>57272.727272727199</v>
      </c>
      <c r="K1141" s="25">
        <v>30748</v>
      </c>
      <c r="L1141" s="25">
        <v>30748</v>
      </c>
    </row>
    <row r="1142" spans="1:12" x14ac:dyDescent="0.3">
      <c r="A1142" t="s">
        <v>5594</v>
      </c>
      <c r="B1142">
        <v>2.0260205082256699E+18</v>
      </c>
      <c r="C1142" t="s">
        <v>5602</v>
      </c>
      <c r="D1142">
        <v>143790</v>
      </c>
      <c r="E1142" s="16" t="s">
        <v>7</v>
      </c>
      <c r="F1142" s="3">
        <v>1</v>
      </c>
      <c r="G1142" s="3">
        <v>57272.727272727199</v>
      </c>
      <c r="H1142" s="3">
        <v>62999.999999999927</v>
      </c>
      <c r="I1142" s="3">
        <v>63000</v>
      </c>
      <c r="J1142" s="3">
        <v>57272.727272727199</v>
      </c>
      <c r="K1142" s="25">
        <v>30748</v>
      </c>
      <c r="L1142" s="25">
        <v>30748</v>
      </c>
    </row>
    <row r="1143" spans="1:12" x14ac:dyDescent="0.3">
      <c r="A1143" t="s">
        <v>5594</v>
      </c>
      <c r="B1143">
        <v>2.02602050817359E+18</v>
      </c>
      <c r="C1143" t="s">
        <v>5602</v>
      </c>
      <c r="D1143">
        <v>143790</v>
      </c>
      <c r="E1143" s="16" t="s">
        <v>7</v>
      </c>
      <c r="F1143" s="3">
        <v>1</v>
      </c>
      <c r="G1143" s="3">
        <v>57272.727272727199</v>
      </c>
      <c r="H1143" s="3">
        <v>62999.999999999927</v>
      </c>
      <c r="I1143" s="3">
        <v>63000</v>
      </c>
      <c r="J1143" s="3">
        <v>57272.727272727199</v>
      </c>
      <c r="K1143" s="25">
        <v>30748</v>
      </c>
      <c r="L1143" s="25">
        <v>30748</v>
      </c>
    </row>
    <row r="1144" spans="1:12" x14ac:dyDescent="0.3">
      <c r="A1144" t="s">
        <v>5594</v>
      </c>
      <c r="B1144">
        <v>2.0260205081139E+18</v>
      </c>
      <c r="C1144" t="s">
        <v>5602</v>
      </c>
      <c r="D1144">
        <v>143790</v>
      </c>
      <c r="E1144" s="16" t="s">
        <v>7</v>
      </c>
      <c r="F1144" s="3">
        <v>1</v>
      </c>
      <c r="G1144" s="3">
        <v>57272.727272727199</v>
      </c>
      <c r="H1144" s="3">
        <v>62999.999999999927</v>
      </c>
      <c r="I1144" s="3">
        <v>63000</v>
      </c>
      <c r="J1144" s="3">
        <v>57272.727272727199</v>
      </c>
      <c r="K1144" s="25">
        <v>30748</v>
      </c>
      <c r="L1144" s="25">
        <v>30748</v>
      </c>
    </row>
    <row r="1145" spans="1:12" x14ac:dyDescent="0.3">
      <c r="A1145" t="s">
        <v>5594</v>
      </c>
      <c r="B1145">
        <v>2.0260205080738801E+18</v>
      </c>
      <c r="C1145" t="s">
        <v>5602</v>
      </c>
      <c r="D1145">
        <v>143790</v>
      </c>
      <c r="E1145" s="16" t="s">
        <v>7</v>
      </c>
      <c r="F1145" s="3">
        <v>1</v>
      </c>
      <c r="G1145" s="3">
        <v>57272.727272727199</v>
      </c>
      <c r="H1145" s="3">
        <v>62999.999999999927</v>
      </c>
      <c r="I1145" s="3">
        <v>63000</v>
      </c>
      <c r="J1145" s="3">
        <v>57272.727272727199</v>
      </c>
      <c r="K1145" s="25">
        <v>30748</v>
      </c>
      <c r="L1145" s="25">
        <v>30748</v>
      </c>
    </row>
    <row r="1146" spans="1:12" x14ac:dyDescent="0.3">
      <c r="A1146" t="s">
        <v>5594</v>
      </c>
      <c r="B1146">
        <v>2.02602050803411E+18</v>
      </c>
      <c r="C1146" t="s">
        <v>5602</v>
      </c>
      <c r="D1146">
        <v>143790</v>
      </c>
      <c r="E1146" s="16" t="s">
        <v>7</v>
      </c>
      <c r="F1146" s="3">
        <v>1</v>
      </c>
      <c r="G1146" s="3">
        <v>57272.727272727199</v>
      </c>
      <c r="H1146" s="3">
        <v>62999.999999999927</v>
      </c>
      <c r="I1146" s="3">
        <v>63000</v>
      </c>
      <c r="J1146" s="3">
        <v>57272.727272727199</v>
      </c>
      <c r="K1146" s="25">
        <v>30748</v>
      </c>
      <c r="L1146" s="25">
        <v>30748</v>
      </c>
    </row>
    <row r="1147" spans="1:12" x14ac:dyDescent="0.3">
      <c r="A1147" t="s">
        <v>5594</v>
      </c>
      <c r="B1147">
        <v>2.0260205080335401E+18</v>
      </c>
      <c r="C1147" t="s">
        <v>5602</v>
      </c>
      <c r="D1147">
        <v>143790</v>
      </c>
      <c r="E1147" s="16" t="s">
        <v>7</v>
      </c>
      <c r="F1147" s="3">
        <v>1</v>
      </c>
      <c r="G1147" s="3">
        <v>57272.727272727199</v>
      </c>
      <c r="H1147" s="3">
        <v>62999.999999999927</v>
      </c>
      <c r="I1147" s="3">
        <v>63000</v>
      </c>
      <c r="J1147" s="3">
        <v>57272.727272727199</v>
      </c>
      <c r="K1147" s="25">
        <v>30748</v>
      </c>
      <c r="L1147" s="25">
        <v>30748</v>
      </c>
    </row>
    <row r="1148" spans="1:12" x14ac:dyDescent="0.3">
      <c r="A1148" t="s">
        <v>5594</v>
      </c>
      <c r="B1148">
        <v>2.0260205080136699E+18</v>
      </c>
      <c r="C1148" t="s">
        <v>5602</v>
      </c>
      <c r="D1148">
        <v>143790</v>
      </c>
      <c r="E1148" s="16" t="s">
        <v>7</v>
      </c>
      <c r="F1148" s="3">
        <v>1</v>
      </c>
      <c r="G1148" s="3">
        <v>57272.727272727199</v>
      </c>
      <c r="H1148" s="3">
        <v>62999.999999999927</v>
      </c>
      <c r="I1148" s="3">
        <v>63000</v>
      </c>
      <c r="J1148" s="3">
        <v>57272.727272727199</v>
      </c>
      <c r="K1148" s="25">
        <v>30748</v>
      </c>
      <c r="L1148" s="25">
        <v>30748</v>
      </c>
    </row>
    <row r="1149" spans="1:12" x14ac:dyDescent="0.3">
      <c r="A1149" t="s">
        <v>5594</v>
      </c>
      <c r="B1149">
        <v>2.0260205075749801E+18</v>
      </c>
      <c r="C1149" t="s">
        <v>5602</v>
      </c>
      <c r="D1149">
        <v>143790</v>
      </c>
      <c r="E1149" s="16" t="s">
        <v>7</v>
      </c>
      <c r="F1149" s="3">
        <v>1</v>
      </c>
      <c r="G1149" s="3">
        <v>57272.727272727199</v>
      </c>
      <c r="H1149" s="3">
        <v>62999.999999999927</v>
      </c>
      <c r="I1149" s="3">
        <v>63000</v>
      </c>
      <c r="J1149" s="3">
        <v>57272.727272727199</v>
      </c>
      <c r="K1149" s="25">
        <v>30748</v>
      </c>
      <c r="L1149" s="25">
        <v>30748</v>
      </c>
    </row>
    <row r="1150" spans="1:12" x14ac:dyDescent="0.3">
      <c r="A1150" t="s">
        <v>5594</v>
      </c>
      <c r="B1150">
        <v>2.0260205075941901E+18</v>
      </c>
      <c r="C1150" t="s">
        <v>5602</v>
      </c>
      <c r="D1150">
        <v>143790</v>
      </c>
      <c r="E1150" s="16" t="s">
        <v>7</v>
      </c>
      <c r="F1150" s="3">
        <v>1</v>
      </c>
      <c r="G1150" s="3">
        <v>57272.727272727199</v>
      </c>
      <c r="H1150" s="3">
        <v>62999.999999999927</v>
      </c>
      <c r="I1150" s="3">
        <v>63000</v>
      </c>
      <c r="J1150" s="3">
        <v>57272.727272727199</v>
      </c>
      <c r="K1150" s="25">
        <v>30748</v>
      </c>
      <c r="L1150" s="25">
        <v>30748</v>
      </c>
    </row>
    <row r="1151" spans="1:12" x14ac:dyDescent="0.3">
      <c r="A1151" t="s">
        <v>5594</v>
      </c>
      <c r="B1151">
        <v>2.0260205075624499E+18</v>
      </c>
      <c r="C1151" t="s">
        <v>5602</v>
      </c>
      <c r="D1151">
        <v>143790</v>
      </c>
      <c r="E1151" s="16" t="s">
        <v>7</v>
      </c>
      <c r="F1151" s="3">
        <v>1</v>
      </c>
      <c r="G1151" s="3">
        <v>57272.727272727199</v>
      </c>
      <c r="H1151" s="3">
        <v>62999.999999999927</v>
      </c>
      <c r="I1151" s="3">
        <v>63000</v>
      </c>
      <c r="J1151" s="3">
        <v>57272.727272727199</v>
      </c>
      <c r="K1151" s="25">
        <v>30748</v>
      </c>
      <c r="L1151" s="25">
        <v>30748</v>
      </c>
    </row>
    <row r="1152" spans="1:12" x14ac:dyDescent="0.3">
      <c r="A1152" t="s">
        <v>5594</v>
      </c>
      <c r="B1152">
        <v>2.0260205075831199E+18</v>
      </c>
      <c r="C1152" t="s">
        <v>5602</v>
      </c>
      <c r="D1152">
        <v>143790</v>
      </c>
      <c r="E1152" s="16" t="s">
        <v>7</v>
      </c>
      <c r="F1152" s="3">
        <v>1</v>
      </c>
      <c r="G1152" s="3">
        <v>57272.727272727199</v>
      </c>
      <c r="H1152" s="3">
        <v>62999.999999999927</v>
      </c>
      <c r="I1152" s="3">
        <v>63000</v>
      </c>
      <c r="J1152" s="3">
        <v>57272.727272727199</v>
      </c>
      <c r="K1152" s="25">
        <v>30748</v>
      </c>
      <c r="L1152" s="25">
        <v>30748</v>
      </c>
    </row>
    <row r="1153" spans="1:12" x14ac:dyDescent="0.3">
      <c r="A1153" t="s">
        <v>5594</v>
      </c>
      <c r="B1153">
        <v>2.0260205075626701E+18</v>
      </c>
      <c r="C1153" t="s">
        <v>5602</v>
      </c>
      <c r="D1153">
        <v>143790</v>
      </c>
      <c r="E1153" s="16" t="s">
        <v>7</v>
      </c>
      <c r="F1153" s="3">
        <v>1</v>
      </c>
      <c r="G1153" s="3">
        <v>57272.727272727199</v>
      </c>
      <c r="H1153" s="3">
        <v>62999.999999999927</v>
      </c>
      <c r="I1153" s="3">
        <v>63000</v>
      </c>
      <c r="J1153" s="3">
        <v>57272.727272727199</v>
      </c>
      <c r="K1153" s="25">
        <v>30748</v>
      </c>
      <c r="L1153" s="25">
        <v>30748</v>
      </c>
    </row>
    <row r="1154" spans="1:12" x14ac:dyDescent="0.3">
      <c r="A1154" t="s">
        <v>5594</v>
      </c>
      <c r="B1154">
        <v>2.0260205074725499E+18</v>
      </c>
      <c r="C1154" t="s">
        <v>5602</v>
      </c>
      <c r="D1154">
        <v>143790</v>
      </c>
      <c r="E1154" s="16" t="s">
        <v>7</v>
      </c>
      <c r="F1154" s="3">
        <v>1</v>
      </c>
      <c r="G1154" s="3">
        <v>57272.727272727199</v>
      </c>
      <c r="H1154" s="3">
        <v>62999.999999999927</v>
      </c>
      <c r="I1154" s="3">
        <v>63000</v>
      </c>
      <c r="J1154" s="3">
        <v>57272.727272727199</v>
      </c>
      <c r="K1154" s="25">
        <v>30748</v>
      </c>
      <c r="L1154" s="25">
        <v>30748</v>
      </c>
    </row>
    <row r="1155" spans="1:12" x14ac:dyDescent="0.3">
      <c r="A1155" t="s">
        <v>5594</v>
      </c>
      <c r="B1155">
        <v>2.0260205071013E+18</v>
      </c>
      <c r="C1155" t="s">
        <v>5602</v>
      </c>
      <c r="D1155">
        <v>143790</v>
      </c>
      <c r="E1155" s="16" t="s">
        <v>7</v>
      </c>
      <c r="F1155" s="3">
        <v>2</v>
      </c>
      <c r="G1155" s="3">
        <v>57272.727272727003</v>
      </c>
      <c r="H1155" s="3">
        <v>125999.99999999942</v>
      </c>
      <c r="I1155" s="3">
        <v>126000</v>
      </c>
      <c r="J1155" s="3">
        <v>114545.45454545401</v>
      </c>
      <c r="K1155" s="25">
        <v>30748</v>
      </c>
      <c r="L1155" s="25">
        <v>61496</v>
      </c>
    </row>
    <row r="1156" spans="1:12" x14ac:dyDescent="0.3">
      <c r="A1156" t="s">
        <v>5594</v>
      </c>
      <c r="B1156">
        <v>2.0260205070754801E+18</v>
      </c>
      <c r="C1156" t="s">
        <v>5602</v>
      </c>
      <c r="D1156">
        <v>143790</v>
      </c>
      <c r="E1156" s="16" t="s">
        <v>7</v>
      </c>
      <c r="F1156" s="3">
        <v>2</v>
      </c>
      <c r="G1156" s="3">
        <v>57272.727272727003</v>
      </c>
      <c r="H1156" s="3">
        <v>125999.99999999942</v>
      </c>
      <c r="I1156" s="3">
        <v>126000</v>
      </c>
      <c r="J1156" s="3">
        <v>114545.45454545401</v>
      </c>
      <c r="K1156" s="25">
        <v>30748</v>
      </c>
      <c r="L1156" s="25">
        <v>61496</v>
      </c>
    </row>
    <row r="1157" spans="1:12" x14ac:dyDescent="0.3">
      <c r="A1157" t="s">
        <v>5594</v>
      </c>
      <c r="B1157">
        <v>2.02602050653391E+18</v>
      </c>
      <c r="C1157" t="s">
        <v>5602</v>
      </c>
      <c r="D1157">
        <v>143790</v>
      </c>
      <c r="E1157" s="16" t="s">
        <v>7</v>
      </c>
      <c r="F1157" s="3">
        <v>1</v>
      </c>
      <c r="G1157" s="3">
        <v>57272.727272727199</v>
      </c>
      <c r="H1157" s="3">
        <v>62999.999999999927</v>
      </c>
      <c r="I1157" s="3">
        <v>63000</v>
      </c>
      <c r="J1157" s="3">
        <v>57272.727272727199</v>
      </c>
      <c r="K1157" s="25">
        <v>30748</v>
      </c>
      <c r="L1157" s="25">
        <v>30748</v>
      </c>
    </row>
    <row r="1158" spans="1:12" x14ac:dyDescent="0.3">
      <c r="A1158" t="s">
        <v>5594</v>
      </c>
      <c r="B1158">
        <v>2.02602050649087E+18</v>
      </c>
      <c r="C1158" t="s">
        <v>5602</v>
      </c>
      <c r="D1158">
        <v>143790</v>
      </c>
      <c r="E1158" s="16" t="s">
        <v>7</v>
      </c>
      <c r="F1158" s="3">
        <v>1</v>
      </c>
      <c r="G1158" s="3">
        <v>57272.727272727199</v>
      </c>
      <c r="H1158" s="3">
        <v>62999.999999999927</v>
      </c>
      <c r="I1158" s="3">
        <v>63000</v>
      </c>
      <c r="J1158" s="3">
        <v>57272.727272727199</v>
      </c>
      <c r="K1158" s="25">
        <v>30748</v>
      </c>
      <c r="L1158" s="25">
        <v>30748</v>
      </c>
    </row>
    <row r="1159" spans="1:12" x14ac:dyDescent="0.3">
      <c r="A1159" t="s">
        <v>5594</v>
      </c>
      <c r="B1159">
        <v>2.02602050646205E+18</v>
      </c>
      <c r="C1159" t="s">
        <v>5602</v>
      </c>
      <c r="D1159">
        <v>143790</v>
      </c>
      <c r="E1159" s="16" t="s">
        <v>7</v>
      </c>
      <c r="F1159" s="3">
        <v>1</v>
      </c>
      <c r="G1159" s="3">
        <v>57272.727272727199</v>
      </c>
      <c r="H1159" s="3">
        <v>62999.999999999927</v>
      </c>
      <c r="I1159" s="3">
        <v>63000</v>
      </c>
      <c r="J1159" s="3">
        <v>57272.727272727199</v>
      </c>
      <c r="K1159" s="25">
        <v>30748</v>
      </c>
      <c r="L1159" s="25">
        <v>30748</v>
      </c>
    </row>
    <row r="1160" spans="1:12" x14ac:dyDescent="0.3">
      <c r="A1160" t="s">
        <v>5594</v>
      </c>
      <c r="B1160">
        <v>2.02602050645309E+18</v>
      </c>
      <c r="C1160" t="s">
        <v>5602</v>
      </c>
      <c r="D1160">
        <v>143790</v>
      </c>
      <c r="E1160" s="16" t="s">
        <v>7</v>
      </c>
      <c r="F1160" s="3">
        <v>1</v>
      </c>
      <c r="G1160" s="3">
        <v>57272.727272727199</v>
      </c>
      <c r="H1160" s="3">
        <v>62999.999999999927</v>
      </c>
      <c r="I1160" s="3">
        <v>63000</v>
      </c>
      <c r="J1160" s="3">
        <v>57272.727272727199</v>
      </c>
      <c r="K1160" s="25">
        <v>30748</v>
      </c>
      <c r="L1160" s="25">
        <v>30748</v>
      </c>
    </row>
    <row r="1161" spans="1:12" x14ac:dyDescent="0.3">
      <c r="A1161" t="s">
        <v>5594</v>
      </c>
      <c r="B1161">
        <v>2.0260205013435699E+18</v>
      </c>
      <c r="C1161" t="s">
        <v>5602</v>
      </c>
      <c r="D1161">
        <v>143790</v>
      </c>
      <c r="E1161" s="16" t="s">
        <v>7</v>
      </c>
      <c r="F1161" s="3">
        <v>1</v>
      </c>
      <c r="G1161" s="3">
        <v>57272.727272727199</v>
      </c>
      <c r="H1161" s="3">
        <v>62999.999999999927</v>
      </c>
      <c r="I1161" s="3">
        <v>63000</v>
      </c>
      <c r="J1161" s="3">
        <v>57272.727272727199</v>
      </c>
      <c r="K1161" s="25">
        <v>30748</v>
      </c>
      <c r="L1161" s="25">
        <v>30748</v>
      </c>
    </row>
    <row r="1162" spans="1:12" x14ac:dyDescent="0.3">
      <c r="A1162" t="s">
        <v>5594</v>
      </c>
      <c r="B1162">
        <v>2.02602050029571E+18</v>
      </c>
      <c r="C1162" t="s">
        <v>5602</v>
      </c>
      <c r="D1162">
        <v>143790</v>
      </c>
      <c r="E1162" s="16" t="s">
        <v>7</v>
      </c>
      <c r="F1162" s="3">
        <v>1</v>
      </c>
      <c r="G1162" s="3">
        <v>57272.727272727199</v>
      </c>
      <c r="H1162" s="3">
        <v>62999.999999999927</v>
      </c>
      <c r="I1162" s="3">
        <v>63000</v>
      </c>
      <c r="J1162" s="3">
        <v>57272.727272727199</v>
      </c>
      <c r="K1162" s="25">
        <v>30748</v>
      </c>
      <c r="L1162" s="25">
        <v>30748</v>
      </c>
    </row>
    <row r="1163" spans="1:12" x14ac:dyDescent="0.3">
      <c r="A1163" t="s">
        <v>5594</v>
      </c>
      <c r="B1163">
        <v>2.02602042300317E+18</v>
      </c>
      <c r="C1163" t="s">
        <v>5602</v>
      </c>
      <c r="D1163">
        <v>143790</v>
      </c>
      <c r="E1163" s="16" t="s">
        <v>7</v>
      </c>
      <c r="F1163" s="3">
        <v>1</v>
      </c>
      <c r="G1163" s="3">
        <v>57272.727272727199</v>
      </c>
      <c r="H1163" s="3">
        <v>62999.999999999927</v>
      </c>
      <c r="I1163" s="3">
        <v>63000</v>
      </c>
      <c r="J1163" s="3">
        <v>57272.727272727199</v>
      </c>
      <c r="K1163" s="25">
        <v>30748</v>
      </c>
      <c r="L1163" s="25">
        <v>30748</v>
      </c>
    </row>
    <row r="1164" spans="1:12" x14ac:dyDescent="0.3">
      <c r="A1164" t="s">
        <v>5594</v>
      </c>
      <c r="B1164">
        <v>2.0260204221906099E+18</v>
      </c>
      <c r="C1164" t="s">
        <v>5602</v>
      </c>
      <c r="D1164">
        <v>143790</v>
      </c>
      <c r="E1164" s="16" t="s">
        <v>7</v>
      </c>
      <c r="F1164" s="3">
        <v>1</v>
      </c>
      <c r="G1164" s="3">
        <v>57272.727272727199</v>
      </c>
      <c r="H1164" s="3">
        <v>62999.999999999927</v>
      </c>
      <c r="I1164" s="3">
        <v>63000</v>
      </c>
      <c r="J1164" s="3">
        <v>57272.727272727199</v>
      </c>
      <c r="K1164" s="25">
        <v>30748</v>
      </c>
      <c r="L1164" s="25">
        <v>30748</v>
      </c>
    </row>
    <row r="1165" spans="1:12" x14ac:dyDescent="0.3">
      <c r="A1165" t="s">
        <v>5594</v>
      </c>
      <c r="B1165">
        <v>2.0260205075749701E+18</v>
      </c>
      <c r="C1165" t="s">
        <v>5602</v>
      </c>
      <c r="D1165">
        <v>143790</v>
      </c>
      <c r="E1165" s="16" t="s">
        <v>7</v>
      </c>
      <c r="F1165" s="3">
        <v>1</v>
      </c>
      <c r="G1165" s="3">
        <v>41363.636363636302</v>
      </c>
      <c r="H1165" s="3">
        <v>45499.999999999935</v>
      </c>
      <c r="I1165" s="3">
        <v>45500</v>
      </c>
      <c r="J1165" s="3">
        <v>41363.636363636302</v>
      </c>
      <c r="K1165" s="25">
        <v>30748</v>
      </c>
      <c r="L1165" s="25">
        <v>30748</v>
      </c>
    </row>
    <row r="1166" spans="1:12" x14ac:dyDescent="0.3">
      <c r="A1166" t="s">
        <v>5594</v>
      </c>
      <c r="B1166">
        <v>2.0260205085247099E+18</v>
      </c>
      <c r="C1166" t="s">
        <v>5602</v>
      </c>
      <c r="D1166">
        <v>143790</v>
      </c>
      <c r="E1166" s="16" t="s">
        <v>7</v>
      </c>
      <c r="F1166" s="3">
        <v>1</v>
      </c>
      <c r="G1166" s="3">
        <v>41363.636363636302</v>
      </c>
      <c r="H1166" s="3">
        <v>45499.999999999935</v>
      </c>
      <c r="I1166" s="3">
        <v>45500</v>
      </c>
      <c r="J1166" s="3">
        <v>41363.636363636302</v>
      </c>
      <c r="K1166" s="25">
        <v>30748</v>
      </c>
      <c r="L1166" s="25">
        <v>30748</v>
      </c>
    </row>
    <row r="1167" spans="1:12" x14ac:dyDescent="0.3">
      <c r="A1167" t="s">
        <v>5594</v>
      </c>
      <c r="B1167">
        <v>2.02602051042495E+18</v>
      </c>
      <c r="C1167" t="s">
        <v>5602</v>
      </c>
      <c r="D1167">
        <v>143790</v>
      </c>
      <c r="E1167" s="16" t="s">
        <v>7</v>
      </c>
      <c r="F1167" s="3">
        <v>1</v>
      </c>
      <c r="G1167" s="3">
        <v>41363.636363636302</v>
      </c>
      <c r="H1167" s="3">
        <v>45499.999999999935</v>
      </c>
      <c r="I1167" s="3">
        <v>45500</v>
      </c>
      <c r="J1167" s="3">
        <v>41363.636363636302</v>
      </c>
      <c r="K1167" s="25">
        <v>30748</v>
      </c>
      <c r="L1167" s="25">
        <v>30748</v>
      </c>
    </row>
    <row r="1168" spans="1:12" x14ac:dyDescent="0.3">
      <c r="A1168" t="s">
        <v>5594</v>
      </c>
      <c r="B1168">
        <v>2.0260205110231501E+18</v>
      </c>
      <c r="C1168" t="s">
        <v>5602</v>
      </c>
      <c r="D1168">
        <v>143790</v>
      </c>
      <c r="E1168" s="16" t="s">
        <v>7</v>
      </c>
      <c r="F1168" s="3">
        <v>2</v>
      </c>
      <c r="G1168" s="3">
        <v>41363.636363636353</v>
      </c>
      <c r="H1168" s="3">
        <v>91000</v>
      </c>
      <c r="I1168" s="3">
        <v>91000</v>
      </c>
      <c r="J1168" s="3">
        <v>82727.272727272706</v>
      </c>
      <c r="K1168" s="25">
        <v>30748</v>
      </c>
      <c r="L1168" s="25">
        <v>61496</v>
      </c>
    </row>
    <row r="1169" spans="1:12" x14ac:dyDescent="0.3">
      <c r="A1169" t="s">
        <v>5594</v>
      </c>
      <c r="B1169">
        <v>2.02602051103107E+18</v>
      </c>
      <c r="C1169" t="s">
        <v>5602</v>
      </c>
      <c r="D1169">
        <v>143790</v>
      </c>
      <c r="E1169" s="16" t="s">
        <v>7</v>
      </c>
      <c r="F1169" s="3">
        <v>1</v>
      </c>
      <c r="G1169" s="3">
        <v>41363.636363636302</v>
      </c>
      <c r="H1169" s="3">
        <v>45499.999999999935</v>
      </c>
      <c r="I1169" s="3">
        <v>45500</v>
      </c>
      <c r="J1169" s="3">
        <v>41363.636363636302</v>
      </c>
      <c r="K1169" s="25">
        <v>30748</v>
      </c>
      <c r="L1169" s="25">
        <v>30748</v>
      </c>
    </row>
    <row r="1170" spans="1:12" x14ac:dyDescent="0.3">
      <c r="A1170" t="s">
        <v>5594</v>
      </c>
      <c r="B1170">
        <v>2.0260205111221499E+18</v>
      </c>
      <c r="C1170" t="s">
        <v>5602</v>
      </c>
      <c r="D1170">
        <v>143790</v>
      </c>
      <c r="E1170" s="16" t="s">
        <v>7</v>
      </c>
      <c r="F1170" s="3">
        <v>1</v>
      </c>
      <c r="G1170" s="3">
        <v>41363.636363636302</v>
      </c>
      <c r="H1170" s="3">
        <v>45499.999999999935</v>
      </c>
      <c r="I1170" s="3">
        <v>45500</v>
      </c>
      <c r="J1170" s="3">
        <v>41363.636363636302</v>
      </c>
      <c r="K1170" s="25">
        <v>30748</v>
      </c>
      <c r="L1170" s="25">
        <v>30748</v>
      </c>
    </row>
    <row r="1171" spans="1:12" x14ac:dyDescent="0.3">
      <c r="A1171" t="s">
        <v>5594</v>
      </c>
      <c r="B1171">
        <v>2.02602051119117E+18</v>
      </c>
      <c r="C1171" t="s">
        <v>5602</v>
      </c>
      <c r="D1171">
        <v>143790</v>
      </c>
      <c r="E1171" s="16" t="s">
        <v>7</v>
      </c>
      <c r="F1171" s="3">
        <v>1</v>
      </c>
      <c r="G1171" s="3">
        <v>41363.636363636302</v>
      </c>
      <c r="H1171" s="3">
        <v>45499.999999999935</v>
      </c>
      <c r="I1171" s="3">
        <v>45500</v>
      </c>
      <c r="J1171" s="3">
        <v>41363.636363636302</v>
      </c>
      <c r="K1171" s="25">
        <v>30748</v>
      </c>
      <c r="L1171" s="25">
        <v>30748</v>
      </c>
    </row>
    <row r="1172" spans="1:12" x14ac:dyDescent="0.3">
      <c r="A1172" t="s">
        <v>5594</v>
      </c>
      <c r="B1172">
        <v>2.0260205113413E+18</v>
      </c>
      <c r="C1172" t="s">
        <v>5602</v>
      </c>
      <c r="D1172">
        <v>143790</v>
      </c>
      <c r="E1172" s="16" t="s">
        <v>7</v>
      </c>
      <c r="F1172" s="3">
        <v>1</v>
      </c>
      <c r="G1172" s="3">
        <v>41363.636363636302</v>
      </c>
      <c r="H1172" s="3">
        <v>45499.999999999935</v>
      </c>
      <c r="I1172" s="3">
        <v>45500</v>
      </c>
      <c r="J1172" s="3">
        <v>41363.636363636302</v>
      </c>
      <c r="K1172" s="25">
        <v>30748</v>
      </c>
      <c r="L1172" s="25">
        <v>30748</v>
      </c>
    </row>
    <row r="1173" spans="1:12" x14ac:dyDescent="0.3">
      <c r="A1173" t="s">
        <v>5594</v>
      </c>
      <c r="B1173">
        <v>2.0260205113420101E+18</v>
      </c>
      <c r="C1173" t="s">
        <v>5602</v>
      </c>
      <c r="D1173">
        <v>143790</v>
      </c>
      <c r="E1173" s="16" t="s">
        <v>7</v>
      </c>
      <c r="F1173" s="3">
        <v>1</v>
      </c>
      <c r="G1173" s="3">
        <v>41363.636363636302</v>
      </c>
      <c r="H1173" s="3">
        <v>45499.999999999935</v>
      </c>
      <c r="I1173" s="3">
        <v>45500</v>
      </c>
      <c r="J1173" s="3">
        <v>41363.636363636302</v>
      </c>
      <c r="K1173" s="25">
        <v>30748</v>
      </c>
      <c r="L1173" s="25">
        <v>30748</v>
      </c>
    </row>
    <row r="1174" spans="1:12" x14ac:dyDescent="0.3">
      <c r="A1174" t="s">
        <v>5594</v>
      </c>
      <c r="B1174">
        <v>2.0260205113308301E+18</v>
      </c>
      <c r="C1174" t="s">
        <v>5602</v>
      </c>
      <c r="D1174">
        <v>143790</v>
      </c>
      <c r="E1174" s="16" t="s">
        <v>7</v>
      </c>
      <c r="F1174" s="3">
        <v>1</v>
      </c>
      <c r="G1174" s="3">
        <v>41363.636363636302</v>
      </c>
      <c r="H1174" s="3">
        <v>45499.999999999935</v>
      </c>
      <c r="I1174" s="3">
        <v>45500</v>
      </c>
      <c r="J1174" s="3">
        <v>41363.636363636302</v>
      </c>
      <c r="K1174" s="25">
        <v>30748</v>
      </c>
      <c r="L1174" s="25">
        <v>30748</v>
      </c>
    </row>
    <row r="1175" spans="1:12" x14ac:dyDescent="0.3">
      <c r="A1175" t="s">
        <v>5594</v>
      </c>
      <c r="B1175">
        <v>2.0260205114108001E+18</v>
      </c>
      <c r="C1175" t="s">
        <v>5602</v>
      </c>
      <c r="D1175">
        <v>143790</v>
      </c>
      <c r="E1175" s="16" t="s">
        <v>7</v>
      </c>
      <c r="F1175" s="3">
        <v>1</v>
      </c>
      <c r="G1175" s="3">
        <v>41363.636363636302</v>
      </c>
      <c r="H1175" s="3">
        <v>45499.999999999935</v>
      </c>
      <c r="I1175" s="3">
        <v>45500</v>
      </c>
      <c r="J1175" s="3">
        <v>41363.636363636302</v>
      </c>
      <c r="K1175" s="25">
        <v>30748</v>
      </c>
      <c r="L1175" s="25">
        <v>30748</v>
      </c>
    </row>
    <row r="1176" spans="1:12" x14ac:dyDescent="0.3">
      <c r="A1176" t="s">
        <v>5594</v>
      </c>
      <c r="B1176">
        <v>2.0260205114541499E+18</v>
      </c>
      <c r="C1176" t="s">
        <v>5602</v>
      </c>
      <c r="D1176">
        <v>143790</v>
      </c>
      <c r="E1176" s="16" t="s">
        <v>7</v>
      </c>
      <c r="F1176" s="3">
        <v>1</v>
      </c>
      <c r="G1176" s="3">
        <v>41363.636363636302</v>
      </c>
      <c r="H1176" s="3">
        <v>45499.999999999935</v>
      </c>
      <c r="I1176" s="3">
        <v>45500</v>
      </c>
      <c r="J1176" s="3">
        <v>41363.636363636302</v>
      </c>
      <c r="K1176" s="25">
        <v>30748</v>
      </c>
      <c r="L1176" s="25">
        <v>30748</v>
      </c>
    </row>
    <row r="1177" spans="1:12" x14ac:dyDescent="0.3">
      <c r="A1177" t="s">
        <v>5594</v>
      </c>
      <c r="B1177">
        <v>2.0260205114501299E+18</v>
      </c>
      <c r="C1177" t="s">
        <v>5602</v>
      </c>
      <c r="D1177">
        <v>143790</v>
      </c>
      <c r="E1177" s="16" t="s">
        <v>7</v>
      </c>
      <c r="F1177" s="3">
        <v>1</v>
      </c>
      <c r="G1177" s="3">
        <v>41363.636363636302</v>
      </c>
      <c r="H1177" s="3">
        <v>45499.999999999935</v>
      </c>
      <c r="I1177" s="3">
        <v>45500</v>
      </c>
      <c r="J1177" s="3">
        <v>41363.636363636302</v>
      </c>
      <c r="K1177" s="25">
        <v>30748</v>
      </c>
      <c r="L1177" s="25">
        <v>30748</v>
      </c>
    </row>
    <row r="1178" spans="1:12" x14ac:dyDescent="0.3">
      <c r="A1178" t="s">
        <v>5594</v>
      </c>
      <c r="B1178">
        <v>2.02602051151136E+18</v>
      </c>
      <c r="C1178" t="s">
        <v>5602</v>
      </c>
      <c r="D1178">
        <v>143790</v>
      </c>
      <c r="E1178" s="16" t="s">
        <v>7</v>
      </c>
      <c r="F1178" s="3">
        <v>1</v>
      </c>
      <c r="G1178" s="3">
        <v>41363.636363636302</v>
      </c>
      <c r="H1178" s="3">
        <v>45499.999999999935</v>
      </c>
      <c r="I1178" s="3">
        <v>45500</v>
      </c>
      <c r="J1178" s="3">
        <v>41363.636363636302</v>
      </c>
      <c r="K1178" s="25">
        <v>30748</v>
      </c>
      <c r="L1178" s="25">
        <v>30748</v>
      </c>
    </row>
    <row r="1179" spans="1:12" x14ac:dyDescent="0.3">
      <c r="A1179" t="s">
        <v>5594</v>
      </c>
      <c r="B1179">
        <v>2.02602051153118E+18</v>
      </c>
      <c r="C1179" t="s">
        <v>5602</v>
      </c>
      <c r="D1179">
        <v>143790</v>
      </c>
      <c r="E1179" s="16" t="s">
        <v>7</v>
      </c>
      <c r="F1179" s="3">
        <v>1</v>
      </c>
      <c r="G1179" s="3">
        <v>41363.636363636302</v>
      </c>
      <c r="H1179" s="3">
        <v>45499.999999999935</v>
      </c>
      <c r="I1179" s="3">
        <v>45500</v>
      </c>
      <c r="J1179" s="3">
        <v>41363.636363636302</v>
      </c>
      <c r="K1179" s="25">
        <v>30748</v>
      </c>
      <c r="L1179" s="25">
        <v>30748</v>
      </c>
    </row>
    <row r="1180" spans="1:12" x14ac:dyDescent="0.3">
      <c r="A1180" t="s">
        <v>5594</v>
      </c>
      <c r="B1180">
        <v>2.0260205115144699E+18</v>
      </c>
      <c r="C1180" t="s">
        <v>5602</v>
      </c>
      <c r="D1180">
        <v>143790</v>
      </c>
      <c r="E1180" s="16" t="s">
        <v>7</v>
      </c>
      <c r="F1180" s="3">
        <v>1</v>
      </c>
      <c r="G1180" s="3">
        <v>41363.636363636302</v>
      </c>
      <c r="H1180" s="3">
        <v>45499.999999999935</v>
      </c>
      <c r="I1180" s="3">
        <v>45500</v>
      </c>
      <c r="J1180" s="3">
        <v>41363.636363636302</v>
      </c>
      <c r="K1180" s="25">
        <v>30748</v>
      </c>
      <c r="L1180" s="25">
        <v>30748</v>
      </c>
    </row>
    <row r="1181" spans="1:12" x14ac:dyDescent="0.3">
      <c r="A1181" t="s">
        <v>5594</v>
      </c>
      <c r="B1181">
        <v>2.02602051205133E+18</v>
      </c>
      <c r="C1181" t="s">
        <v>5602</v>
      </c>
      <c r="D1181">
        <v>143790</v>
      </c>
      <c r="E1181" s="16" t="s">
        <v>7</v>
      </c>
      <c r="F1181" s="3">
        <v>1</v>
      </c>
      <c r="G1181" s="3">
        <v>41363.636363636302</v>
      </c>
      <c r="H1181" s="3">
        <v>45499.999999999935</v>
      </c>
      <c r="I1181" s="3">
        <v>45500</v>
      </c>
      <c r="J1181" s="3">
        <v>41363.636363636302</v>
      </c>
      <c r="K1181" s="25">
        <v>30748</v>
      </c>
      <c r="L1181" s="25">
        <v>30748</v>
      </c>
    </row>
    <row r="1182" spans="1:12" x14ac:dyDescent="0.3">
      <c r="A1182" t="s">
        <v>5594</v>
      </c>
      <c r="B1182">
        <v>2.0260205121250299E+18</v>
      </c>
      <c r="C1182" t="s">
        <v>5602</v>
      </c>
      <c r="D1182">
        <v>143790</v>
      </c>
      <c r="E1182" s="16" t="s">
        <v>7</v>
      </c>
      <c r="F1182" s="3">
        <v>1</v>
      </c>
      <c r="G1182" s="3">
        <v>41363.636363636302</v>
      </c>
      <c r="H1182" s="3">
        <v>45499.999999999935</v>
      </c>
      <c r="I1182" s="3">
        <v>45500</v>
      </c>
      <c r="J1182" s="3">
        <v>41363.636363636302</v>
      </c>
      <c r="K1182" s="25">
        <v>30748</v>
      </c>
      <c r="L1182" s="25">
        <v>30748</v>
      </c>
    </row>
    <row r="1183" spans="1:12" x14ac:dyDescent="0.3">
      <c r="A1183" t="s">
        <v>5594</v>
      </c>
      <c r="B1183">
        <v>2.02602051213533E+18</v>
      </c>
      <c r="C1183" t="s">
        <v>5602</v>
      </c>
      <c r="D1183">
        <v>143790</v>
      </c>
      <c r="E1183" s="16" t="s">
        <v>7</v>
      </c>
      <c r="F1183" s="3">
        <v>1</v>
      </c>
      <c r="G1183" s="3">
        <v>41363.636363636302</v>
      </c>
      <c r="H1183" s="3">
        <v>45499.999999999935</v>
      </c>
      <c r="I1183" s="3">
        <v>45500</v>
      </c>
      <c r="J1183" s="3">
        <v>41363.636363636302</v>
      </c>
      <c r="K1183" s="25">
        <v>30748</v>
      </c>
      <c r="L1183" s="25">
        <v>30748</v>
      </c>
    </row>
    <row r="1184" spans="1:12" x14ac:dyDescent="0.3">
      <c r="A1184" t="s">
        <v>5594</v>
      </c>
      <c r="B1184">
        <v>2.0260205121508401E+18</v>
      </c>
      <c r="C1184" t="s">
        <v>5602</v>
      </c>
      <c r="D1184">
        <v>143790</v>
      </c>
      <c r="E1184" s="16" t="s">
        <v>7</v>
      </c>
      <c r="F1184" s="3">
        <v>1</v>
      </c>
      <c r="G1184" s="3">
        <v>41363.636363636302</v>
      </c>
      <c r="H1184" s="3">
        <v>45499.999999999935</v>
      </c>
      <c r="I1184" s="3">
        <v>45500</v>
      </c>
      <c r="J1184" s="3">
        <v>41363.636363636302</v>
      </c>
      <c r="K1184" s="25">
        <v>30748</v>
      </c>
      <c r="L1184" s="25">
        <v>30748</v>
      </c>
    </row>
    <row r="1185" spans="1:12" x14ac:dyDescent="0.3">
      <c r="A1185" t="s">
        <v>5594</v>
      </c>
      <c r="B1185">
        <v>2.0260205121699999E+18</v>
      </c>
      <c r="C1185" t="s">
        <v>5602</v>
      </c>
      <c r="D1185">
        <v>143790</v>
      </c>
      <c r="E1185" s="16" t="s">
        <v>7</v>
      </c>
      <c r="F1185" s="3">
        <v>1</v>
      </c>
      <c r="G1185" s="3">
        <v>41363.636363636302</v>
      </c>
      <c r="H1185" s="3">
        <v>45499.999999999935</v>
      </c>
      <c r="I1185" s="3">
        <v>45500</v>
      </c>
      <c r="J1185" s="3">
        <v>41363.636363636302</v>
      </c>
      <c r="K1185" s="25">
        <v>30748</v>
      </c>
      <c r="L1185" s="25">
        <v>30748</v>
      </c>
    </row>
    <row r="1186" spans="1:12" x14ac:dyDescent="0.3">
      <c r="A1186" t="s">
        <v>5594</v>
      </c>
      <c r="B1186">
        <v>2.0260205123405599E+18</v>
      </c>
      <c r="C1186" t="s">
        <v>5602</v>
      </c>
      <c r="D1186">
        <v>143790</v>
      </c>
      <c r="E1186" s="16" t="s">
        <v>7</v>
      </c>
      <c r="F1186" s="3">
        <v>1</v>
      </c>
      <c r="G1186" s="3">
        <v>41363.636363636302</v>
      </c>
      <c r="H1186" s="3">
        <v>45499.999999999935</v>
      </c>
      <c r="I1186" s="3">
        <v>45500</v>
      </c>
      <c r="J1186" s="3">
        <v>41363.636363636302</v>
      </c>
      <c r="K1186" s="25">
        <v>30748</v>
      </c>
      <c r="L1186" s="25">
        <v>30748</v>
      </c>
    </row>
    <row r="1187" spans="1:12" x14ac:dyDescent="0.3">
      <c r="A1187" t="s">
        <v>5594</v>
      </c>
      <c r="B1187">
        <v>2.0260205124257101E+18</v>
      </c>
      <c r="C1187" t="s">
        <v>5602</v>
      </c>
      <c r="D1187">
        <v>143790</v>
      </c>
      <c r="E1187" s="16" t="s">
        <v>7</v>
      </c>
      <c r="F1187" s="3">
        <v>1</v>
      </c>
      <c r="G1187" s="3">
        <v>41363.636363636302</v>
      </c>
      <c r="H1187" s="3">
        <v>45499.999999999935</v>
      </c>
      <c r="I1187" s="3">
        <v>45500</v>
      </c>
      <c r="J1187" s="3">
        <v>41363.636363636302</v>
      </c>
      <c r="K1187" s="25">
        <v>30748</v>
      </c>
      <c r="L1187" s="25">
        <v>30748</v>
      </c>
    </row>
    <row r="1188" spans="1:12" x14ac:dyDescent="0.3">
      <c r="A1188" t="s">
        <v>5594</v>
      </c>
      <c r="B1188">
        <v>2.02602051252048E+18</v>
      </c>
      <c r="C1188" t="s">
        <v>5602</v>
      </c>
      <c r="D1188">
        <v>143790</v>
      </c>
      <c r="E1188" s="16" t="s">
        <v>7</v>
      </c>
      <c r="F1188" s="3">
        <v>1</v>
      </c>
      <c r="G1188" s="3">
        <v>41363.636363636302</v>
      </c>
      <c r="H1188" s="3">
        <v>45499.999999999935</v>
      </c>
      <c r="I1188" s="3">
        <v>45500</v>
      </c>
      <c r="J1188" s="3">
        <v>41363.636363636302</v>
      </c>
      <c r="K1188" s="25">
        <v>30748</v>
      </c>
      <c r="L1188" s="25">
        <v>30748</v>
      </c>
    </row>
    <row r="1189" spans="1:12" x14ac:dyDescent="0.3">
      <c r="A1189" t="s">
        <v>5594</v>
      </c>
      <c r="B1189">
        <v>2.02602051305389E+18</v>
      </c>
      <c r="C1189" t="s">
        <v>5602</v>
      </c>
      <c r="D1189">
        <v>143790</v>
      </c>
      <c r="E1189" s="16" t="s">
        <v>7</v>
      </c>
      <c r="F1189" s="3">
        <v>3</v>
      </c>
      <c r="G1189" s="3">
        <v>41363.636363636331</v>
      </c>
      <c r="H1189" s="3">
        <v>136499.99999999991</v>
      </c>
      <c r="I1189" s="3">
        <v>136500</v>
      </c>
      <c r="J1189" s="3">
        <v>124090.909090909</v>
      </c>
      <c r="K1189" s="25">
        <v>30748</v>
      </c>
      <c r="L1189" s="25">
        <v>92244</v>
      </c>
    </row>
    <row r="1190" spans="1:12" x14ac:dyDescent="0.3">
      <c r="A1190" t="s">
        <v>5594</v>
      </c>
      <c r="B1190">
        <v>2.02602051315279E+18</v>
      </c>
      <c r="C1190" t="s">
        <v>5602</v>
      </c>
      <c r="D1190">
        <v>143790</v>
      </c>
      <c r="E1190" s="16" t="s">
        <v>7</v>
      </c>
      <c r="F1190" s="3">
        <v>1</v>
      </c>
      <c r="G1190" s="3">
        <v>41363.636363636302</v>
      </c>
      <c r="H1190" s="3">
        <v>45499.999999999935</v>
      </c>
      <c r="I1190" s="3">
        <v>45500</v>
      </c>
      <c r="J1190" s="3">
        <v>41363.636363636302</v>
      </c>
      <c r="K1190" s="25">
        <v>30748</v>
      </c>
      <c r="L1190" s="25">
        <v>30748</v>
      </c>
    </row>
    <row r="1191" spans="1:12" x14ac:dyDescent="0.3">
      <c r="A1191" t="s">
        <v>5594</v>
      </c>
      <c r="B1191">
        <v>2.0260205132452301E+18</v>
      </c>
      <c r="C1191" t="s">
        <v>5602</v>
      </c>
      <c r="D1191">
        <v>143790</v>
      </c>
      <c r="E1191" s="16" t="s">
        <v>7</v>
      </c>
      <c r="F1191" s="3">
        <v>1</v>
      </c>
      <c r="G1191" s="3">
        <v>41363.636363636302</v>
      </c>
      <c r="H1191" s="3">
        <v>45499.999999999935</v>
      </c>
      <c r="I1191" s="3">
        <v>45500</v>
      </c>
      <c r="J1191" s="3">
        <v>41363.636363636302</v>
      </c>
      <c r="K1191" s="25">
        <v>30748</v>
      </c>
      <c r="L1191" s="25">
        <v>30748</v>
      </c>
    </row>
    <row r="1192" spans="1:12" x14ac:dyDescent="0.3">
      <c r="A1192" t="s">
        <v>5594</v>
      </c>
      <c r="B1192">
        <v>2.0260205133301399E+18</v>
      </c>
      <c r="C1192" t="s">
        <v>5602</v>
      </c>
      <c r="D1192">
        <v>143790</v>
      </c>
      <c r="E1192" s="16" t="s">
        <v>7</v>
      </c>
      <c r="F1192" s="3">
        <v>1</v>
      </c>
      <c r="G1192" s="3">
        <v>41363.636363636302</v>
      </c>
      <c r="H1192" s="3">
        <v>45499.999999999935</v>
      </c>
      <c r="I1192" s="3">
        <v>45500</v>
      </c>
      <c r="J1192" s="3">
        <v>41363.636363636302</v>
      </c>
      <c r="K1192" s="25">
        <v>30748</v>
      </c>
      <c r="L1192" s="25">
        <v>30748</v>
      </c>
    </row>
    <row r="1193" spans="1:12" x14ac:dyDescent="0.3">
      <c r="A1193" t="s">
        <v>5594</v>
      </c>
      <c r="B1193">
        <v>2.02602051338467E+18</v>
      </c>
      <c r="C1193" t="s">
        <v>5602</v>
      </c>
      <c r="D1193">
        <v>143790</v>
      </c>
      <c r="E1193" s="16" t="s">
        <v>7</v>
      </c>
      <c r="F1193" s="3">
        <v>1</v>
      </c>
      <c r="G1193" s="3">
        <v>41363.636363636302</v>
      </c>
      <c r="H1193" s="3">
        <v>45499.999999999935</v>
      </c>
      <c r="I1193" s="3">
        <v>45500</v>
      </c>
      <c r="J1193" s="3">
        <v>41363.636363636302</v>
      </c>
      <c r="K1193" s="25">
        <v>30748</v>
      </c>
      <c r="L1193" s="25">
        <v>30748</v>
      </c>
    </row>
    <row r="1194" spans="1:12" x14ac:dyDescent="0.3">
      <c r="A1194" t="s">
        <v>5594</v>
      </c>
      <c r="B1194">
        <v>2.0260205134033101E+18</v>
      </c>
      <c r="C1194" t="s">
        <v>5602</v>
      </c>
      <c r="D1194">
        <v>143790</v>
      </c>
      <c r="E1194" s="16" t="s">
        <v>7</v>
      </c>
      <c r="F1194" s="3">
        <v>1</v>
      </c>
      <c r="G1194" s="3">
        <v>41363.636363636302</v>
      </c>
      <c r="H1194" s="3">
        <v>45499.999999999935</v>
      </c>
      <c r="I1194" s="3">
        <v>45500</v>
      </c>
      <c r="J1194" s="3">
        <v>41363.636363636302</v>
      </c>
      <c r="K1194" s="25">
        <v>30748</v>
      </c>
      <c r="L1194" s="25">
        <v>30748</v>
      </c>
    </row>
    <row r="1195" spans="1:12" x14ac:dyDescent="0.3">
      <c r="A1195" t="s">
        <v>5594</v>
      </c>
      <c r="B1195">
        <v>2.02602051351168E+18</v>
      </c>
      <c r="C1195" t="s">
        <v>5602</v>
      </c>
      <c r="D1195">
        <v>143790</v>
      </c>
      <c r="E1195" s="16" t="s">
        <v>7</v>
      </c>
      <c r="F1195" s="3">
        <v>1</v>
      </c>
      <c r="G1195" s="3">
        <v>41363.636363636302</v>
      </c>
      <c r="H1195" s="3">
        <v>45499.999999999935</v>
      </c>
      <c r="I1195" s="3">
        <v>45500</v>
      </c>
      <c r="J1195" s="3">
        <v>41363.636363636302</v>
      </c>
      <c r="K1195" s="25">
        <v>30748</v>
      </c>
      <c r="L1195" s="25">
        <v>30748</v>
      </c>
    </row>
    <row r="1196" spans="1:12" x14ac:dyDescent="0.3">
      <c r="A1196" t="s">
        <v>5594</v>
      </c>
      <c r="B1196">
        <v>2.02602051353011E+18</v>
      </c>
      <c r="C1196" t="s">
        <v>5602</v>
      </c>
      <c r="D1196">
        <v>143790</v>
      </c>
      <c r="E1196" s="16" t="s">
        <v>7</v>
      </c>
      <c r="F1196" s="3">
        <v>1</v>
      </c>
      <c r="G1196" s="3">
        <v>41363.636363636302</v>
      </c>
      <c r="H1196" s="3">
        <v>45499.999999999935</v>
      </c>
      <c r="I1196" s="3">
        <v>45500</v>
      </c>
      <c r="J1196" s="3">
        <v>41363.636363636302</v>
      </c>
      <c r="K1196" s="25">
        <v>30748</v>
      </c>
      <c r="L1196" s="25">
        <v>30748</v>
      </c>
    </row>
    <row r="1197" spans="1:12" x14ac:dyDescent="0.3">
      <c r="A1197" t="s">
        <v>5594</v>
      </c>
      <c r="B1197">
        <v>2.02602051359278E+18</v>
      </c>
      <c r="C1197" t="s">
        <v>5602</v>
      </c>
      <c r="D1197">
        <v>143790</v>
      </c>
      <c r="E1197" s="16" t="s">
        <v>7</v>
      </c>
      <c r="F1197" s="3">
        <v>1</v>
      </c>
      <c r="G1197" s="3">
        <v>41363.636363636302</v>
      </c>
      <c r="H1197" s="3">
        <v>45499.999999999935</v>
      </c>
      <c r="I1197" s="3">
        <v>45500</v>
      </c>
      <c r="J1197" s="3">
        <v>41363.636363636302</v>
      </c>
      <c r="K1197" s="25">
        <v>30748</v>
      </c>
      <c r="L1197" s="25">
        <v>30748</v>
      </c>
    </row>
    <row r="1198" spans="1:12" x14ac:dyDescent="0.3">
      <c r="A1198" t="s">
        <v>5594</v>
      </c>
      <c r="B1198">
        <v>2.0260205143455099E+18</v>
      </c>
      <c r="C1198" t="s">
        <v>5602</v>
      </c>
      <c r="D1198">
        <v>143790</v>
      </c>
      <c r="E1198" s="16" t="s">
        <v>7</v>
      </c>
      <c r="F1198" s="3">
        <v>1</v>
      </c>
      <c r="G1198" s="3">
        <v>41363.636363636302</v>
      </c>
      <c r="H1198" s="3">
        <v>45499.999999999935</v>
      </c>
      <c r="I1198" s="3">
        <v>45500</v>
      </c>
      <c r="J1198" s="3">
        <v>41363.636363636302</v>
      </c>
      <c r="K1198" s="25">
        <v>30748</v>
      </c>
      <c r="L1198" s="25">
        <v>30748</v>
      </c>
    </row>
    <row r="1199" spans="1:12" x14ac:dyDescent="0.3">
      <c r="A1199" t="s">
        <v>5594</v>
      </c>
      <c r="B1199">
        <v>2.02602051447394E+18</v>
      </c>
      <c r="C1199" t="s">
        <v>5602</v>
      </c>
      <c r="D1199">
        <v>143790</v>
      </c>
      <c r="E1199" s="16" t="s">
        <v>7</v>
      </c>
      <c r="F1199" s="3">
        <v>1</v>
      </c>
      <c r="G1199" s="3">
        <v>41363.636363636302</v>
      </c>
      <c r="H1199" s="3">
        <v>45499.999999999935</v>
      </c>
      <c r="I1199" s="3">
        <v>45500</v>
      </c>
      <c r="J1199" s="3">
        <v>41363.636363636302</v>
      </c>
      <c r="K1199" s="25">
        <v>30748</v>
      </c>
      <c r="L1199" s="25">
        <v>30748</v>
      </c>
    </row>
    <row r="1200" spans="1:12" x14ac:dyDescent="0.3">
      <c r="A1200" t="s">
        <v>5594</v>
      </c>
      <c r="B1200">
        <v>2.02602051605235E+18</v>
      </c>
      <c r="C1200" t="s">
        <v>5602</v>
      </c>
      <c r="D1200">
        <v>143790</v>
      </c>
      <c r="E1200" s="16" t="s">
        <v>7</v>
      </c>
      <c r="F1200" s="3">
        <v>1</v>
      </c>
      <c r="G1200" s="3">
        <v>41363.636363636302</v>
      </c>
      <c r="H1200" s="3">
        <v>45499.999999999935</v>
      </c>
      <c r="I1200" s="3">
        <v>45500</v>
      </c>
      <c r="J1200" s="3">
        <v>41363.636363636302</v>
      </c>
      <c r="K1200" s="25">
        <v>30748</v>
      </c>
      <c r="L1200" s="25">
        <v>30748</v>
      </c>
    </row>
    <row r="1201" spans="1:12" x14ac:dyDescent="0.3">
      <c r="A1201" t="s">
        <v>5594</v>
      </c>
      <c r="B1201">
        <v>2.0260205160856699E+18</v>
      </c>
      <c r="C1201" t="s">
        <v>5602</v>
      </c>
      <c r="D1201">
        <v>143790</v>
      </c>
      <c r="E1201" s="16" t="s">
        <v>7</v>
      </c>
      <c r="F1201" s="3">
        <v>1</v>
      </c>
      <c r="G1201" s="3">
        <v>41363.636363636302</v>
      </c>
      <c r="H1201" s="3">
        <v>45499.999999999935</v>
      </c>
      <c r="I1201" s="3">
        <v>45500</v>
      </c>
      <c r="J1201" s="3">
        <v>41363.636363636302</v>
      </c>
      <c r="K1201" s="25">
        <v>30748</v>
      </c>
      <c r="L1201" s="25">
        <v>30748</v>
      </c>
    </row>
    <row r="1202" spans="1:12" x14ac:dyDescent="0.3">
      <c r="A1202" t="s">
        <v>5594</v>
      </c>
      <c r="B1202">
        <v>2.0260205160954501E+18</v>
      </c>
      <c r="C1202" t="s">
        <v>5602</v>
      </c>
      <c r="D1202">
        <v>143790</v>
      </c>
      <c r="E1202" s="16" t="s">
        <v>7</v>
      </c>
      <c r="F1202" s="3">
        <v>1</v>
      </c>
      <c r="G1202" s="3">
        <v>41363.636363636302</v>
      </c>
      <c r="H1202" s="3">
        <v>45499.999999999935</v>
      </c>
      <c r="I1202" s="3">
        <v>45500</v>
      </c>
      <c r="J1202" s="3">
        <v>41363.636363636302</v>
      </c>
      <c r="K1202" s="25">
        <v>30748</v>
      </c>
      <c r="L1202" s="25">
        <v>30748</v>
      </c>
    </row>
    <row r="1203" spans="1:12" x14ac:dyDescent="0.3">
      <c r="A1203" t="s">
        <v>5594</v>
      </c>
      <c r="B1203">
        <v>2.0260205161002501E+18</v>
      </c>
      <c r="C1203" t="s">
        <v>5602</v>
      </c>
      <c r="D1203">
        <v>143790</v>
      </c>
      <c r="E1203" s="16" t="s">
        <v>7</v>
      </c>
      <c r="F1203" s="3">
        <v>1</v>
      </c>
      <c r="G1203" s="3">
        <v>41363.636363636302</v>
      </c>
      <c r="H1203" s="3">
        <v>45499.999999999935</v>
      </c>
      <c r="I1203" s="3">
        <v>45500</v>
      </c>
      <c r="J1203" s="3">
        <v>41363.636363636302</v>
      </c>
      <c r="K1203" s="25">
        <v>30748</v>
      </c>
      <c r="L1203" s="25">
        <v>30748</v>
      </c>
    </row>
    <row r="1204" spans="1:12" x14ac:dyDescent="0.3">
      <c r="A1204" t="s">
        <v>5594</v>
      </c>
      <c r="B1204">
        <v>2.02602051610111E+18</v>
      </c>
      <c r="C1204" t="s">
        <v>5602</v>
      </c>
      <c r="D1204">
        <v>143790</v>
      </c>
      <c r="E1204" s="16" t="s">
        <v>7</v>
      </c>
      <c r="F1204" s="3">
        <v>1</v>
      </c>
      <c r="G1204" s="3">
        <v>41363.636363636302</v>
      </c>
      <c r="H1204" s="3">
        <v>45499.999999999935</v>
      </c>
      <c r="I1204" s="3">
        <v>45500</v>
      </c>
      <c r="J1204" s="3">
        <v>41363.636363636302</v>
      </c>
      <c r="K1204" s="25">
        <v>30748</v>
      </c>
      <c r="L1204" s="25">
        <v>30748</v>
      </c>
    </row>
    <row r="1205" spans="1:12" x14ac:dyDescent="0.3">
      <c r="A1205" t="s">
        <v>5594</v>
      </c>
      <c r="B1205">
        <v>2.02602051611553E+18</v>
      </c>
      <c r="C1205" t="s">
        <v>5602</v>
      </c>
      <c r="D1205">
        <v>143790</v>
      </c>
      <c r="E1205" s="16" t="s">
        <v>7</v>
      </c>
      <c r="F1205" s="3">
        <v>1</v>
      </c>
      <c r="G1205" s="3">
        <v>41363.636363636302</v>
      </c>
      <c r="H1205" s="3">
        <v>45499.999999999935</v>
      </c>
      <c r="I1205" s="3">
        <v>45500</v>
      </c>
      <c r="J1205" s="3">
        <v>41363.636363636302</v>
      </c>
      <c r="K1205" s="25">
        <v>30748</v>
      </c>
      <c r="L1205" s="25">
        <v>30748</v>
      </c>
    </row>
    <row r="1206" spans="1:12" x14ac:dyDescent="0.3">
      <c r="A1206" t="s">
        <v>5594</v>
      </c>
      <c r="B1206">
        <v>2.02602051610337E+18</v>
      </c>
      <c r="C1206" t="s">
        <v>5602</v>
      </c>
      <c r="D1206">
        <v>143790</v>
      </c>
      <c r="E1206" s="16" t="s">
        <v>7</v>
      </c>
      <c r="F1206" s="3">
        <v>1</v>
      </c>
      <c r="G1206" s="3">
        <v>41363.636363636302</v>
      </c>
      <c r="H1206" s="3">
        <v>45499.999999999935</v>
      </c>
      <c r="I1206" s="3">
        <v>45500</v>
      </c>
      <c r="J1206" s="3">
        <v>41363.636363636302</v>
      </c>
      <c r="K1206" s="25">
        <v>30748</v>
      </c>
      <c r="L1206" s="25">
        <v>30748</v>
      </c>
    </row>
    <row r="1207" spans="1:12" x14ac:dyDescent="0.3">
      <c r="A1207" t="s">
        <v>5594</v>
      </c>
      <c r="B1207">
        <v>2.0260205161303601E+18</v>
      </c>
      <c r="C1207" t="s">
        <v>5602</v>
      </c>
      <c r="D1207">
        <v>143790</v>
      </c>
      <c r="E1207" s="16" t="s">
        <v>7</v>
      </c>
      <c r="F1207" s="3">
        <v>1</v>
      </c>
      <c r="G1207" s="3">
        <v>41363.636363636302</v>
      </c>
      <c r="H1207" s="3">
        <v>45499.999999999935</v>
      </c>
      <c r="I1207" s="3">
        <v>45500</v>
      </c>
      <c r="J1207" s="3">
        <v>41363.636363636302</v>
      </c>
      <c r="K1207" s="25">
        <v>30748</v>
      </c>
      <c r="L1207" s="25">
        <v>30748</v>
      </c>
    </row>
    <row r="1208" spans="1:12" x14ac:dyDescent="0.3">
      <c r="A1208" t="s">
        <v>5594</v>
      </c>
      <c r="B1208">
        <v>2.0260205161101701E+18</v>
      </c>
      <c r="C1208" t="s">
        <v>5602</v>
      </c>
      <c r="D1208">
        <v>143790</v>
      </c>
      <c r="E1208" s="16" t="s">
        <v>7</v>
      </c>
      <c r="F1208" s="3">
        <v>1</v>
      </c>
      <c r="G1208" s="3">
        <v>41363.636363636302</v>
      </c>
      <c r="H1208" s="3">
        <v>45499.999999999935</v>
      </c>
      <c r="I1208" s="3">
        <v>45500</v>
      </c>
      <c r="J1208" s="3">
        <v>41363.636363636302</v>
      </c>
      <c r="K1208" s="25">
        <v>30748</v>
      </c>
      <c r="L1208" s="25">
        <v>30748</v>
      </c>
    </row>
    <row r="1209" spans="1:12" x14ac:dyDescent="0.3">
      <c r="A1209" t="s">
        <v>5594</v>
      </c>
      <c r="B1209">
        <v>2.0260205161245701E+18</v>
      </c>
      <c r="C1209" t="s">
        <v>5602</v>
      </c>
      <c r="D1209">
        <v>143790</v>
      </c>
      <c r="E1209" s="16" t="s">
        <v>7</v>
      </c>
      <c r="F1209" s="3">
        <v>2</v>
      </c>
      <c r="G1209" s="3">
        <v>41363.636363636353</v>
      </c>
      <c r="H1209" s="3">
        <v>91000</v>
      </c>
      <c r="I1209" s="3">
        <v>91000</v>
      </c>
      <c r="J1209" s="3">
        <v>82727.272727272706</v>
      </c>
      <c r="K1209" s="25">
        <v>30748</v>
      </c>
      <c r="L1209" s="25">
        <v>61496</v>
      </c>
    </row>
    <row r="1210" spans="1:12" x14ac:dyDescent="0.3">
      <c r="A1210" t="s">
        <v>5594</v>
      </c>
      <c r="B1210">
        <v>2.0260205161337101E+18</v>
      </c>
      <c r="C1210" t="s">
        <v>5602</v>
      </c>
      <c r="D1210">
        <v>143790</v>
      </c>
      <c r="E1210" s="16" t="s">
        <v>7</v>
      </c>
      <c r="F1210" s="3">
        <v>1</v>
      </c>
      <c r="G1210" s="3">
        <v>41363.636363636302</v>
      </c>
      <c r="H1210" s="3">
        <v>45499.999999999935</v>
      </c>
      <c r="I1210" s="3">
        <v>45500</v>
      </c>
      <c r="J1210" s="3">
        <v>41363.636363636302</v>
      </c>
      <c r="K1210" s="25">
        <v>30748</v>
      </c>
      <c r="L1210" s="25">
        <v>30748</v>
      </c>
    </row>
    <row r="1211" spans="1:12" x14ac:dyDescent="0.3">
      <c r="A1211" t="s">
        <v>5594</v>
      </c>
      <c r="B1211">
        <v>2.0260205161222999E+18</v>
      </c>
      <c r="C1211" t="s">
        <v>5602</v>
      </c>
      <c r="D1211">
        <v>143790</v>
      </c>
      <c r="E1211" s="16" t="s">
        <v>7</v>
      </c>
      <c r="F1211" s="3">
        <v>1</v>
      </c>
      <c r="G1211" s="3">
        <v>41363.636363636302</v>
      </c>
      <c r="H1211" s="3">
        <v>45499.999999999935</v>
      </c>
      <c r="I1211" s="3">
        <v>45500</v>
      </c>
      <c r="J1211" s="3">
        <v>41363.636363636302</v>
      </c>
      <c r="K1211" s="25">
        <v>30748</v>
      </c>
      <c r="L1211" s="25">
        <v>30748</v>
      </c>
    </row>
    <row r="1212" spans="1:12" x14ac:dyDescent="0.3">
      <c r="A1212" t="s">
        <v>5594</v>
      </c>
      <c r="B1212">
        <v>2.0260205161724001E+18</v>
      </c>
      <c r="C1212" t="s">
        <v>5602</v>
      </c>
      <c r="D1212">
        <v>143790</v>
      </c>
      <c r="E1212" s="16" t="s">
        <v>7</v>
      </c>
      <c r="F1212" s="3">
        <v>1</v>
      </c>
      <c r="G1212" s="3">
        <v>41363.636363636302</v>
      </c>
      <c r="H1212" s="3">
        <v>45499.999999999935</v>
      </c>
      <c r="I1212" s="3">
        <v>45500</v>
      </c>
      <c r="J1212" s="3">
        <v>41363.636363636302</v>
      </c>
      <c r="K1212" s="25">
        <v>30748</v>
      </c>
      <c r="L1212" s="25">
        <v>30748</v>
      </c>
    </row>
    <row r="1213" spans="1:12" x14ac:dyDescent="0.3">
      <c r="A1213" t="s">
        <v>5594</v>
      </c>
      <c r="B1213">
        <v>2.02602051617106E+18</v>
      </c>
      <c r="C1213" t="s">
        <v>5602</v>
      </c>
      <c r="D1213">
        <v>143790</v>
      </c>
      <c r="E1213" s="16" t="s">
        <v>7</v>
      </c>
      <c r="F1213" s="3">
        <v>1</v>
      </c>
      <c r="G1213" s="3">
        <v>41363.636363636302</v>
      </c>
      <c r="H1213" s="3">
        <v>45499.999999999935</v>
      </c>
      <c r="I1213" s="3">
        <v>45500</v>
      </c>
      <c r="J1213" s="3">
        <v>41363.636363636302</v>
      </c>
      <c r="K1213" s="25">
        <v>30748</v>
      </c>
      <c r="L1213" s="25">
        <v>30748</v>
      </c>
    </row>
    <row r="1214" spans="1:12" x14ac:dyDescent="0.3">
      <c r="A1214" t="s">
        <v>5594</v>
      </c>
      <c r="B1214">
        <v>2.0260205161659899E+18</v>
      </c>
      <c r="C1214" t="s">
        <v>5602</v>
      </c>
      <c r="D1214">
        <v>143790</v>
      </c>
      <c r="E1214" s="16" t="s">
        <v>7</v>
      </c>
      <c r="F1214" s="3">
        <v>1</v>
      </c>
      <c r="G1214" s="3">
        <v>41363.636363636302</v>
      </c>
      <c r="H1214" s="3">
        <v>45499.999999999935</v>
      </c>
      <c r="I1214" s="3">
        <v>45500</v>
      </c>
      <c r="J1214" s="3">
        <v>41363.636363636302</v>
      </c>
      <c r="K1214" s="25">
        <v>30748</v>
      </c>
      <c r="L1214" s="25">
        <v>30748</v>
      </c>
    </row>
    <row r="1215" spans="1:12" x14ac:dyDescent="0.3">
      <c r="A1215" t="s">
        <v>5594</v>
      </c>
      <c r="B1215">
        <v>2.0260205161900401E+18</v>
      </c>
      <c r="C1215" t="s">
        <v>5602</v>
      </c>
      <c r="D1215">
        <v>143790</v>
      </c>
      <c r="E1215" s="16" t="s">
        <v>7</v>
      </c>
      <c r="F1215" s="3">
        <v>1</v>
      </c>
      <c r="G1215" s="3">
        <v>41363.636363636302</v>
      </c>
      <c r="H1215" s="3">
        <v>45499.999999999935</v>
      </c>
      <c r="I1215" s="3">
        <v>45500</v>
      </c>
      <c r="J1215" s="3">
        <v>41363.636363636302</v>
      </c>
      <c r="K1215" s="25">
        <v>30748</v>
      </c>
      <c r="L1215" s="25">
        <v>30748</v>
      </c>
    </row>
    <row r="1216" spans="1:12" x14ac:dyDescent="0.3">
      <c r="A1216" t="s">
        <v>5594</v>
      </c>
      <c r="B1216">
        <v>2.0260205161604101E+18</v>
      </c>
      <c r="C1216" t="s">
        <v>5602</v>
      </c>
      <c r="D1216">
        <v>143790</v>
      </c>
      <c r="E1216" s="16" t="s">
        <v>7</v>
      </c>
      <c r="F1216" s="3">
        <v>1</v>
      </c>
      <c r="G1216" s="3">
        <v>41363.636363636302</v>
      </c>
      <c r="H1216" s="3">
        <v>45499.999999999935</v>
      </c>
      <c r="I1216" s="3">
        <v>45500</v>
      </c>
      <c r="J1216" s="3">
        <v>41363.636363636302</v>
      </c>
      <c r="K1216" s="25">
        <v>30748</v>
      </c>
      <c r="L1216" s="25">
        <v>30748</v>
      </c>
    </row>
    <row r="1217" spans="1:12" x14ac:dyDescent="0.3">
      <c r="A1217" t="s">
        <v>5594</v>
      </c>
      <c r="B1217">
        <v>2.0260205162654999E+18</v>
      </c>
      <c r="C1217" t="s">
        <v>5602</v>
      </c>
      <c r="D1217">
        <v>143790</v>
      </c>
      <c r="E1217" s="16" t="s">
        <v>7</v>
      </c>
      <c r="F1217" s="3">
        <v>1</v>
      </c>
      <c r="G1217" s="3">
        <v>41363.636363636302</v>
      </c>
      <c r="H1217" s="3">
        <v>45499.999999999935</v>
      </c>
      <c r="I1217" s="3">
        <v>45500</v>
      </c>
      <c r="J1217" s="3">
        <v>41363.636363636302</v>
      </c>
      <c r="K1217" s="25">
        <v>30748</v>
      </c>
      <c r="L1217" s="25">
        <v>30748</v>
      </c>
    </row>
    <row r="1218" spans="1:12" x14ac:dyDescent="0.3">
      <c r="A1218" t="s">
        <v>5594</v>
      </c>
      <c r="B1218">
        <v>2.0260205163101701E+18</v>
      </c>
      <c r="C1218" t="s">
        <v>5602</v>
      </c>
      <c r="D1218">
        <v>143790</v>
      </c>
      <c r="E1218" s="16" t="s">
        <v>7</v>
      </c>
      <c r="F1218" s="3">
        <v>1</v>
      </c>
      <c r="G1218" s="3">
        <v>41363.636363636302</v>
      </c>
      <c r="H1218" s="3">
        <v>45499.999999999935</v>
      </c>
      <c r="I1218" s="3">
        <v>45500</v>
      </c>
      <c r="J1218" s="3">
        <v>41363.636363636302</v>
      </c>
      <c r="K1218" s="25">
        <v>30748</v>
      </c>
      <c r="L1218" s="25">
        <v>30748</v>
      </c>
    </row>
    <row r="1219" spans="1:12" x14ac:dyDescent="0.3">
      <c r="A1219" t="s">
        <v>5594</v>
      </c>
      <c r="B1219">
        <v>2.02602051633071E+18</v>
      </c>
      <c r="C1219" t="s">
        <v>5602</v>
      </c>
      <c r="D1219">
        <v>143790</v>
      </c>
      <c r="E1219" s="16" t="s">
        <v>7</v>
      </c>
      <c r="F1219" s="3">
        <v>1</v>
      </c>
      <c r="G1219" s="3">
        <v>41363.636363636302</v>
      </c>
      <c r="H1219" s="3">
        <v>45499.999999999935</v>
      </c>
      <c r="I1219" s="3">
        <v>45500</v>
      </c>
      <c r="J1219" s="3">
        <v>41363.636363636302</v>
      </c>
      <c r="K1219" s="25">
        <v>30748</v>
      </c>
      <c r="L1219" s="25">
        <v>30748</v>
      </c>
    </row>
    <row r="1220" spans="1:12" x14ac:dyDescent="0.3">
      <c r="A1220" t="s">
        <v>5594</v>
      </c>
      <c r="B1220">
        <v>2.0260205163213901E+18</v>
      </c>
      <c r="C1220" t="s">
        <v>5602</v>
      </c>
      <c r="D1220">
        <v>143790</v>
      </c>
      <c r="E1220" s="16" t="s">
        <v>7</v>
      </c>
      <c r="F1220" s="3">
        <v>4</v>
      </c>
      <c r="G1220" s="3">
        <v>41363.636363636251</v>
      </c>
      <c r="H1220" s="3">
        <v>181999.99999999956</v>
      </c>
      <c r="I1220" s="3">
        <v>182000</v>
      </c>
      <c r="J1220" s="3">
        <v>165454.545454545</v>
      </c>
      <c r="K1220" s="25">
        <v>30748</v>
      </c>
      <c r="L1220" s="25">
        <v>122992</v>
      </c>
    </row>
    <row r="1221" spans="1:12" x14ac:dyDescent="0.3">
      <c r="A1221" t="s">
        <v>5594</v>
      </c>
      <c r="B1221">
        <v>2.0260205163512901E+18</v>
      </c>
      <c r="C1221" t="s">
        <v>5602</v>
      </c>
      <c r="D1221">
        <v>143790</v>
      </c>
      <c r="E1221" s="16" t="s">
        <v>7</v>
      </c>
      <c r="F1221" s="3">
        <v>1</v>
      </c>
      <c r="G1221" s="3">
        <v>41363.636363636302</v>
      </c>
      <c r="H1221" s="3">
        <v>45499.999999999935</v>
      </c>
      <c r="I1221" s="3">
        <v>45500</v>
      </c>
      <c r="J1221" s="3">
        <v>41363.636363636302</v>
      </c>
      <c r="K1221" s="25">
        <v>30748</v>
      </c>
      <c r="L1221" s="25">
        <v>30748</v>
      </c>
    </row>
    <row r="1222" spans="1:12" x14ac:dyDescent="0.3">
      <c r="A1222" t="s">
        <v>5594</v>
      </c>
      <c r="B1222">
        <v>2.0260205164018401E+18</v>
      </c>
      <c r="C1222" t="s">
        <v>5602</v>
      </c>
      <c r="D1222">
        <v>143790</v>
      </c>
      <c r="E1222" s="16" t="s">
        <v>7</v>
      </c>
      <c r="F1222" s="3">
        <v>1</v>
      </c>
      <c r="G1222" s="3">
        <v>41363.636363636302</v>
      </c>
      <c r="H1222" s="3">
        <v>45499.999999999935</v>
      </c>
      <c r="I1222" s="3">
        <v>45500</v>
      </c>
      <c r="J1222" s="3">
        <v>41363.636363636302</v>
      </c>
      <c r="K1222" s="25">
        <v>30748</v>
      </c>
      <c r="L1222" s="25">
        <v>30748</v>
      </c>
    </row>
    <row r="1223" spans="1:12" x14ac:dyDescent="0.3">
      <c r="A1223" t="s">
        <v>5594</v>
      </c>
      <c r="B1223">
        <v>2.0260205164503601E+18</v>
      </c>
      <c r="C1223" t="s">
        <v>5602</v>
      </c>
      <c r="D1223">
        <v>143790</v>
      </c>
      <c r="E1223" s="16" t="s">
        <v>7</v>
      </c>
      <c r="F1223" s="3">
        <v>1</v>
      </c>
      <c r="G1223" s="3">
        <v>41363.636363636302</v>
      </c>
      <c r="H1223" s="3">
        <v>45499.999999999935</v>
      </c>
      <c r="I1223" s="3">
        <v>45500</v>
      </c>
      <c r="J1223" s="3">
        <v>41363.636363636302</v>
      </c>
      <c r="K1223" s="25">
        <v>30748</v>
      </c>
      <c r="L1223" s="25">
        <v>30748</v>
      </c>
    </row>
    <row r="1224" spans="1:12" x14ac:dyDescent="0.3">
      <c r="A1224" t="s">
        <v>5594</v>
      </c>
      <c r="B1224">
        <v>2.0260205164937001E+18</v>
      </c>
      <c r="C1224" t="s">
        <v>5602</v>
      </c>
      <c r="D1224">
        <v>143790</v>
      </c>
      <c r="E1224" s="16" t="s">
        <v>7</v>
      </c>
      <c r="F1224" s="3">
        <v>1</v>
      </c>
      <c r="G1224" s="3">
        <v>41363.636363636302</v>
      </c>
      <c r="H1224" s="3">
        <v>45499.999999999935</v>
      </c>
      <c r="I1224" s="3">
        <v>45500</v>
      </c>
      <c r="J1224" s="3">
        <v>41363.636363636302</v>
      </c>
      <c r="K1224" s="25">
        <v>30748</v>
      </c>
      <c r="L1224" s="25">
        <v>30748</v>
      </c>
    </row>
    <row r="1225" spans="1:12" x14ac:dyDescent="0.3">
      <c r="A1225" t="s">
        <v>5594</v>
      </c>
      <c r="B1225">
        <v>2.0260205165237399E+18</v>
      </c>
      <c r="C1225" t="s">
        <v>5602</v>
      </c>
      <c r="D1225">
        <v>143790</v>
      </c>
      <c r="E1225" s="16" t="s">
        <v>7</v>
      </c>
      <c r="F1225" s="3">
        <v>1</v>
      </c>
      <c r="G1225" s="3">
        <v>41363.636363636302</v>
      </c>
      <c r="H1225" s="3">
        <v>45499.999999999935</v>
      </c>
      <c r="I1225" s="3">
        <v>45500</v>
      </c>
      <c r="J1225" s="3">
        <v>41363.636363636302</v>
      </c>
      <c r="K1225" s="25">
        <v>30748</v>
      </c>
      <c r="L1225" s="25">
        <v>30748</v>
      </c>
    </row>
    <row r="1226" spans="1:12" x14ac:dyDescent="0.3">
      <c r="A1226" t="s">
        <v>5594</v>
      </c>
      <c r="B1226">
        <v>2.0260205170315E+18</v>
      </c>
      <c r="C1226" t="s">
        <v>5602</v>
      </c>
      <c r="D1226">
        <v>143790</v>
      </c>
      <c r="E1226" s="16" t="s">
        <v>7</v>
      </c>
      <c r="F1226" s="3">
        <v>1</v>
      </c>
      <c r="G1226" s="3">
        <v>41363.636363636302</v>
      </c>
      <c r="H1226" s="3">
        <v>45499.999999999935</v>
      </c>
      <c r="I1226" s="3">
        <v>45500</v>
      </c>
      <c r="J1226" s="3">
        <v>41363.636363636302</v>
      </c>
      <c r="K1226" s="25">
        <v>30748</v>
      </c>
      <c r="L1226" s="25">
        <v>30748</v>
      </c>
    </row>
    <row r="1227" spans="1:12" x14ac:dyDescent="0.3">
      <c r="A1227" t="s">
        <v>5594</v>
      </c>
      <c r="B1227">
        <v>2.0260205170621299E+18</v>
      </c>
      <c r="C1227" t="s">
        <v>5602</v>
      </c>
      <c r="D1227">
        <v>143790</v>
      </c>
      <c r="E1227" s="16" t="s">
        <v>7</v>
      </c>
      <c r="F1227" s="3">
        <v>1</v>
      </c>
      <c r="G1227" s="3">
        <v>41363.636363636302</v>
      </c>
      <c r="H1227" s="3">
        <v>45499.999999999935</v>
      </c>
      <c r="I1227" s="3">
        <v>45500</v>
      </c>
      <c r="J1227" s="3">
        <v>41363.636363636302</v>
      </c>
      <c r="K1227" s="25">
        <v>30748</v>
      </c>
      <c r="L1227" s="25">
        <v>30748</v>
      </c>
    </row>
    <row r="1228" spans="1:12" x14ac:dyDescent="0.3">
      <c r="A1228" t="s">
        <v>5594</v>
      </c>
      <c r="B1228">
        <v>2.02602051713073E+18</v>
      </c>
      <c r="C1228" t="s">
        <v>5602</v>
      </c>
      <c r="D1228">
        <v>143790</v>
      </c>
      <c r="E1228" s="16" t="s">
        <v>7</v>
      </c>
      <c r="F1228" s="3">
        <v>1</v>
      </c>
      <c r="G1228" s="3">
        <v>41363.636363636302</v>
      </c>
      <c r="H1228" s="3">
        <v>45499.999999999935</v>
      </c>
      <c r="I1228" s="3">
        <v>45500</v>
      </c>
      <c r="J1228" s="3">
        <v>41363.636363636302</v>
      </c>
      <c r="K1228" s="25">
        <v>30748</v>
      </c>
      <c r="L1228" s="25">
        <v>30748</v>
      </c>
    </row>
    <row r="1229" spans="1:12" x14ac:dyDescent="0.3">
      <c r="A1229" t="s">
        <v>5594</v>
      </c>
      <c r="B1229">
        <v>2.02602051712446E+18</v>
      </c>
      <c r="C1229" t="s">
        <v>5602</v>
      </c>
      <c r="D1229">
        <v>143790</v>
      </c>
      <c r="E1229" s="16" t="s">
        <v>7</v>
      </c>
      <c r="F1229" s="3">
        <v>1</v>
      </c>
      <c r="G1229" s="3">
        <v>41363.636363636302</v>
      </c>
      <c r="H1229" s="3">
        <v>45499.999999999935</v>
      </c>
      <c r="I1229" s="3">
        <v>45500</v>
      </c>
      <c r="J1229" s="3">
        <v>41363.636363636302</v>
      </c>
      <c r="K1229" s="25">
        <v>30748</v>
      </c>
      <c r="L1229" s="25">
        <v>30748</v>
      </c>
    </row>
    <row r="1230" spans="1:12" x14ac:dyDescent="0.3">
      <c r="A1230" t="s">
        <v>5594</v>
      </c>
      <c r="B1230">
        <v>2.0260205172151401E+18</v>
      </c>
      <c r="C1230" t="s">
        <v>5602</v>
      </c>
      <c r="D1230">
        <v>143790</v>
      </c>
      <c r="E1230" s="16" t="s">
        <v>7</v>
      </c>
      <c r="F1230" s="3">
        <v>1</v>
      </c>
      <c r="G1230" s="3">
        <v>41363.636363636302</v>
      </c>
      <c r="H1230" s="3">
        <v>45499.999999999935</v>
      </c>
      <c r="I1230" s="3">
        <v>45500</v>
      </c>
      <c r="J1230" s="3">
        <v>41363.636363636302</v>
      </c>
      <c r="K1230" s="25">
        <v>30748</v>
      </c>
      <c r="L1230" s="25">
        <v>30748</v>
      </c>
    </row>
    <row r="1231" spans="1:12" x14ac:dyDescent="0.3">
      <c r="A1231" t="s">
        <v>5594</v>
      </c>
      <c r="B1231">
        <v>2.02602051723488E+18</v>
      </c>
      <c r="C1231" t="s">
        <v>5602</v>
      </c>
      <c r="D1231">
        <v>143790</v>
      </c>
      <c r="E1231" s="16" t="s">
        <v>7</v>
      </c>
      <c r="F1231" s="3">
        <v>1</v>
      </c>
      <c r="G1231" s="3">
        <v>41363.636363636302</v>
      </c>
      <c r="H1231" s="3">
        <v>45499.999999999935</v>
      </c>
      <c r="I1231" s="3">
        <v>45500</v>
      </c>
      <c r="J1231" s="3">
        <v>41363.636363636302</v>
      </c>
      <c r="K1231" s="25">
        <v>30748</v>
      </c>
      <c r="L1231" s="25">
        <v>30748</v>
      </c>
    </row>
    <row r="1232" spans="1:12" x14ac:dyDescent="0.3">
      <c r="A1232" t="s">
        <v>5594</v>
      </c>
      <c r="B1232">
        <v>2.0260205172907699E+18</v>
      </c>
      <c r="C1232" t="s">
        <v>5602</v>
      </c>
      <c r="D1232">
        <v>143790</v>
      </c>
      <c r="E1232" s="16" t="s">
        <v>7</v>
      </c>
      <c r="F1232" s="3">
        <v>1</v>
      </c>
      <c r="G1232" s="3">
        <v>41363.636363636302</v>
      </c>
      <c r="H1232" s="3">
        <v>45499.999999999935</v>
      </c>
      <c r="I1232" s="3">
        <v>45500</v>
      </c>
      <c r="J1232" s="3">
        <v>41363.636363636302</v>
      </c>
      <c r="K1232" s="25">
        <v>30748</v>
      </c>
      <c r="L1232" s="25">
        <v>30748</v>
      </c>
    </row>
    <row r="1233" spans="1:12" x14ac:dyDescent="0.3">
      <c r="A1233" t="s">
        <v>5594</v>
      </c>
      <c r="B1233">
        <v>2.0260205172837299E+18</v>
      </c>
      <c r="C1233" t="s">
        <v>5602</v>
      </c>
      <c r="D1233">
        <v>143790</v>
      </c>
      <c r="E1233" s="16" t="s">
        <v>7</v>
      </c>
      <c r="F1233" s="3">
        <v>1</v>
      </c>
      <c r="G1233" s="3">
        <v>41363.636363636302</v>
      </c>
      <c r="H1233" s="3">
        <v>45499.999999999935</v>
      </c>
      <c r="I1233" s="3">
        <v>45500</v>
      </c>
      <c r="J1233" s="3">
        <v>41363.636363636302</v>
      </c>
      <c r="K1233" s="25">
        <v>30748</v>
      </c>
      <c r="L1233" s="25">
        <v>30748</v>
      </c>
    </row>
    <row r="1234" spans="1:12" x14ac:dyDescent="0.3">
      <c r="A1234" t="s">
        <v>5594</v>
      </c>
      <c r="B1234">
        <v>2.02602051741442E+18</v>
      </c>
      <c r="C1234" t="s">
        <v>5602</v>
      </c>
      <c r="D1234">
        <v>143790</v>
      </c>
      <c r="E1234" s="16" t="s">
        <v>7</v>
      </c>
      <c r="F1234" s="3">
        <v>1</v>
      </c>
      <c r="G1234" s="3">
        <v>41363.636363636302</v>
      </c>
      <c r="H1234" s="3">
        <v>45499.999999999935</v>
      </c>
      <c r="I1234" s="3">
        <v>45500</v>
      </c>
      <c r="J1234" s="3">
        <v>41363.636363636302</v>
      </c>
      <c r="K1234" s="25">
        <v>30748</v>
      </c>
      <c r="L1234" s="25">
        <v>30748</v>
      </c>
    </row>
    <row r="1235" spans="1:12" x14ac:dyDescent="0.3">
      <c r="A1235" t="s">
        <v>5594</v>
      </c>
      <c r="B1235">
        <v>2.02602051741314E+18</v>
      </c>
      <c r="C1235" t="s">
        <v>5602</v>
      </c>
      <c r="D1235">
        <v>143790</v>
      </c>
      <c r="E1235" s="16" t="s">
        <v>7</v>
      </c>
      <c r="F1235" s="3">
        <v>1</v>
      </c>
      <c r="G1235" s="3">
        <v>41363.636363636302</v>
      </c>
      <c r="H1235" s="3">
        <v>45499.999999999935</v>
      </c>
      <c r="I1235" s="3">
        <v>45500</v>
      </c>
      <c r="J1235" s="3">
        <v>41363.636363636302</v>
      </c>
      <c r="K1235" s="25">
        <v>30748</v>
      </c>
      <c r="L1235" s="25">
        <v>30748</v>
      </c>
    </row>
    <row r="1236" spans="1:12" x14ac:dyDescent="0.3">
      <c r="A1236" t="s">
        <v>5594</v>
      </c>
      <c r="B1236">
        <v>2.02602051755454E+18</v>
      </c>
      <c r="C1236" t="s">
        <v>5602</v>
      </c>
      <c r="D1236">
        <v>143790</v>
      </c>
      <c r="E1236" s="16" t="s">
        <v>7</v>
      </c>
      <c r="F1236" s="3">
        <v>1</v>
      </c>
      <c r="G1236" s="3">
        <v>41363.636363636302</v>
      </c>
      <c r="H1236" s="3">
        <v>45499.999999999935</v>
      </c>
      <c r="I1236" s="3">
        <v>45500</v>
      </c>
      <c r="J1236" s="3">
        <v>41363.636363636302</v>
      </c>
      <c r="K1236" s="25">
        <v>30748</v>
      </c>
      <c r="L1236" s="25">
        <v>30748</v>
      </c>
    </row>
    <row r="1237" spans="1:12" x14ac:dyDescent="0.3">
      <c r="A1237" t="s">
        <v>5594</v>
      </c>
      <c r="B1237">
        <v>2.02602051812176E+18</v>
      </c>
      <c r="C1237" t="s">
        <v>5602</v>
      </c>
      <c r="D1237">
        <v>143790</v>
      </c>
      <c r="E1237" s="16" t="s">
        <v>7</v>
      </c>
      <c r="F1237" s="3">
        <v>2</v>
      </c>
      <c r="G1237" s="3">
        <v>41363.636363636353</v>
      </c>
      <c r="H1237" s="3">
        <v>91000</v>
      </c>
      <c r="I1237" s="3">
        <v>91000</v>
      </c>
      <c r="J1237" s="3">
        <v>82727.272727272706</v>
      </c>
      <c r="K1237" s="25">
        <v>30748</v>
      </c>
      <c r="L1237" s="25">
        <v>61496</v>
      </c>
    </row>
    <row r="1238" spans="1:12" x14ac:dyDescent="0.3">
      <c r="A1238" t="s">
        <v>5594</v>
      </c>
      <c r="B1238">
        <v>2.02602051822509E+18</v>
      </c>
      <c r="C1238" t="s">
        <v>5602</v>
      </c>
      <c r="D1238">
        <v>143790</v>
      </c>
      <c r="E1238" s="16" t="s">
        <v>7</v>
      </c>
      <c r="F1238" s="3">
        <v>1</v>
      </c>
      <c r="G1238" s="3">
        <v>41363.636363636302</v>
      </c>
      <c r="H1238" s="3">
        <v>45499.999999999935</v>
      </c>
      <c r="I1238" s="3">
        <v>45500</v>
      </c>
      <c r="J1238" s="3">
        <v>41363.636363636302</v>
      </c>
      <c r="K1238" s="25">
        <v>30748</v>
      </c>
      <c r="L1238" s="25">
        <v>30748</v>
      </c>
    </row>
    <row r="1239" spans="1:12" x14ac:dyDescent="0.3">
      <c r="A1239" t="s">
        <v>5594</v>
      </c>
      <c r="B1239">
        <v>2.0260205182641201E+18</v>
      </c>
      <c r="C1239" t="s">
        <v>5602</v>
      </c>
      <c r="D1239">
        <v>143790</v>
      </c>
      <c r="E1239" s="16" t="s">
        <v>7</v>
      </c>
      <c r="F1239" s="3">
        <v>1</v>
      </c>
      <c r="G1239" s="3">
        <v>41363.636363636302</v>
      </c>
      <c r="H1239" s="3">
        <v>45499.999999999935</v>
      </c>
      <c r="I1239" s="3">
        <v>45500</v>
      </c>
      <c r="J1239" s="3">
        <v>41363.636363636302</v>
      </c>
      <c r="K1239" s="25">
        <v>30748</v>
      </c>
      <c r="L1239" s="25">
        <v>30748</v>
      </c>
    </row>
    <row r="1240" spans="1:12" x14ac:dyDescent="0.3">
      <c r="A1240" t="s">
        <v>5594</v>
      </c>
      <c r="B1240">
        <v>2.02602051839585E+18</v>
      </c>
      <c r="C1240" t="s">
        <v>5602</v>
      </c>
      <c r="D1240">
        <v>143790</v>
      </c>
      <c r="E1240" s="16" t="s">
        <v>7</v>
      </c>
      <c r="F1240" s="3">
        <v>1</v>
      </c>
      <c r="G1240" s="3">
        <v>41363.636363636302</v>
      </c>
      <c r="H1240" s="3">
        <v>45499.999999999935</v>
      </c>
      <c r="I1240" s="3">
        <v>45500</v>
      </c>
      <c r="J1240" s="3">
        <v>41363.636363636302</v>
      </c>
      <c r="K1240" s="25">
        <v>30748</v>
      </c>
      <c r="L1240" s="25">
        <v>30748</v>
      </c>
    </row>
    <row r="1241" spans="1:12" x14ac:dyDescent="0.3">
      <c r="A1241" t="s">
        <v>5594</v>
      </c>
      <c r="B1241">
        <v>2.0260205184803999E+18</v>
      </c>
      <c r="C1241" t="s">
        <v>5602</v>
      </c>
      <c r="D1241">
        <v>143790</v>
      </c>
      <c r="E1241" s="16" t="s">
        <v>7</v>
      </c>
      <c r="F1241" s="3">
        <v>1</v>
      </c>
      <c r="G1241" s="3">
        <v>41363.636363636302</v>
      </c>
      <c r="H1241" s="3">
        <v>45499.999999999935</v>
      </c>
      <c r="I1241" s="3">
        <v>45500</v>
      </c>
      <c r="J1241" s="3">
        <v>41363.636363636302</v>
      </c>
      <c r="K1241" s="25">
        <v>30748</v>
      </c>
      <c r="L1241" s="25">
        <v>30748</v>
      </c>
    </row>
    <row r="1242" spans="1:12" x14ac:dyDescent="0.3">
      <c r="A1242" t="s">
        <v>5594</v>
      </c>
      <c r="B1242">
        <v>2.0260205184725601E+18</v>
      </c>
      <c r="C1242" t="s">
        <v>5602</v>
      </c>
      <c r="D1242">
        <v>143790</v>
      </c>
      <c r="E1242" s="16" t="s">
        <v>7</v>
      </c>
      <c r="F1242" s="3">
        <v>1</v>
      </c>
      <c r="G1242" s="3">
        <v>41363.636363636302</v>
      </c>
      <c r="H1242" s="3">
        <v>45499.999999999935</v>
      </c>
      <c r="I1242" s="3">
        <v>45500</v>
      </c>
      <c r="J1242" s="3">
        <v>41363.636363636302</v>
      </c>
      <c r="K1242" s="25">
        <v>30748</v>
      </c>
      <c r="L1242" s="25">
        <v>30748</v>
      </c>
    </row>
    <row r="1243" spans="1:12" x14ac:dyDescent="0.3">
      <c r="A1243" t="s">
        <v>5594</v>
      </c>
      <c r="B1243">
        <v>2.0260205191721201E+18</v>
      </c>
      <c r="C1243" t="s">
        <v>5602</v>
      </c>
      <c r="D1243">
        <v>143790</v>
      </c>
      <c r="E1243" s="16" t="s">
        <v>7</v>
      </c>
      <c r="F1243" s="3">
        <v>1</v>
      </c>
      <c r="G1243" s="3">
        <v>41363.636363636302</v>
      </c>
      <c r="H1243" s="3">
        <v>45499.999999999935</v>
      </c>
      <c r="I1243" s="3">
        <v>45500</v>
      </c>
      <c r="J1243" s="3">
        <v>41363.636363636302</v>
      </c>
      <c r="K1243" s="25">
        <v>30748</v>
      </c>
      <c r="L1243" s="25">
        <v>30748</v>
      </c>
    </row>
    <row r="1244" spans="1:12" x14ac:dyDescent="0.3">
      <c r="A1244" t="s">
        <v>5594</v>
      </c>
      <c r="B1244">
        <v>2.0260205192512699E+18</v>
      </c>
      <c r="C1244" t="s">
        <v>5602</v>
      </c>
      <c r="D1244">
        <v>143790</v>
      </c>
      <c r="E1244" s="16" t="s">
        <v>7</v>
      </c>
      <c r="F1244" s="3">
        <v>1</v>
      </c>
      <c r="G1244" s="3">
        <v>41363.636363636302</v>
      </c>
      <c r="H1244" s="3">
        <v>45499.999999999935</v>
      </c>
      <c r="I1244" s="3">
        <v>45500</v>
      </c>
      <c r="J1244" s="3">
        <v>41363.636363636302</v>
      </c>
      <c r="K1244" s="25">
        <v>30748</v>
      </c>
      <c r="L1244" s="25">
        <v>30748</v>
      </c>
    </row>
    <row r="1245" spans="1:12" x14ac:dyDescent="0.3">
      <c r="A1245" t="s">
        <v>5594</v>
      </c>
      <c r="B1245">
        <v>2.02602051948494E+18</v>
      </c>
      <c r="C1245" t="s">
        <v>5602</v>
      </c>
      <c r="D1245">
        <v>143790</v>
      </c>
      <c r="E1245" s="16" t="s">
        <v>7</v>
      </c>
      <c r="F1245" s="3">
        <v>1</v>
      </c>
      <c r="G1245" s="3">
        <v>41363.636363636302</v>
      </c>
      <c r="H1245" s="3">
        <v>45499.999999999935</v>
      </c>
      <c r="I1245" s="3">
        <v>45500</v>
      </c>
      <c r="J1245" s="3">
        <v>41363.636363636302</v>
      </c>
      <c r="K1245" s="25">
        <v>30748</v>
      </c>
      <c r="L1245" s="25">
        <v>30748</v>
      </c>
    </row>
    <row r="1246" spans="1:12" x14ac:dyDescent="0.3">
      <c r="A1246" t="s">
        <v>5594</v>
      </c>
      <c r="B1246">
        <v>2.0260205194933E+18</v>
      </c>
      <c r="C1246" t="s">
        <v>5602</v>
      </c>
      <c r="D1246">
        <v>143790</v>
      </c>
      <c r="E1246" s="16" t="s">
        <v>7</v>
      </c>
      <c r="F1246" s="3">
        <v>1</v>
      </c>
      <c r="G1246" s="3">
        <v>41363.636363636302</v>
      </c>
      <c r="H1246" s="3">
        <v>45499.999999999935</v>
      </c>
      <c r="I1246" s="3">
        <v>45500</v>
      </c>
      <c r="J1246" s="3">
        <v>41363.636363636302</v>
      </c>
      <c r="K1246" s="25">
        <v>30748</v>
      </c>
      <c r="L1246" s="25">
        <v>30748</v>
      </c>
    </row>
    <row r="1247" spans="1:12" x14ac:dyDescent="0.3">
      <c r="A1247" t="s">
        <v>5594</v>
      </c>
      <c r="B1247">
        <v>2.02602052005026E+18</v>
      </c>
      <c r="C1247" t="s">
        <v>5602</v>
      </c>
      <c r="D1247">
        <v>143790</v>
      </c>
      <c r="E1247" s="16" t="s">
        <v>7</v>
      </c>
      <c r="F1247" s="3">
        <v>1</v>
      </c>
      <c r="G1247" s="3">
        <v>41363.636363636302</v>
      </c>
      <c r="H1247" s="3">
        <v>45499.999999999935</v>
      </c>
      <c r="I1247" s="3">
        <v>45500</v>
      </c>
      <c r="J1247" s="3">
        <v>41363.636363636302</v>
      </c>
      <c r="K1247" s="25">
        <v>30748</v>
      </c>
      <c r="L1247" s="25">
        <v>30748</v>
      </c>
    </row>
    <row r="1248" spans="1:12" x14ac:dyDescent="0.3">
      <c r="A1248" t="s">
        <v>5594</v>
      </c>
      <c r="B1248">
        <v>2.0260205202722299E+18</v>
      </c>
      <c r="C1248" t="s">
        <v>5602</v>
      </c>
      <c r="D1248">
        <v>143790</v>
      </c>
      <c r="E1248" s="16" t="s">
        <v>7</v>
      </c>
      <c r="F1248" s="3">
        <v>1</v>
      </c>
      <c r="G1248" s="3">
        <v>41363.636363636302</v>
      </c>
      <c r="H1248" s="3">
        <v>45499.999999999935</v>
      </c>
      <c r="I1248" s="3">
        <v>45500</v>
      </c>
      <c r="J1248" s="3">
        <v>41363.636363636302</v>
      </c>
      <c r="K1248" s="25">
        <v>30748</v>
      </c>
      <c r="L1248" s="25">
        <v>30748</v>
      </c>
    </row>
    <row r="1249" spans="1:12" x14ac:dyDescent="0.3">
      <c r="A1249" t="s">
        <v>5594</v>
      </c>
      <c r="B1249">
        <v>2.0260205203103401E+18</v>
      </c>
      <c r="C1249" t="s">
        <v>5602</v>
      </c>
      <c r="D1249">
        <v>143790</v>
      </c>
      <c r="E1249" s="16" t="s">
        <v>7</v>
      </c>
      <c r="F1249" s="3">
        <v>1</v>
      </c>
      <c r="G1249" s="3">
        <v>41363.636363636302</v>
      </c>
      <c r="H1249" s="3">
        <v>45499.999999999935</v>
      </c>
      <c r="I1249" s="3">
        <v>45500</v>
      </c>
      <c r="J1249" s="3">
        <v>41363.636363636302</v>
      </c>
      <c r="K1249" s="25">
        <v>30748</v>
      </c>
      <c r="L1249" s="25">
        <v>30748</v>
      </c>
    </row>
    <row r="1250" spans="1:12" x14ac:dyDescent="0.3">
      <c r="A1250" t="s">
        <v>5594</v>
      </c>
      <c r="B1250">
        <v>2.02602052104035E+18</v>
      </c>
      <c r="C1250" t="s">
        <v>5602</v>
      </c>
      <c r="D1250">
        <v>143790</v>
      </c>
      <c r="E1250" s="16" t="s">
        <v>7</v>
      </c>
      <c r="F1250" s="3">
        <v>1</v>
      </c>
      <c r="G1250" s="3">
        <v>41363.636363636302</v>
      </c>
      <c r="H1250" s="3">
        <v>45499.999999999935</v>
      </c>
      <c r="I1250" s="3">
        <v>45500</v>
      </c>
      <c r="J1250" s="3">
        <v>41363.636363636302</v>
      </c>
      <c r="K1250" s="25">
        <v>30748</v>
      </c>
      <c r="L1250" s="25">
        <v>30748</v>
      </c>
    </row>
    <row r="1251" spans="1:12" x14ac:dyDescent="0.3">
      <c r="A1251" t="s">
        <v>5594</v>
      </c>
      <c r="B1251">
        <v>2.02602052116275E+18</v>
      </c>
      <c r="C1251" t="s">
        <v>5602</v>
      </c>
      <c r="D1251">
        <v>143790</v>
      </c>
      <c r="E1251" s="16" t="s">
        <v>7</v>
      </c>
      <c r="F1251" s="3">
        <v>1</v>
      </c>
      <c r="G1251" s="3">
        <v>41363.636363636302</v>
      </c>
      <c r="H1251" s="3">
        <v>45499.999999999935</v>
      </c>
      <c r="I1251" s="3">
        <v>45500</v>
      </c>
      <c r="J1251" s="3">
        <v>41363.636363636302</v>
      </c>
      <c r="K1251" s="25">
        <v>30748</v>
      </c>
      <c r="L1251" s="25">
        <v>30748</v>
      </c>
    </row>
    <row r="1252" spans="1:12" x14ac:dyDescent="0.3">
      <c r="A1252" t="s">
        <v>5594</v>
      </c>
      <c r="B1252">
        <v>2.02602052118323E+18</v>
      </c>
      <c r="C1252" t="s">
        <v>5602</v>
      </c>
      <c r="D1252">
        <v>143790</v>
      </c>
      <c r="E1252" s="16" t="s">
        <v>7</v>
      </c>
      <c r="F1252" s="3">
        <v>1</v>
      </c>
      <c r="G1252" s="3">
        <v>41363.636363636302</v>
      </c>
      <c r="H1252" s="3">
        <v>45499.999999999935</v>
      </c>
      <c r="I1252" s="3">
        <v>45500</v>
      </c>
      <c r="J1252" s="3">
        <v>41363.636363636302</v>
      </c>
      <c r="K1252" s="25">
        <v>30748</v>
      </c>
      <c r="L1252" s="25">
        <v>30748</v>
      </c>
    </row>
    <row r="1253" spans="1:12" x14ac:dyDescent="0.3">
      <c r="A1253" t="s">
        <v>5594</v>
      </c>
      <c r="B1253">
        <v>2.02602052220545E+18</v>
      </c>
      <c r="C1253" t="s">
        <v>5602</v>
      </c>
      <c r="D1253">
        <v>143790</v>
      </c>
      <c r="E1253" s="16" t="s">
        <v>7</v>
      </c>
      <c r="F1253" s="3">
        <v>1</v>
      </c>
      <c r="G1253" s="3">
        <v>41363.636363636302</v>
      </c>
      <c r="H1253" s="3">
        <v>45499.999999999935</v>
      </c>
      <c r="I1253" s="3">
        <v>45500</v>
      </c>
      <c r="J1253" s="3">
        <v>41363.636363636302</v>
      </c>
      <c r="K1253" s="25">
        <v>30748</v>
      </c>
      <c r="L1253" s="25">
        <v>30748</v>
      </c>
    </row>
    <row r="1254" spans="1:12" x14ac:dyDescent="0.3">
      <c r="A1254" t="s">
        <v>5594</v>
      </c>
      <c r="B1254">
        <v>2.0260205223050199E+18</v>
      </c>
      <c r="C1254" t="s">
        <v>5602</v>
      </c>
      <c r="D1254">
        <v>143790</v>
      </c>
      <c r="E1254" s="16" t="s">
        <v>7</v>
      </c>
      <c r="F1254" s="3">
        <v>1</v>
      </c>
      <c r="G1254" s="3">
        <v>41363.636363636302</v>
      </c>
      <c r="H1254" s="3">
        <v>45499.999999999935</v>
      </c>
      <c r="I1254" s="3">
        <v>45500</v>
      </c>
      <c r="J1254" s="3">
        <v>41363.636363636302</v>
      </c>
      <c r="K1254" s="25">
        <v>30748</v>
      </c>
      <c r="L1254" s="25">
        <v>30748</v>
      </c>
    </row>
    <row r="1255" spans="1:12" x14ac:dyDescent="0.3">
      <c r="A1255" t="s">
        <v>5594</v>
      </c>
      <c r="B1255">
        <v>2.0260205223744599E+18</v>
      </c>
      <c r="C1255" t="s">
        <v>5602</v>
      </c>
      <c r="D1255">
        <v>143790</v>
      </c>
      <c r="E1255" s="16" t="s">
        <v>7</v>
      </c>
      <c r="F1255" s="3">
        <v>3</v>
      </c>
      <c r="G1255" s="3">
        <v>41363.636363636331</v>
      </c>
      <c r="H1255" s="3">
        <v>136499.99999999991</v>
      </c>
      <c r="I1255" s="3">
        <v>136500</v>
      </c>
      <c r="J1255" s="3">
        <v>124090.909090909</v>
      </c>
      <c r="K1255" s="25">
        <v>30748</v>
      </c>
      <c r="L1255" s="25">
        <v>92244</v>
      </c>
    </row>
    <row r="1256" spans="1:12" x14ac:dyDescent="0.3">
      <c r="A1256" t="s">
        <v>5594</v>
      </c>
      <c r="B1256">
        <v>2.0260205224154701E+18</v>
      </c>
      <c r="C1256" t="s">
        <v>5602</v>
      </c>
      <c r="D1256">
        <v>143790</v>
      </c>
      <c r="E1256" s="16" t="s">
        <v>7</v>
      </c>
      <c r="F1256" s="3">
        <v>1</v>
      </c>
      <c r="G1256" s="3">
        <v>41363.636363636302</v>
      </c>
      <c r="H1256" s="3">
        <v>45499.999999999935</v>
      </c>
      <c r="I1256" s="3">
        <v>45500</v>
      </c>
      <c r="J1256" s="3">
        <v>41363.636363636302</v>
      </c>
      <c r="K1256" s="25">
        <v>30748</v>
      </c>
      <c r="L1256" s="25">
        <v>30748</v>
      </c>
    </row>
    <row r="1257" spans="1:12" x14ac:dyDescent="0.3">
      <c r="A1257" t="s">
        <v>5594</v>
      </c>
      <c r="B1257">
        <v>2.02602052246541E+18</v>
      </c>
      <c r="C1257" t="s">
        <v>5602</v>
      </c>
      <c r="D1257">
        <v>143790</v>
      </c>
      <c r="E1257" s="16" t="s">
        <v>7</v>
      </c>
      <c r="F1257" s="3">
        <v>1</v>
      </c>
      <c r="G1257" s="3">
        <v>41363.636363636302</v>
      </c>
      <c r="H1257" s="3">
        <v>45499.999999999935</v>
      </c>
      <c r="I1257" s="3">
        <v>45500</v>
      </c>
      <c r="J1257" s="3">
        <v>41363.636363636302</v>
      </c>
      <c r="K1257" s="25">
        <v>30748</v>
      </c>
      <c r="L1257" s="25">
        <v>30748</v>
      </c>
    </row>
    <row r="1258" spans="1:12" x14ac:dyDescent="0.3">
      <c r="A1258" t="s">
        <v>5594</v>
      </c>
      <c r="B1258">
        <v>2.0260205233327301E+18</v>
      </c>
      <c r="C1258" t="s">
        <v>5602</v>
      </c>
      <c r="D1258">
        <v>143790</v>
      </c>
      <c r="E1258" s="16" t="s">
        <v>7</v>
      </c>
      <c r="F1258" s="3">
        <v>1</v>
      </c>
      <c r="G1258" s="3">
        <v>41363.636363636302</v>
      </c>
      <c r="H1258" s="3">
        <v>45499.999999999935</v>
      </c>
      <c r="I1258" s="3">
        <v>45500</v>
      </c>
      <c r="J1258" s="3">
        <v>41363.636363636302</v>
      </c>
      <c r="K1258" s="25">
        <v>30748</v>
      </c>
      <c r="L1258" s="25">
        <v>30748</v>
      </c>
    </row>
    <row r="1259" spans="1:12" x14ac:dyDescent="0.3">
      <c r="A1259" t="s">
        <v>5594</v>
      </c>
      <c r="B1259">
        <v>2.0260205233828101E+18</v>
      </c>
      <c r="C1259" t="s">
        <v>5602</v>
      </c>
      <c r="D1259">
        <v>143790</v>
      </c>
      <c r="E1259" s="16" t="s">
        <v>7</v>
      </c>
      <c r="F1259" s="3">
        <v>3</v>
      </c>
      <c r="G1259" s="3">
        <v>41363.636363636331</v>
      </c>
      <c r="H1259" s="3">
        <v>136499.99999999991</v>
      </c>
      <c r="I1259" s="3">
        <v>136500</v>
      </c>
      <c r="J1259" s="3">
        <v>124090.909090909</v>
      </c>
      <c r="K1259" s="25">
        <v>30748</v>
      </c>
      <c r="L1259" s="25">
        <v>92244</v>
      </c>
    </row>
    <row r="1260" spans="1:12" x14ac:dyDescent="0.3">
      <c r="A1260" t="s">
        <v>5594</v>
      </c>
      <c r="B1260">
        <v>2.02602052347373E+18</v>
      </c>
      <c r="C1260" t="s">
        <v>5602</v>
      </c>
      <c r="D1260">
        <v>143790</v>
      </c>
      <c r="E1260" s="16" t="s">
        <v>7</v>
      </c>
      <c r="F1260" s="3">
        <v>1</v>
      </c>
      <c r="G1260" s="3">
        <v>41363.636363636302</v>
      </c>
      <c r="H1260" s="3">
        <v>45499.999999999935</v>
      </c>
      <c r="I1260" s="3">
        <v>45500</v>
      </c>
      <c r="J1260" s="3">
        <v>41363.636363636302</v>
      </c>
      <c r="K1260" s="25">
        <v>30748</v>
      </c>
      <c r="L1260" s="25">
        <v>30748</v>
      </c>
    </row>
    <row r="1261" spans="1:12" x14ac:dyDescent="0.3">
      <c r="A1261" t="s">
        <v>5594</v>
      </c>
      <c r="B1261">
        <v>2.02602052347585E+18</v>
      </c>
      <c r="C1261" t="s">
        <v>5602</v>
      </c>
      <c r="D1261">
        <v>143790</v>
      </c>
      <c r="E1261" s="16" t="s">
        <v>7</v>
      </c>
      <c r="F1261" s="3">
        <v>1</v>
      </c>
      <c r="G1261" s="3">
        <v>41363.636363636302</v>
      </c>
      <c r="H1261" s="3">
        <v>45499.999999999935</v>
      </c>
      <c r="I1261" s="3">
        <v>45500</v>
      </c>
      <c r="J1261" s="3">
        <v>41363.636363636302</v>
      </c>
      <c r="K1261" s="25">
        <v>30748</v>
      </c>
      <c r="L1261" s="25">
        <v>30748</v>
      </c>
    </row>
    <row r="1262" spans="1:12" x14ac:dyDescent="0.3">
      <c r="A1262" t="s">
        <v>5594</v>
      </c>
      <c r="B1262">
        <v>2.0260206000805E+18</v>
      </c>
      <c r="C1262" t="s">
        <v>5602</v>
      </c>
      <c r="D1262">
        <v>143790</v>
      </c>
      <c r="E1262" s="16" t="s">
        <v>7</v>
      </c>
      <c r="F1262" s="3">
        <v>1</v>
      </c>
      <c r="G1262" s="3">
        <v>41363.636363636302</v>
      </c>
      <c r="H1262" s="3">
        <v>45499.999999999935</v>
      </c>
      <c r="I1262" s="3">
        <v>45500</v>
      </c>
      <c r="J1262" s="3">
        <v>41363.636363636302</v>
      </c>
      <c r="K1262" s="25">
        <v>30748</v>
      </c>
      <c r="L1262" s="25">
        <v>30748</v>
      </c>
    </row>
    <row r="1263" spans="1:12" x14ac:dyDescent="0.3">
      <c r="A1263" t="s">
        <v>5594</v>
      </c>
      <c r="B1263">
        <v>2.0260206001952699E+18</v>
      </c>
      <c r="C1263" t="s">
        <v>5602</v>
      </c>
      <c r="D1263">
        <v>143790</v>
      </c>
      <c r="E1263" s="16" t="s">
        <v>7</v>
      </c>
      <c r="F1263" s="3">
        <v>1</v>
      </c>
      <c r="G1263" s="3">
        <v>41363.636363636302</v>
      </c>
      <c r="H1263" s="3">
        <v>45499.999999999935</v>
      </c>
      <c r="I1263" s="3">
        <v>45500</v>
      </c>
      <c r="J1263" s="3">
        <v>41363.636363636302</v>
      </c>
      <c r="K1263" s="25">
        <v>30748</v>
      </c>
      <c r="L1263" s="25">
        <v>30748</v>
      </c>
    </row>
    <row r="1264" spans="1:12" x14ac:dyDescent="0.3">
      <c r="A1264" t="s">
        <v>5594</v>
      </c>
      <c r="B1264">
        <v>2.0260206004243699E+18</v>
      </c>
      <c r="C1264" t="s">
        <v>5602</v>
      </c>
      <c r="D1264">
        <v>143790</v>
      </c>
      <c r="E1264" s="16" t="s">
        <v>7</v>
      </c>
      <c r="F1264" s="3">
        <v>1</v>
      </c>
      <c r="G1264" s="3">
        <v>41363.636363636302</v>
      </c>
      <c r="H1264" s="3">
        <v>45499.999999999935</v>
      </c>
      <c r="I1264" s="3">
        <v>45500</v>
      </c>
      <c r="J1264" s="3">
        <v>41363.636363636302</v>
      </c>
      <c r="K1264" s="25">
        <v>30748</v>
      </c>
      <c r="L1264" s="25">
        <v>30748</v>
      </c>
    </row>
    <row r="1265" spans="1:12" x14ac:dyDescent="0.3">
      <c r="A1265" t="s">
        <v>5594</v>
      </c>
      <c r="B1265">
        <v>2.0260206012321201E+18</v>
      </c>
      <c r="C1265" t="s">
        <v>5602</v>
      </c>
      <c r="D1265">
        <v>143790</v>
      </c>
      <c r="E1265" s="16" t="s">
        <v>7</v>
      </c>
      <c r="F1265" s="3">
        <v>1</v>
      </c>
      <c r="G1265" s="3">
        <v>41363.636363636302</v>
      </c>
      <c r="H1265" s="3">
        <v>45499.999999999935</v>
      </c>
      <c r="I1265" s="3">
        <v>45500</v>
      </c>
      <c r="J1265" s="3">
        <v>41363.636363636302</v>
      </c>
      <c r="K1265" s="25">
        <v>30748</v>
      </c>
      <c r="L1265" s="25">
        <v>30748</v>
      </c>
    </row>
    <row r="1266" spans="1:12" x14ac:dyDescent="0.3">
      <c r="A1266" t="s">
        <v>5594</v>
      </c>
      <c r="B1266">
        <v>2.0260206012537001E+18</v>
      </c>
      <c r="C1266" t="s">
        <v>5602</v>
      </c>
      <c r="D1266">
        <v>143790</v>
      </c>
      <c r="E1266" s="16" t="s">
        <v>7</v>
      </c>
      <c r="F1266" s="3">
        <v>1</v>
      </c>
      <c r="G1266" s="3">
        <v>41363.636363636302</v>
      </c>
      <c r="H1266" s="3">
        <v>45499.999999999935</v>
      </c>
      <c r="I1266" s="3">
        <v>45500</v>
      </c>
      <c r="J1266" s="3">
        <v>41363.636363636302</v>
      </c>
      <c r="K1266" s="25">
        <v>30748</v>
      </c>
      <c r="L1266" s="25">
        <v>30748</v>
      </c>
    </row>
    <row r="1267" spans="1:12" x14ac:dyDescent="0.3">
      <c r="A1267" t="s">
        <v>5594</v>
      </c>
      <c r="B1267">
        <v>2.0260206064209999E+18</v>
      </c>
      <c r="C1267" t="s">
        <v>5602</v>
      </c>
      <c r="D1267">
        <v>143790</v>
      </c>
      <c r="E1267" s="16" t="s">
        <v>7</v>
      </c>
      <c r="F1267" s="3">
        <v>1</v>
      </c>
      <c r="G1267" s="3">
        <v>41363.636363636302</v>
      </c>
      <c r="H1267" s="3">
        <v>45499.999999999935</v>
      </c>
      <c r="I1267" s="3">
        <v>45500</v>
      </c>
      <c r="J1267" s="3">
        <v>41363.636363636302</v>
      </c>
      <c r="K1267" s="25">
        <v>30748</v>
      </c>
      <c r="L1267" s="25">
        <v>30748</v>
      </c>
    </row>
    <row r="1268" spans="1:12" x14ac:dyDescent="0.3">
      <c r="A1268" t="s">
        <v>5594</v>
      </c>
      <c r="B1268">
        <v>2.02602060725101E+18</v>
      </c>
      <c r="C1268" t="s">
        <v>5602</v>
      </c>
      <c r="D1268">
        <v>143790</v>
      </c>
      <c r="E1268" s="16" t="s">
        <v>7</v>
      </c>
      <c r="F1268" s="3">
        <v>1</v>
      </c>
      <c r="G1268" s="3">
        <v>41363.636363636302</v>
      </c>
      <c r="H1268" s="3">
        <v>45499.999999999935</v>
      </c>
      <c r="I1268" s="3">
        <v>45500</v>
      </c>
      <c r="J1268" s="3">
        <v>41363.636363636302</v>
      </c>
      <c r="K1268" s="25">
        <v>30748</v>
      </c>
      <c r="L1268" s="25">
        <v>30748</v>
      </c>
    </row>
    <row r="1269" spans="1:12" x14ac:dyDescent="0.3">
      <c r="A1269" t="s">
        <v>5594</v>
      </c>
      <c r="B1269">
        <v>2.02602060755491E+18</v>
      </c>
      <c r="C1269" t="s">
        <v>5602</v>
      </c>
      <c r="D1269">
        <v>143790</v>
      </c>
      <c r="E1269" s="16" t="s">
        <v>7</v>
      </c>
      <c r="F1269" s="3">
        <v>1</v>
      </c>
      <c r="G1269" s="3">
        <v>41363.636363636302</v>
      </c>
      <c r="H1269" s="3">
        <v>45499.999999999935</v>
      </c>
      <c r="I1269" s="3">
        <v>45500</v>
      </c>
      <c r="J1269" s="3">
        <v>41363.636363636302</v>
      </c>
      <c r="K1269" s="25">
        <v>30748</v>
      </c>
      <c r="L1269" s="25">
        <v>30748</v>
      </c>
    </row>
    <row r="1270" spans="1:12" x14ac:dyDescent="0.3">
      <c r="A1270" t="s">
        <v>5594</v>
      </c>
      <c r="B1270">
        <v>2.02602060757231E+18</v>
      </c>
      <c r="C1270" t="s">
        <v>5602</v>
      </c>
      <c r="D1270">
        <v>143790</v>
      </c>
      <c r="E1270" s="16" t="s">
        <v>7</v>
      </c>
      <c r="F1270" s="3">
        <v>1</v>
      </c>
      <c r="G1270" s="3">
        <v>41363.636363636302</v>
      </c>
      <c r="H1270" s="3">
        <v>45499.999999999935</v>
      </c>
      <c r="I1270" s="3">
        <v>45500</v>
      </c>
      <c r="J1270" s="3">
        <v>41363.636363636302</v>
      </c>
      <c r="K1270" s="25">
        <v>30748</v>
      </c>
      <c r="L1270" s="25">
        <v>30748</v>
      </c>
    </row>
    <row r="1271" spans="1:12" x14ac:dyDescent="0.3">
      <c r="A1271" t="s">
        <v>5594</v>
      </c>
      <c r="B1271">
        <v>2.0260206080032901E+18</v>
      </c>
      <c r="C1271" t="s">
        <v>5602</v>
      </c>
      <c r="D1271">
        <v>143790</v>
      </c>
      <c r="E1271" s="16" t="s">
        <v>7</v>
      </c>
      <c r="F1271" s="3">
        <v>1</v>
      </c>
      <c r="G1271" s="3">
        <v>41363.636363636302</v>
      </c>
      <c r="H1271" s="3">
        <v>45499.999999999935</v>
      </c>
      <c r="I1271" s="3">
        <v>45500</v>
      </c>
      <c r="J1271" s="3">
        <v>41363.636363636302</v>
      </c>
      <c r="K1271" s="25">
        <v>30748</v>
      </c>
      <c r="L1271" s="25">
        <v>30748</v>
      </c>
    </row>
    <row r="1272" spans="1:12" x14ac:dyDescent="0.3">
      <c r="A1272" t="s">
        <v>5594</v>
      </c>
      <c r="B1272">
        <v>2.0260206080418501E+18</v>
      </c>
      <c r="C1272" t="s">
        <v>5602</v>
      </c>
      <c r="D1272">
        <v>143790</v>
      </c>
      <c r="E1272" s="16" t="s">
        <v>7</v>
      </c>
      <c r="F1272" s="3">
        <v>1</v>
      </c>
      <c r="G1272" s="3">
        <v>41363.636363636302</v>
      </c>
      <c r="H1272" s="3">
        <v>45499.999999999935</v>
      </c>
      <c r="I1272" s="3">
        <v>45500</v>
      </c>
      <c r="J1272" s="3">
        <v>41363.636363636302</v>
      </c>
      <c r="K1272" s="25">
        <v>30748</v>
      </c>
      <c r="L1272" s="25">
        <v>30748</v>
      </c>
    </row>
    <row r="1273" spans="1:12" x14ac:dyDescent="0.3">
      <c r="A1273" t="s">
        <v>5594</v>
      </c>
      <c r="B1273">
        <v>2.02602060810333E+18</v>
      </c>
      <c r="C1273" t="s">
        <v>5602</v>
      </c>
      <c r="D1273">
        <v>143790</v>
      </c>
      <c r="E1273" s="16" t="s">
        <v>7</v>
      </c>
      <c r="F1273" s="3">
        <v>1</v>
      </c>
      <c r="G1273" s="3">
        <v>41363.636363636302</v>
      </c>
      <c r="H1273" s="3">
        <v>45499.999999999935</v>
      </c>
      <c r="I1273" s="3">
        <v>45500</v>
      </c>
      <c r="J1273" s="3">
        <v>41363.636363636302</v>
      </c>
      <c r="K1273" s="25">
        <v>30748</v>
      </c>
      <c r="L1273" s="25">
        <v>30748</v>
      </c>
    </row>
    <row r="1274" spans="1:12" x14ac:dyDescent="0.3">
      <c r="A1274" t="s">
        <v>5594</v>
      </c>
      <c r="B1274">
        <v>2.0260206082602199E+18</v>
      </c>
      <c r="C1274" t="s">
        <v>5602</v>
      </c>
      <c r="D1274">
        <v>143790</v>
      </c>
      <c r="E1274" s="16" t="s">
        <v>7</v>
      </c>
      <c r="F1274" s="3">
        <v>1</v>
      </c>
      <c r="G1274" s="3">
        <v>41363.636363636302</v>
      </c>
      <c r="H1274" s="3">
        <v>45499.999999999935</v>
      </c>
      <c r="I1274" s="3">
        <v>45500</v>
      </c>
      <c r="J1274" s="3">
        <v>41363.636363636302</v>
      </c>
      <c r="K1274" s="25">
        <v>30748</v>
      </c>
      <c r="L1274" s="25">
        <v>30748</v>
      </c>
    </row>
    <row r="1275" spans="1:12" x14ac:dyDescent="0.3">
      <c r="A1275" t="s">
        <v>5594</v>
      </c>
      <c r="B1275">
        <v>2.0260206100421299E+18</v>
      </c>
      <c r="C1275" t="s">
        <v>5602</v>
      </c>
      <c r="D1275">
        <v>143790</v>
      </c>
      <c r="E1275" s="16" t="s">
        <v>7</v>
      </c>
      <c r="F1275" s="3">
        <v>1</v>
      </c>
      <c r="G1275" s="3">
        <v>41363.636363636302</v>
      </c>
      <c r="H1275" s="3">
        <v>45499.999999999935</v>
      </c>
      <c r="I1275" s="3">
        <v>45500</v>
      </c>
      <c r="J1275" s="3">
        <v>41363.636363636302</v>
      </c>
      <c r="K1275" s="25">
        <v>30748</v>
      </c>
      <c r="L1275" s="25">
        <v>30748</v>
      </c>
    </row>
    <row r="1276" spans="1:12" x14ac:dyDescent="0.3">
      <c r="A1276" t="s">
        <v>5594</v>
      </c>
      <c r="B1276">
        <v>2.0260206101221299E+18</v>
      </c>
      <c r="C1276" t="s">
        <v>5602</v>
      </c>
      <c r="D1276">
        <v>143790</v>
      </c>
      <c r="E1276" s="16" t="s">
        <v>7</v>
      </c>
      <c r="F1276" s="3">
        <v>2</v>
      </c>
      <c r="G1276" s="3">
        <v>41363.636363636353</v>
      </c>
      <c r="H1276" s="3">
        <v>91000</v>
      </c>
      <c r="I1276" s="3">
        <v>91000</v>
      </c>
      <c r="J1276" s="3">
        <v>82727.272727272706</v>
      </c>
      <c r="K1276" s="25">
        <v>30748</v>
      </c>
      <c r="L1276" s="25">
        <v>61496</v>
      </c>
    </row>
    <row r="1277" spans="1:12" x14ac:dyDescent="0.3">
      <c r="A1277" t="s">
        <v>5594</v>
      </c>
      <c r="B1277">
        <v>2.0260206105727301E+18</v>
      </c>
      <c r="C1277" t="s">
        <v>5602</v>
      </c>
      <c r="D1277">
        <v>143790</v>
      </c>
      <c r="E1277" s="16" t="s">
        <v>7</v>
      </c>
      <c r="F1277" s="3">
        <v>1</v>
      </c>
      <c r="G1277" s="3">
        <v>41363.636363636302</v>
      </c>
      <c r="H1277" s="3">
        <v>45499.999999999935</v>
      </c>
      <c r="I1277" s="3">
        <v>45500</v>
      </c>
      <c r="J1277" s="3">
        <v>41363.636363636302</v>
      </c>
      <c r="K1277" s="25">
        <v>30748</v>
      </c>
      <c r="L1277" s="25">
        <v>30748</v>
      </c>
    </row>
    <row r="1278" spans="1:12" x14ac:dyDescent="0.3">
      <c r="A1278" t="s">
        <v>5594</v>
      </c>
      <c r="B1278">
        <v>2.0260206105900401E+18</v>
      </c>
      <c r="C1278" t="s">
        <v>5602</v>
      </c>
      <c r="D1278">
        <v>143790</v>
      </c>
      <c r="E1278" s="16" t="s">
        <v>7</v>
      </c>
      <c r="F1278" s="3">
        <v>1</v>
      </c>
      <c r="G1278" s="3">
        <v>41363.636363636302</v>
      </c>
      <c r="H1278" s="3">
        <v>45499.999999999935</v>
      </c>
      <c r="I1278" s="3">
        <v>45500</v>
      </c>
      <c r="J1278" s="3">
        <v>41363.636363636302</v>
      </c>
      <c r="K1278" s="25">
        <v>30748</v>
      </c>
      <c r="L1278" s="25">
        <v>30748</v>
      </c>
    </row>
    <row r="1279" spans="1:12" x14ac:dyDescent="0.3">
      <c r="A1279" t="s">
        <v>5594</v>
      </c>
      <c r="B1279">
        <v>2.0260205132135099E+18</v>
      </c>
      <c r="C1279" t="s">
        <v>5602</v>
      </c>
      <c r="D1279">
        <v>143790</v>
      </c>
      <c r="E1279" s="16" t="s">
        <v>7</v>
      </c>
      <c r="F1279" s="3">
        <v>1</v>
      </c>
      <c r="G1279" s="3">
        <v>57272.727272727199</v>
      </c>
      <c r="H1279" s="3">
        <v>62999.999999999927</v>
      </c>
      <c r="I1279" s="3">
        <v>63000</v>
      </c>
      <c r="J1279" s="3">
        <v>57272.727272727199</v>
      </c>
      <c r="K1279" s="25">
        <v>30748</v>
      </c>
      <c r="L1279" s="25">
        <v>30748</v>
      </c>
    </row>
    <row r="1280" spans="1:12" x14ac:dyDescent="0.3">
      <c r="A1280" t="s">
        <v>5594</v>
      </c>
      <c r="B1280">
        <v>2.0260205133832801E+18</v>
      </c>
      <c r="C1280" t="s">
        <v>5602</v>
      </c>
      <c r="D1280">
        <v>143790</v>
      </c>
      <c r="E1280" s="16" t="s">
        <v>7</v>
      </c>
      <c r="F1280" s="3">
        <v>1</v>
      </c>
      <c r="G1280" s="3">
        <v>57272.727272727199</v>
      </c>
      <c r="H1280" s="3">
        <v>62999.999999999927</v>
      </c>
      <c r="I1280" s="3">
        <v>63000</v>
      </c>
      <c r="J1280" s="3">
        <v>57272.727272727199</v>
      </c>
      <c r="K1280" s="25">
        <v>30748</v>
      </c>
      <c r="L1280" s="25">
        <v>30748</v>
      </c>
    </row>
    <row r="1281" spans="1:12" x14ac:dyDescent="0.3">
      <c r="A1281" t="s">
        <v>5594</v>
      </c>
      <c r="B1281">
        <v>2.02602051647373E+18</v>
      </c>
      <c r="C1281" t="s">
        <v>5602</v>
      </c>
      <c r="D1281">
        <v>143790</v>
      </c>
      <c r="E1281" s="16" t="s">
        <v>7</v>
      </c>
      <c r="F1281" s="3">
        <v>1</v>
      </c>
      <c r="G1281" s="3">
        <v>57272.727272727199</v>
      </c>
      <c r="H1281" s="3">
        <v>62999.999999999927</v>
      </c>
      <c r="I1281" s="3">
        <v>63000</v>
      </c>
      <c r="J1281" s="3">
        <v>57272.727272727199</v>
      </c>
      <c r="K1281" s="25">
        <v>30748</v>
      </c>
      <c r="L1281" s="25">
        <v>30748</v>
      </c>
    </row>
    <row r="1282" spans="1:12" x14ac:dyDescent="0.3">
      <c r="A1282" t="s">
        <v>5594</v>
      </c>
      <c r="B1282">
        <v>2.02602051729411E+18</v>
      </c>
      <c r="C1282" t="s">
        <v>5602</v>
      </c>
      <c r="D1282">
        <v>143790</v>
      </c>
      <c r="E1282" s="16" t="s">
        <v>7</v>
      </c>
      <c r="F1282" s="3">
        <v>1</v>
      </c>
      <c r="G1282" s="3">
        <v>57272.727272727199</v>
      </c>
      <c r="H1282" s="3">
        <v>62999.999999999927</v>
      </c>
      <c r="I1282" s="3">
        <v>63000</v>
      </c>
      <c r="J1282" s="3">
        <v>57272.727272727199</v>
      </c>
      <c r="K1282" s="25">
        <v>30748</v>
      </c>
      <c r="L1282" s="25">
        <v>30748</v>
      </c>
    </row>
    <row r="1283" spans="1:12" x14ac:dyDescent="0.3">
      <c r="A1283" t="s">
        <v>5594</v>
      </c>
      <c r="B1283">
        <v>2.02602051748113E+18</v>
      </c>
      <c r="C1283" t="s">
        <v>5602</v>
      </c>
      <c r="D1283">
        <v>143790</v>
      </c>
      <c r="E1283" s="16" t="s">
        <v>7</v>
      </c>
      <c r="F1283" s="3">
        <v>1</v>
      </c>
      <c r="G1283" s="3">
        <v>57272.727272727199</v>
      </c>
      <c r="H1283" s="3">
        <v>62999.999999999927</v>
      </c>
      <c r="I1283" s="3">
        <v>63000</v>
      </c>
      <c r="J1283" s="3">
        <v>57272.727272727199</v>
      </c>
      <c r="K1283" s="25">
        <v>30748</v>
      </c>
      <c r="L1283" s="25">
        <v>30748</v>
      </c>
    </row>
    <row r="1284" spans="1:12" x14ac:dyDescent="0.3">
      <c r="A1284" t="s">
        <v>5594</v>
      </c>
      <c r="B1284">
        <v>2.0260205175536599E+18</v>
      </c>
      <c r="C1284" t="s">
        <v>5602</v>
      </c>
      <c r="D1284">
        <v>143790</v>
      </c>
      <c r="E1284" s="16" t="s">
        <v>7</v>
      </c>
      <c r="F1284" s="3">
        <v>1</v>
      </c>
      <c r="G1284" s="3">
        <v>57272.727272727199</v>
      </c>
      <c r="H1284" s="3">
        <v>62999.999999999927</v>
      </c>
      <c r="I1284" s="3">
        <v>63000</v>
      </c>
      <c r="J1284" s="3">
        <v>57272.727272727199</v>
      </c>
      <c r="K1284" s="25">
        <v>30748</v>
      </c>
      <c r="L1284" s="25">
        <v>30748</v>
      </c>
    </row>
    <row r="1285" spans="1:12" x14ac:dyDescent="0.3">
      <c r="A1285" t="s">
        <v>5594</v>
      </c>
      <c r="B1285">
        <v>2.0260205194217201E+18</v>
      </c>
      <c r="C1285" t="s">
        <v>5602</v>
      </c>
      <c r="D1285">
        <v>143790</v>
      </c>
      <c r="E1285" s="16" t="s">
        <v>7</v>
      </c>
      <c r="F1285" s="3">
        <v>1</v>
      </c>
      <c r="G1285" s="3">
        <v>57272.727272727199</v>
      </c>
      <c r="H1285" s="3">
        <v>62999.999999999927</v>
      </c>
      <c r="I1285" s="3">
        <v>63000</v>
      </c>
      <c r="J1285" s="3">
        <v>57272.727272727199</v>
      </c>
      <c r="K1285" s="25">
        <v>30748</v>
      </c>
      <c r="L1285" s="25">
        <v>30748</v>
      </c>
    </row>
    <row r="1286" spans="1:12" x14ac:dyDescent="0.3">
      <c r="A1286" t="s">
        <v>5594</v>
      </c>
      <c r="B1286">
        <v>2.0260205223919201E+18</v>
      </c>
      <c r="C1286" t="s">
        <v>5602</v>
      </c>
      <c r="D1286">
        <v>143790</v>
      </c>
      <c r="E1286" s="16" t="s">
        <v>7</v>
      </c>
      <c r="F1286" s="3">
        <v>1</v>
      </c>
      <c r="G1286" s="3">
        <v>57272.727272727199</v>
      </c>
      <c r="H1286" s="3">
        <v>62999.999999999927</v>
      </c>
      <c r="I1286" s="3">
        <v>63000</v>
      </c>
      <c r="J1286" s="3">
        <v>57272.727272727199</v>
      </c>
      <c r="K1286" s="25">
        <v>30748</v>
      </c>
      <c r="L1286" s="25">
        <v>30748</v>
      </c>
    </row>
    <row r="1287" spans="1:12" x14ac:dyDescent="0.3">
      <c r="A1287" t="s">
        <v>5594</v>
      </c>
      <c r="B1287">
        <v>2.0260206030559099E+18</v>
      </c>
      <c r="C1287" t="s">
        <v>5602</v>
      </c>
      <c r="D1287">
        <v>143790</v>
      </c>
      <c r="E1287" s="16" t="s">
        <v>7</v>
      </c>
      <c r="F1287" s="3">
        <v>1</v>
      </c>
      <c r="G1287" s="3">
        <v>57272.727272727199</v>
      </c>
      <c r="H1287" s="3">
        <v>62999.999999999927</v>
      </c>
      <c r="I1287" s="3">
        <v>63000</v>
      </c>
      <c r="J1287" s="3">
        <v>57272.727272727199</v>
      </c>
      <c r="K1287" s="25">
        <v>30748</v>
      </c>
      <c r="L1287" s="25">
        <v>30748</v>
      </c>
    </row>
    <row r="1288" spans="1:12" x14ac:dyDescent="0.3">
      <c r="A1288" t="s">
        <v>5594</v>
      </c>
      <c r="B1288">
        <v>2.0260206082819899E+18</v>
      </c>
      <c r="C1288" t="s">
        <v>5602</v>
      </c>
      <c r="D1288">
        <v>143790</v>
      </c>
      <c r="E1288" s="16" t="s">
        <v>7</v>
      </c>
      <c r="F1288" s="3">
        <v>1</v>
      </c>
      <c r="G1288" s="3">
        <v>57272.727272727199</v>
      </c>
      <c r="H1288" s="3">
        <v>62999.999999999927</v>
      </c>
      <c r="I1288" s="3">
        <v>63000</v>
      </c>
      <c r="J1288" s="3">
        <v>57272.727272727199</v>
      </c>
      <c r="K1288" s="25">
        <v>30748</v>
      </c>
      <c r="L1288" s="25">
        <v>30748</v>
      </c>
    </row>
    <row r="1289" spans="1:12" x14ac:dyDescent="0.3">
      <c r="A1289" t="s">
        <v>5594</v>
      </c>
      <c r="B1289">
        <v>2.02602061039422E+18</v>
      </c>
      <c r="C1289" t="s">
        <v>5602</v>
      </c>
      <c r="D1289">
        <v>143790</v>
      </c>
      <c r="E1289" s="16" t="s">
        <v>7</v>
      </c>
      <c r="F1289" s="3">
        <v>1</v>
      </c>
      <c r="G1289" s="3">
        <v>57272.727272727199</v>
      </c>
      <c r="H1289" s="3">
        <v>62999.999999999927</v>
      </c>
      <c r="I1289" s="3">
        <v>63000</v>
      </c>
      <c r="J1289" s="3">
        <v>57272.727272727199</v>
      </c>
      <c r="K1289" s="25">
        <v>30748</v>
      </c>
      <c r="L1289" s="25">
        <v>30748</v>
      </c>
    </row>
    <row r="1290" spans="1:12" x14ac:dyDescent="0.3">
      <c r="A1290" t="s">
        <v>5594</v>
      </c>
      <c r="B1290">
        <v>2.02602091006482E+18</v>
      </c>
      <c r="C1290" t="s">
        <v>5602</v>
      </c>
      <c r="D1290">
        <v>143790</v>
      </c>
      <c r="E1290" s="16" t="s">
        <v>7</v>
      </c>
      <c r="F1290" s="3">
        <v>1</v>
      </c>
      <c r="G1290" s="3">
        <v>41363.636363636302</v>
      </c>
      <c r="H1290" s="3">
        <v>45499.999999999935</v>
      </c>
      <c r="I1290" s="3">
        <v>45500</v>
      </c>
      <c r="J1290" s="3">
        <v>41363.636363636302</v>
      </c>
      <c r="K1290" s="25">
        <v>30748</v>
      </c>
      <c r="L1290" s="25">
        <v>30748</v>
      </c>
    </row>
    <row r="1291" spans="1:12" x14ac:dyDescent="0.3">
      <c r="A1291" t="s">
        <v>5594</v>
      </c>
      <c r="B1291">
        <v>2.0260209080301801E+18</v>
      </c>
      <c r="C1291" t="s">
        <v>5602</v>
      </c>
      <c r="D1291">
        <v>143790</v>
      </c>
      <c r="E1291" s="16" t="s">
        <v>7</v>
      </c>
      <c r="F1291" s="3">
        <v>1</v>
      </c>
      <c r="G1291" s="3">
        <v>41363.636363636302</v>
      </c>
      <c r="H1291" s="3">
        <v>45499.999999999935</v>
      </c>
      <c r="I1291" s="3">
        <v>45500</v>
      </c>
      <c r="J1291" s="3">
        <v>41363.636363636302</v>
      </c>
      <c r="K1291" s="25">
        <v>30748</v>
      </c>
      <c r="L1291" s="25">
        <v>30748</v>
      </c>
    </row>
    <row r="1292" spans="1:12" x14ac:dyDescent="0.3">
      <c r="A1292" t="s">
        <v>5594</v>
      </c>
      <c r="B1292">
        <v>2.0260209012113999E+18</v>
      </c>
      <c r="C1292" t="s">
        <v>5602</v>
      </c>
      <c r="D1292">
        <v>143790</v>
      </c>
      <c r="E1292" s="16" t="s">
        <v>7</v>
      </c>
      <c r="F1292" s="3">
        <v>1</v>
      </c>
      <c r="G1292" s="3">
        <v>41363.636363636302</v>
      </c>
      <c r="H1292" s="3">
        <v>45499.999999999935</v>
      </c>
      <c r="I1292" s="3">
        <v>45500</v>
      </c>
      <c r="J1292" s="3">
        <v>41363.636363636302</v>
      </c>
      <c r="K1292" s="25">
        <v>30748</v>
      </c>
      <c r="L1292" s="25">
        <v>30748</v>
      </c>
    </row>
    <row r="1293" spans="1:12" x14ac:dyDescent="0.3">
      <c r="A1293" t="s">
        <v>5594</v>
      </c>
      <c r="B1293">
        <v>2.02602090014432E+18</v>
      </c>
      <c r="C1293" t="s">
        <v>5602</v>
      </c>
      <c r="D1293">
        <v>143790</v>
      </c>
      <c r="E1293" s="16" t="s">
        <v>7</v>
      </c>
      <c r="F1293" s="3">
        <v>1</v>
      </c>
      <c r="G1293" s="3">
        <v>41363.636363636302</v>
      </c>
      <c r="H1293" s="3">
        <v>45499.999999999935</v>
      </c>
      <c r="I1293" s="3">
        <v>45500</v>
      </c>
      <c r="J1293" s="3">
        <v>41363.636363636302</v>
      </c>
      <c r="K1293" s="25">
        <v>30748</v>
      </c>
      <c r="L1293" s="25">
        <v>30748</v>
      </c>
    </row>
    <row r="1294" spans="1:12" x14ac:dyDescent="0.3">
      <c r="A1294" t="s">
        <v>5594</v>
      </c>
      <c r="B1294">
        <v>2.0260208234043899E+18</v>
      </c>
      <c r="C1294" t="s">
        <v>5602</v>
      </c>
      <c r="D1294">
        <v>143790</v>
      </c>
      <c r="E1294" s="16" t="s">
        <v>7</v>
      </c>
      <c r="F1294" s="3">
        <v>1</v>
      </c>
      <c r="G1294" s="3">
        <v>41363.636363636302</v>
      </c>
      <c r="H1294" s="3">
        <v>45499.999999999935</v>
      </c>
      <c r="I1294" s="3">
        <v>45500</v>
      </c>
      <c r="J1294" s="3">
        <v>41363.636363636302</v>
      </c>
      <c r="K1294" s="25">
        <v>30748</v>
      </c>
      <c r="L1294" s="25">
        <v>30748</v>
      </c>
    </row>
    <row r="1295" spans="1:12" x14ac:dyDescent="0.3">
      <c r="A1295" t="s">
        <v>5594</v>
      </c>
      <c r="B1295">
        <v>2.0260208232315E+18</v>
      </c>
      <c r="C1295" t="s">
        <v>5602</v>
      </c>
      <c r="D1295">
        <v>143790</v>
      </c>
      <c r="E1295" s="16" t="s">
        <v>7</v>
      </c>
      <c r="F1295" s="3">
        <v>1</v>
      </c>
      <c r="G1295" s="3">
        <v>41363.636363636302</v>
      </c>
      <c r="H1295" s="3">
        <v>45499.999999999935</v>
      </c>
      <c r="I1295" s="3">
        <v>45500</v>
      </c>
      <c r="J1295" s="3">
        <v>41363.636363636302</v>
      </c>
      <c r="K1295" s="25">
        <v>30748</v>
      </c>
      <c r="L1295" s="25">
        <v>30748</v>
      </c>
    </row>
    <row r="1296" spans="1:12" x14ac:dyDescent="0.3">
      <c r="A1296" t="s">
        <v>5594</v>
      </c>
      <c r="B1296">
        <v>2.02602082042015E+18</v>
      </c>
      <c r="C1296" t="s">
        <v>5602</v>
      </c>
      <c r="D1296">
        <v>143790</v>
      </c>
      <c r="E1296" s="16" t="s">
        <v>7</v>
      </c>
      <c r="F1296" s="3">
        <v>1</v>
      </c>
      <c r="G1296" s="3">
        <v>41363.636363636302</v>
      </c>
      <c r="H1296" s="3">
        <v>45499.999999999935</v>
      </c>
      <c r="I1296" s="3">
        <v>45500</v>
      </c>
      <c r="J1296" s="3">
        <v>41363.636363636302</v>
      </c>
      <c r="K1296" s="25">
        <v>30748</v>
      </c>
      <c r="L1296" s="25">
        <v>30748</v>
      </c>
    </row>
    <row r="1297" spans="1:12" x14ac:dyDescent="0.3">
      <c r="A1297" t="s">
        <v>5594</v>
      </c>
      <c r="B1297">
        <v>2.0260208202021199E+18</v>
      </c>
      <c r="C1297" t="s">
        <v>5602</v>
      </c>
      <c r="D1297">
        <v>143790</v>
      </c>
      <c r="E1297" s="16" t="s">
        <v>7</v>
      </c>
      <c r="F1297" s="3">
        <v>1</v>
      </c>
      <c r="G1297" s="3">
        <v>41363.636363636302</v>
      </c>
      <c r="H1297" s="3">
        <v>45499.999999999935</v>
      </c>
      <c r="I1297" s="3">
        <v>45500</v>
      </c>
      <c r="J1297" s="3">
        <v>41363.636363636302</v>
      </c>
      <c r="K1297" s="25">
        <v>30748</v>
      </c>
      <c r="L1297" s="25">
        <v>30748</v>
      </c>
    </row>
    <row r="1298" spans="1:12" x14ac:dyDescent="0.3">
      <c r="A1298" t="s">
        <v>5594</v>
      </c>
      <c r="B1298">
        <v>2.0260208192633201E+18</v>
      </c>
      <c r="C1298" t="s">
        <v>5602</v>
      </c>
      <c r="D1298">
        <v>143790</v>
      </c>
      <c r="E1298" s="16" t="s">
        <v>7</v>
      </c>
      <c r="F1298" s="3">
        <v>1</v>
      </c>
      <c r="G1298" s="3">
        <v>41363.636363636302</v>
      </c>
      <c r="H1298" s="3">
        <v>45499.999999999935</v>
      </c>
      <c r="I1298" s="3">
        <v>45500</v>
      </c>
      <c r="J1298" s="3">
        <v>41363.636363636302</v>
      </c>
      <c r="K1298" s="25">
        <v>30748</v>
      </c>
      <c r="L1298" s="25">
        <v>30748</v>
      </c>
    </row>
    <row r="1299" spans="1:12" x14ac:dyDescent="0.3">
      <c r="A1299" t="s">
        <v>5594</v>
      </c>
      <c r="B1299">
        <v>2.02602081925375E+18</v>
      </c>
      <c r="C1299" t="s">
        <v>5602</v>
      </c>
      <c r="D1299">
        <v>143790</v>
      </c>
      <c r="E1299" s="16" t="s">
        <v>7</v>
      </c>
      <c r="F1299" s="3">
        <v>1</v>
      </c>
      <c r="G1299" s="3">
        <v>41363.636363636302</v>
      </c>
      <c r="H1299" s="3">
        <v>45499.999999999935</v>
      </c>
      <c r="I1299" s="3">
        <v>45500</v>
      </c>
      <c r="J1299" s="3">
        <v>41363.636363636302</v>
      </c>
      <c r="K1299" s="25">
        <v>30748</v>
      </c>
      <c r="L1299" s="25">
        <v>30748</v>
      </c>
    </row>
    <row r="1300" spans="1:12" x14ac:dyDescent="0.3">
      <c r="A1300" t="s">
        <v>5594</v>
      </c>
      <c r="B1300">
        <v>2.0260208192229901E+18</v>
      </c>
      <c r="C1300" t="s">
        <v>5602</v>
      </c>
      <c r="D1300">
        <v>143790</v>
      </c>
      <c r="E1300" s="16" t="s">
        <v>7</v>
      </c>
      <c r="F1300" s="3">
        <v>2</v>
      </c>
      <c r="G1300" s="3">
        <v>41363.636363636353</v>
      </c>
      <c r="H1300" s="3">
        <v>91000</v>
      </c>
      <c r="I1300" s="3">
        <v>91000</v>
      </c>
      <c r="J1300" s="3">
        <v>82727.272727272706</v>
      </c>
      <c r="K1300" s="25">
        <v>30748</v>
      </c>
      <c r="L1300" s="25">
        <v>61496</v>
      </c>
    </row>
    <row r="1301" spans="1:12" x14ac:dyDescent="0.3">
      <c r="A1301" t="s">
        <v>5594</v>
      </c>
      <c r="B1301">
        <v>2.0260208192118999E+18</v>
      </c>
      <c r="C1301" t="s">
        <v>5602</v>
      </c>
      <c r="D1301">
        <v>143790</v>
      </c>
      <c r="E1301" s="16" t="s">
        <v>7</v>
      </c>
      <c r="F1301" s="3">
        <v>1</v>
      </c>
      <c r="G1301" s="3">
        <v>41363.636363636302</v>
      </c>
      <c r="H1301" s="3">
        <v>45499.999999999935</v>
      </c>
      <c r="I1301" s="3">
        <v>45500</v>
      </c>
      <c r="J1301" s="3">
        <v>41363.636363636302</v>
      </c>
      <c r="K1301" s="25">
        <v>30748</v>
      </c>
      <c r="L1301" s="25">
        <v>30748</v>
      </c>
    </row>
    <row r="1302" spans="1:12" x14ac:dyDescent="0.3">
      <c r="A1302" t="s">
        <v>5594</v>
      </c>
      <c r="B1302">
        <v>2.0260208191306399E+18</v>
      </c>
      <c r="C1302" t="s">
        <v>5602</v>
      </c>
      <c r="D1302">
        <v>143790</v>
      </c>
      <c r="E1302" s="16" t="s">
        <v>7</v>
      </c>
      <c r="F1302" s="3">
        <v>2</v>
      </c>
      <c r="G1302" s="3">
        <v>41363.636363636353</v>
      </c>
      <c r="H1302" s="3">
        <v>91000</v>
      </c>
      <c r="I1302" s="3">
        <v>91000</v>
      </c>
      <c r="J1302" s="3">
        <v>82727.272727272706</v>
      </c>
      <c r="K1302" s="25">
        <v>30748</v>
      </c>
      <c r="L1302" s="25">
        <v>61496</v>
      </c>
    </row>
    <row r="1303" spans="1:12" x14ac:dyDescent="0.3">
      <c r="A1303" t="s">
        <v>5594</v>
      </c>
      <c r="B1303">
        <v>2.0260208185549701E+18</v>
      </c>
      <c r="C1303" t="s">
        <v>5602</v>
      </c>
      <c r="D1303">
        <v>143790</v>
      </c>
      <c r="E1303" s="16" t="s">
        <v>7</v>
      </c>
      <c r="F1303" s="3">
        <v>1</v>
      </c>
      <c r="G1303" s="3">
        <v>41363.636363636302</v>
      </c>
      <c r="H1303" s="3">
        <v>45499.999999999935</v>
      </c>
      <c r="I1303" s="3">
        <v>45500</v>
      </c>
      <c r="J1303" s="3">
        <v>41363.636363636302</v>
      </c>
      <c r="K1303" s="25">
        <v>30748</v>
      </c>
      <c r="L1303" s="25">
        <v>30748</v>
      </c>
    </row>
    <row r="1304" spans="1:12" x14ac:dyDescent="0.3">
      <c r="A1304" t="s">
        <v>5594</v>
      </c>
      <c r="B1304">
        <v>2.02602081851182E+18</v>
      </c>
      <c r="C1304" t="s">
        <v>5602</v>
      </c>
      <c r="D1304">
        <v>143790</v>
      </c>
      <c r="E1304" s="16" t="s">
        <v>7</v>
      </c>
      <c r="F1304" s="3">
        <v>1</v>
      </c>
      <c r="G1304" s="3">
        <v>41363.636363636302</v>
      </c>
      <c r="H1304" s="3">
        <v>45499.999999999935</v>
      </c>
      <c r="I1304" s="3">
        <v>45500</v>
      </c>
      <c r="J1304" s="3">
        <v>41363.636363636302</v>
      </c>
      <c r="K1304" s="25">
        <v>30748</v>
      </c>
      <c r="L1304" s="25">
        <v>30748</v>
      </c>
    </row>
    <row r="1305" spans="1:12" x14ac:dyDescent="0.3">
      <c r="A1305" t="s">
        <v>5594</v>
      </c>
      <c r="B1305">
        <v>2.02602081842179E+18</v>
      </c>
      <c r="C1305" t="s">
        <v>5602</v>
      </c>
      <c r="D1305">
        <v>143790</v>
      </c>
      <c r="E1305" s="16" t="s">
        <v>7</v>
      </c>
      <c r="F1305" s="3">
        <v>1</v>
      </c>
      <c r="G1305" s="3">
        <v>41363.636363636302</v>
      </c>
      <c r="H1305" s="3">
        <v>45499.999999999935</v>
      </c>
      <c r="I1305" s="3">
        <v>45500</v>
      </c>
      <c r="J1305" s="3">
        <v>41363.636363636302</v>
      </c>
      <c r="K1305" s="25">
        <v>30748</v>
      </c>
      <c r="L1305" s="25">
        <v>30748</v>
      </c>
    </row>
    <row r="1306" spans="1:12" x14ac:dyDescent="0.3">
      <c r="A1306" t="s">
        <v>5594</v>
      </c>
      <c r="B1306">
        <v>2.02602081819518E+18</v>
      </c>
      <c r="C1306" t="s">
        <v>5602</v>
      </c>
      <c r="D1306">
        <v>143790</v>
      </c>
      <c r="E1306" s="16" t="s">
        <v>7</v>
      </c>
      <c r="F1306" s="3">
        <v>1</v>
      </c>
      <c r="G1306" s="3">
        <v>41363.636363636302</v>
      </c>
      <c r="H1306" s="3">
        <v>45499.999999999935</v>
      </c>
      <c r="I1306" s="3">
        <v>45500</v>
      </c>
      <c r="J1306" s="3">
        <v>41363.636363636302</v>
      </c>
      <c r="K1306" s="25">
        <v>30748</v>
      </c>
      <c r="L1306" s="25">
        <v>30748</v>
      </c>
    </row>
    <row r="1307" spans="1:12" x14ac:dyDescent="0.3">
      <c r="A1307" t="s">
        <v>5594</v>
      </c>
      <c r="B1307">
        <v>2.0260208181204301E+18</v>
      </c>
      <c r="C1307" t="s">
        <v>5602</v>
      </c>
      <c r="D1307">
        <v>143790</v>
      </c>
      <c r="E1307" s="16" t="s">
        <v>7</v>
      </c>
      <c r="F1307" s="3">
        <v>1</v>
      </c>
      <c r="G1307" s="3">
        <v>41363.636363636302</v>
      </c>
      <c r="H1307" s="3">
        <v>45499.999999999935</v>
      </c>
      <c r="I1307" s="3">
        <v>45500</v>
      </c>
      <c r="J1307" s="3">
        <v>41363.636363636302</v>
      </c>
      <c r="K1307" s="25">
        <v>30748</v>
      </c>
      <c r="L1307" s="25">
        <v>30748</v>
      </c>
    </row>
    <row r="1308" spans="1:12" x14ac:dyDescent="0.3">
      <c r="A1308" t="s">
        <v>5594</v>
      </c>
      <c r="B1308">
        <v>2.0260208180349399E+18</v>
      </c>
      <c r="C1308" t="s">
        <v>5602</v>
      </c>
      <c r="D1308">
        <v>143790</v>
      </c>
      <c r="E1308" s="16" t="s">
        <v>7</v>
      </c>
      <c r="F1308" s="3">
        <v>1</v>
      </c>
      <c r="G1308" s="3">
        <v>41363.636363636302</v>
      </c>
      <c r="H1308" s="3">
        <v>45499.999999999935</v>
      </c>
      <c r="I1308" s="3">
        <v>45500</v>
      </c>
      <c r="J1308" s="3">
        <v>41363.636363636302</v>
      </c>
      <c r="K1308" s="25">
        <v>30748</v>
      </c>
      <c r="L1308" s="25">
        <v>30748</v>
      </c>
    </row>
    <row r="1309" spans="1:12" x14ac:dyDescent="0.3">
      <c r="A1309" t="s">
        <v>5594</v>
      </c>
      <c r="B1309">
        <v>2.0260208180218501E+18</v>
      </c>
      <c r="C1309" t="s">
        <v>5602</v>
      </c>
      <c r="D1309">
        <v>143790</v>
      </c>
      <c r="E1309" s="16" t="s">
        <v>7</v>
      </c>
      <c r="F1309" s="3">
        <v>1</v>
      </c>
      <c r="G1309" s="3">
        <v>41363.636363636302</v>
      </c>
      <c r="H1309" s="3">
        <v>45499.999999999935</v>
      </c>
      <c r="I1309" s="3">
        <v>45500</v>
      </c>
      <c r="J1309" s="3">
        <v>41363.636363636302</v>
      </c>
      <c r="K1309" s="25">
        <v>30748</v>
      </c>
      <c r="L1309" s="25">
        <v>30748</v>
      </c>
    </row>
    <row r="1310" spans="1:12" x14ac:dyDescent="0.3">
      <c r="A1310" t="s">
        <v>5594</v>
      </c>
      <c r="B1310">
        <v>2.0260208174533199E+18</v>
      </c>
      <c r="C1310" t="s">
        <v>5602</v>
      </c>
      <c r="D1310">
        <v>143790</v>
      </c>
      <c r="E1310" s="16" t="s">
        <v>7</v>
      </c>
      <c r="F1310" s="3">
        <v>1</v>
      </c>
      <c r="G1310" s="3">
        <v>41363.636363636302</v>
      </c>
      <c r="H1310" s="3">
        <v>45499.999999999935</v>
      </c>
      <c r="I1310" s="3">
        <v>45500</v>
      </c>
      <c r="J1310" s="3">
        <v>41363.636363636302</v>
      </c>
      <c r="K1310" s="25">
        <v>30748</v>
      </c>
      <c r="L1310" s="25">
        <v>30748</v>
      </c>
    </row>
    <row r="1311" spans="1:12" x14ac:dyDescent="0.3">
      <c r="A1311" t="s">
        <v>5594</v>
      </c>
      <c r="B1311">
        <v>2.0260208174738801E+18</v>
      </c>
      <c r="C1311" t="s">
        <v>5602</v>
      </c>
      <c r="D1311">
        <v>143790</v>
      </c>
      <c r="E1311" s="16" t="s">
        <v>7</v>
      </c>
      <c r="F1311" s="3">
        <v>1</v>
      </c>
      <c r="G1311" s="3">
        <v>41363.636363636302</v>
      </c>
      <c r="H1311" s="3">
        <v>45499.999999999935</v>
      </c>
      <c r="I1311" s="3">
        <v>45500</v>
      </c>
      <c r="J1311" s="3">
        <v>41363.636363636302</v>
      </c>
      <c r="K1311" s="25">
        <v>30748</v>
      </c>
      <c r="L1311" s="25">
        <v>30748</v>
      </c>
    </row>
    <row r="1312" spans="1:12" x14ac:dyDescent="0.3">
      <c r="A1312" t="s">
        <v>5594</v>
      </c>
      <c r="B1312">
        <v>2.02602081739326E+18</v>
      </c>
      <c r="C1312" t="s">
        <v>5602</v>
      </c>
      <c r="D1312">
        <v>143790</v>
      </c>
      <c r="E1312" s="16" t="s">
        <v>7</v>
      </c>
      <c r="F1312" s="3">
        <v>1</v>
      </c>
      <c r="G1312" s="3">
        <v>41363.636363636302</v>
      </c>
      <c r="H1312" s="3">
        <v>45499.999999999935</v>
      </c>
      <c r="I1312" s="3">
        <v>45500</v>
      </c>
      <c r="J1312" s="3">
        <v>41363.636363636302</v>
      </c>
      <c r="K1312" s="25">
        <v>30748</v>
      </c>
      <c r="L1312" s="25">
        <v>30748</v>
      </c>
    </row>
    <row r="1313" spans="1:12" x14ac:dyDescent="0.3">
      <c r="A1313" t="s">
        <v>5594</v>
      </c>
      <c r="B1313">
        <v>2.02602081512415E+18</v>
      </c>
      <c r="C1313" t="s">
        <v>5602</v>
      </c>
      <c r="D1313">
        <v>143790</v>
      </c>
      <c r="E1313" s="16" t="s">
        <v>7</v>
      </c>
      <c r="F1313" s="3">
        <v>1</v>
      </c>
      <c r="G1313" s="3">
        <v>41363.636363636302</v>
      </c>
      <c r="H1313" s="3">
        <v>45499.999999999935</v>
      </c>
      <c r="I1313" s="3">
        <v>45500</v>
      </c>
      <c r="J1313" s="3">
        <v>41363.636363636302</v>
      </c>
      <c r="K1313" s="25">
        <v>30748</v>
      </c>
      <c r="L1313" s="25">
        <v>30748</v>
      </c>
    </row>
    <row r="1314" spans="1:12" x14ac:dyDescent="0.3">
      <c r="A1314" t="s">
        <v>5594</v>
      </c>
      <c r="B1314">
        <v>2.02602081430526E+18</v>
      </c>
      <c r="C1314" t="s">
        <v>5602</v>
      </c>
      <c r="D1314">
        <v>143790</v>
      </c>
      <c r="E1314" s="16" t="s">
        <v>7</v>
      </c>
      <c r="F1314" s="3">
        <v>1</v>
      </c>
      <c r="G1314" s="3">
        <v>41363.636363636302</v>
      </c>
      <c r="H1314" s="3">
        <v>45499.999999999935</v>
      </c>
      <c r="I1314" s="3">
        <v>45500</v>
      </c>
      <c r="J1314" s="3">
        <v>41363.636363636302</v>
      </c>
      <c r="K1314" s="25">
        <v>30748</v>
      </c>
      <c r="L1314" s="25">
        <v>30748</v>
      </c>
    </row>
    <row r="1315" spans="1:12" x14ac:dyDescent="0.3">
      <c r="A1315" t="s">
        <v>5594</v>
      </c>
      <c r="B1315">
        <v>2.0260208142653399E+18</v>
      </c>
      <c r="C1315" t="s">
        <v>5602</v>
      </c>
      <c r="D1315">
        <v>143790</v>
      </c>
      <c r="E1315" s="16" t="s">
        <v>7</v>
      </c>
      <c r="F1315" s="3">
        <v>1</v>
      </c>
      <c r="G1315" s="3">
        <v>41363.636363636302</v>
      </c>
      <c r="H1315" s="3">
        <v>45499.999999999935</v>
      </c>
      <c r="I1315" s="3">
        <v>45500</v>
      </c>
      <c r="J1315" s="3">
        <v>41363.636363636302</v>
      </c>
      <c r="K1315" s="25">
        <v>30748</v>
      </c>
      <c r="L1315" s="25">
        <v>30748</v>
      </c>
    </row>
    <row r="1316" spans="1:12" x14ac:dyDescent="0.3">
      <c r="A1316" t="s">
        <v>5594</v>
      </c>
      <c r="B1316">
        <v>2.02602081417554E+18</v>
      </c>
      <c r="C1316" t="s">
        <v>5602</v>
      </c>
      <c r="D1316">
        <v>143790</v>
      </c>
      <c r="E1316" s="16" t="s">
        <v>7</v>
      </c>
      <c r="F1316" s="3">
        <v>1</v>
      </c>
      <c r="G1316" s="3">
        <v>41363.636363636302</v>
      </c>
      <c r="H1316" s="3">
        <v>45499.999999999935</v>
      </c>
      <c r="I1316" s="3">
        <v>45500</v>
      </c>
      <c r="J1316" s="3">
        <v>41363.636363636302</v>
      </c>
      <c r="K1316" s="25">
        <v>30748</v>
      </c>
      <c r="L1316" s="25">
        <v>30748</v>
      </c>
    </row>
    <row r="1317" spans="1:12" x14ac:dyDescent="0.3">
      <c r="A1317" t="s">
        <v>5594</v>
      </c>
      <c r="B1317">
        <v>2.0260208140811899E+18</v>
      </c>
      <c r="C1317" t="s">
        <v>5602</v>
      </c>
      <c r="D1317">
        <v>143790</v>
      </c>
      <c r="E1317" s="16" t="s">
        <v>7</v>
      </c>
      <c r="F1317" s="3">
        <v>1</v>
      </c>
      <c r="G1317" s="3">
        <v>41363.636363636302</v>
      </c>
      <c r="H1317" s="3">
        <v>45499.999999999935</v>
      </c>
      <c r="I1317" s="3">
        <v>45500</v>
      </c>
      <c r="J1317" s="3">
        <v>41363.636363636302</v>
      </c>
      <c r="K1317" s="25">
        <v>30748</v>
      </c>
      <c r="L1317" s="25">
        <v>30748</v>
      </c>
    </row>
    <row r="1318" spans="1:12" x14ac:dyDescent="0.3">
      <c r="A1318" t="s">
        <v>5594</v>
      </c>
      <c r="B1318">
        <v>2.0260208132033999E+18</v>
      </c>
      <c r="C1318" t="s">
        <v>5602</v>
      </c>
      <c r="D1318">
        <v>143790</v>
      </c>
      <c r="E1318" s="16" t="s">
        <v>7</v>
      </c>
      <c r="F1318" s="3">
        <v>2</v>
      </c>
      <c r="G1318" s="3">
        <v>41363.636363636353</v>
      </c>
      <c r="H1318" s="3">
        <v>91000</v>
      </c>
      <c r="I1318" s="3">
        <v>91000</v>
      </c>
      <c r="J1318" s="3">
        <v>82727.272727272706</v>
      </c>
      <c r="K1318" s="25">
        <v>30748</v>
      </c>
      <c r="L1318" s="25">
        <v>61496</v>
      </c>
    </row>
    <row r="1319" spans="1:12" x14ac:dyDescent="0.3">
      <c r="A1319" t="s">
        <v>5594</v>
      </c>
      <c r="B1319">
        <v>2.02602081254462E+18</v>
      </c>
      <c r="C1319" t="s">
        <v>5602</v>
      </c>
      <c r="D1319">
        <v>143790</v>
      </c>
      <c r="E1319" s="16" t="s">
        <v>7</v>
      </c>
      <c r="F1319" s="3">
        <v>1</v>
      </c>
      <c r="G1319" s="3">
        <v>41363.636363636302</v>
      </c>
      <c r="H1319" s="3">
        <v>45499.999999999935</v>
      </c>
      <c r="I1319" s="3">
        <v>45500</v>
      </c>
      <c r="J1319" s="3">
        <v>41363.636363636302</v>
      </c>
      <c r="K1319" s="25">
        <v>30748</v>
      </c>
      <c r="L1319" s="25">
        <v>30748</v>
      </c>
    </row>
    <row r="1320" spans="1:12" x14ac:dyDescent="0.3">
      <c r="A1320" t="s">
        <v>5594</v>
      </c>
      <c r="B1320">
        <v>2.0260208124821399E+18</v>
      </c>
      <c r="C1320" t="s">
        <v>5602</v>
      </c>
      <c r="D1320">
        <v>143790</v>
      </c>
      <c r="E1320" s="16" t="s">
        <v>7</v>
      </c>
      <c r="F1320" s="3">
        <v>1</v>
      </c>
      <c r="G1320" s="3">
        <v>41363.636363636302</v>
      </c>
      <c r="H1320" s="3">
        <v>45499.999999999935</v>
      </c>
      <c r="I1320" s="3">
        <v>45500</v>
      </c>
      <c r="J1320" s="3">
        <v>41363.636363636302</v>
      </c>
      <c r="K1320" s="25">
        <v>30748</v>
      </c>
      <c r="L1320" s="25">
        <v>30748</v>
      </c>
    </row>
    <row r="1321" spans="1:12" x14ac:dyDescent="0.3">
      <c r="A1321" t="s">
        <v>5594</v>
      </c>
      <c r="B1321">
        <v>2.0260208123745999E+18</v>
      </c>
      <c r="C1321" t="s">
        <v>5602</v>
      </c>
      <c r="D1321">
        <v>143790</v>
      </c>
      <c r="E1321" s="16" t="s">
        <v>7</v>
      </c>
      <c r="F1321" s="3">
        <v>1</v>
      </c>
      <c r="G1321" s="3">
        <v>41363.636363636302</v>
      </c>
      <c r="H1321" s="3">
        <v>45499.999999999935</v>
      </c>
      <c r="I1321" s="3">
        <v>45500</v>
      </c>
      <c r="J1321" s="3">
        <v>41363.636363636302</v>
      </c>
      <c r="K1321" s="25">
        <v>30748</v>
      </c>
      <c r="L1321" s="25">
        <v>30748</v>
      </c>
    </row>
    <row r="1322" spans="1:12" x14ac:dyDescent="0.3">
      <c r="A1322" t="s">
        <v>5594</v>
      </c>
      <c r="B1322">
        <v>2.02602081232383E+18</v>
      </c>
      <c r="C1322" t="s">
        <v>5602</v>
      </c>
      <c r="D1322">
        <v>143790</v>
      </c>
      <c r="E1322" s="16" t="s">
        <v>7</v>
      </c>
      <c r="F1322" s="3">
        <v>1</v>
      </c>
      <c r="G1322" s="3">
        <v>41363.636363636302</v>
      </c>
      <c r="H1322" s="3">
        <v>45499.999999999935</v>
      </c>
      <c r="I1322" s="3">
        <v>45500</v>
      </c>
      <c r="J1322" s="3">
        <v>41363.636363636302</v>
      </c>
      <c r="K1322" s="25">
        <v>30748</v>
      </c>
      <c r="L1322" s="25">
        <v>30748</v>
      </c>
    </row>
    <row r="1323" spans="1:12" x14ac:dyDescent="0.3">
      <c r="A1323" t="s">
        <v>5594</v>
      </c>
      <c r="B1323">
        <v>2.02602081228477E+18</v>
      </c>
      <c r="C1323" t="s">
        <v>5602</v>
      </c>
      <c r="D1323">
        <v>143790</v>
      </c>
      <c r="E1323" s="16" t="s">
        <v>7</v>
      </c>
      <c r="F1323" s="3">
        <v>1</v>
      </c>
      <c r="G1323" s="3">
        <v>41363.636363636302</v>
      </c>
      <c r="H1323" s="3">
        <v>45499.999999999935</v>
      </c>
      <c r="I1323" s="3">
        <v>45500</v>
      </c>
      <c r="J1323" s="3">
        <v>41363.636363636302</v>
      </c>
      <c r="K1323" s="25">
        <v>30748</v>
      </c>
      <c r="L1323" s="25">
        <v>30748</v>
      </c>
    </row>
    <row r="1324" spans="1:12" x14ac:dyDescent="0.3">
      <c r="A1324" t="s">
        <v>5594</v>
      </c>
      <c r="B1324">
        <v>2.02602081225441E+18</v>
      </c>
      <c r="C1324" t="s">
        <v>5602</v>
      </c>
      <c r="D1324">
        <v>143790</v>
      </c>
      <c r="E1324" s="16" t="s">
        <v>7</v>
      </c>
      <c r="F1324" s="3">
        <v>1</v>
      </c>
      <c r="G1324" s="3">
        <v>41363.636363636302</v>
      </c>
      <c r="H1324" s="3">
        <v>45499.999999999935</v>
      </c>
      <c r="I1324" s="3">
        <v>45500</v>
      </c>
      <c r="J1324" s="3">
        <v>41363.636363636302</v>
      </c>
      <c r="K1324" s="25">
        <v>30748</v>
      </c>
      <c r="L1324" s="25">
        <v>30748</v>
      </c>
    </row>
    <row r="1325" spans="1:12" x14ac:dyDescent="0.3">
      <c r="A1325" t="s">
        <v>5594</v>
      </c>
      <c r="B1325">
        <v>2.0260208122208699E+18</v>
      </c>
      <c r="C1325" t="s">
        <v>5602</v>
      </c>
      <c r="D1325">
        <v>143790</v>
      </c>
      <c r="E1325" s="16" t="s">
        <v>7</v>
      </c>
      <c r="F1325" s="3">
        <v>1</v>
      </c>
      <c r="G1325" s="3">
        <v>41363.636363636302</v>
      </c>
      <c r="H1325" s="3">
        <v>45499.999999999935</v>
      </c>
      <c r="I1325" s="3">
        <v>45500</v>
      </c>
      <c r="J1325" s="3">
        <v>41363.636363636302</v>
      </c>
      <c r="K1325" s="25">
        <v>30748</v>
      </c>
      <c r="L1325" s="25">
        <v>30748</v>
      </c>
    </row>
    <row r="1326" spans="1:12" x14ac:dyDescent="0.3">
      <c r="A1326" t="s">
        <v>5594</v>
      </c>
      <c r="B1326">
        <v>2.0260208121309299E+18</v>
      </c>
      <c r="C1326" t="s">
        <v>5602</v>
      </c>
      <c r="D1326">
        <v>143790</v>
      </c>
      <c r="E1326" s="16" t="s">
        <v>7</v>
      </c>
      <c r="F1326" s="3">
        <v>1</v>
      </c>
      <c r="G1326" s="3">
        <v>41363.636363636302</v>
      </c>
      <c r="H1326" s="3">
        <v>45499.999999999935</v>
      </c>
      <c r="I1326" s="3">
        <v>45500</v>
      </c>
      <c r="J1326" s="3">
        <v>41363.636363636302</v>
      </c>
      <c r="K1326" s="25">
        <v>30748</v>
      </c>
      <c r="L1326" s="25">
        <v>30748</v>
      </c>
    </row>
    <row r="1327" spans="1:12" x14ac:dyDescent="0.3">
      <c r="A1327" t="s">
        <v>5594</v>
      </c>
      <c r="B1327">
        <v>2.0260208101034299E+18</v>
      </c>
      <c r="C1327" t="s">
        <v>5602</v>
      </c>
      <c r="D1327">
        <v>143790</v>
      </c>
      <c r="E1327" s="16" t="s">
        <v>7</v>
      </c>
      <c r="F1327" s="3">
        <v>1</v>
      </c>
      <c r="G1327" s="3">
        <v>41363.636363636302</v>
      </c>
      <c r="H1327" s="3">
        <v>45499.999999999935</v>
      </c>
      <c r="I1327" s="3">
        <v>45500</v>
      </c>
      <c r="J1327" s="3">
        <v>41363.636363636302</v>
      </c>
      <c r="K1327" s="25">
        <v>30748</v>
      </c>
      <c r="L1327" s="25">
        <v>30748</v>
      </c>
    </row>
    <row r="1328" spans="1:12" x14ac:dyDescent="0.3">
      <c r="A1328" t="s">
        <v>5594</v>
      </c>
      <c r="B1328">
        <v>2.0260208100358999E+18</v>
      </c>
      <c r="C1328" t="s">
        <v>5602</v>
      </c>
      <c r="D1328">
        <v>143790</v>
      </c>
      <c r="E1328" s="16" t="s">
        <v>7</v>
      </c>
      <c r="F1328" s="3">
        <v>3</v>
      </c>
      <c r="G1328" s="3">
        <v>41363.636363636331</v>
      </c>
      <c r="H1328" s="3">
        <v>136499.99999999991</v>
      </c>
      <c r="I1328" s="3">
        <v>136500</v>
      </c>
      <c r="J1328" s="3">
        <v>124090.909090909</v>
      </c>
      <c r="K1328" s="25">
        <v>30748</v>
      </c>
      <c r="L1328" s="25">
        <v>92244</v>
      </c>
    </row>
    <row r="1329" spans="1:12" x14ac:dyDescent="0.3">
      <c r="A1329" t="s">
        <v>5594</v>
      </c>
      <c r="B1329">
        <v>2.02602080939091E+18</v>
      </c>
      <c r="C1329" t="s">
        <v>5602</v>
      </c>
      <c r="D1329">
        <v>143790</v>
      </c>
      <c r="E1329" s="16" t="s">
        <v>7</v>
      </c>
      <c r="F1329" s="3">
        <v>1</v>
      </c>
      <c r="G1329" s="3">
        <v>41363.636363636302</v>
      </c>
      <c r="H1329" s="3">
        <v>45499.999999999935</v>
      </c>
      <c r="I1329" s="3">
        <v>45500</v>
      </c>
      <c r="J1329" s="3">
        <v>41363.636363636302</v>
      </c>
      <c r="K1329" s="25">
        <v>30748</v>
      </c>
      <c r="L1329" s="25">
        <v>30748</v>
      </c>
    </row>
    <row r="1330" spans="1:12" x14ac:dyDescent="0.3">
      <c r="A1330" t="s">
        <v>5594</v>
      </c>
      <c r="B1330">
        <v>2.0260207230925801E+18</v>
      </c>
      <c r="C1330" t="s">
        <v>5602</v>
      </c>
      <c r="D1330">
        <v>143790</v>
      </c>
      <c r="E1330" s="16" t="s">
        <v>7</v>
      </c>
      <c r="F1330" s="3">
        <v>1</v>
      </c>
      <c r="G1330" s="3">
        <v>41363.636363636302</v>
      </c>
      <c r="H1330" s="3">
        <v>45499.999999999935</v>
      </c>
      <c r="I1330" s="3">
        <v>45500</v>
      </c>
      <c r="J1330" s="3">
        <v>41363.636363636302</v>
      </c>
      <c r="K1330" s="25">
        <v>30748</v>
      </c>
      <c r="L1330" s="25">
        <v>30748</v>
      </c>
    </row>
    <row r="1331" spans="1:12" x14ac:dyDescent="0.3">
      <c r="A1331" t="s">
        <v>5594</v>
      </c>
      <c r="B1331">
        <v>2.02602072254033E+18</v>
      </c>
      <c r="C1331" t="s">
        <v>5602</v>
      </c>
      <c r="D1331">
        <v>143790</v>
      </c>
      <c r="E1331" s="16" t="s">
        <v>7</v>
      </c>
      <c r="F1331" s="3">
        <v>1</v>
      </c>
      <c r="G1331" s="3">
        <v>41363.636363636302</v>
      </c>
      <c r="H1331" s="3">
        <v>45499.999999999935</v>
      </c>
      <c r="I1331" s="3">
        <v>45500</v>
      </c>
      <c r="J1331" s="3">
        <v>41363.636363636302</v>
      </c>
      <c r="K1331" s="25">
        <v>30748</v>
      </c>
      <c r="L1331" s="25">
        <v>30748</v>
      </c>
    </row>
    <row r="1332" spans="1:12" x14ac:dyDescent="0.3">
      <c r="A1332" t="s">
        <v>5594</v>
      </c>
      <c r="B1332">
        <v>2.0260207184200901E+18</v>
      </c>
      <c r="C1332" t="s">
        <v>5602</v>
      </c>
      <c r="D1332">
        <v>143790</v>
      </c>
      <c r="E1332" s="16" t="s">
        <v>7</v>
      </c>
      <c r="F1332" s="3">
        <v>1</v>
      </c>
      <c r="G1332" s="3">
        <v>41363.636363636302</v>
      </c>
      <c r="H1332" s="3">
        <v>45499.999999999935</v>
      </c>
      <c r="I1332" s="3">
        <v>45500</v>
      </c>
      <c r="J1332" s="3">
        <v>41363.636363636302</v>
      </c>
      <c r="K1332" s="25">
        <v>30748</v>
      </c>
      <c r="L1332" s="25">
        <v>30748</v>
      </c>
    </row>
    <row r="1333" spans="1:12" x14ac:dyDescent="0.3">
      <c r="A1333" t="s">
        <v>5594</v>
      </c>
      <c r="B1333">
        <v>2.0260207184436101E+18</v>
      </c>
      <c r="C1333" t="s">
        <v>5602</v>
      </c>
      <c r="D1333">
        <v>143790</v>
      </c>
      <c r="E1333" s="16" t="s">
        <v>7</v>
      </c>
      <c r="F1333" s="3">
        <v>1</v>
      </c>
      <c r="G1333" s="3">
        <v>41363.636363636302</v>
      </c>
      <c r="H1333" s="3">
        <v>45499.999999999935</v>
      </c>
      <c r="I1333" s="3">
        <v>45500</v>
      </c>
      <c r="J1333" s="3">
        <v>41363.636363636302</v>
      </c>
      <c r="K1333" s="25">
        <v>30748</v>
      </c>
      <c r="L1333" s="25">
        <v>30748</v>
      </c>
    </row>
    <row r="1334" spans="1:12" x14ac:dyDescent="0.3">
      <c r="A1334" t="s">
        <v>5594</v>
      </c>
      <c r="B1334">
        <v>2.0260207183328399E+18</v>
      </c>
      <c r="C1334" t="s">
        <v>5602</v>
      </c>
      <c r="D1334">
        <v>143790</v>
      </c>
      <c r="E1334" s="16" t="s">
        <v>7</v>
      </c>
      <c r="F1334" s="3">
        <v>1</v>
      </c>
      <c r="G1334" s="3">
        <v>41363.636363636302</v>
      </c>
      <c r="H1334" s="3">
        <v>45499.999999999935</v>
      </c>
      <c r="I1334" s="3">
        <v>45500</v>
      </c>
      <c r="J1334" s="3">
        <v>41363.636363636302</v>
      </c>
      <c r="K1334" s="25">
        <v>30748</v>
      </c>
      <c r="L1334" s="25">
        <v>30748</v>
      </c>
    </row>
    <row r="1335" spans="1:12" x14ac:dyDescent="0.3">
      <c r="A1335" t="s">
        <v>5594</v>
      </c>
      <c r="B1335">
        <v>2.0260207175720699E+18</v>
      </c>
      <c r="C1335" t="s">
        <v>5602</v>
      </c>
      <c r="D1335">
        <v>143790</v>
      </c>
      <c r="E1335" s="16" t="s">
        <v>7</v>
      </c>
      <c r="F1335" s="3">
        <v>2</v>
      </c>
      <c r="G1335" s="3">
        <v>41363.636363636353</v>
      </c>
      <c r="H1335" s="3">
        <v>91000</v>
      </c>
      <c r="I1335" s="3">
        <v>91000</v>
      </c>
      <c r="J1335" s="3">
        <v>82727.272727272706</v>
      </c>
      <c r="K1335" s="25">
        <v>30748</v>
      </c>
      <c r="L1335" s="25">
        <v>61496</v>
      </c>
    </row>
    <row r="1336" spans="1:12" x14ac:dyDescent="0.3">
      <c r="A1336" t="s">
        <v>5594</v>
      </c>
      <c r="B1336">
        <v>2.0260207173531599E+18</v>
      </c>
      <c r="C1336" t="s">
        <v>5602</v>
      </c>
      <c r="D1336">
        <v>143790</v>
      </c>
      <c r="E1336" s="16" t="s">
        <v>7</v>
      </c>
      <c r="F1336" s="3">
        <v>1</v>
      </c>
      <c r="G1336" s="3">
        <v>41363.636363636302</v>
      </c>
      <c r="H1336" s="3">
        <v>45499.999999999935</v>
      </c>
      <c r="I1336" s="3">
        <v>45500</v>
      </c>
      <c r="J1336" s="3">
        <v>41363.636363636302</v>
      </c>
      <c r="K1336" s="25">
        <v>30748</v>
      </c>
      <c r="L1336" s="25">
        <v>30748</v>
      </c>
    </row>
    <row r="1337" spans="1:12" x14ac:dyDescent="0.3">
      <c r="A1337" t="s">
        <v>5594</v>
      </c>
      <c r="B1337">
        <v>2.0260207172626099E+18</v>
      </c>
      <c r="C1337" t="s">
        <v>5602</v>
      </c>
      <c r="D1337">
        <v>143790</v>
      </c>
      <c r="E1337" s="16" t="s">
        <v>7</v>
      </c>
      <c r="F1337" s="3">
        <v>1</v>
      </c>
      <c r="G1337" s="3">
        <v>41363.636363636302</v>
      </c>
      <c r="H1337" s="3">
        <v>45499.999999999935</v>
      </c>
      <c r="I1337" s="3">
        <v>45500</v>
      </c>
      <c r="J1337" s="3">
        <v>41363.636363636302</v>
      </c>
      <c r="K1337" s="25">
        <v>30748</v>
      </c>
      <c r="L1337" s="25">
        <v>30748</v>
      </c>
    </row>
    <row r="1338" spans="1:12" x14ac:dyDescent="0.3">
      <c r="A1338" t="s">
        <v>5594</v>
      </c>
      <c r="B1338">
        <v>2.0260207172507599E+18</v>
      </c>
      <c r="C1338" t="s">
        <v>5602</v>
      </c>
      <c r="D1338">
        <v>143790</v>
      </c>
      <c r="E1338" s="16" t="s">
        <v>7</v>
      </c>
      <c r="F1338" s="3">
        <v>1</v>
      </c>
      <c r="G1338" s="3">
        <v>41363.636363636302</v>
      </c>
      <c r="H1338" s="3">
        <v>45499.999999999935</v>
      </c>
      <c r="I1338" s="3">
        <v>45500</v>
      </c>
      <c r="J1338" s="3">
        <v>41363.636363636302</v>
      </c>
      <c r="K1338" s="25">
        <v>30748</v>
      </c>
      <c r="L1338" s="25">
        <v>30748</v>
      </c>
    </row>
    <row r="1339" spans="1:12" x14ac:dyDescent="0.3">
      <c r="A1339" t="s">
        <v>5594</v>
      </c>
      <c r="B1339">
        <v>2.0260207170851799E+18</v>
      </c>
      <c r="C1339" t="s">
        <v>5602</v>
      </c>
      <c r="D1339">
        <v>143790</v>
      </c>
      <c r="E1339" s="16" t="s">
        <v>7</v>
      </c>
      <c r="F1339" s="3">
        <v>1</v>
      </c>
      <c r="G1339" s="3">
        <v>41363.636363636302</v>
      </c>
      <c r="H1339" s="3">
        <v>45499.999999999935</v>
      </c>
      <c r="I1339" s="3">
        <v>45500</v>
      </c>
      <c r="J1339" s="3">
        <v>41363.636363636302</v>
      </c>
      <c r="K1339" s="25">
        <v>30748</v>
      </c>
      <c r="L1339" s="25">
        <v>30748</v>
      </c>
    </row>
    <row r="1340" spans="1:12" x14ac:dyDescent="0.3">
      <c r="A1340" t="s">
        <v>5594</v>
      </c>
      <c r="B1340">
        <v>2.0260207161914501E+18</v>
      </c>
      <c r="C1340" t="s">
        <v>5602</v>
      </c>
      <c r="D1340">
        <v>143790</v>
      </c>
      <c r="E1340" s="16" t="s">
        <v>7</v>
      </c>
      <c r="F1340" s="3">
        <v>2</v>
      </c>
      <c r="G1340" s="3">
        <v>41363.636363636353</v>
      </c>
      <c r="H1340" s="3">
        <v>91000</v>
      </c>
      <c r="I1340" s="3">
        <v>91000</v>
      </c>
      <c r="J1340" s="3">
        <v>82727.272727272706</v>
      </c>
      <c r="K1340" s="25">
        <v>30748</v>
      </c>
      <c r="L1340" s="25">
        <v>61496</v>
      </c>
    </row>
    <row r="1341" spans="1:12" x14ac:dyDescent="0.3">
      <c r="A1341" t="s">
        <v>5594</v>
      </c>
      <c r="B1341">
        <v>2.02602071613293E+18</v>
      </c>
      <c r="C1341" t="s">
        <v>5602</v>
      </c>
      <c r="D1341">
        <v>143790</v>
      </c>
      <c r="E1341" s="16" t="s">
        <v>7</v>
      </c>
      <c r="F1341" s="3">
        <v>1</v>
      </c>
      <c r="G1341" s="3">
        <v>41363.636363636302</v>
      </c>
      <c r="H1341" s="3">
        <v>45499.999999999935</v>
      </c>
      <c r="I1341" s="3">
        <v>45500</v>
      </c>
      <c r="J1341" s="3">
        <v>41363.636363636302</v>
      </c>
      <c r="K1341" s="25">
        <v>30748</v>
      </c>
      <c r="L1341" s="25">
        <v>30748</v>
      </c>
    </row>
    <row r="1342" spans="1:12" x14ac:dyDescent="0.3">
      <c r="A1342" t="s">
        <v>5594</v>
      </c>
      <c r="B1342">
        <v>2.0260207154808901E+18</v>
      </c>
      <c r="C1342" t="s">
        <v>5602</v>
      </c>
      <c r="D1342">
        <v>143790</v>
      </c>
      <c r="E1342" s="16" t="s">
        <v>7</v>
      </c>
      <c r="F1342" s="3">
        <v>1</v>
      </c>
      <c r="G1342" s="3">
        <v>41363.636363636302</v>
      </c>
      <c r="H1342" s="3">
        <v>45499.999999999935</v>
      </c>
      <c r="I1342" s="3">
        <v>45500</v>
      </c>
      <c r="J1342" s="3">
        <v>41363.636363636302</v>
      </c>
      <c r="K1342" s="25">
        <v>30748</v>
      </c>
      <c r="L1342" s="25">
        <v>30748</v>
      </c>
    </row>
    <row r="1343" spans="1:12" x14ac:dyDescent="0.3">
      <c r="A1343" t="s">
        <v>5594</v>
      </c>
      <c r="B1343">
        <v>2.0260207154655401E+18</v>
      </c>
      <c r="C1343" t="s">
        <v>5602</v>
      </c>
      <c r="D1343">
        <v>143790</v>
      </c>
      <c r="E1343" s="16" t="s">
        <v>7</v>
      </c>
      <c r="F1343" s="3">
        <v>1</v>
      </c>
      <c r="G1343" s="3">
        <v>41363.636363636302</v>
      </c>
      <c r="H1343" s="3">
        <v>45499.999999999935</v>
      </c>
      <c r="I1343" s="3">
        <v>45500</v>
      </c>
      <c r="J1343" s="3">
        <v>41363.636363636302</v>
      </c>
      <c r="K1343" s="25">
        <v>30748</v>
      </c>
      <c r="L1343" s="25">
        <v>30748</v>
      </c>
    </row>
    <row r="1344" spans="1:12" x14ac:dyDescent="0.3">
      <c r="A1344" t="s">
        <v>5594</v>
      </c>
      <c r="B1344">
        <v>2.02602071521458E+18</v>
      </c>
      <c r="C1344" t="s">
        <v>5602</v>
      </c>
      <c r="D1344">
        <v>143790</v>
      </c>
      <c r="E1344" s="16" t="s">
        <v>7</v>
      </c>
      <c r="F1344" s="3">
        <v>1</v>
      </c>
      <c r="G1344" s="3">
        <v>41363.636363636302</v>
      </c>
      <c r="H1344" s="3">
        <v>45499.999999999935</v>
      </c>
      <c r="I1344" s="3">
        <v>45500</v>
      </c>
      <c r="J1344" s="3">
        <v>41363.636363636302</v>
      </c>
      <c r="K1344" s="25">
        <v>30748</v>
      </c>
      <c r="L1344" s="25">
        <v>30748</v>
      </c>
    </row>
    <row r="1345" spans="1:12" x14ac:dyDescent="0.3">
      <c r="A1345" t="s">
        <v>5594</v>
      </c>
      <c r="B1345">
        <v>2.02602071341539E+18</v>
      </c>
      <c r="C1345" t="s">
        <v>5602</v>
      </c>
      <c r="D1345">
        <v>143790</v>
      </c>
      <c r="E1345" s="16" t="s">
        <v>7</v>
      </c>
      <c r="F1345" s="3">
        <v>2</v>
      </c>
      <c r="G1345" s="3">
        <v>41363.636363636353</v>
      </c>
      <c r="H1345" s="3">
        <v>91000</v>
      </c>
      <c r="I1345" s="3">
        <v>91000</v>
      </c>
      <c r="J1345" s="3">
        <v>82727.272727272706</v>
      </c>
      <c r="K1345" s="25">
        <v>30748</v>
      </c>
      <c r="L1345" s="25">
        <v>61496</v>
      </c>
    </row>
    <row r="1346" spans="1:12" x14ac:dyDescent="0.3">
      <c r="A1346" t="s">
        <v>5594</v>
      </c>
      <c r="B1346">
        <v>2.0260207133936699E+18</v>
      </c>
      <c r="C1346" t="s">
        <v>5602</v>
      </c>
      <c r="D1346">
        <v>143790</v>
      </c>
      <c r="E1346" s="16" t="s">
        <v>7</v>
      </c>
      <c r="F1346" s="3">
        <v>2</v>
      </c>
      <c r="G1346" s="3">
        <v>41363.636363636353</v>
      </c>
      <c r="H1346" s="3">
        <v>91000</v>
      </c>
      <c r="I1346" s="3">
        <v>91000</v>
      </c>
      <c r="J1346" s="3">
        <v>82727.272727272706</v>
      </c>
      <c r="K1346" s="25">
        <v>30748</v>
      </c>
      <c r="L1346" s="25">
        <v>61496</v>
      </c>
    </row>
    <row r="1347" spans="1:12" x14ac:dyDescent="0.3">
      <c r="A1347" t="s">
        <v>5594</v>
      </c>
      <c r="B1347">
        <v>2.0260207133418601E+18</v>
      </c>
      <c r="C1347" t="s">
        <v>5602</v>
      </c>
      <c r="D1347">
        <v>143790</v>
      </c>
      <c r="E1347" s="16" t="s">
        <v>7</v>
      </c>
      <c r="F1347" s="3">
        <v>2</v>
      </c>
      <c r="G1347" s="3">
        <v>41363.636363636353</v>
      </c>
      <c r="H1347" s="3">
        <v>91000</v>
      </c>
      <c r="I1347" s="3">
        <v>91000</v>
      </c>
      <c r="J1347" s="3">
        <v>82727.272727272706</v>
      </c>
      <c r="K1347" s="25">
        <v>30748</v>
      </c>
      <c r="L1347" s="25">
        <v>61496</v>
      </c>
    </row>
    <row r="1348" spans="1:12" x14ac:dyDescent="0.3">
      <c r="A1348" t="s">
        <v>5594</v>
      </c>
      <c r="B1348">
        <v>2.02602071326035E+18</v>
      </c>
      <c r="C1348" t="s">
        <v>5602</v>
      </c>
      <c r="D1348">
        <v>143790</v>
      </c>
      <c r="E1348" s="16" t="s">
        <v>7</v>
      </c>
      <c r="F1348" s="3">
        <v>1</v>
      </c>
      <c r="G1348" s="3">
        <v>41363.636363636302</v>
      </c>
      <c r="H1348" s="3">
        <v>45499.999999999935</v>
      </c>
      <c r="I1348" s="3">
        <v>45500</v>
      </c>
      <c r="J1348" s="3">
        <v>41363.636363636302</v>
      </c>
      <c r="K1348" s="25">
        <v>30748</v>
      </c>
      <c r="L1348" s="25">
        <v>30748</v>
      </c>
    </row>
    <row r="1349" spans="1:12" x14ac:dyDescent="0.3">
      <c r="A1349" t="s">
        <v>5594</v>
      </c>
      <c r="B1349">
        <v>2.02602071311325E+18</v>
      </c>
      <c r="C1349" t="s">
        <v>5602</v>
      </c>
      <c r="D1349">
        <v>143790</v>
      </c>
      <c r="E1349" s="16" t="s">
        <v>7</v>
      </c>
      <c r="F1349" s="3">
        <v>1</v>
      </c>
      <c r="G1349" s="3">
        <v>41363.636363636302</v>
      </c>
      <c r="H1349" s="3">
        <v>45499.999999999935</v>
      </c>
      <c r="I1349" s="3">
        <v>45500</v>
      </c>
      <c r="J1349" s="3">
        <v>41363.636363636302</v>
      </c>
      <c r="K1349" s="25">
        <v>30748</v>
      </c>
      <c r="L1349" s="25">
        <v>30748</v>
      </c>
    </row>
    <row r="1350" spans="1:12" x14ac:dyDescent="0.3">
      <c r="A1350" t="s">
        <v>5594</v>
      </c>
      <c r="B1350">
        <v>2.02602071309345E+18</v>
      </c>
      <c r="C1350" t="s">
        <v>5602</v>
      </c>
      <c r="D1350">
        <v>143790</v>
      </c>
      <c r="E1350" s="16" t="s">
        <v>7</v>
      </c>
      <c r="F1350" s="3">
        <v>1</v>
      </c>
      <c r="G1350" s="3">
        <v>41363.636363636302</v>
      </c>
      <c r="H1350" s="3">
        <v>45499.999999999935</v>
      </c>
      <c r="I1350" s="3">
        <v>45500</v>
      </c>
      <c r="J1350" s="3">
        <v>41363.636363636302</v>
      </c>
      <c r="K1350" s="25">
        <v>30748</v>
      </c>
      <c r="L1350" s="25">
        <v>30748</v>
      </c>
    </row>
    <row r="1351" spans="1:12" x14ac:dyDescent="0.3">
      <c r="A1351" t="s">
        <v>5594</v>
      </c>
      <c r="B1351">
        <v>2.02602071244413E+18</v>
      </c>
      <c r="C1351" t="s">
        <v>5602</v>
      </c>
      <c r="D1351">
        <v>143790</v>
      </c>
      <c r="E1351" s="16" t="s">
        <v>7</v>
      </c>
      <c r="F1351" s="3">
        <v>1</v>
      </c>
      <c r="G1351" s="3">
        <v>41363.636363636302</v>
      </c>
      <c r="H1351" s="3">
        <v>45499.999999999935</v>
      </c>
      <c r="I1351" s="3">
        <v>45500</v>
      </c>
      <c r="J1351" s="3">
        <v>41363.636363636302</v>
      </c>
      <c r="K1351" s="25">
        <v>30748</v>
      </c>
      <c r="L1351" s="25">
        <v>30748</v>
      </c>
    </row>
    <row r="1352" spans="1:12" x14ac:dyDescent="0.3">
      <c r="A1352" t="s">
        <v>5594</v>
      </c>
      <c r="B1352">
        <v>2.02602071213501E+18</v>
      </c>
      <c r="C1352" t="s">
        <v>5602</v>
      </c>
      <c r="D1352">
        <v>143790</v>
      </c>
      <c r="E1352" s="16" t="s">
        <v>7</v>
      </c>
      <c r="F1352" s="3">
        <v>1</v>
      </c>
      <c r="G1352" s="3">
        <v>41363.636363636302</v>
      </c>
      <c r="H1352" s="3">
        <v>45499.999999999935</v>
      </c>
      <c r="I1352" s="3">
        <v>45500</v>
      </c>
      <c r="J1352" s="3">
        <v>41363.636363636302</v>
      </c>
      <c r="K1352" s="25">
        <v>30748</v>
      </c>
      <c r="L1352" s="25">
        <v>30748</v>
      </c>
    </row>
    <row r="1353" spans="1:12" x14ac:dyDescent="0.3">
      <c r="A1353" t="s">
        <v>5594</v>
      </c>
      <c r="B1353">
        <v>2.0260207113601001E+18</v>
      </c>
      <c r="C1353" t="s">
        <v>5602</v>
      </c>
      <c r="D1353">
        <v>143790</v>
      </c>
      <c r="E1353" s="16" t="s">
        <v>7</v>
      </c>
      <c r="F1353" s="3">
        <v>1</v>
      </c>
      <c r="G1353" s="3">
        <v>41363.636363636302</v>
      </c>
      <c r="H1353" s="3">
        <v>45499.999999999935</v>
      </c>
      <c r="I1353" s="3">
        <v>45500</v>
      </c>
      <c r="J1353" s="3">
        <v>41363.636363636302</v>
      </c>
      <c r="K1353" s="25">
        <v>30748</v>
      </c>
      <c r="L1353" s="25">
        <v>30748</v>
      </c>
    </row>
    <row r="1354" spans="1:12" x14ac:dyDescent="0.3">
      <c r="A1354" t="s">
        <v>5594</v>
      </c>
      <c r="B1354">
        <v>2.0260207113215099E+18</v>
      </c>
      <c r="C1354" t="s">
        <v>5602</v>
      </c>
      <c r="D1354">
        <v>143790</v>
      </c>
      <c r="E1354" s="16" t="s">
        <v>7</v>
      </c>
      <c r="F1354" s="3">
        <v>1</v>
      </c>
      <c r="G1354" s="3">
        <v>41363.636363636302</v>
      </c>
      <c r="H1354" s="3">
        <v>45499.999999999935</v>
      </c>
      <c r="I1354" s="3">
        <v>45500</v>
      </c>
      <c r="J1354" s="3">
        <v>41363.636363636302</v>
      </c>
      <c r="K1354" s="25">
        <v>30748</v>
      </c>
      <c r="L1354" s="25">
        <v>30748</v>
      </c>
    </row>
    <row r="1355" spans="1:12" x14ac:dyDescent="0.3">
      <c r="A1355" t="s">
        <v>5594</v>
      </c>
      <c r="B1355">
        <v>2.0260207111112901E+18</v>
      </c>
      <c r="C1355" t="s">
        <v>5602</v>
      </c>
      <c r="D1355">
        <v>143790</v>
      </c>
      <c r="E1355" s="16" t="s">
        <v>7</v>
      </c>
      <c r="F1355" s="3">
        <v>1</v>
      </c>
      <c r="G1355" s="3">
        <v>41363.636363636302</v>
      </c>
      <c r="H1355" s="3">
        <v>45499.999999999935</v>
      </c>
      <c r="I1355" s="3">
        <v>45500</v>
      </c>
      <c r="J1355" s="3">
        <v>41363.636363636302</v>
      </c>
      <c r="K1355" s="25">
        <v>30748</v>
      </c>
      <c r="L1355" s="25">
        <v>30748</v>
      </c>
    </row>
    <row r="1356" spans="1:12" x14ac:dyDescent="0.3">
      <c r="A1356" t="s">
        <v>5594</v>
      </c>
      <c r="B1356">
        <v>2.0260207105635899E+18</v>
      </c>
      <c r="C1356" t="s">
        <v>5602</v>
      </c>
      <c r="D1356">
        <v>143790</v>
      </c>
      <c r="E1356" s="16" t="s">
        <v>7</v>
      </c>
      <c r="F1356" s="3">
        <v>1</v>
      </c>
      <c r="G1356" s="3">
        <v>41363.636363636302</v>
      </c>
      <c r="H1356" s="3">
        <v>45499.999999999935</v>
      </c>
      <c r="I1356" s="3">
        <v>45500</v>
      </c>
      <c r="J1356" s="3">
        <v>41363.636363636302</v>
      </c>
      <c r="K1356" s="25">
        <v>30748</v>
      </c>
      <c r="L1356" s="25">
        <v>30748</v>
      </c>
    </row>
    <row r="1357" spans="1:12" x14ac:dyDescent="0.3">
      <c r="A1357" t="s">
        <v>5594</v>
      </c>
      <c r="B1357">
        <v>2.0260207105816699E+18</v>
      </c>
      <c r="C1357" t="s">
        <v>5602</v>
      </c>
      <c r="D1357">
        <v>143790</v>
      </c>
      <c r="E1357" s="16" t="s">
        <v>7</v>
      </c>
      <c r="F1357" s="3">
        <v>1</v>
      </c>
      <c r="G1357" s="3">
        <v>41363.636363636302</v>
      </c>
      <c r="H1357" s="3">
        <v>45499.999999999935</v>
      </c>
      <c r="I1357" s="3">
        <v>45500</v>
      </c>
      <c r="J1357" s="3">
        <v>41363.636363636302</v>
      </c>
      <c r="K1357" s="25">
        <v>30748</v>
      </c>
      <c r="L1357" s="25">
        <v>30748</v>
      </c>
    </row>
    <row r="1358" spans="1:12" x14ac:dyDescent="0.3">
      <c r="A1358" t="s">
        <v>5594</v>
      </c>
      <c r="B1358">
        <v>2.0260207104243599E+18</v>
      </c>
      <c r="C1358" t="s">
        <v>5602</v>
      </c>
      <c r="D1358">
        <v>143790</v>
      </c>
      <c r="E1358" s="16" t="s">
        <v>7</v>
      </c>
      <c r="F1358" s="3">
        <v>2</v>
      </c>
      <c r="G1358" s="3">
        <v>41363.636363636353</v>
      </c>
      <c r="H1358" s="3">
        <v>91000</v>
      </c>
      <c r="I1358" s="3">
        <v>91000</v>
      </c>
      <c r="J1358" s="3">
        <v>82727.272727272706</v>
      </c>
      <c r="K1358" s="25">
        <v>30748</v>
      </c>
      <c r="L1358" s="25">
        <v>61496</v>
      </c>
    </row>
    <row r="1359" spans="1:12" x14ac:dyDescent="0.3">
      <c r="A1359" t="s">
        <v>5594</v>
      </c>
      <c r="B1359">
        <v>2.0260207103343201E+18</v>
      </c>
      <c r="C1359" t="s">
        <v>5602</v>
      </c>
      <c r="D1359">
        <v>143790</v>
      </c>
      <c r="E1359" s="16" t="s">
        <v>7</v>
      </c>
      <c r="F1359" s="3">
        <v>1</v>
      </c>
      <c r="G1359" s="3">
        <v>41363.636363636302</v>
      </c>
      <c r="H1359" s="3">
        <v>45499.999999999935</v>
      </c>
      <c r="I1359" s="3">
        <v>45500</v>
      </c>
      <c r="J1359" s="3">
        <v>41363.636363636302</v>
      </c>
      <c r="K1359" s="25">
        <v>30748</v>
      </c>
      <c r="L1359" s="25">
        <v>30748</v>
      </c>
    </row>
    <row r="1360" spans="1:12" x14ac:dyDescent="0.3">
      <c r="A1360" t="s">
        <v>5594</v>
      </c>
      <c r="B1360">
        <v>2.02602071031199E+18</v>
      </c>
      <c r="C1360" t="s">
        <v>5602</v>
      </c>
      <c r="D1360">
        <v>143790</v>
      </c>
      <c r="E1360" s="16" t="s">
        <v>7</v>
      </c>
      <c r="F1360" s="3">
        <v>2</v>
      </c>
      <c r="G1360" s="3">
        <v>41363.636363636353</v>
      </c>
      <c r="H1360" s="3">
        <v>91000</v>
      </c>
      <c r="I1360" s="3">
        <v>91000</v>
      </c>
      <c r="J1360" s="3">
        <v>82727.272727272706</v>
      </c>
      <c r="K1360" s="25">
        <v>30748</v>
      </c>
      <c r="L1360" s="25">
        <v>61496</v>
      </c>
    </row>
    <row r="1361" spans="1:12" x14ac:dyDescent="0.3">
      <c r="A1361" t="s">
        <v>5594</v>
      </c>
      <c r="B1361">
        <v>2.0260207100626601E+18</v>
      </c>
      <c r="C1361" t="s">
        <v>5602</v>
      </c>
      <c r="D1361">
        <v>143790</v>
      </c>
      <c r="E1361" s="16" t="s">
        <v>7</v>
      </c>
      <c r="F1361" s="3">
        <v>2</v>
      </c>
      <c r="G1361" s="3">
        <v>41363.636363636353</v>
      </c>
      <c r="H1361" s="3">
        <v>91000</v>
      </c>
      <c r="I1361" s="3">
        <v>91000</v>
      </c>
      <c r="J1361" s="3">
        <v>82727.272727272706</v>
      </c>
      <c r="K1361" s="25">
        <v>30748</v>
      </c>
      <c r="L1361" s="25">
        <v>61496</v>
      </c>
    </row>
    <row r="1362" spans="1:12" x14ac:dyDescent="0.3">
      <c r="A1362" t="s">
        <v>5594</v>
      </c>
      <c r="B1362">
        <v>2.0260207094224499E+18</v>
      </c>
      <c r="C1362" t="s">
        <v>5602</v>
      </c>
      <c r="D1362">
        <v>143790</v>
      </c>
      <c r="E1362" s="16" t="s">
        <v>7</v>
      </c>
      <c r="F1362" s="3">
        <v>1</v>
      </c>
      <c r="G1362" s="3">
        <v>41363.636363636302</v>
      </c>
      <c r="H1362" s="3">
        <v>45499.999999999935</v>
      </c>
      <c r="I1362" s="3">
        <v>45500</v>
      </c>
      <c r="J1362" s="3">
        <v>41363.636363636302</v>
      </c>
      <c r="K1362" s="25">
        <v>30748</v>
      </c>
      <c r="L1362" s="25">
        <v>30748</v>
      </c>
    </row>
    <row r="1363" spans="1:12" x14ac:dyDescent="0.3">
      <c r="A1363" t="s">
        <v>5594</v>
      </c>
      <c r="B1363">
        <v>2.0260207092644101E+18</v>
      </c>
      <c r="C1363" t="s">
        <v>5602</v>
      </c>
      <c r="D1363">
        <v>143790</v>
      </c>
      <c r="E1363" s="16" t="s">
        <v>7</v>
      </c>
      <c r="F1363" s="3">
        <v>1</v>
      </c>
      <c r="G1363" s="3">
        <v>41363.636363636302</v>
      </c>
      <c r="H1363" s="3">
        <v>45499.999999999935</v>
      </c>
      <c r="I1363" s="3">
        <v>45500</v>
      </c>
      <c r="J1363" s="3">
        <v>41363.636363636302</v>
      </c>
      <c r="K1363" s="25">
        <v>30748</v>
      </c>
      <c r="L1363" s="25">
        <v>30748</v>
      </c>
    </row>
    <row r="1364" spans="1:12" x14ac:dyDescent="0.3">
      <c r="A1364" t="s">
        <v>5594</v>
      </c>
      <c r="B1364">
        <v>2.0260207085223601E+18</v>
      </c>
      <c r="C1364" t="s">
        <v>5602</v>
      </c>
      <c r="D1364">
        <v>143790</v>
      </c>
      <c r="E1364" s="16" t="s">
        <v>7</v>
      </c>
      <c r="F1364" s="3">
        <v>1</v>
      </c>
      <c r="G1364" s="3">
        <v>41363.636363636302</v>
      </c>
      <c r="H1364" s="3">
        <v>45499.999999999935</v>
      </c>
      <c r="I1364" s="3">
        <v>45500</v>
      </c>
      <c r="J1364" s="3">
        <v>41363.636363636302</v>
      </c>
      <c r="K1364" s="25">
        <v>30748</v>
      </c>
      <c r="L1364" s="25">
        <v>30748</v>
      </c>
    </row>
    <row r="1365" spans="1:12" x14ac:dyDescent="0.3">
      <c r="A1365" t="s">
        <v>5594</v>
      </c>
      <c r="B1365">
        <v>2.02602070839246E+18</v>
      </c>
      <c r="C1365" t="s">
        <v>5602</v>
      </c>
      <c r="D1365">
        <v>143790</v>
      </c>
      <c r="E1365" s="16" t="s">
        <v>7</v>
      </c>
      <c r="F1365" s="3">
        <v>1</v>
      </c>
      <c r="G1365" s="3">
        <v>41363.636363636302</v>
      </c>
      <c r="H1365" s="3">
        <v>45499.999999999935</v>
      </c>
      <c r="I1365" s="3">
        <v>45500</v>
      </c>
      <c r="J1365" s="3">
        <v>41363.636363636302</v>
      </c>
      <c r="K1365" s="25">
        <v>30748</v>
      </c>
      <c r="L1365" s="25">
        <v>30748</v>
      </c>
    </row>
    <row r="1366" spans="1:12" x14ac:dyDescent="0.3">
      <c r="A1366" t="s">
        <v>5594</v>
      </c>
      <c r="B1366">
        <v>2.0260207082640499E+18</v>
      </c>
      <c r="C1366" t="s">
        <v>5602</v>
      </c>
      <c r="D1366">
        <v>143790</v>
      </c>
      <c r="E1366" s="16" t="s">
        <v>7</v>
      </c>
      <c r="F1366" s="3">
        <v>2</v>
      </c>
      <c r="G1366" s="3">
        <v>41363.636363636353</v>
      </c>
      <c r="H1366" s="3">
        <v>91000</v>
      </c>
      <c r="I1366" s="3">
        <v>91000</v>
      </c>
      <c r="J1366" s="3">
        <v>82727.272727272706</v>
      </c>
      <c r="K1366" s="25">
        <v>30748</v>
      </c>
      <c r="L1366" s="25">
        <v>61496</v>
      </c>
    </row>
    <row r="1367" spans="1:12" x14ac:dyDescent="0.3">
      <c r="A1367" t="s">
        <v>5594</v>
      </c>
      <c r="B1367">
        <v>2.02602070822499E+18</v>
      </c>
      <c r="C1367" t="s">
        <v>5602</v>
      </c>
      <c r="D1367">
        <v>143790</v>
      </c>
      <c r="E1367" s="16" t="s">
        <v>7</v>
      </c>
      <c r="F1367" s="3">
        <v>1</v>
      </c>
      <c r="G1367" s="3">
        <v>41363.636363636302</v>
      </c>
      <c r="H1367" s="3">
        <v>45499.999999999935</v>
      </c>
      <c r="I1367" s="3">
        <v>45500</v>
      </c>
      <c r="J1367" s="3">
        <v>41363.636363636302</v>
      </c>
      <c r="K1367" s="25">
        <v>30748</v>
      </c>
      <c r="L1367" s="25">
        <v>30748</v>
      </c>
    </row>
    <row r="1368" spans="1:12" x14ac:dyDescent="0.3">
      <c r="A1368" t="s">
        <v>5594</v>
      </c>
      <c r="B1368">
        <v>2.02602070805235E+18</v>
      </c>
      <c r="C1368" t="s">
        <v>5602</v>
      </c>
      <c r="D1368">
        <v>143790</v>
      </c>
      <c r="E1368" s="16" t="s">
        <v>7</v>
      </c>
      <c r="F1368" s="3">
        <v>1</v>
      </c>
      <c r="G1368" s="3">
        <v>41363.636363636302</v>
      </c>
      <c r="H1368" s="3">
        <v>45499.999999999935</v>
      </c>
      <c r="I1368" s="3">
        <v>45500</v>
      </c>
      <c r="J1368" s="3">
        <v>41363.636363636302</v>
      </c>
      <c r="K1368" s="25">
        <v>30748</v>
      </c>
      <c r="L1368" s="25">
        <v>30748</v>
      </c>
    </row>
    <row r="1369" spans="1:12" x14ac:dyDescent="0.3">
      <c r="A1369" t="s">
        <v>5594</v>
      </c>
      <c r="B1369">
        <v>2.0260207080237499E+18</v>
      </c>
      <c r="C1369" t="s">
        <v>5602</v>
      </c>
      <c r="D1369">
        <v>143790</v>
      </c>
      <c r="E1369" s="16" t="s">
        <v>7</v>
      </c>
      <c r="F1369" s="3">
        <v>2</v>
      </c>
      <c r="G1369" s="3">
        <v>41363.636363636353</v>
      </c>
      <c r="H1369" s="3">
        <v>91000</v>
      </c>
      <c r="I1369" s="3">
        <v>91000</v>
      </c>
      <c r="J1369" s="3">
        <v>82727.272727272706</v>
      </c>
      <c r="K1369" s="25">
        <v>30748</v>
      </c>
      <c r="L1369" s="25">
        <v>61496</v>
      </c>
    </row>
    <row r="1370" spans="1:12" x14ac:dyDescent="0.3">
      <c r="A1370" t="s">
        <v>5594</v>
      </c>
      <c r="B1370">
        <v>2.02602070756223E+18</v>
      </c>
      <c r="C1370" t="s">
        <v>5602</v>
      </c>
      <c r="D1370">
        <v>143790</v>
      </c>
      <c r="E1370" s="16" t="s">
        <v>7</v>
      </c>
      <c r="F1370" s="3">
        <v>2</v>
      </c>
      <c r="G1370" s="3">
        <v>41363.636363636353</v>
      </c>
      <c r="H1370" s="3">
        <v>91000</v>
      </c>
      <c r="I1370" s="3">
        <v>91000</v>
      </c>
      <c r="J1370" s="3">
        <v>82727.272727272706</v>
      </c>
      <c r="K1370" s="25">
        <v>30748</v>
      </c>
      <c r="L1370" s="25">
        <v>61496</v>
      </c>
    </row>
    <row r="1371" spans="1:12" x14ac:dyDescent="0.3">
      <c r="A1371" t="s">
        <v>5594</v>
      </c>
      <c r="B1371">
        <v>2.0260207070451899E+18</v>
      </c>
      <c r="C1371" t="s">
        <v>5602</v>
      </c>
      <c r="D1371">
        <v>143790</v>
      </c>
      <c r="E1371" s="16" t="s">
        <v>7</v>
      </c>
      <c r="F1371" s="3">
        <v>1</v>
      </c>
      <c r="G1371" s="3">
        <v>41363.636363636302</v>
      </c>
      <c r="H1371" s="3">
        <v>45499.999999999935</v>
      </c>
      <c r="I1371" s="3">
        <v>45500</v>
      </c>
      <c r="J1371" s="3">
        <v>41363.636363636302</v>
      </c>
      <c r="K1371" s="25">
        <v>30748</v>
      </c>
      <c r="L1371" s="25">
        <v>30748</v>
      </c>
    </row>
    <row r="1372" spans="1:12" x14ac:dyDescent="0.3">
      <c r="A1372" t="s">
        <v>5594</v>
      </c>
      <c r="B1372">
        <v>2.0260207031306299E+18</v>
      </c>
      <c r="C1372" t="s">
        <v>5602</v>
      </c>
      <c r="D1372">
        <v>143790</v>
      </c>
      <c r="E1372" s="16" t="s">
        <v>7</v>
      </c>
      <c r="F1372" s="3">
        <v>1</v>
      </c>
      <c r="G1372" s="3">
        <v>41363.636363636302</v>
      </c>
      <c r="H1372" s="3">
        <v>45499.999999999935</v>
      </c>
      <c r="I1372" s="3">
        <v>45500</v>
      </c>
      <c r="J1372" s="3">
        <v>41363.636363636302</v>
      </c>
      <c r="K1372" s="25">
        <v>30748</v>
      </c>
      <c r="L1372" s="25">
        <v>30748</v>
      </c>
    </row>
    <row r="1373" spans="1:12" x14ac:dyDescent="0.3">
      <c r="A1373" t="s">
        <v>5594</v>
      </c>
      <c r="B1373">
        <v>2.0260207021143199E+18</v>
      </c>
      <c r="C1373" t="s">
        <v>5602</v>
      </c>
      <c r="D1373">
        <v>143790</v>
      </c>
      <c r="E1373" s="16" t="s">
        <v>7</v>
      </c>
      <c r="F1373" s="3">
        <v>1</v>
      </c>
      <c r="G1373" s="3">
        <v>41363.636363636302</v>
      </c>
      <c r="H1373" s="3">
        <v>45499.999999999935</v>
      </c>
      <c r="I1373" s="3">
        <v>45500</v>
      </c>
      <c r="J1373" s="3">
        <v>41363.636363636302</v>
      </c>
      <c r="K1373" s="25">
        <v>30748</v>
      </c>
      <c r="L1373" s="25">
        <v>30748</v>
      </c>
    </row>
    <row r="1374" spans="1:12" x14ac:dyDescent="0.3">
      <c r="A1374" t="s">
        <v>5594</v>
      </c>
      <c r="B1374">
        <v>2.0260207010353001E+18</v>
      </c>
      <c r="C1374" t="s">
        <v>5602</v>
      </c>
      <c r="D1374">
        <v>143790</v>
      </c>
      <c r="E1374" s="16" t="s">
        <v>7</v>
      </c>
      <c r="F1374" s="3">
        <v>1</v>
      </c>
      <c r="G1374" s="3">
        <v>41363.636363636302</v>
      </c>
      <c r="H1374" s="3">
        <v>45499.999999999935</v>
      </c>
      <c r="I1374" s="3">
        <v>45500</v>
      </c>
      <c r="J1374" s="3">
        <v>41363.636363636302</v>
      </c>
      <c r="K1374" s="25">
        <v>30748</v>
      </c>
      <c r="L1374" s="25">
        <v>30748</v>
      </c>
    </row>
    <row r="1375" spans="1:12" x14ac:dyDescent="0.3">
      <c r="A1375" t="s">
        <v>5594</v>
      </c>
      <c r="B1375">
        <v>2.0260207000159301E+18</v>
      </c>
      <c r="C1375" t="s">
        <v>5602</v>
      </c>
      <c r="D1375">
        <v>143790</v>
      </c>
      <c r="E1375" s="16" t="s">
        <v>7</v>
      </c>
      <c r="F1375" s="3">
        <v>1</v>
      </c>
      <c r="G1375" s="3">
        <v>41363.636363636302</v>
      </c>
      <c r="H1375" s="3">
        <v>45499.999999999935</v>
      </c>
      <c r="I1375" s="3">
        <v>45500</v>
      </c>
      <c r="J1375" s="3">
        <v>41363.636363636302</v>
      </c>
      <c r="K1375" s="25">
        <v>30748</v>
      </c>
      <c r="L1375" s="25">
        <v>30748</v>
      </c>
    </row>
    <row r="1376" spans="1:12" x14ac:dyDescent="0.3">
      <c r="A1376" t="s">
        <v>5594</v>
      </c>
      <c r="B1376">
        <v>2.02602062320144E+18</v>
      </c>
      <c r="C1376" t="s">
        <v>5602</v>
      </c>
      <c r="D1376">
        <v>143790</v>
      </c>
      <c r="E1376" s="16" t="s">
        <v>7</v>
      </c>
      <c r="F1376" s="3">
        <v>2</v>
      </c>
      <c r="G1376" s="3">
        <v>41363.636363636353</v>
      </c>
      <c r="H1376" s="3">
        <v>91000</v>
      </c>
      <c r="I1376" s="3">
        <v>91000</v>
      </c>
      <c r="J1376" s="3">
        <v>82727.272727272706</v>
      </c>
      <c r="K1376" s="25">
        <v>30748</v>
      </c>
      <c r="L1376" s="25">
        <v>61496</v>
      </c>
    </row>
    <row r="1377" spans="1:12" x14ac:dyDescent="0.3">
      <c r="A1377" t="s">
        <v>5594</v>
      </c>
      <c r="B1377">
        <v>2.02602062121136E+18</v>
      </c>
      <c r="C1377" t="s">
        <v>5602</v>
      </c>
      <c r="D1377">
        <v>143790</v>
      </c>
      <c r="E1377" s="16" t="s">
        <v>7</v>
      </c>
      <c r="F1377" s="3">
        <v>1</v>
      </c>
      <c r="G1377" s="3">
        <v>41363.636363636302</v>
      </c>
      <c r="H1377" s="3">
        <v>45499.999999999935</v>
      </c>
      <c r="I1377" s="3">
        <v>45500</v>
      </c>
      <c r="J1377" s="3">
        <v>41363.636363636302</v>
      </c>
      <c r="K1377" s="25">
        <v>30748</v>
      </c>
      <c r="L1377" s="25">
        <v>30748</v>
      </c>
    </row>
    <row r="1378" spans="1:12" x14ac:dyDescent="0.3">
      <c r="A1378" t="s">
        <v>5594</v>
      </c>
      <c r="B1378">
        <v>2.0260206211836201E+18</v>
      </c>
      <c r="C1378" t="s">
        <v>5602</v>
      </c>
      <c r="D1378">
        <v>143790</v>
      </c>
      <c r="E1378" s="16" t="s">
        <v>7</v>
      </c>
      <c r="F1378" s="3">
        <v>1</v>
      </c>
      <c r="G1378" s="3">
        <v>41363.636363636302</v>
      </c>
      <c r="H1378" s="3">
        <v>45499.999999999935</v>
      </c>
      <c r="I1378" s="3">
        <v>45500</v>
      </c>
      <c r="J1378" s="3">
        <v>41363.636363636302</v>
      </c>
      <c r="K1378" s="25">
        <v>30748</v>
      </c>
      <c r="L1378" s="25">
        <v>30748</v>
      </c>
    </row>
    <row r="1379" spans="1:12" x14ac:dyDescent="0.3">
      <c r="A1379" t="s">
        <v>5594</v>
      </c>
      <c r="B1379">
        <v>2.02602062109136E+18</v>
      </c>
      <c r="C1379" t="s">
        <v>5602</v>
      </c>
      <c r="D1379">
        <v>143790</v>
      </c>
      <c r="E1379" s="16" t="s">
        <v>7</v>
      </c>
      <c r="F1379" s="3">
        <v>1</v>
      </c>
      <c r="G1379" s="3">
        <v>41363.636363636302</v>
      </c>
      <c r="H1379" s="3">
        <v>45499.999999999935</v>
      </c>
      <c r="I1379" s="3">
        <v>45500</v>
      </c>
      <c r="J1379" s="3">
        <v>41363.636363636302</v>
      </c>
      <c r="K1379" s="25">
        <v>30748</v>
      </c>
      <c r="L1379" s="25">
        <v>30748</v>
      </c>
    </row>
    <row r="1380" spans="1:12" x14ac:dyDescent="0.3">
      <c r="A1380" t="s">
        <v>5594</v>
      </c>
      <c r="B1380">
        <v>2.0260206210955599E+18</v>
      </c>
      <c r="C1380" t="s">
        <v>5602</v>
      </c>
      <c r="D1380">
        <v>143790</v>
      </c>
      <c r="E1380" s="16" t="s">
        <v>7</v>
      </c>
      <c r="F1380" s="3">
        <v>1</v>
      </c>
      <c r="G1380" s="3">
        <v>41363.636363636302</v>
      </c>
      <c r="H1380" s="3">
        <v>45499.999999999935</v>
      </c>
      <c r="I1380" s="3">
        <v>45500</v>
      </c>
      <c r="J1380" s="3">
        <v>41363.636363636302</v>
      </c>
      <c r="K1380" s="25">
        <v>30748</v>
      </c>
      <c r="L1380" s="25">
        <v>30748</v>
      </c>
    </row>
    <row r="1381" spans="1:12" x14ac:dyDescent="0.3">
      <c r="A1381" t="s">
        <v>5594</v>
      </c>
      <c r="B1381">
        <v>2.0260206210703501E+18</v>
      </c>
      <c r="C1381" t="s">
        <v>5602</v>
      </c>
      <c r="D1381">
        <v>143790</v>
      </c>
      <c r="E1381" s="16" t="s">
        <v>7</v>
      </c>
      <c r="F1381" s="3">
        <v>1</v>
      </c>
      <c r="G1381" s="3">
        <v>41363.636363636302</v>
      </c>
      <c r="H1381" s="3">
        <v>45499.999999999935</v>
      </c>
      <c r="I1381" s="3">
        <v>45500</v>
      </c>
      <c r="J1381" s="3">
        <v>41363.636363636302</v>
      </c>
      <c r="K1381" s="25">
        <v>30748</v>
      </c>
      <c r="L1381" s="25">
        <v>30748</v>
      </c>
    </row>
    <row r="1382" spans="1:12" x14ac:dyDescent="0.3">
      <c r="A1382" t="s">
        <v>5594</v>
      </c>
      <c r="B1382">
        <v>2.0260206210732301E+18</v>
      </c>
      <c r="C1382" t="s">
        <v>5602</v>
      </c>
      <c r="D1382">
        <v>143790</v>
      </c>
      <c r="E1382" s="16" t="s">
        <v>7</v>
      </c>
      <c r="F1382" s="3">
        <v>1</v>
      </c>
      <c r="G1382" s="3">
        <v>41363.636363636302</v>
      </c>
      <c r="H1382" s="3">
        <v>45499.999999999935</v>
      </c>
      <c r="I1382" s="3">
        <v>45500</v>
      </c>
      <c r="J1382" s="3">
        <v>41363.636363636302</v>
      </c>
      <c r="K1382" s="25">
        <v>30748</v>
      </c>
      <c r="L1382" s="25">
        <v>30748</v>
      </c>
    </row>
    <row r="1383" spans="1:12" x14ac:dyDescent="0.3">
      <c r="A1383" t="s">
        <v>5594</v>
      </c>
      <c r="B1383">
        <v>2.02602062042499E+18</v>
      </c>
      <c r="C1383" t="s">
        <v>5602</v>
      </c>
      <c r="D1383">
        <v>143790</v>
      </c>
      <c r="E1383" s="16" t="s">
        <v>7</v>
      </c>
      <c r="F1383" s="3">
        <v>1</v>
      </c>
      <c r="G1383" s="3">
        <v>41363.636363636302</v>
      </c>
      <c r="H1383" s="3">
        <v>45499.999999999935</v>
      </c>
      <c r="I1383" s="3">
        <v>45500</v>
      </c>
      <c r="J1383" s="3">
        <v>41363.636363636302</v>
      </c>
      <c r="K1383" s="25">
        <v>30748</v>
      </c>
      <c r="L1383" s="25">
        <v>30748</v>
      </c>
    </row>
    <row r="1384" spans="1:12" x14ac:dyDescent="0.3">
      <c r="A1384" t="s">
        <v>5594</v>
      </c>
      <c r="B1384">
        <v>2.0260206202942799E+18</v>
      </c>
      <c r="C1384" t="s">
        <v>5602</v>
      </c>
      <c r="D1384">
        <v>143790</v>
      </c>
      <c r="E1384" s="16" t="s">
        <v>7</v>
      </c>
      <c r="F1384" s="3">
        <v>1</v>
      </c>
      <c r="G1384" s="3">
        <v>41363.636363636302</v>
      </c>
      <c r="H1384" s="3">
        <v>45499.999999999935</v>
      </c>
      <c r="I1384" s="3">
        <v>45500</v>
      </c>
      <c r="J1384" s="3">
        <v>41363.636363636302</v>
      </c>
      <c r="K1384" s="25">
        <v>30748</v>
      </c>
      <c r="L1384" s="25">
        <v>30748</v>
      </c>
    </row>
    <row r="1385" spans="1:12" x14ac:dyDescent="0.3">
      <c r="A1385" t="s">
        <v>5594</v>
      </c>
      <c r="B1385">
        <v>2.0260206203026801E+18</v>
      </c>
      <c r="C1385" t="s">
        <v>5602</v>
      </c>
      <c r="D1385">
        <v>143790</v>
      </c>
      <c r="E1385" s="16" t="s">
        <v>7</v>
      </c>
      <c r="F1385" s="3">
        <v>1</v>
      </c>
      <c r="G1385" s="3">
        <v>41363.636363636302</v>
      </c>
      <c r="H1385" s="3">
        <v>45499.999999999935</v>
      </c>
      <c r="I1385" s="3">
        <v>45500</v>
      </c>
      <c r="J1385" s="3">
        <v>41363.636363636302</v>
      </c>
      <c r="K1385" s="25">
        <v>30748</v>
      </c>
      <c r="L1385" s="25">
        <v>30748</v>
      </c>
    </row>
    <row r="1386" spans="1:12" x14ac:dyDescent="0.3">
      <c r="A1386" t="s">
        <v>5594</v>
      </c>
      <c r="B1386">
        <v>2.0260206202918799E+18</v>
      </c>
      <c r="C1386" t="s">
        <v>5602</v>
      </c>
      <c r="D1386">
        <v>143790</v>
      </c>
      <c r="E1386" s="16" t="s">
        <v>7</v>
      </c>
      <c r="F1386" s="3">
        <v>1</v>
      </c>
      <c r="G1386" s="3">
        <v>41363.636363636302</v>
      </c>
      <c r="H1386" s="3">
        <v>45499.999999999935</v>
      </c>
      <c r="I1386" s="3">
        <v>45500</v>
      </c>
      <c r="J1386" s="3">
        <v>41363.636363636302</v>
      </c>
      <c r="K1386" s="25">
        <v>30748</v>
      </c>
      <c r="L1386" s="25">
        <v>30748</v>
      </c>
    </row>
    <row r="1387" spans="1:12" x14ac:dyDescent="0.3">
      <c r="A1387" t="s">
        <v>5594</v>
      </c>
      <c r="B1387">
        <v>2.02602062029137E+18</v>
      </c>
      <c r="C1387" t="s">
        <v>5602</v>
      </c>
      <c r="D1387">
        <v>143790</v>
      </c>
      <c r="E1387" s="16" t="s">
        <v>7</v>
      </c>
      <c r="F1387" s="3">
        <v>1</v>
      </c>
      <c r="G1387" s="3">
        <v>41363.636363636302</v>
      </c>
      <c r="H1387" s="3">
        <v>45499.999999999935</v>
      </c>
      <c r="I1387" s="3">
        <v>45500</v>
      </c>
      <c r="J1387" s="3">
        <v>41363.636363636302</v>
      </c>
      <c r="K1387" s="25">
        <v>30748</v>
      </c>
      <c r="L1387" s="25">
        <v>30748</v>
      </c>
    </row>
    <row r="1388" spans="1:12" x14ac:dyDescent="0.3">
      <c r="A1388" t="s">
        <v>5594</v>
      </c>
      <c r="B1388">
        <v>2.0260206202822001E+18</v>
      </c>
      <c r="C1388" t="s">
        <v>5602</v>
      </c>
      <c r="D1388">
        <v>143790</v>
      </c>
      <c r="E1388" s="16" t="s">
        <v>7</v>
      </c>
      <c r="F1388" s="3">
        <v>1</v>
      </c>
      <c r="G1388" s="3">
        <v>41363.636363636302</v>
      </c>
      <c r="H1388" s="3">
        <v>45499.999999999935</v>
      </c>
      <c r="I1388" s="3">
        <v>45500</v>
      </c>
      <c r="J1388" s="3">
        <v>41363.636363636302</v>
      </c>
      <c r="K1388" s="25">
        <v>30748</v>
      </c>
      <c r="L1388" s="25">
        <v>30748</v>
      </c>
    </row>
    <row r="1389" spans="1:12" x14ac:dyDescent="0.3">
      <c r="A1389" t="s">
        <v>5594</v>
      </c>
      <c r="B1389">
        <v>2.02602062018077E+18</v>
      </c>
      <c r="C1389" t="s">
        <v>5602</v>
      </c>
      <c r="D1389">
        <v>143790</v>
      </c>
      <c r="E1389" s="16" t="s">
        <v>7</v>
      </c>
      <c r="F1389" s="3">
        <v>1</v>
      </c>
      <c r="G1389" s="3">
        <v>41363.636363636302</v>
      </c>
      <c r="H1389" s="3">
        <v>45499.999999999935</v>
      </c>
      <c r="I1389" s="3">
        <v>45500</v>
      </c>
      <c r="J1389" s="3">
        <v>41363.636363636302</v>
      </c>
      <c r="K1389" s="25">
        <v>30748</v>
      </c>
      <c r="L1389" s="25">
        <v>30748</v>
      </c>
    </row>
    <row r="1390" spans="1:12" x14ac:dyDescent="0.3">
      <c r="A1390" t="s">
        <v>5594</v>
      </c>
      <c r="B1390">
        <v>2.0260206202421299E+18</v>
      </c>
      <c r="C1390" t="s">
        <v>5602</v>
      </c>
      <c r="D1390">
        <v>143790</v>
      </c>
      <c r="E1390" s="16" t="s">
        <v>7</v>
      </c>
      <c r="F1390" s="3">
        <v>1</v>
      </c>
      <c r="G1390" s="3">
        <v>41363.636363636302</v>
      </c>
      <c r="H1390" s="3">
        <v>45499.999999999935</v>
      </c>
      <c r="I1390" s="3">
        <v>45500</v>
      </c>
      <c r="J1390" s="3">
        <v>41363.636363636302</v>
      </c>
      <c r="K1390" s="25">
        <v>30748</v>
      </c>
      <c r="L1390" s="25">
        <v>30748</v>
      </c>
    </row>
    <row r="1391" spans="1:12" x14ac:dyDescent="0.3">
      <c r="A1391" t="s">
        <v>5594</v>
      </c>
      <c r="B1391">
        <v>2.0260206202235699E+18</v>
      </c>
      <c r="C1391" t="s">
        <v>5602</v>
      </c>
      <c r="D1391">
        <v>143790</v>
      </c>
      <c r="E1391" s="16" t="s">
        <v>7</v>
      </c>
      <c r="F1391" s="3">
        <v>1</v>
      </c>
      <c r="G1391" s="3">
        <v>41363.636363636302</v>
      </c>
      <c r="H1391" s="3">
        <v>45499.999999999935</v>
      </c>
      <c r="I1391" s="3">
        <v>45500</v>
      </c>
      <c r="J1391" s="3">
        <v>41363.636363636302</v>
      </c>
      <c r="K1391" s="25">
        <v>30748</v>
      </c>
      <c r="L1391" s="25">
        <v>30748</v>
      </c>
    </row>
    <row r="1392" spans="1:12" x14ac:dyDescent="0.3">
      <c r="A1392" t="s">
        <v>5594</v>
      </c>
      <c r="B1392">
        <v>2.02602062019153E+18</v>
      </c>
      <c r="C1392" t="s">
        <v>5602</v>
      </c>
      <c r="D1392">
        <v>143790</v>
      </c>
      <c r="E1392" s="16" t="s">
        <v>7</v>
      </c>
      <c r="F1392" s="3">
        <v>1</v>
      </c>
      <c r="G1392" s="3">
        <v>41363.636363636302</v>
      </c>
      <c r="H1392" s="3">
        <v>45499.999999999935</v>
      </c>
      <c r="I1392" s="3">
        <v>45500</v>
      </c>
      <c r="J1392" s="3">
        <v>41363.636363636302</v>
      </c>
      <c r="K1392" s="25">
        <v>30748</v>
      </c>
      <c r="L1392" s="25">
        <v>30748</v>
      </c>
    </row>
    <row r="1393" spans="1:12" x14ac:dyDescent="0.3">
      <c r="A1393" t="s">
        <v>5594</v>
      </c>
      <c r="B1393">
        <v>2.02602062015409E+18</v>
      </c>
      <c r="C1393" t="s">
        <v>5602</v>
      </c>
      <c r="D1393">
        <v>143790</v>
      </c>
      <c r="E1393" s="16" t="s">
        <v>7</v>
      </c>
      <c r="F1393" s="3">
        <v>1</v>
      </c>
      <c r="G1393" s="3">
        <v>41363.636363636302</v>
      </c>
      <c r="H1393" s="3">
        <v>45499.999999999935</v>
      </c>
      <c r="I1393" s="3">
        <v>45500</v>
      </c>
      <c r="J1393" s="3">
        <v>41363.636363636302</v>
      </c>
      <c r="K1393" s="25">
        <v>30748</v>
      </c>
      <c r="L1393" s="25">
        <v>30748</v>
      </c>
    </row>
    <row r="1394" spans="1:12" x14ac:dyDescent="0.3">
      <c r="A1394" t="s">
        <v>5594</v>
      </c>
      <c r="B1394">
        <v>2.02602062013073E+18</v>
      </c>
      <c r="C1394" t="s">
        <v>5602</v>
      </c>
      <c r="D1394">
        <v>143790</v>
      </c>
      <c r="E1394" s="16" t="s">
        <v>7</v>
      </c>
      <c r="F1394" s="3">
        <v>1</v>
      </c>
      <c r="G1394" s="3">
        <v>41363.636363636302</v>
      </c>
      <c r="H1394" s="3">
        <v>45499.999999999935</v>
      </c>
      <c r="I1394" s="3">
        <v>45500</v>
      </c>
      <c r="J1394" s="3">
        <v>41363.636363636302</v>
      </c>
      <c r="K1394" s="25">
        <v>30748</v>
      </c>
      <c r="L1394" s="25">
        <v>30748</v>
      </c>
    </row>
    <row r="1395" spans="1:12" x14ac:dyDescent="0.3">
      <c r="A1395" t="s">
        <v>5594</v>
      </c>
      <c r="B1395">
        <v>2.02602062011104E+18</v>
      </c>
      <c r="C1395" t="s">
        <v>5602</v>
      </c>
      <c r="D1395">
        <v>143790</v>
      </c>
      <c r="E1395" s="16" t="s">
        <v>7</v>
      </c>
      <c r="F1395" s="3">
        <v>1</v>
      </c>
      <c r="G1395" s="3">
        <v>41363.636363636302</v>
      </c>
      <c r="H1395" s="3">
        <v>45499.999999999935</v>
      </c>
      <c r="I1395" s="3">
        <v>45500</v>
      </c>
      <c r="J1395" s="3">
        <v>41363.636363636302</v>
      </c>
      <c r="K1395" s="25">
        <v>30748</v>
      </c>
      <c r="L1395" s="25">
        <v>30748</v>
      </c>
    </row>
    <row r="1396" spans="1:12" x14ac:dyDescent="0.3">
      <c r="A1396" t="s">
        <v>5594</v>
      </c>
      <c r="B1396">
        <v>2.0260206195657999E+18</v>
      </c>
      <c r="C1396" t="s">
        <v>5602</v>
      </c>
      <c r="D1396">
        <v>143790</v>
      </c>
      <c r="E1396" s="16" t="s">
        <v>7</v>
      </c>
      <c r="F1396" s="3">
        <v>1</v>
      </c>
      <c r="G1396" s="3">
        <v>41363.636363636302</v>
      </c>
      <c r="H1396" s="3">
        <v>45499.999999999935</v>
      </c>
      <c r="I1396" s="3">
        <v>45500</v>
      </c>
      <c r="J1396" s="3">
        <v>41363.636363636302</v>
      </c>
      <c r="K1396" s="25">
        <v>30748</v>
      </c>
      <c r="L1396" s="25">
        <v>30748</v>
      </c>
    </row>
    <row r="1397" spans="1:12" x14ac:dyDescent="0.3">
      <c r="A1397" t="s">
        <v>5594</v>
      </c>
      <c r="B1397">
        <v>2.0260206195031501E+18</v>
      </c>
      <c r="C1397" t="s">
        <v>5602</v>
      </c>
      <c r="D1397">
        <v>143790</v>
      </c>
      <c r="E1397" s="16" t="s">
        <v>7</v>
      </c>
      <c r="F1397" s="3">
        <v>3</v>
      </c>
      <c r="G1397" s="3">
        <v>41363.636363636331</v>
      </c>
      <c r="H1397" s="3">
        <v>136499.99999999991</v>
      </c>
      <c r="I1397" s="3">
        <v>136500</v>
      </c>
      <c r="J1397" s="3">
        <v>124090.909090909</v>
      </c>
      <c r="K1397" s="25">
        <v>30748</v>
      </c>
      <c r="L1397" s="25">
        <v>92244</v>
      </c>
    </row>
    <row r="1398" spans="1:12" x14ac:dyDescent="0.3">
      <c r="A1398" t="s">
        <v>5594</v>
      </c>
      <c r="B1398">
        <v>2.0260206194915599E+18</v>
      </c>
      <c r="C1398" t="s">
        <v>5602</v>
      </c>
      <c r="D1398">
        <v>143790</v>
      </c>
      <c r="E1398" s="16" t="s">
        <v>7</v>
      </c>
      <c r="F1398" s="3">
        <v>1</v>
      </c>
      <c r="G1398" s="3">
        <v>41363.636363636302</v>
      </c>
      <c r="H1398" s="3">
        <v>45499.999999999935</v>
      </c>
      <c r="I1398" s="3">
        <v>45500</v>
      </c>
      <c r="J1398" s="3">
        <v>41363.636363636302</v>
      </c>
      <c r="K1398" s="25">
        <v>30748</v>
      </c>
      <c r="L1398" s="25">
        <v>30748</v>
      </c>
    </row>
    <row r="1399" spans="1:12" x14ac:dyDescent="0.3">
      <c r="A1399" t="s">
        <v>5594</v>
      </c>
      <c r="B1399">
        <v>2.0260206193542799E+18</v>
      </c>
      <c r="C1399" t="s">
        <v>5602</v>
      </c>
      <c r="D1399">
        <v>143790</v>
      </c>
      <c r="E1399" s="16" t="s">
        <v>7</v>
      </c>
      <c r="F1399" s="3">
        <v>1</v>
      </c>
      <c r="G1399" s="3">
        <v>41363.636363636302</v>
      </c>
      <c r="H1399" s="3">
        <v>45499.999999999935</v>
      </c>
      <c r="I1399" s="3">
        <v>45500</v>
      </c>
      <c r="J1399" s="3">
        <v>41363.636363636302</v>
      </c>
      <c r="K1399" s="25">
        <v>30748</v>
      </c>
      <c r="L1399" s="25">
        <v>30748</v>
      </c>
    </row>
    <row r="1400" spans="1:12" x14ac:dyDescent="0.3">
      <c r="A1400" t="s">
        <v>5594</v>
      </c>
      <c r="B1400">
        <v>2.0260206193314199E+18</v>
      </c>
      <c r="C1400" t="s">
        <v>5602</v>
      </c>
      <c r="D1400">
        <v>143790</v>
      </c>
      <c r="E1400" s="16" t="s">
        <v>7</v>
      </c>
      <c r="F1400" s="3">
        <v>1</v>
      </c>
      <c r="G1400" s="3">
        <v>41363.636363636302</v>
      </c>
      <c r="H1400" s="3">
        <v>45499.999999999935</v>
      </c>
      <c r="I1400" s="3">
        <v>45500</v>
      </c>
      <c r="J1400" s="3">
        <v>41363.636363636302</v>
      </c>
      <c r="K1400" s="25">
        <v>30748</v>
      </c>
      <c r="L1400" s="25">
        <v>30748</v>
      </c>
    </row>
    <row r="1401" spans="1:12" x14ac:dyDescent="0.3">
      <c r="A1401" t="s">
        <v>5594</v>
      </c>
      <c r="B1401">
        <v>2.02602061922243E+18</v>
      </c>
      <c r="C1401" t="s">
        <v>5602</v>
      </c>
      <c r="D1401">
        <v>143790</v>
      </c>
      <c r="E1401" s="16" t="s">
        <v>7</v>
      </c>
      <c r="F1401" s="3">
        <v>1</v>
      </c>
      <c r="G1401" s="3">
        <v>41363.636363636302</v>
      </c>
      <c r="H1401" s="3">
        <v>45499.999999999935</v>
      </c>
      <c r="I1401" s="3">
        <v>45500</v>
      </c>
      <c r="J1401" s="3">
        <v>41363.636363636302</v>
      </c>
      <c r="K1401" s="25">
        <v>30748</v>
      </c>
      <c r="L1401" s="25">
        <v>30748</v>
      </c>
    </row>
    <row r="1402" spans="1:12" x14ac:dyDescent="0.3">
      <c r="A1402" t="s">
        <v>5594</v>
      </c>
      <c r="B1402">
        <v>2.0260206191939899E+18</v>
      </c>
      <c r="C1402" t="s">
        <v>5602</v>
      </c>
      <c r="D1402">
        <v>143790</v>
      </c>
      <c r="E1402" s="16" t="s">
        <v>7</v>
      </c>
      <c r="F1402" s="3">
        <v>1</v>
      </c>
      <c r="G1402" s="3">
        <v>41363.636363636302</v>
      </c>
      <c r="H1402" s="3">
        <v>45499.999999999935</v>
      </c>
      <c r="I1402" s="3">
        <v>45500</v>
      </c>
      <c r="J1402" s="3">
        <v>41363.636363636302</v>
      </c>
      <c r="K1402" s="25">
        <v>30748</v>
      </c>
      <c r="L1402" s="25">
        <v>30748</v>
      </c>
    </row>
    <row r="1403" spans="1:12" x14ac:dyDescent="0.3">
      <c r="A1403" t="s">
        <v>5594</v>
      </c>
      <c r="B1403">
        <v>2.02602061919006E+18</v>
      </c>
      <c r="C1403" t="s">
        <v>5602</v>
      </c>
      <c r="D1403">
        <v>143790</v>
      </c>
      <c r="E1403" s="16" t="s">
        <v>7</v>
      </c>
      <c r="F1403" s="3">
        <v>1</v>
      </c>
      <c r="G1403" s="3">
        <v>41363.636363636302</v>
      </c>
      <c r="H1403" s="3">
        <v>45499.999999999935</v>
      </c>
      <c r="I1403" s="3">
        <v>45500</v>
      </c>
      <c r="J1403" s="3">
        <v>41363.636363636302</v>
      </c>
      <c r="K1403" s="25">
        <v>30748</v>
      </c>
      <c r="L1403" s="25">
        <v>30748</v>
      </c>
    </row>
    <row r="1404" spans="1:12" x14ac:dyDescent="0.3">
      <c r="A1404" t="s">
        <v>5594</v>
      </c>
      <c r="B1404">
        <v>2.0260206191847401E+18</v>
      </c>
      <c r="C1404" t="s">
        <v>5602</v>
      </c>
      <c r="D1404">
        <v>143790</v>
      </c>
      <c r="E1404" s="16" t="s">
        <v>7</v>
      </c>
      <c r="F1404" s="3">
        <v>1</v>
      </c>
      <c r="G1404" s="3">
        <v>41363.636363636302</v>
      </c>
      <c r="H1404" s="3">
        <v>45499.999999999935</v>
      </c>
      <c r="I1404" s="3">
        <v>45500</v>
      </c>
      <c r="J1404" s="3">
        <v>41363.636363636302</v>
      </c>
      <c r="K1404" s="25">
        <v>30748</v>
      </c>
      <c r="L1404" s="25">
        <v>30748</v>
      </c>
    </row>
    <row r="1405" spans="1:12" x14ac:dyDescent="0.3">
      <c r="A1405" t="s">
        <v>5594</v>
      </c>
      <c r="B1405">
        <v>2.0260206191706199E+18</v>
      </c>
      <c r="C1405" t="s">
        <v>5602</v>
      </c>
      <c r="D1405">
        <v>143790</v>
      </c>
      <c r="E1405" s="16" t="s">
        <v>7</v>
      </c>
      <c r="F1405" s="3">
        <v>1</v>
      </c>
      <c r="G1405" s="3">
        <v>41363.636363636302</v>
      </c>
      <c r="H1405" s="3">
        <v>45499.999999999935</v>
      </c>
      <c r="I1405" s="3">
        <v>45500</v>
      </c>
      <c r="J1405" s="3">
        <v>41363.636363636302</v>
      </c>
      <c r="K1405" s="25">
        <v>30748</v>
      </c>
      <c r="L1405" s="25">
        <v>30748</v>
      </c>
    </row>
    <row r="1406" spans="1:12" x14ac:dyDescent="0.3">
      <c r="A1406" t="s">
        <v>5594</v>
      </c>
      <c r="B1406">
        <v>2.0260206191706801E+18</v>
      </c>
      <c r="C1406" t="s">
        <v>5602</v>
      </c>
      <c r="D1406">
        <v>143790</v>
      </c>
      <c r="E1406" s="16" t="s">
        <v>7</v>
      </c>
      <c r="F1406" s="3">
        <v>1</v>
      </c>
      <c r="G1406" s="3">
        <v>41363.636363636302</v>
      </c>
      <c r="H1406" s="3">
        <v>45499.999999999935</v>
      </c>
      <c r="I1406" s="3">
        <v>45500</v>
      </c>
      <c r="J1406" s="3">
        <v>41363.636363636302</v>
      </c>
      <c r="K1406" s="25">
        <v>30748</v>
      </c>
      <c r="L1406" s="25">
        <v>30748</v>
      </c>
    </row>
    <row r="1407" spans="1:12" x14ac:dyDescent="0.3">
      <c r="A1407" t="s">
        <v>5594</v>
      </c>
      <c r="B1407">
        <v>2.0260206191426501E+18</v>
      </c>
      <c r="C1407" t="s">
        <v>5602</v>
      </c>
      <c r="D1407">
        <v>143790</v>
      </c>
      <c r="E1407" s="16" t="s">
        <v>7</v>
      </c>
      <c r="F1407" s="3">
        <v>1</v>
      </c>
      <c r="G1407" s="3">
        <v>41363.636363636302</v>
      </c>
      <c r="H1407" s="3">
        <v>45499.999999999935</v>
      </c>
      <c r="I1407" s="3">
        <v>45500</v>
      </c>
      <c r="J1407" s="3">
        <v>41363.636363636302</v>
      </c>
      <c r="K1407" s="25">
        <v>30748</v>
      </c>
      <c r="L1407" s="25">
        <v>30748</v>
      </c>
    </row>
    <row r="1408" spans="1:12" x14ac:dyDescent="0.3">
      <c r="A1408" t="s">
        <v>5594</v>
      </c>
      <c r="B1408">
        <v>2.02602061914402E+18</v>
      </c>
      <c r="C1408" t="s">
        <v>5602</v>
      </c>
      <c r="D1408">
        <v>143790</v>
      </c>
      <c r="E1408" s="16" t="s">
        <v>7</v>
      </c>
      <c r="F1408" s="3">
        <v>1</v>
      </c>
      <c r="G1408" s="3">
        <v>41363.636363636302</v>
      </c>
      <c r="H1408" s="3">
        <v>45499.999999999935</v>
      </c>
      <c r="I1408" s="3">
        <v>45500</v>
      </c>
      <c r="J1408" s="3">
        <v>41363.636363636302</v>
      </c>
      <c r="K1408" s="25">
        <v>30748</v>
      </c>
      <c r="L1408" s="25">
        <v>30748</v>
      </c>
    </row>
    <row r="1409" spans="1:12" x14ac:dyDescent="0.3">
      <c r="A1409" t="s">
        <v>5594</v>
      </c>
      <c r="B1409">
        <v>2.0260206191224801E+18</v>
      </c>
      <c r="C1409" t="s">
        <v>5602</v>
      </c>
      <c r="D1409">
        <v>143790</v>
      </c>
      <c r="E1409" s="16" t="s">
        <v>7</v>
      </c>
      <c r="F1409" s="3">
        <v>1</v>
      </c>
      <c r="G1409" s="3">
        <v>41363.636363636302</v>
      </c>
      <c r="H1409" s="3">
        <v>45499.999999999935</v>
      </c>
      <c r="I1409" s="3">
        <v>45500</v>
      </c>
      <c r="J1409" s="3">
        <v>41363.636363636302</v>
      </c>
      <c r="K1409" s="25">
        <v>30748</v>
      </c>
      <c r="L1409" s="25">
        <v>30748</v>
      </c>
    </row>
    <row r="1410" spans="1:12" x14ac:dyDescent="0.3">
      <c r="A1410" t="s">
        <v>5594</v>
      </c>
      <c r="B1410">
        <v>2.0260206191314601E+18</v>
      </c>
      <c r="C1410" t="s">
        <v>5602</v>
      </c>
      <c r="D1410">
        <v>143790</v>
      </c>
      <c r="E1410" s="16" t="s">
        <v>7</v>
      </c>
      <c r="F1410" s="3">
        <v>2</v>
      </c>
      <c r="G1410" s="3">
        <v>41363.636363636353</v>
      </c>
      <c r="H1410" s="3">
        <v>91000</v>
      </c>
      <c r="I1410" s="3">
        <v>91000</v>
      </c>
      <c r="J1410" s="3">
        <v>82727.272727272706</v>
      </c>
      <c r="K1410" s="25">
        <v>30748</v>
      </c>
      <c r="L1410" s="25">
        <v>61496</v>
      </c>
    </row>
    <row r="1411" spans="1:12" x14ac:dyDescent="0.3">
      <c r="A1411" t="s">
        <v>5594</v>
      </c>
      <c r="B1411">
        <v>2.02602061912463E+18</v>
      </c>
      <c r="C1411" t="s">
        <v>5602</v>
      </c>
      <c r="D1411">
        <v>143790</v>
      </c>
      <c r="E1411" s="16" t="s">
        <v>7</v>
      </c>
      <c r="F1411" s="3">
        <v>1</v>
      </c>
      <c r="G1411" s="3">
        <v>41363.636363636302</v>
      </c>
      <c r="H1411" s="3">
        <v>45499.999999999935</v>
      </c>
      <c r="I1411" s="3">
        <v>45500</v>
      </c>
      <c r="J1411" s="3">
        <v>41363.636363636302</v>
      </c>
      <c r="K1411" s="25">
        <v>30748</v>
      </c>
      <c r="L1411" s="25">
        <v>30748</v>
      </c>
    </row>
    <row r="1412" spans="1:12" x14ac:dyDescent="0.3">
      <c r="A1412" t="s">
        <v>5594</v>
      </c>
      <c r="B1412">
        <v>2.02602061913219E+18</v>
      </c>
      <c r="C1412" t="s">
        <v>5602</v>
      </c>
      <c r="D1412">
        <v>143790</v>
      </c>
      <c r="E1412" s="16" t="s">
        <v>7</v>
      </c>
      <c r="F1412" s="3">
        <v>1</v>
      </c>
      <c r="G1412" s="3">
        <v>41363.636363636302</v>
      </c>
      <c r="H1412" s="3">
        <v>45499.999999999935</v>
      </c>
      <c r="I1412" s="3">
        <v>45500</v>
      </c>
      <c r="J1412" s="3">
        <v>41363.636363636302</v>
      </c>
      <c r="K1412" s="25">
        <v>30748</v>
      </c>
      <c r="L1412" s="25">
        <v>30748</v>
      </c>
    </row>
    <row r="1413" spans="1:12" x14ac:dyDescent="0.3">
      <c r="A1413" t="s">
        <v>5594</v>
      </c>
      <c r="B1413">
        <v>2.02602061912323E+18</v>
      </c>
      <c r="C1413" t="s">
        <v>5602</v>
      </c>
      <c r="D1413">
        <v>143790</v>
      </c>
      <c r="E1413" s="16" t="s">
        <v>7</v>
      </c>
      <c r="F1413" s="3">
        <v>1</v>
      </c>
      <c r="G1413" s="3">
        <v>41363.636363636302</v>
      </c>
      <c r="H1413" s="3">
        <v>45499.999999999935</v>
      </c>
      <c r="I1413" s="3">
        <v>45500</v>
      </c>
      <c r="J1413" s="3">
        <v>41363.636363636302</v>
      </c>
      <c r="K1413" s="25">
        <v>30748</v>
      </c>
      <c r="L1413" s="25">
        <v>30748</v>
      </c>
    </row>
    <row r="1414" spans="1:12" x14ac:dyDescent="0.3">
      <c r="A1414" t="s">
        <v>5594</v>
      </c>
      <c r="B1414">
        <v>2.0260206163606999E+18</v>
      </c>
      <c r="C1414" t="s">
        <v>5602</v>
      </c>
      <c r="D1414">
        <v>143790</v>
      </c>
      <c r="E1414" s="16" t="s">
        <v>7</v>
      </c>
      <c r="F1414" s="3">
        <v>1</v>
      </c>
      <c r="G1414" s="3">
        <v>41363.636363636302</v>
      </c>
      <c r="H1414" s="3">
        <v>45499.999999999935</v>
      </c>
      <c r="I1414" s="3">
        <v>45500</v>
      </c>
      <c r="J1414" s="3">
        <v>41363.636363636302</v>
      </c>
      <c r="K1414" s="25">
        <v>30748</v>
      </c>
      <c r="L1414" s="25">
        <v>30748</v>
      </c>
    </row>
    <row r="1415" spans="1:12" x14ac:dyDescent="0.3">
      <c r="A1415" t="s">
        <v>5594</v>
      </c>
      <c r="B1415">
        <v>2.0260206163110999E+18</v>
      </c>
      <c r="C1415" t="s">
        <v>5602</v>
      </c>
      <c r="D1415">
        <v>143790</v>
      </c>
      <c r="E1415" s="16" t="s">
        <v>7</v>
      </c>
      <c r="F1415" s="3">
        <v>1</v>
      </c>
      <c r="G1415" s="3">
        <v>41363.636363636302</v>
      </c>
      <c r="H1415" s="3">
        <v>45499.999999999935</v>
      </c>
      <c r="I1415" s="3">
        <v>45500</v>
      </c>
      <c r="J1415" s="3">
        <v>41363.636363636302</v>
      </c>
      <c r="K1415" s="25">
        <v>30748</v>
      </c>
      <c r="L1415" s="25">
        <v>30748</v>
      </c>
    </row>
    <row r="1416" spans="1:12" x14ac:dyDescent="0.3">
      <c r="A1416" t="s">
        <v>5594</v>
      </c>
      <c r="B1416">
        <v>2.0260206162218601E+18</v>
      </c>
      <c r="C1416" t="s">
        <v>5602</v>
      </c>
      <c r="D1416">
        <v>143790</v>
      </c>
      <c r="E1416" s="16" t="s">
        <v>7</v>
      </c>
      <c r="F1416" s="3">
        <v>1</v>
      </c>
      <c r="G1416" s="3">
        <v>41363.636363636302</v>
      </c>
      <c r="H1416" s="3">
        <v>45499.999999999935</v>
      </c>
      <c r="I1416" s="3">
        <v>45500</v>
      </c>
      <c r="J1416" s="3">
        <v>41363.636363636302</v>
      </c>
      <c r="K1416" s="25">
        <v>30748</v>
      </c>
      <c r="L1416" s="25">
        <v>30748</v>
      </c>
    </row>
    <row r="1417" spans="1:12" x14ac:dyDescent="0.3">
      <c r="A1417" t="s">
        <v>5594</v>
      </c>
      <c r="B1417">
        <v>2.0260206161657201E+18</v>
      </c>
      <c r="C1417" t="s">
        <v>5602</v>
      </c>
      <c r="D1417">
        <v>143790</v>
      </c>
      <c r="E1417" s="16" t="s">
        <v>7</v>
      </c>
      <c r="F1417" s="3">
        <v>1</v>
      </c>
      <c r="G1417" s="3">
        <v>41363.636363636302</v>
      </c>
      <c r="H1417" s="3">
        <v>45499.999999999935</v>
      </c>
      <c r="I1417" s="3">
        <v>45500</v>
      </c>
      <c r="J1417" s="3">
        <v>41363.636363636302</v>
      </c>
      <c r="K1417" s="25">
        <v>30748</v>
      </c>
      <c r="L1417" s="25">
        <v>30748</v>
      </c>
    </row>
    <row r="1418" spans="1:12" x14ac:dyDescent="0.3">
      <c r="A1418" t="s">
        <v>5594</v>
      </c>
      <c r="B1418">
        <v>2.0260206153656901E+18</v>
      </c>
      <c r="C1418" t="s">
        <v>5602</v>
      </c>
      <c r="D1418">
        <v>143790</v>
      </c>
      <c r="E1418" s="16" t="s">
        <v>7</v>
      </c>
      <c r="F1418" s="3">
        <v>1</v>
      </c>
      <c r="G1418" s="3">
        <v>41363.636363636302</v>
      </c>
      <c r="H1418" s="3">
        <v>45499.999999999935</v>
      </c>
      <c r="I1418" s="3">
        <v>45500</v>
      </c>
      <c r="J1418" s="3">
        <v>41363.636363636302</v>
      </c>
      <c r="K1418" s="25">
        <v>30748</v>
      </c>
      <c r="L1418" s="25">
        <v>30748</v>
      </c>
    </row>
    <row r="1419" spans="1:12" x14ac:dyDescent="0.3">
      <c r="A1419" t="s">
        <v>5594</v>
      </c>
      <c r="B1419">
        <v>2.02602061528275E+18</v>
      </c>
      <c r="C1419" t="s">
        <v>5602</v>
      </c>
      <c r="D1419">
        <v>143790</v>
      </c>
      <c r="E1419" s="16" t="s">
        <v>7</v>
      </c>
      <c r="F1419" s="3">
        <v>1</v>
      </c>
      <c r="G1419" s="3">
        <v>41363.636363636302</v>
      </c>
      <c r="H1419" s="3">
        <v>45499.999999999935</v>
      </c>
      <c r="I1419" s="3">
        <v>45500</v>
      </c>
      <c r="J1419" s="3">
        <v>41363.636363636302</v>
      </c>
      <c r="K1419" s="25">
        <v>30748</v>
      </c>
      <c r="L1419" s="25">
        <v>30748</v>
      </c>
    </row>
    <row r="1420" spans="1:12" x14ac:dyDescent="0.3">
      <c r="A1420" t="s">
        <v>5594</v>
      </c>
      <c r="B1420">
        <v>2.02602061527425E+18</v>
      </c>
      <c r="C1420" t="s">
        <v>5602</v>
      </c>
      <c r="D1420">
        <v>143790</v>
      </c>
      <c r="E1420" s="16" t="s">
        <v>7</v>
      </c>
      <c r="F1420" s="3">
        <v>1</v>
      </c>
      <c r="G1420" s="3">
        <v>41363.636363636302</v>
      </c>
      <c r="H1420" s="3">
        <v>45499.999999999935</v>
      </c>
      <c r="I1420" s="3">
        <v>45500</v>
      </c>
      <c r="J1420" s="3">
        <v>41363.636363636302</v>
      </c>
      <c r="K1420" s="25">
        <v>30748</v>
      </c>
      <c r="L1420" s="25">
        <v>30748</v>
      </c>
    </row>
    <row r="1421" spans="1:12" x14ac:dyDescent="0.3">
      <c r="A1421" t="s">
        <v>5594</v>
      </c>
      <c r="B1421">
        <v>2.02602061520416E+18</v>
      </c>
      <c r="C1421" t="s">
        <v>5602</v>
      </c>
      <c r="D1421">
        <v>143790</v>
      </c>
      <c r="E1421" s="16" t="s">
        <v>7</v>
      </c>
      <c r="F1421" s="3">
        <v>1</v>
      </c>
      <c r="G1421" s="3">
        <v>41363.636363636302</v>
      </c>
      <c r="H1421" s="3">
        <v>45499.999999999935</v>
      </c>
      <c r="I1421" s="3">
        <v>45500</v>
      </c>
      <c r="J1421" s="3">
        <v>41363.636363636302</v>
      </c>
      <c r="K1421" s="25">
        <v>30748</v>
      </c>
      <c r="L1421" s="25">
        <v>30748</v>
      </c>
    </row>
    <row r="1422" spans="1:12" x14ac:dyDescent="0.3">
      <c r="A1422" t="s">
        <v>5594</v>
      </c>
      <c r="B1422">
        <v>2.0260206152023401E+18</v>
      </c>
      <c r="C1422" t="s">
        <v>5602</v>
      </c>
      <c r="D1422">
        <v>143790</v>
      </c>
      <c r="E1422" s="16" t="s">
        <v>7</v>
      </c>
      <c r="F1422" s="3">
        <v>1</v>
      </c>
      <c r="G1422" s="3">
        <v>41363.636363636302</v>
      </c>
      <c r="H1422" s="3">
        <v>45499.999999999935</v>
      </c>
      <c r="I1422" s="3">
        <v>45500</v>
      </c>
      <c r="J1422" s="3">
        <v>41363.636363636302</v>
      </c>
      <c r="K1422" s="25">
        <v>30748</v>
      </c>
      <c r="L1422" s="25">
        <v>30748</v>
      </c>
    </row>
    <row r="1423" spans="1:12" x14ac:dyDescent="0.3">
      <c r="A1423" t="s">
        <v>5594</v>
      </c>
      <c r="B1423">
        <v>2.02602061517088E+18</v>
      </c>
      <c r="C1423" t="s">
        <v>5602</v>
      </c>
      <c r="D1423">
        <v>143790</v>
      </c>
      <c r="E1423" s="16" t="s">
        <v>7</v>
      </c>
      <c r="F1423" s="3">
        <v>1</v>
      </c>
      <c r="G1423" s="3">
        <v>41363.636363636302</v>
      </c>
      <c r="H1423" s="3">
        <v>45499.999999999935</v>
      </c>
      <c r="I1423" s="3">
        <v>45500</v>
      </c>
      <c r="J1423" s="3">
        <v>41363.636363636302</v>
      </c>
      <c r="K1423" s="25">
        <v>30748</v>
      </c>
      <c r="L1423" s="25">
        <v>30748</v>
      </c>
    </row>
    <row r="1424" spans="1:12" x14ac:dyDescent="0.3">
      <c r="A1424" t="s">
        <v>5594</v>
      </c>
      <c r="B1424">
        <v>2.02602061514462E+18</v>
      </c>
      <c r="C1424" t="s">
        <v>5602</v>
      </c>
      <c r="D1424">
        <v>143790</v>
      </c>
      <c r="E1424" s="16" t="s">
        <v>7</v>
      </c>
      <c r="F1424" s="3">
        <v>1</v>
      </c>
      <c r="G1424" s="3">
        <v>41363.636363636302</v>
      </c>
      <c r="H1424" s="3">
        <v>45499.999999999935</v>
      </c>
      <c r="I1424" s="3">
        <v>45500</v>
      </c>
      <c r="J1424" s="3">
        <v>41363.636363636302</v>
      </c>
      <c r="K1424" s="25">
        <v>30748</v>
      </c>
      <c r="L1424" s="25">
        <v>30748</v>
      </c>
    </row>
    <row r="1425" spans="1:12" x14ac:dyDescent="0.3">
      <c r="A1425" t="s">
        <v>5594</v>
      </c>
      <c r="B1425">
        <v>2.02602061510497E+18</v>
      </c>
      <c r="C1425" t="s">
        <v>5602</v>
      </c>
      <c r="D1425">
        <v>143790</v>
      </c>
      <c r="E1425" s="16" t="s">
        <v>7</v>
      </c>
      <c r="F1425" s="3">
        <v>1</v>
      </c>
      <c r="G1425" s="3">
        <v>41363.636363636302</v>
      </c>
      <c r="H1425" s="3">
        <v>45499.999999999935</v>
      </c>
      <c r="I1425" s="3">
        <v>45500</v>
      </c>
      <c r="J1425" s="3">
        <v>41363.636363636302</v>
      </c>
      <c r="K1425" s="25">
        <v>30748</v>
      </c>
      <c r="L1425" s="25">
        <v>30748</v>
      </c>
    </row>
    <row r="1426" spans="1:12" x14ac:dyDescent="0.3">
      <c r="A1426" t="s">
        <v>5594</v>
      </c>
      <c r="B1426">
        <v>2.0260206144735201E+18</v>
      </c>
      <c r="C1426" t="s">
        <v>5602</v>
      </c>
      <c r="D1426">
        <v>143790</v>
      </c>
      <c r="E1426" s="16" t="s">
        <v>7</v>
      </c>
      <c r="F1426" s="3">
        <v>1</v>
      </c>
      <c r="G1426" s="3">
        <v>41363.636363636302</v>
      </c>
      <c r="H1426" s="3">
        <v>45499.999999999935</v>
      </c>
      <c r="I1426" s="3">
        <v>45500</v>
      </c>
      <c r="J1426" s="3">
        <v>41363.636363636302</v>
      </c>
      <c r="K1426" s="25">
        <v>30748</v>
      </c>
      <c r="L1426" s="25">
        <v>30748</v>
      </c>
    </row>
    <row r="1427" spans="1:12" x14ac:dyDescent="0.3">
      <c r="A1427" t="s">
        <v>5594</v>
      </c>
      <c r="B1427">
        <v>2.02602061438269E+18</v>
      </c>
      <c r="C1427" t="s">
        <v>5602</v>
      </c>
      <c r="D1427">
        <v>143790</v>
      </c>
      <c r="E1427" s="16" t="s">
        <v>7</v>
      </c>
      <c r="F1427" s="3">
        <v>1</v>
      </c>
      <c r="G1427" s="3">
        <v>41363.636363636302</v>
      </c>
      <c r="H1427" s="3">
        <v>45499.999999999935</v>
      </c>
      <c r="I1427" s="3">
        <v>45500</v>
      </c>
      <c r="J1427" s="3">
        <v>41363.636363636302</v>
      </c>
      <c r="K1427" s="25">
        <v>30748</v>
      </c>
      <c r="L1427" s="25">
        <v>30748</v>
      </c>
    </row>
    <row r="1428" spans="1:12" x14ac:dyDescent="0.3">
      <c r="A1428" t="s">
        <v>5594</v>
      </c>
      <c r="B1428">
        <v>2.0260206142657101E+18</v>
      </c>
      <c r="C1428" t="s">
        <v>5602</v>
      </c>
      <c r="D1428">
        <v>143790</v>
      </c>
      <c r="E1428" s="16" t="s">
        <v>7</v>
      </c>
      <c r="F1428" s="3">
        <v>1</v>
      </c>
      <c r="G1428" s="3">
        <v>41363.636363636302</v>
      </c>
      <c r="H1428" s="3">
        <v>45499.999999999935</v>
      </c>
      <c r="I1428" s="3">
        <v>45500</v>
      </c>
      <c r="J1428" s="3">
        <v>41363.636363636302</v>
      </c>
      <c r="K1428" s="25">
        <v>30748</v>
      </c>
      <c r="L1428" s="25">
        <v>30748</v>
      </c>
    </row>
    <row r="1429" spans="1:12" x14ac:dyDescent="0.3">
      <c r="A1429" t="s">
        <v>5594</v>
      </c>
      <c r="B1429">
        <v>2.02602061329456E+18</v>
      </c>
      <c r="C1429" t="s">
        <v>5602</v>
      </c>
      <c r="D1429">
        <v>143790</v>
      </c>
      <c r="E1429" s="16" t="s">
        <v>7</v>
      </c>
      <c r="F1429" s="3">
        <v>1</v>
      </c>
      <c r="G1429" s="3">
        <v>41363.636363636302</v>
      </c>
      <c r="H1429" s="3">
        <v>45499.999999999935</v>
      </c>
      <c r="I1429" s="3">
        <v>45500</v>
      </c>
      <c r="J1429" s="3">
        <v>41363.636363636302</v>
      </c>
      <c r="K1429" s="25">
        <v>30748</v>
      </c>
      <c r="L1429" s="25">
        <v>30748</v>
      </c>
    </row>
    <row r="1430" spans="1:12" x14ac:dyDescent="0.3">
      <c r="A1430" t="s">
        <v>5594</v>
      </c>
      <c r="B1430">
        <v>2.02602061242429E+18</v>
      </c>
      <c r="C1430" t="s">
        <v>5602</v>
      </c>
      <c r="D1430">
        <v>143790</v>
      </c>
      <c r="E1430" s="16" t="s">
        <v>7</v>
      </c>
      <c r="F1430" s="3">
        <v>2</v>
      </c>
      <c r="G1430" s="3">
        <v>41363.636363636353</v>
      </c>
      <c r="H1430" s="3">
        <v>91000</v>
      </c>
      <c r="I1430" s="3">
        <v>91000</v>
      </c>
      <c r="J1430" s="3">
        <v>82727.272727272706</v>
      </c>
      <c r="K1430" s="25">
        <v>30748</v>
      </c>
      <c r="L1430" s="25">
        <v>61496</v>
      </c>
    </row>
    <row r="1431" spans="1:12" x14ac:dyDescent="0.3">
      <c r="A1431" t="s">
        <v>5594</v>
      </c>
      <c r="B1431">
        <v>2.0260206123241001E+18</v>
      </c>
      <c r="C1431" t="s">
        <v>5602</v>
      </c>
      <c r="D1431">
        <v>143790</v>
      </c>
      <c r="E1431" s="16" t="s">
        <v>7</v>
      </c>
      <c r="F1431" s="3">
        <v>1</v>
      </c>
      <c r="G1431" s="3">
        <v>41363.636363636302</v>
      </c>
      <c r="H1431" s="3">
        <v>45499.999999999935</v>
      </c>
      <c r="I1431" s="3">
        <v>45500</v>
      </c>
      <c r="J1431" s="3">
        <v>41363.636363636302</v>
      </c>
      <c r="K1431" s="25">
        <v>30748</v>
      </c>
      <c r="L1431" s="25">
        <v>30748</v>
      </c>
    </row>
    <row r="1432" spans="1:12" x14ac:dyDescent="0.3">
      <c r="A1432" t="s">
        <v>5594</v>
      </c>
      <c r="B1432">
        <v>2.0260206112135301E+18</v>
      </c>
      <c r="C1432" t="s">
        <v>5602</v>
      </c>
      <c r="D1432">
        <v>143790</v>
      </c>
      <c r="E1432" s="16" t="s">
        <v>7</v>
      </c>
      <c r="F1432" s="3">
        <v>2</v>
      </c>
      <c r="G1432" s="3">
        <v>41363.636363636353</v>
      </c>
      <c r="H1432" s="3">
        <v>91000</v>
      </c>
      <c r="I1432" s="3">
        <v>91000</v>
      </c>
      <c r="J1432" s="3">
        <v>82727.272727272706</v>
      </c>
      <c r="K1432" s="25">
        <v>30748</v>
      </c>
      <c r="L1432" s="25">
        <v>61496</v>
      </c>
    </row>
    <row r="1433" spans="1:12" x14ac:dyDescent="0.3">
      <c r="A1433" t="s">
        <v>5594</v>
      </c>
      <c r="B1433">
        <v>2.02602061126591E+18</v>
      </c>
      <c r="C1433" t="s">
        <v>5602</v>
      </c>
      <c r="D1433">
        <v>143790</v>
      </c>
      <c r="E1433" s="16" t="s">
        <v>7</v>
      </c>
      <c r="F1433" s="3">
        <v>2</v>
      </c>
      <c r="G1433" s="3">
        <v>41363.636363636353</v>
      </c>
      <c r="H1433" s="3">
        <v>91000</v>
      </c>
      <c r="I1433" s="3">
        <v>91000</v>
      </c>
      <c r="J1433" s="3">
        <v>82727.272727272706</v>
      </c>
      <c r="K1433" s="25">
        <v>30748</v>
      </c>
      <c r="L1433" s="25">
        <v>61496</v>
      </c>
    </row>
    <row r="1434" spans="1:12" x14ac:dyDescent="0.3">
      <c r="A1434" t="s">
        <v>5594</v>
      </c>
      <c r="B1434">
        <v>2.0260206111532001E+18</v>
      </c>
      <c r="C1434" t="s">
        <v>5602</v>
      </c>
      <c r="D1434">
        <v>143790</v>
      </c>
      <c r="E1434" s="16" t="s">
        <v>7</v>
      </c>
      <c r="F1434" s="3">
        <v>1</v>
      </c>
      <c r="G1434" s="3">
        <v>41363.636363636302</v>
      </c>
      <c r="H1434" s="3">
        <v>45499.999999999935</v>
      </c>
      <c r="I1434" s="3">
        <v>45500</v>
      </c>
      <c r="J1434" s="3">
        <v>41363.636363636302</v>
      </c>
      <c r="K1434" s="25">
        <v>30748</v>
      </c>
      <c r="L1434" s="25">
        <v>30748</v>
      </c>
    </row>
    <row r="1435" spans="1:12" x14ac:dyDescent="0.3">
      <c r="A1435" t="s">
        <v>5594</v>
      </c>
      <c r="B1435">
        <v>2.0260206040057101E+18</v>
      </c>
      <c r="C1435" t="s">
        <v>5602</v>
      </c>
      <c r="D1435">
        <v>143790</v>
      </c>
      <c r="E1435" s="16" t="s">
        <v>7</v>
      </c>
      <c r="F1435" s="3">
        <v>1</v>
      </c>
      <c r="G1435" s="3">
        <v>41363.636363636302</v>
      </c>
      <c r="H1435" s="3">
        <v>45499.999999999935</v>
      </c>
      <c r="I1435" s="3">
        <v>45500</v>
      </c>
      <c r="J1435" s="3">
        <v>41363.636363636302</v>
      </c>
      <c r="K1435" s="25">
        <v>30748</v>
      </c>
      <c r="L1435" s="25">
        <v>30748</v>
      </c>
    </row>
    <row r="1436" spans="1:12" x14ac:dyDescent="0.3">
      <c r="A1436" t="s">
        <v>5594</v>
      </c>
      <c r="B1436">
        <v>2.0260206035917801E+18</v>
      </c>
      <c r="C1436" t="s">
        <v>5602</v>
      </c>
      <c r="D1436">
        <v>143790</v>
      </c>
      <c r="E1436" s="16" t="s">
        <v>7</v>
      </c>
      <c r="F1436" s="3">
        <v>1</v>
      </c>
      <c r="G1436" s="3">
        <v>41363.636363636302</v>
      </c>
      <c r="H1436" s="3">
        <v>45499.999999999935</v>
      </c>
      <c r="I1436" s="3">
        <v>45500</v>
      </c>
      <c r="J1436" s="3">
        <v>41363.636363636302</v>
      </c>
      <c r="K1436" s="25">
        <v>30748</v>
      </c>
      <c r="L1436" s="25">
        <v>30748</v>
      </c>
    </row>
    <row r="1437" spans="1:12" x14ac:dyDescent="0.3">
      <c r="A1437" t="s">
        <v>5594</v>
      </c>
      <c r="B1437">
        <v>2.02602060008563E+18</v>
      </c>
      <c r="C1437" t="s">
        <v>5602</v>
      </c>
      <c r="D1437">
        <v>143790</v>
      </c>
      <c r="E1437" s="16" t="s">
        <v>7</v>
      </c>
      <c r="F1437" s="3">
        <v>1</v>
      </c>
      <c r="G1437" s="3">
        <v>41363.636363636302</v>
      </c>
      <c r="H1437" s="3">
        <v>45499.999999999935</v>
      </c>
      <c r="I1437" s="3">
        <v>45500</v>
      </c>
      <c r="J1437" s="3">
        <v>41363.636363636302</v>
      </c>
      <c r="K1437" s="25">
        <v>30748</v>
      </c>
      <c r="L1437" s="25">
        <v>30748</v>
      </c>
    </row>
    <row r="1438" spans="1:12" x14ac:dyDescent="0.3">
      <c r="A1438" t="s">
        <v>5594</v>
      </c>
      <c r="B1438">
        <v>2.0260209090323899E+18</v>
      </c>
      <c r="C1438" t="s">
        <v>5602</v>
      </c>
      <c r="D1438">
        <v>143812</v>
      </c>
      <c r="E1438" s="16" t="s">
        <v>7</v>
      </c>
      <c r="F1438" s="3">
        <v>1</v>
      </c>
      <c r="G1438" s="3">
        <v>41363.636363636302</v>
      </c>
      <c r="H1438" s="3">
        <v>45499.999999999935</v>
      </c>
      <c r="I1438" s="3">
        <v>45500</v>
      </c>
      <c r="J1438" s="3">
        <v>41363.636363636302</v>
      </c>
      <c r="K1438" s="25">
        <v>15374</v>
      </c>
      <c r="L1438" s="25">
        <v>15374</v>
      </c>
    </row>
    <row r="1439" spans="1:12" x14ac:dyDescent="0.3">
      <c r="A1439" t="s">
        <v>5594</v>
      </c>
      <c r="B1439">
        <v>2.02602090807597E+18</v>
      </c>
      <c r="C1439" t="s">
        <v>5602</v>
      </c>
      <c r="D1439">
        <v>143812</v>
      </c>
      <c r="E1439" s="16" t="s">
        <v>7</v>
      </c>
      <c r="F1439" s="3">
        <v>1</v>
      </c>
      <c r="G1439" s="3">
        <v>41363.636363636302</v>
      </c>
      <c r="H1439" s="3">
        <v>45499.999999999935</v>
      </c>
      <c r="I1439" s="3">
        <v>45500</v>
      </c>
      <c r="J1439" s="3">
        <v>41363.636363636302</v>
      </c>
      <c r="K1439" s="25">
        <v>15374</v>
      </c>
      <c r="L1439" s="25">
        <v>15374</v>
      </c>
    </row>
    <row r="1440" spans="1:12" x14ac:dyDescent="0.3">
      <c r="A1440" t="s">
        <v>5594</v>
      </c>
      <c r="B1440">
        <v>2.02602090705537E+18</v>
      </c>
      <c r="C1440" t="s">
        <v>5602</v>
      </c>
      <c r="D1440">
        <v>143812</v>
      </c>
      <c r="E1440" s="16" t="s">
        <v>7</v>
      </c>
      <c r="F1440" s="3">
        <v>1</v>
      </c>
      <c r="G1440" s="3">
        <v>41363.636363636302</v>
      </c>
      <c r="H1440" s="3">
        <v>45499.999999999935</v>
      </c>
      <c r="I1440" s="3">
        <v>45500</v>
      </c>
      <c r="J1440" s="3">
        <v>41363.636363636302</v>
      </c>
      <c r="K1440" s="25">
        <v>15374</v>
      </c>
      <c r="L1440" s="25">
        <v>15374</v>
      </c>
    </row>
    <row r="1441" spans="1:12" x14ac:dyDescent="0.3">
      <c r="A1441" t="s">
        <v>5594</v>
      </c>
      <c r="B1441">
        <v>2.0260208184923799E+18</v>
      </c>
      <c r="C1441" t="s">
        <v>5602</v>
      </c>
      <c r="D1441">
        <v>143790</v>
      </c>
      <c r="E1441" s="16" t="s">
        <v>7</v>
      </c>
      <c r="F1441" s="3">
        <v>1</v>
      </c>
      <c r="G1441" s="3">
        <v>57272.727272727199</v>
      </c>
      <c r="H1441" s="3">
        <v>62999.999999999927</v>
      </c>
      <c r="I1441" s="3">
        <v>63000</v>
      </c>
      <c r="J1441" s="3">
        <v>57272.727272727199</v>
      </c>
      <c r="K1441" s="25">
        <v>30748</v>
      </c>
      <c r="L1441" s="25">
        <v>30748</v>
      </c>
    </row>
    <row r="1442" spans="1:12" x14ac:dyDescent="0.3">
      <c r="A1442" t="s">
        <v>5594</v>
      </c>
      <c r="B1442">
        <v>2.02602081812339E+18</v>
      </c>
      <c r="C1442" t="s">
        <v>5602</v>
      </c>
      <c r="D1442">
        <v>143790</v>
      </c>
      <c r="E1442" s="16" t="s">
        <v>7</v>
      </c>
      <c r="F1442" s="3">
        <v>2</v>
      </c>
      <c r="G1442" s="3">
        <v>57272.727272727003</v>
      </c>
      <c r="H1442" s="3">
        <v>125999.99999999942</v>
      </c>
      <c r="I1442" s="3">
        <v>126000</v>
      </c>
      <c r="J1442" s="3">
        <v>114545.45454545401</v>
      </c>
      <c r="K1442" s="25">
        <v>30748</v>
      </c>
      <c r="L1442" s="25">
        <v>61496</v>
      </c>
    </row>
    <row r="1443" spans="1:12" x14ac:dyDescent="0.3">
      <c r="A1443" t="s">
        <v>5594</v>
      </c>
      <c r="B1443">
        <v>2.0260208175501599E+18</v>
      </c>
      <c r="C1443" t="s">
        <v>5602</v>
      </c>
      <c r="D1443">
        <v>143790</v>
      </c>
      <c r="E1443" s="16" t="s">
        <v>7</v>
      </c>
      <c r="F1443" s="3">
        <v>1</v>
      </c>
      <c r="G1443" s="3">
        <v>57272.727272727199</v>
      </c>
      <c r="H1443" s="3">
        <v>62999.999999999927</v>
      </c>
      <c r="I1443" s="3">
        <v>63000</v>
      </c>
      <c r="J1443" s="3">
        <v>57272.727272727199</v>
      </c>
      <c r="K1443" s="25">
        <v>30748</v>
      </c>
      <c r="L1443" s="25">
        <v>30748</v>
      </c>
    </row>
    <row r="1444" spans="1:12" x14ac:dyDescent="0.3">
      <c r="A1444" t="s">
        <v>5594</v>
      </c>
      <c r="B1444">
        <v>2.0260208175207601E+18</v>
      </c>
      <c r="C1444" t="s">
        <v>5602</v>
      </c>
      <c r="D1444">
        <v>143790</v>
      </c>
      <c r="E1444" s="16" t="s">
        <v>7</v>
      </c>
      <c r="F1444" s="3">
        <v>1</v>
      </c>
      <c r="G1444" s="3">
        <v>57272.727272727199</v>
      </c>
      <c r="H1444" s="3">
        <v>62999.999999999927</v>
      </c>
      <c r="I1444" s="3">
        <v>63000</v>
      </c>
      <c r="J1444" s="3">
        <v>57272.727272727199</v>
      </c>
      <c r="K1444" s="25">
        <v>30748</v>
      </c>
      <c r="L1444" s="25">
        <v>30748</v>
      </c>
    </row>
    <row r="1445" spans="1:12" x14ac:dyDescent="0.3">
      <c r="A1445" t="s">
        <v>5594</v>
      </c>
      <c r="B1445">
        <v>2.0260208174407099E+18</v>
      </c>
      <c r="C1445" t="s">
        <v>5602</v>
      </c>
      <c r="D1445">
        <v>143790</v>
      </c>
      <c r="E1445" s="16" t="s">
        <v>7</v>
      </c>
      <c r="F1445" s="3">
        <v>1</v>
      </c>
      <c r="G1445" s="3">
        <v>57272.727272727199</v>
      </c>
      <c r="H1445" s="3">
        <v>62999.999999999927</v>
      </c>
      <c r="I1445" s="3">
        <v>63000</v>
      </c>
      <c r="J1445" s="3">
        <v>57272.727272727199</v>
      </c>
      <c r="K1445" s="25">
        <v>30748</v>
      </c>
      <c r="L1445" s="25">
        <v>30748</v>
      </c>
    </row>
    <row r="1446" spans="1:12" x14ac:dyDescent="0.3">
      <c r="A1446" t="s">
        <v>5594</v>
      </c>
      <c r="B1446">
        <v>2.0260208141737001E+18</v>
      </c>
      <c r="C1446" t="s">
        <v>5602</v>
      </c>
      <c r="D1446">
        <v>143790</v>
      </c>
      <c r="E1446" s="16" t="s">
        <v>7</v>
      </c>
      <c r="F1446" s="3">
        <v>1</v>
      </c>
      <c r="G1446" s="3">
        <v>57272.727272727199</v>
      </c>
      <c r="H1446" s="3">
        <v>62999.999999999927</v>
      </c>
      <c r="I1446" s="3">
        <v>63000</v>
      </c>
      <c r="J1446" s="3">
        <v>57272.727272727199</v>
      </c>
      <c r="K1446" s="25">
        <v>30748</v>
      </c>
      <c r="L1446" s="25">
        <v>30748</v>
      </c>
    </row>
    <row r="1447" spans="1:12" x14ac:dyDescent="0.3">
      <c r="A1447" t="s">
        <v>5594</v>
      </c>
      <c r="B1447">
        <v>2.02602081327074E+18</v>
      </c>
      <c r="C1447" t="s">
        <v>5602</v>
      </c>
      <c r="D1447">
        <v>143790</v>
      </c>
      <c r="E1447" s="16" t="s">
        <v>7</v>
      </c>
      <c r="F1447" s="3">
        <v>1</v>
      </c>
      <c r="G1447" s="3">
        <v>57272.727272727199</v>
      </c>
      <c r="H1447" s="3">
        <v>62999.999999999927</v>
      </c>
      <c r="I1447" s="3">
        <v>63000</v>
      </c>
      <c r="J1447" s="3">
        <v>57272.727272727199</v>
      </c>
      <c r="K1447" s="25">
        <v>30748</v>
      </c>
      <c r="L1447" s="25">
        <v>30748</v>
      </c>
    </row>
    <row r="1448" spans="1:12" x14ac:dyDescent="0.3">
      <c r="A1448" t="s">
        <v>5594</v>
      </c>
      <c r="B1448">
        <v>2.0260208132624599E+18</v>
      </c>
      <c r="C1448" t="s">
        <v>5602</v>
      </c>
      <c r="D1448">
        <v>143790</v>
      </c>
      <c r="E1448" s="16" t="s">
        <v>7</v>
      </c>
      <c r="F1448" s="3">
        <v>1</v>
      </c>
      <c r="G1448" s="3">
        <v>57272.727272727199</v>
      </c>
      <c r="H1448" s="3">
        <v>62999.999999999927</v>
      </c>
      <c r="I1448" s="3">
        <v>63000</v>
      </c>
      <c r="J1448" s="3">
        <v>57272.727272727199</v>
      </c>
      <c r="K1448" s="25">
        <v>30748</v>
      </c>
      <c r="L1448" s="25">
        <v>30748</v>
      </c>
    </row>
    <row r="1449" spans="1:12" x14ac:dyDescent="0.3">
      <c r="A1449" t="s">
        <v>5594</v>
      </c>
      <c r="B1449">
        <v>2.02602072107522E+18</v>
      </c>
      <c r="C1449" t="s">
        <v>5602</v>
      </c>
      <c r="D1449">
        <v>143790</v>
      </c>
      <c r="E1449" s="16" t="s">
        <v>7</v>
      </c>
      <c r="F1449" s="3">
        <v>1</v>
      </c>
      <c r="G1449" s="3">
        <v>57272.727272727199</v>
      </c>
      <c r="H1449" s="3">
        <v>62999.999999999927</v>
      </c>
      <c r="I1449" s="3">
        <v>63000</v>
      </c>
      <c r="J1449" s="3">
        <v>57272.727272727199</v>
      </c>
      <c r="K1449" s="25">
        <v>30748</v>
      </c>
      <c r="L1449" s="25">
        <v>30748</v>
      </c>
    </row>
    <row r="1450" spans="1:12" x14ac:dyDescent="0.3">
      <c r="A1450" t="s">
        <v>5594</v>
      </c>
      <c r="B1450">
        <v>2.0260207210336499E+18</v>
      </c>
      <c r="C1450" t="s">
        <v>5602</v>
      </c>
      <c r="D1450">
        <v>143790</v>
      </c>
      <c r="E1450" s="16" t="s">
        <v>7</v>
      </c>
      <c r="F1450" s="3">
        <v>1</v>
      </c>
      <c r="G1450" s="3">
        <v>57272.727272727199</v>
      </c>
      <c r="H1450" s="3">
        <v>62999.999999999927</v>
      </c>
      <c r="I1450" s="3">
        <v>63000</v>
      </c>
      <c r="J1450" s="3">
        <v>57272.727272727199</v>
      </c>
      <c r="K1450" s="25">
        <v>30748</v>
      </c>
      <c r="L1450" s="25">
        <v>30748</v>
      </c>
    </row>
    <row r="1451" spans="1:12" x14ac:dyDescent="0.3">
      <c r="A1451" t="s">
        <v>5594</v>
      </c>
      <c r="B1451">
        <v>2.02602071755298E+18</v>
      </c>
      <c r="C1451" t="s">
        <v>5602</v>
      </c>
      <c r="D1451">
        <v>143790</v>
      </c>
      <c r="E1451" s="16" t="s">
        <v>7</v>
      </c>
      <c r="F1451" s="3">
        <v>1</v>
      </c>
      <c r="G1451" s="3">
        <v>57272.727272727199</v>
      </c>
      <c r="H1451" s="3">
        <v>62999.999999999927</v>
      </c>
      <c r="I1451" s="3">
        <v>63000</v>
      </c>
      <c r="J1451" s="3">
        <v>57272.727272727199</v>
      </c>
      <c r="K1451" s="25">
        <v>30748</v>
      </c>
      <c r="L1451" s="25">
        <v>30748</v>
      </c>
    </row>
    <row r="1452" spans="1:12" x14ac:dyDescent="0.3">
      <c r="A1452" t="s">
        <v>5594</v>
      </c>
      <c r="B1452">
        <v>2.0260207174407099E+18</v>
      </c>
      <c r="C1452" t="s">
        <v>5602</v>
      </c>
      <c r="D1452">
        <v>143790</v>
      </c>
      <c r="E1452" s="16" t="s">
        <v>7</v>
      </c>
      <c r="F1452" s="3">
        <v>1</v>
      </c>
      <c r="G1452" s="3">
        <v>57272.727272727199</v>
      </c>
      <c r="H1452" s="3">
        <v>62999.999999999927</v>
      </c>
      <c r="I1452" s="3">
        <v>63000</v>
      </c>
      <c r="J1452" s="3">
        <v>57272.727272727199</v>
      </c>
      <c r="K1452" s="25">
        <v>30748</v>
      </c>
      <c r="L1452" s="25">
        <v>30748</v>
      </c>
    </row>
    <row r="1453" spans="1:12" x14ac:dyDescent="0.3">
      <c r="A1453" t="s">
        <v>5594</v>
      </c>
      <c r="B1453">
        <v>2.0260207164154099E+18</v>
      </c>
      <c r="C1453" t="s">
        <v>5602</v>
      </c>
      <c r="D1453">
        <v>143790</v>
      </c>
      <c r="E1453" s="16" t="s">
        <v>7</v>
      </c>
      <c r="F1453" s="3">
        <v>1</v>
      </c>
      <c r="G1453" s="3">
        <v>57272.727272727199</v>
      </c>
      <c r="H1453" s="3">
        <v>62999.999999999927</v>
      </c>
      <c r="I1453" s="3">
        <v>63000</v>
      </c>
      <c r="J1453" s="3">
        <v>57272.727272727199</v>
      </c>
      <c r="K1453" s="25">
        <v>30748</v>
      </c>
      <c r="L1453" s="25">
        <v>30748</v>
      </c>
    </row>
    <row r="1454" spans="1:12" x14ac:dyDescent="0.3">
      <c r="A1454" t="s">
        <v>5594</v>
      </c>
      <c r="B1454">
        <v>2.02602071441133E+18</v>
      </c>
      <c r="C1454" t="s">
        <v>5602</v>
      </c>
      <c r="D1454">
        <v>143790</v>
      </c>
      <c r="E1454" s="16" t="s">
        <v>7</v>
      </c>
      <c r="F1454" s="3">
        <v>1</v>
      </c>
      <c r="G1454" s="3">
        <v>57272.727272727199</v>
      </c>
      <c r="H1454" s="3">
        <v>62999.999999999927</v>
      </c>
      <c r="I1454" s="3">
        <v>63000</v>
      </c>
      <c r="J1454" s="3">
        <v>57272.727272727199</v>
      </c>
      <c r="K1454" s="25">
        <v>30748</v>
      </c>
      <c r="L1454" s="25">
        <v>30748</v>
      </c>
    </row>
    <row r="1455" spans="1:12" x14ac:dyDescent="0.3">
      <c r="A1455" t="s">
        <v>5594</v>
      </c>
      <c r="B1455">
        <v>2.0260207130103301E+18</v>
      </c>
      <c r="C1455" t="s">
        <v>5602</v>
      </c>
      <c r="D1455">
        <v>143790</v>
      </c>
      <c r="E1455" s="16" t="s">
        <v>7</v>
      </c>
      <c r="F1455" s="3">
        <v>1</v>
      </c>
      <c r="G1455" s="3">
        <v>57272.727272727199</v>
      </c>
      <c r="H1455" s="3">
        <v>62999.999999999927</v>
      </c>
      <c r="I1455" s="3">
        <v>63000</v>
      </c>
      <c r="J1455" s="3">
        <v>57272.727272727199</v>
      </c>
      <c r="K1455" s="25">
        <v>30748</v>
      </c>
      <c r="L1455" s="25">
        <v>30748</v>
      </c>
    </row>
    <row r="1456" spans="1:12" x14ac:dyDescent="0.3">
      <c r="A1456" t="s">
        <v>5594</v>
      </c>
      <c r="B1456">
        <v>2.02602070744561E+18</v>
      </c>
      <c r="C1456" t="s">
        <v>5602</v>
      </c>
      <c r="D1456">
        <v>143790</v>
      </c>
      <c r="E1456" s="16" t="s">
        <v>7</v>
      </c>
      <c r="F1456" s="3">
        <v>1</v>
      </c>
      <c r="G1456" s="3">
        <v>57272.727272727199</v>
      </c>
      <c r="H1456" s="3">
        <v>62999.999999999927</v>
      </c>
      <c r="I1456" s="3">
        <v>63000</v>
      </c>
      <c r="J1456" s="3">
        <v>57272.727272727199</v>
      </c>
      <c r="K1456" s="25">
        <v>30748</v>
      </c>
      <c r="L1456" s="25">
        <v>30748</v>
      </c>
    </row>
    <row r="1457" spans="1:12" x14ac:dyDescent="0.3">
      <c r="A1457" t="s">
        <v>5594</v>
      </c>
      <c r="B1457">
        <v>2.02602062224431E+18</v>
      </c>
      <c r="C1457" t="s">
        <v>5602</v>
      </c>
      <c r="D1457">
        <v>143790</v>
      </c>
      <c r="E1457" s="16" t="s">
        <v>7</v>
      </c>
      <c r="F1457" s="3">
        <v>1</v>
      </c>
      <c r="G1457" s="3">
        <v>57272.727272727199</v>
      </c>
      <c r="H1457" s="3">
        <v>62999.999999999927</v>
      </c>
      <c r="I1457" s="3">
        <v>63000</v>
      </c>
      <c r="J1457" s="3">
        <v>57272.727272727199</v>
      </c>
      <c r="K1457" s="25">
        <v>30748</v>
      </c>
      <c r="L1457" s="25">
        <v>30748</v>
      </c>
    </row>
    <row r="1458" spans="1:12" x14ac:dyDescent="0.3">
      <c r="A1458" t="s">
        <v>5594</v>
      </c>
      <c r="B1458">
        <v>2.02602062134259E+18</v>
      </c>
      <c r="C1458" t="s">
        <v>5602</v>
      </c>
      <c r="D1458">
        <v>143790</v>
      </c>
      <c r="E1458" s="16" t="s">
        <v>7</v>
      </c>
      <c r="F1458" s="3">
        <v>1</v>
      </c>
      <c r="G1458" s="3">
        <v>57272.727272727199</v>
      </c>
      <c r="H1458" s="3">
        <v>62999.999999999927</v>
      </c>
      <c r="I1458" s="3">
        <v>63000</v>
      </c>
      <c r="J1458" s="3">
        <v>57272.727272727199</v>
      </c>
      <c r="K1458" s="25">
        <v>30748</v>
      </c>
      <c r="L1458" s="25">
        <v>30748</v>
      </c>
    </row>
    <row r="1459" spans="1:12" x14ac:dyDescent="0.3">
      <c r="A1459" t="s">
        <v>5594</v>
      </c>
      <c r="B1459">
        <v>2.0260206205947799E+18</v>
      </c>
      <c r="C1459" t="s">
        <v>5602</v>
      </c>
      <c r="D1459">
        <v>143790</v>
      </c>
      <c r="E1459" s="16" t="s">
        <v>7</v>
      </c>
      <c r="F1459" s="3">
        <v>1</v>
      </c>
      <c r="G1459" s="3">
        <v>57272.727272727199</v>
      </c>
      <c r="H1459" s="3">
        <v>62999.999999999927</v>
      </c>
      <c r="I1459" s="3">
        <v>63000</v>
      </c>
      <c r="J1459" s="3">
        <v>57272.727272727199</v>
      </c>
      <c r="K1459" s="25">
        <v>30748</v>
      </c>
      <c r="L1459" s="25">
        <v>30748</v>
      </c>
    </row>
    <row r="1460" spans="1:12" x14ac:dyDescent="0.3">
      <c r="A1460" t="s">
        <v>5594</v>
      </c>
      <c r="B1460">
        <v>2.02602062034176E+18</v>
      </c>
      <c r="C1460" t="s">
        <v>5602</v>
      </c>
      <c r="D1460">
        <v>143790</v>
      </c>
      <c r="E1460" s="16" t="s">
        <v>7</v>
      </c>
      <c r="F1460" s="3">
        <v>1</v>
      </c>
      <c r="G1460" s="3">
        <v>57272.727272727199</v>
      </c>
      <c r="H1460" s="3">
        <v>62999.999999999927</v>
      </c>
      <c r="I1460" s="3">
        <v>63000</v>
      </c>
      <c r="J1460" s="3">
        <v>57272.727272727199</v>
      </c>
      <c r="K1460" s="25">
        <v>30748</v>
      </c>
      <c r="L1460" s="25">
        <v>30748</v>
      </c>
    </row>
    <row r="1461" spans="1:12" x14ac:dyDescent="0.3">
      <c r="A1461" t="s">
        <v>5594</v>
      </c>
      <c r="B1461">
        <v>2.0260206202935401E+18</v>
      </c>
      <c r="C1461" t="s">
        <v>5602</v>
      </c>
      <c r="D1461">
        <v>143790</v>
      </c>
      <c r="E1461" s="16" t="s">
        <v>7</v>
      </c>
      <c r="F1461" s="3">
        <v>1</v>
      </c>
      <c r="G1461" s="3">
        <v>57272.727272727199</v>
      </c>
      <c r="H1461" s="3">
        <v>62999.999999999927</v>
      </c>
      <c r="I1461" s="3">
        <v>63000</v>
      </c>
      <c r="J1461" s="3">
        <v>57272.727272727199</v>
      </c>
      <c r="K1461" s="25">
        <v>30748</v>
      </c>
      <c r="L1461" s="25">
        <v>30748</v>
      </c>
    </row>
    <row r="1462" spans="1:12" x14ac:dyDescent="0.3">
      <c r="A1462" t="s">
        <v>5594</v>
      </c>
      <c r="B1462">
        <v>2.0260206200755E+18</v>
      </c>
      <c r="C1462" t="s">
        <v>5602</v>
      </c>
      <c r="D1462">
        <v>143790</v>
      </c>
      <c r="E1462" s="16" t="s">
        <v>7</v>
      </c>
      <c r="F1462" s="3">
        <v>1</v>
      </c>
      <c r="G1462" s="3">
        <v>57272.727272727199</v>
      </c>
      <c r="H1462" s="3">
        <v>62999.999999999927</v>
      </c>
      <c r="I1462" s="3">
        <v>63000</v>
      </c>
      <c r="J1462" s="3">
        <v>57272.727272727199</v>
      </c>
      <c r="K1462" s="25">
        <v>30748</v>
      </c>
      <c r="L1462" s="25">
        <v>30748</v>
      </c>
    </row>
    <row r="1463" spans="1:12" x14ac:dyDescent="0.3">
      <c r="A1463" t="s">
        <v>5594</v>
      </c>
      <c r="B1463">
        <v>2.0260206195919201E+18</v>
      </c>
      <c r="C1463" t="s">
        <v>5602</v>
      </c>
      <c r="D1463">
        <v>143790</v>
      </c>
      <c r="E1463" s="16" t="s">
        <v>7</v>
      </c>
      <c r="F1463" s="3">
        <v>1</v>
      </c>
      <c r="G1463" s="3">
        <v>57272.727272727199</v>
      </c>
      <c r="H1463" s="3">
        <v>62999.999999999927</v>
      </c>
      <c r="I1463" s="3">
        <v>63000</v>
      </c>
      <c r="J1463" s="3">
        <v>57272.727272727199</v>
      </c>
      <c r="K1463" s="25">
        <v>30748</v>
      </c>
      <c r="L1463" s="25">
        <v>30748</v>
      </c>
    </row>
    <row r="1464" spans="1:12" x14ac:dyDescent="0.3">
      <c r="A1464" t="s">
        <v>5594</v>
      </c>
      <c r="B1464">
        <v>2.026020619064E+18</v>
      </c>
      <c r="C1464" t="s">
        <v>5602</v>
      </c>
      <c r="D1464">
        <v>143790</v>
      </c>
      <c r="E1464" s="16" t="s">
        <v>7</v>
      </c>
      <c r="F1464" s="3">
        <v>1</v>
      </c>
      <c r="G1464" s="3">
        <v>57272.727272727199</v>
      </c>
      <c r="H1464" s="3">
        <v>62999.999999999927</v>
      </c>
      <c r="I1464" s="3">
        <v>63000</v>
      </c>
      <c r="J1464" s="3">
        <v>57272.727272727199</v>
      </c>
      <c r="K1464" s="25">
        <v>30748</v>
      </c>
      <c r="L1464" s="25">
        <v>30748</v>
      </c>
    </row>
    <row r="1465" spans="1:12" x14ac:dyDescent="0.3">
      <c r="A1465" t="s">
        <v>5594</v>
      </c>
      <c r="B1465">
        <v>2.02602061656211E+18</v>
      </c>
      <c r="C1465" t="s">
        <v>5602</v>
      </c>
      <c r="D1465">
        <v>143790</v>
      </c>
      <c r="E1465" s="16" t="s">
        <v>7</v>
      </c>
      <c r="F1465" s="3">
        <v>1</v>
      </c>
      <c r="G1465" s="3">
        <v>57272.727272727199</v>
      </c>
      <c r="H1465" s="3">
        <v>62999.999999999927</v>
      </c>
      <c r="I1465" s="3">
        <v>63000</v>
      </c>
      <c r="J1465" s="3">
        <v>57272.727272727199</v>
      </c>
      <c r="K1465" s="25">
        <v>30748</v>
      </c>
      <c r="L1465" s="25">
        <v>30748</v>
      </c>
    </row>
    <row r="1466" spans="1:12" x14ac:dyDescent="0.3">
      <c r="A1466" t="s">
        <v>5594</v>
      </c>
      <c r="B1466">
        <v>2.02602061440257E+18</v>
      </c>
      <c r="C1466" t="s">
        <v>5602</v>
      </c>
      <c r="D1466">
        <v>143790</v>
      </c>
      <c r="E1466" s="16" t="s">
        <v>7</v>
      </c>
      <c r="F1466" s="3">
        <v>2</v>
      </c>
      <c r="G1466" s="3">
        <v>57272.727272727003</v>
      </c>
      <c r="H1466" s="3">
        <v>125999.99999999942</v>
      </c>
      <c r="I1466" s="3">
        <v>126000</v>
      </c>
      <c r="J1466" s="3">
        <v>114545.45454545401</v>
      </c>
      <c r="K1466" s="25">
        <v>30748</v>
      </c>
      <c r="L1466" s="25">
        <v>61496</v>
      </c>
    </row>
    <row r="1467" spans="1:12" x14ac:dyDescent="0.3">
      <c r="A1467" t="s">
        <v>5594</v>
      </c>
      <c r="B1467">
        <v>2.0260206143700401E+18</v>
      </c>
      <c r="C1467" t="s">
        <v>5602</v>
      </c>
      <c r="D1467">
        <v>143790</v>
      </c>
      <c r="E1467" s="16" t="s">
        <v>7</v>
      </c>
      <c r="F1467" s="3">
        <v>2</v>
      </c>
      <c r="G1467" s="3">
        <v>57272.727272727003</v>
      </c>
      <c r="H1467" s="3">
        <v>125999.99999999942</v>
      </c>
      <c r="I1467" s="3">
        <v>126000</v>
      </c>
      <c r="J1467" s="3">
        <v>114545.45454545401</v>
      </c>
      <c r="K1467" s="25">
        <v>30748</v>
      </c>
      <c r="L1467" s="25">
        <v>61496</v>
      </c>
    </row>
    <row r="1468" spans="1:12" x14ac:dyDescent="0.3">
      <c r="A1468" t="s">
        <v>5594</v>
      </c>
      <c r="B1468">
        <v>2.02602061354271E+18</v>
      </c>
      <c r="C1468" t="s">
        <v>5602</v>
      </c>
      <c r="D1468">
        <v>143790</v>
      </c>
      <c r="E1468" s="16" t="s">
        <v>7</v>
      </c>
      <c r="F1468" s="3">
        <v>1</v>
      </c>
      <c r="G1468" s="3">
        <v>57272.727272727199</v>
      </c>
      <c r="H1468" s="3">
        <v>62999.999999999927</v>
      </c>
      <c r="I1468" s="3">
        <v>63000</v>
      </c>
      <c r="J1468" s="3">
        <v>57272.727272727199</v>
      </c>
      <c r="K1468" s="25">
        <v>30748</v>
      </c>
      <c r="L1468" s="25">
        <v>30748</v>
      </c>
    </row>
    <row r="1469" spans="1:12" x14ac:dyDescent="0.3">
      <c r="A1469" t="s">
        <v>5594</v>
      </c>
      <c r="B1469">
        <v>2.02602100800559E+18</v>
      </c>
      <c r="C1469" t="s">
        <v>5602</v>
      </c>
      <c r="D1469">
        <v>143790</v>
      </c>
      <c r="E1469" s="16" t="s">
        <v>7</v>
      </c>
      <c r="F1469" s="3">
        <v>1</v>
      </c>
      <c r="G1469" s="3">
        <v>41363.636363636302</v>
      </c>
      <c r="H1469" s="3">
        <v>45499.999999999935</v>
      </c>
      <c r="I1469" s="3">
        <v>45500</v>
      </c>
      <c r="J1469" s="3">
        <v>41363.636363636302</v>
      </c>
      <c r="K1469" s="25">
        <v>30748</v>
      </c>
      <c r="L1469" s="25">
        <v>30748</v>
      </c>
    </row>
    <row r="1470" spans="1:12" x14ac:dyDescent="0.3">
      <c r="A1470" t="s">
        <v>5594</v>
      </c>
      <c r="B1470">
        <v>2.02602100717117E+18</v>
      </c>
      <c r="C1470" t="s">
        <v>5602</v>
      </c>
      <c r="D1470">
        <v>143790</v>
      </c>
      <c r="E1470" s="16" t="s">
        <v>7</v>
      </c>
      <c r="F1470" s="3">
        <v>1</v>
      </c>
      <c r="G1470" s="3">
        <v>41363.636363636302</v>
      </c>
      <c r="H1470" s="3">
        <v>45499.999999999935</v>
      </c>
      <c r="I1470" s="3">
        <v>45500</v>
      </c>
      <c r="J1470" s="3">
        <v>41363.636363636302</v>
      </c>
      <c r="K1470" s="25">
        <v>30748</v>
      </c>
      <c r="L1470" s="25">
        <v>30748</v>
      </c>
    </row>
    <row r="1471" spans="1:12" x14ac:dyDescent="0.3">
      <c r="A1471" t="s">
        <v>5594</v>
      </c>
      <c r="B1471">
        <v>2.0260210070557E+18</v>
      </c>
      <c r="C1471" t="s">
        <v>5602</v>
      </c>
      <c r="D1471">
        <v>143790</v>
      </c>
      <c r="E1471" s="16" t="s">
        <v>7</v>
      </c>
      <c r="F1471" s="3">
        <v>1</v>
      </c>
      <c r="G1471" s="3">
        <v>41363.636363636302</v>
      </c>
      <c r="H1471" s="3">
        <v>45499.999999999935</v>
      </c>
      <c r="I1471" s="3">
        <v>45500</v>
      </c>
      <c r="J1471" s="3">
        <v>41363.636363636302</v>
      </c>
      <c r="K1471" s="25">
        <v>30748</v>
      </c>
      <c r="L1471" s="25">
        <v>30748</v>
      </c>
    </row>
    <row r="1472" spans="1:12" x14ac:dyDescent="0.3">
      <c r="A1472" t="s">
        <v>5594</v>
      </c>
      <c r="B1472">
        <v>2.02602100020302E+18</v>
      </c>
      <c r="C1472" t="s">
        <v>5602</v>
      </c>
      <c r="D1472">
        <v>143790</v>
      </c>
      <c r="E1472" s="16" t="s">
        <v>7</v>
      </c>
      <c r="F1472" s="3">
        <v>1</v>
      </c>
      <c r="G1472" s="3">
        <v>41363.636363636302</v>
      </c>
      <c r="H1472" s="3">
        <v>45499.999999999935</v>
      </c>
      <c r="I1472" s="3">
        <v>45500</v>
      </c>
      <c r="J1472" s="3">
        <v>41363.636363636302</v>
      </c>
      <c r="K1472" s="25">
        <v>30748</v>
      </c>
      <c r="L1472" s="25">
        <v>30748</v>
      </c>
    </row>
    <row r="1473" spans="1:12" x14ac:dyDescent="0.3">
      <c r="A1473" t="s">
        <v>5594</v>
      </c>
      <c r="B1473">
        <v>2.0260209204757601E+18</v>
      </c>
      <c r="C1473" t="s">
        <v>5602</v>
      </c>
      <c r="D1473">
        <v>143790</v>
      </c>
      <c r="E1473" s="16" t="s">
        <v>7</v>
      </c>
      <c r="F1473" s="3">
        <v>2</v>
      </c>
      <c r="G1473" s="3">
        <v>41363.636363636353</v>
      </c>
      <c r="H1473" s="3">
        <v>91000</v>
      </c>
      <c r="I1473" s="3">
        <v>91000</v>
      </c>
      <c r="J1473" s="3">
        <v>82727.272727272706</v>
      </c>
      <c r="K1473" s="25">
        <v>30748</v>
      </c>
      <c r="L1473" s="25">
        <v>61496</v>
      </c>
    </row>
    <row r="1474" spans="1:12" x14ac:dyDescent="0.3">
      <c r="A1474" t="s">
        <v>5594</v>
      </c>
      <c r="B1474">
        <v>2.0260209191840901E+18</v>
      </c>
      <c r="C1474" t="s">
        <v>5602</v>
      </c>
      <c r="D1474">
        <v>143790</v>
      </c>
      <c r="E1474" s="16" t="s">
        <v>7</v>
      </c>
      <c r="F1474" s="3">
        <v>2</v>
      </c>
      <c r="G1474" s="3">
        <v>41363.636363636353</v>
      </c>
      <c r="H1474" s="3">
        <v>91000</v>
      </c>
      <c r="I1474" s="3">
        <v>91000</v>
      </c>
      <c r="J1474" s="3">
        <v>82727.272727272706</v>
      </c>
      <c r="K1474" s="25">
        <v>30748</v>
      </c>
      <c r="L1474" s="25">
        <v>61496</v>
      </c>
    </row>
    <row r="1475" spans="1:12" x14ac:dyDescent="0.3">
      <c r="A1475" t="s">
        <v>5594</v>
      </c>
      <c r="B1475">
        <v>2.0260209191610199E+18</v>
      </c>
      <c r="C1475" t="s">
        <v>5602</v>
      </c>
      <c r="D1475">
        <v>143790</v>
      </c>
      <c r="E1475" s="16" t="s">
        <v>7</v>
      </c>
      <c r="F1475" s="3">
        <v>1</v>
      </c>
      <c r="G1475" s="3">
        <v>41363.636363636302</v>
      </c>
      <c r="H1475" s="3">
        <v>45499.999999999935</v>
      </c>
      <c r="I1475" s="3">
        <v>45500</v>
      </c>
      <c r="J1475" s="3">
        <v>41363.636363636302</v>
      </c>
      <c r="K1475" s="25">
        <v>30748</v>
      </c>
      <c r="L1475" s="25">
        <v>30748</v>
      </c>
    </row>
    <row r="1476" spans="1:12" x14ac:dyDescent="0.3">
      <c r="A1476" t="s">
        <v>5594</v>
      </c>
      <c r="B1476">
        <v>2.0260209191336699E+18</v>
      </c>
      <c r="C1476" t="s">
        <v>5602</v>
      </c>
      <c r="D1476">
        <v>143790</v>
      </c>
      <c r="E1476" s="16" t="s">
        <v>7</v>
      </c>
      <c r="F1476" s="3">
        <v>1</v>
      </c>
      <c r="G1476" s="3">
        <v>41363.636363636302</v>
      </c>
      <c r="H1476" s="3">
        <v>45499.999999999935</v>
      </c>
      <c r="I1476" s="3">
        <v>45500</v>
      </c>
      <c r="J1476" s="3">
        <v>41363.636363636302</v>
      </c>
      <c r="K1476" s="25">
        <v>30748</v>
      </c>
      <c r="L1476" s="25">
        <v>30748</v>
      </c>
    </row>
    <row r="1477" spans="1:12" x14ac:dyDescent="0.3">
      <c r="A1477" t="s">
        <v>5594</v>
      </c>
      <c r="B1477">
        <v>2.0260209190055401E+18</v>
      </c>
      <c r="C1477" t="s">
        <v>5602</v>
      </c>
      <c r="D1477">
        <v>143790</v>
      </c>
      <c r="E1477" s="16" t="s">
        <v>7</v>
      </c>
      <c r="F1477" s="3">
        <v>1</v>
      </c>
      <c r="G1477" s="3">
        <v>41363.636363636302</v>
      </c>
      <c r="H1477" s="3">
        <v>45499.999999999935</v>
      </c>
      <c r="I1477" s="3">
        <v>45500</v>
      </c>
      <c r="J1477" s="3">
        <v>41363.636363636302</v>
      </c>
      <c r="K1477" s="25">
        <v>30748</v>
      </c>
      <c r="L1477" s="25">
        <v>30748</v>
      </c>
    </row>
    <row r="1478" spans="1:12" x14ac:dyDescent="0.3">
      <c r="A1478" t="s">
        <v>5594</v>
      </c>
      <c r="B1478">
        <v>2.02602091852097E+18</v>
      </c>
      <c r="C1478" t="s">
        <v>5602</v>
      </c>
      <c r="D1478">
        <v>143790</v>
      </c>
      <c r="E1478" s="16" t="s">
        <v>7</v>
      </c>
      <c r="F1478" s="3">
        <v>2</v>
      </c>
      <c r="G1478" s="3">
        <v>41363.636363636353</v>
      </c>
      <c r="H1478" s="3">
        <v>91000</v>
      </c>
      <c r="I1478" s="3">
        <v>91000</v>
      </c>
      <c r="J1478" s="3">
        <v>82727.272727272706</v>
      </c>
      <c r="K1478" s="25">
        <v>30748</v>
      </c>
      <c r="L1478" s="25">
        <v>61496</v>
      </c>
    </row>
    <row r="1479" spans="1:12" x14ac:dyDescent="0.3">
      <c r="A1479" t="s">
        <v>5594</v>
      </c>
      <c r="B1479">
        <v>2.02602091849039E+18</v>
      </c>
      <c r="C1479" t="s">
        <v>5602</v>
      </c>
      <c r="D1479">
        <v>143790</v>
      </c>
      <c r="E1479" s="16" t="s">
        <v>7</v>
      </c>
      <c r="F1479" s="3">
        <v>1</v>
      </c>
      <c r="G1479" s="3">
        <v>41363.636363636302</v>
      </c>
      <c r="H1479" s="3">
        <v>45499.999999999935</v>
      </c>
      <c r="I1479" s="3">
        <v>45500</v>
      </c>
      <c r="J1479" s="3">
        <v>41363.636363636302</v>
      </c>
      <c r="K1479" s="25">
        <v>30748</v>
      </c>
      <c r="L1479" s="25">
        <v>30748</v>
      </c>
    </row>
    <row r="1480" spans="1:12" x14ac:dyDescent="0.3">
      <c r="A1480" t="s">
        <v>5594</v>
      </c>
      <c r="B1480">
        <v>2.0260209183941E+18</v>
      </c>
      <c r="C1480" t="s">
        <v>5602</v>
      </c>
      <c r="D1480">
        <v>143790</v>
      </c>
      <c r="E1480" s="16" t="s">
        <v>7</v>
      </c>
      <c r="F1480" s="3">
        <v>1</v>
      </c>
      <c r="G1480" s="3">
        <v>41363.636363636302</v>
      </c>
      <c r="H1480" s="3">
        <v>45499.999999999935</v>
      </c>
      <c r="I1480" s="3">
        <v>45500</v>
      </c>
      <c r="J1480" s="3">
        <v>41363.636363636302</v>
      </c>
      <c r="K1480" s="25">
        <v>30748</v>
      </c>
      <c r="L1480" s="25">
        <v>30748</v>
      </c>
    </row>
    <row r="1481" spans="1:12" x14ac:dyDescent="0.3">
      <c r="A1481" t="s">
        <v>5594</v>
      </c>
      <c r="B1481">
        <v>2.02602091813166E+18</v>
      </c>
      <c r="C1481" t="s">
        <v>5602</v>
      </c>
      <c r="D1481">
        <v>143790</v>
      </c>
      <c r="E1481" s="16" t="s">
        <v>7</v>
      </c>
      <c r="F1481" s="3">
        <v>1</v>
      </c>
      <c r="G1481" s="3">
        <v>41363.636363636302</v>
      </c>
      <c r="H1481" s="3">
        <v>45499.999999999935</v>
      </c>
      <c r="I1481" s="3">
        <v>45500</v>
      </c>
      <c r="J1481" s="3">
        <v>41363.636363636302</v>
      </c>
      <c r="K1481" s="25">
        <v>30748</v>
      </c>
      <c r="L1481" s="25">
        <v>30748</v>
      </c>
    </row>
    <row r="1482" spans="1:12" x14ac:dyDescent="0.3">
      <c r="A1482" t="s">
        <v>5594</v>
      </c>
      <c r="B1482">
        <v>2.0260209180852201E+18</v>
      </c>
      <c r="C1482" t="s">
        <v>5602</v>
      </c>
      <c r="D1482">
        <v>143790</v>
      </c>
      <c r="E1482" s="16" t="s">
        <v>7</v>
      </c>
      <c r="F1482" s="3">
        <v>1</v>
      </c>
      <c r="G1482" s="3">
        <v>41363.636363636302</v>
      </c>
      <c r="H1482" s="3">
        <v>45499.999999999935</v>
      </c>
      <c r="I1482" s="3">
        <v>45500</v>
      </c>
      <c r="J1482" s="3">
        <v>41363.636363636302</v>
      </c>
      <c r="K1482" s="25">
        <v>30748</v>
      </c>
      <c r="L1482" s="25">
        <v>30748</v>
      </c>
    </row>
    <row r="1483" spans="1:12" x14ac:dyDescent="0.3">
      <c r="A1483" t="s">
        <v>5594</v>
      </c>
      <c r="B1483">
        <v>2.0260209180133801E+18</v>
      </c>
      <c r="C1483" t="s">
        <v>5602</v>
      </c>
      <c r="D1483">
        <v>143790</v>
      </c>
      <c r="E1483" s="16" t="s">
        <v>7</v>
      </c>
      <c r="F1483" s="3">
        <v>1</v>
      </c>
      <c r="G1483" s="3">
        <v>41363.636363636302</v>
      </c>
      <c r="H1483" s="3">
        <v>45499.999999999935</v>
      </c>
      <c r="I1483" s="3">
        <v>45500</v>
      </c>
      <c r="J1483" s="3">
        <v>41363.636363636302</v>
      </c>
      <c r="K1483" s="25">
        <v>30748</v>
      </c>
      <c r="L1483" s="25">
        <v>30748</v>
      </c>
    </row>
    <row r="1484" spans="1:12" x14ac:dyDescent="0.3">
      <c r="A1484" t="s">
        <v>5594</v>
      </c>
      <c r="B1484">
        <v>2.02602091214286E+18</v>
      </c>
      <c r="C1484" t="s">
        <v>5602</v>
      </c>
      <c r="D1484">
        <v>143790</v>
      </c>
      <c r="E1484" s="16" t="s">
        <v>7</v>
      </c>
      <c r="F1484" s="3">
        <v>1</v>
      </c>
      <c r="G1484" s="3">
        <v>41363.636363636302</v>
      </c>
      <c r="H1484" s="3">
        <v>45499.999999999935</v>
      </c>
      <c r="I1484" s="3">
        <v>45500</v>
      </c>
      <c r="J1484" s="3">
        <v>41363.636363636302</v>
      </c>
      <c r="K1484" s="25">
        <v>30748</v>
      </c>
      <c r="L1484" s="25">
        <v>30748</v>
      </c>
    </row>
    <row r="1485" spans="1:12" x14ac:dyDescent="0.3">
      <c r="A1485" t="s">
        <v>5594</v>
      </c>
      <c r="B1485">
        <v>2.02602091204319E+18</v>
      </c>
      <c r="C1485" t="s">
        <v>5602</v>
      </c>
      <c r="D1485">
        <v>143790</v>
      </c>
      <c r="E1485" s="16" t="s">
        <v>7</v>
      </c>
      <c r="F1485" s="3">
        <v>1</v>
      </c>
      <c r="G1485" s="3">
        <v>41363.636363636302</v>
      </c>
      <c r="H1485" s="3">
        <v>45499.999999999935</v>
      </c>
      <c r="I1485" s="3">
        <v>45500</v>
      </c>
      <c r="J1485" s="3">
        <v>41363.636363636302</v>
      </c>
      <c r="K1485" s="25">
        <v>30748</v>
      </c>
      <c r="L1485" s="25">
        <v>30748</v>
      </c>
    </row>
    <row r="1486" spans="1:12" x14ac:dyDescent="0.3">
      <c r="A1486" t="s">
        <v>5594</v>
      </c>
      <c r="B1486">
        <v>2.0260209113237499E+18</v>
      </c>
      <c r="C1486" t="s">
        <v>5602</v>
      </c>
      <c r="D1486">
        <v>143790</v>
      </c>
      <c r="E1486" s="16" t="s">
        <v>7</v>
      </c>
      <c r="F1486" s="3">
        <v>2</v>
      </c>
      <c r="G1486" s="3">
        <v>41363.636363636353</v>
      </c>
      <c r="H1486" s="3">
        <v>91000</v>
      </c>
      <c r="I1486" s="3">
        <v>91000</v>
      </c>
      <c r="J1486" s="3">
        <v>82727.272727272706</v>
      </c>
      <c r="K1486" s="25">
        <v>30748</v>
      </c>
      <c r="L1486" s="25">
        <v>61496</v>
      </c>
    </row>
    <row r="1487" spans="1:12" x14ac:dyDescent="0.3">
      <c r="A1487" t="s">
        <v>5594</v>
      </c>
      <c r="B1487">
        <v>2.0260209112015601E+18</v>
      </c>
      <c r="C1487" t="s">
        <v>5602</v>
      </c>
      <c r="D1487">
        <v>143790</v>
      </c>
      <c r="E1487" s="16" t="s">
        <v>7</v>
      </c>
      <c r="F1487" s="3">
        <v>1</v>
      </c>
      <c r="G1487" s="3">
        <v>41363.636363636302</v>
      </c>
      <c r="H1487" s="3">
        <v>45499.999999999935</v>
      </c>
      <c r="I1487" s="3">
        <v>45500</v>
      </c>
      <c r="J1487" s="3">
        <v>41363.636363636302</v>
      </c>
      <c r="K1487" s="25">
        <v>30748</v>
      </c>
      <c r="L1487" s="25">
        <v>30748</v>
      </c>
    </row>
    <row r="1488" spans="1:12" x14ac:dyDescent="0.3">
      <c r="A1488" t="s">
        <v>5594</v>
      </c>
      <c r="B1488">
        <v>2.0260209110911201E+18</v>
      </c>
      <c r="C1488" t="s">
        <v>5602</v>
      </c>
      <c r="D1488">
        <v>143790</v>
      </c>
      <c r="E1488" s="16" t="s">
        <v>7</v>
      </c>
      <c r="F1488" s="3">
        <v>1</v>
      </c>
      <c r="G1488" s="3">
        <v>41363.636363636302</v>
      </c>
      <c r="H1488" s="3">
        <v>45499.999999999935</v>
      </c>
      <c r="I1488" s="3">
        <v>45500</v>
      </c>
      <c r="J1488" s="3">
        <v>41363.636363636302</v>
      </c>
      <c r="K1488" s="25">
        <v>30748</v>
      </c>
      <c r="L1488" s="25">
        <v>30748</v>
      </c>
    </row>
    <row r="1489" spans="1:12" x14ac:dyDescent="0.3">
      <c r="A1489" t="s">
        <v>5594</v>
      </c>
      <c r="B1489">
        <v>2.02602091054205E+18</v>
      </c>
      <c r="C1489" t="s">
        <v>5602</v>
      </c>
      <c r="D1489">
        <v>143790</v>
      </c>
      <c r="E1489" s="16" t="s">
        <v>7</v>
      </c>
      <c r="F1489" s="3">
        <v>1</v>
      </c>
      <c r="G1489" s="3">
        <v>41363.636363636302</v>
      </c>
      <c r="H1489" s="3">
        <v>45499.999999999935</v>
      </c>
      <c r="I1489" s="3">
        <v>45500</v>
      </c>
      <c r="J1489" s="3">
        <v>41363.636363636302</v>
      </c>
      <c r="K1489" s="25">
        <v>30748</v>
      </c>
      <c r="L1489" s="25">
        <v>30748</v>
      </c>
    </row>
    <row r="1490" spans="1:12" x14ac:dyDescent="0.3">
      <c r="A1490" t="s">
        <v>5594</v>
      </c>
      <c r="B1490">
        <v>2.02602091027362E+18</v>
      </c>
      <c r="C1490" t="s">
        <v>5602</v>
      </c>
      <c r="D1490">
        <v>143790</v>
      </c>
      <c r="E1490" s="16" t="s">
        <v>7</v>
      </c>
      <c r="F1490" s="3">
        <v>1</v>
      </c>
      <c r="G1490" s="3">
        <v>41363.636363636302</v>
      </c>
      <c r="H1490" s="3">
        <v>45499.999999999935</v>
      </c>
      <c r="I1490" s="3">
        <v>45500</v>
      </c>
      <c r="J1490" s="3">
        <v>41363.636363636302</v>
      </c>
      <c r="K1490" s="25">
        <v>30748</v>
      </c>
      <c r="L1490" s="25">
        <v>30748</v>
      </c>
    </row>
    <row r="1491" spans="1:12" x14ac:dyDescent="0.3">
      <c r="A1491" t="s">
        <v>5594</v>
      </c>
      <c r="B1491">
        <v>2.02602081428446E+18</v>
      </c>
      <c r="C1491" t="s">
        <v>5602</v>
      </c>
      <c r="D1491">
        <v>143790</v>
      </c>
      <c r="E1491" s="16" t="s">
        <v>7</v>
      </c>
      <c r="F1491" s="3">
        <v>1</v>
      </c>
      <c r="G1491" s="3">
        <v>41363.636363636302</v>
      </c>
      <c r="H1491" s="3">
        <v>45499.999999999935</v>
      </c>
      <c r="I1491" s="3">
        <v>45500</v>
      </c>
      <c r="J1491" s="3">
        <v>41363.636363636302</v>
      </c>
      <c r="K1491" s="25">
        <v>30748</v>
      </c>
      <c r="L1491" s="25">
        <v>30748</v>
      </c>
    </row>
    <row r="1492" spans="1:12" x14ac:dyDescent="0.3">
      <c r="A1492" t="s">
        <v>5594</v>
      </c>
      <c r="B1492">
        <v>2.0260208133629E+18</v>
      </c>
      <c r="C1492" t="s">
        <v>5602</v>
      </c>
      <c r="D1492">
        <v>143790</v>
      </c>
      <c r="E1492" s="16" t="s">
        <v>7</v>
      </c>
      <c r="F1492" s="3">
        <v>1</v>
      </c>
      <c r="G1492" s="3">
        <v>41363.636363636302</v>
      </c>
      <c r="H1492" s="3">
        <v>45499.999999999935</v>
      </c>
      <c r="I1492" s="3">
        <v>45500</v>
      </c>
      <c r="J1492" s="3">
        <v>41363.636363636302</v>
      </c>
      <c r="K1492" s="25">
        <v>30748</v>
      </c>
      <c r="L1492" s="25">
        <v>30748</v>
      </c>
    </row>
    <row r="1493" spans="1:12" x14ac:dyDescent="0.3">
      <c r="A1493" t="s">
        <v>5594</v>
      </c>
      <c r="B1493">
        <v>2.02602071452271E+18</v>
      </c>
      <c r="C1493" t="s">
        <v>5602</v>
      </c>
      <c r="D1493">
        <v>143790</v>
      </c>
      <c r="E1493" s="16" t="s">
        <v>7</v>
      </c>
      <c r="F1493" s="3">
        <v>1</v>
      </c>
      <c r="G1493" s="3">
        <v>41363.636363636302</v>
      </c>
      <c r="H1493" s="3">
        <v>45499.999999999935</v>
      </c>
      <c r="I1493" s="3">
        <v>45500</v>
      </c>
      <c r="J1493" s="3">
        <v>41363.636363636302</v>
      </c>
      <c r="K1493" s="25">
        <v>30748</v>
      </c>
      <c r="L1493" s="25">
        <v>30748</v>
      </c>
    </row>
    <row r="1494" spans="1:12" x14ac:dyDescent="0.3">
      <c r="A1494" t="s">
        <v>5594</v>
      </c>
      <c r="B1494">
        <v>2.0260207133730601E+18</v>
      </c>
      <c r="C1494" t="s">
        <v>5602</v>
      </c>
      <c r="D1494">
        <v>143790</v>
      </c>
      <c r="E1494" s="16" t="s">
        <v>7</v>
      </c>
      <c r="F1494" s="3">
        <v>2</v>
      </c>
      <c r="G1494" s="3">
        <v>41363.636363636353</v>
      </c>
      <c r="H1494" s="3">
        <v>91000</v>
      </c>
      <c r="I1494" s="3">
        <v>91000</v>
      </c>
      <c r="J1494" s="3">
        <v>82727.272727272706</v>
      </c>
      <c r="K1494" s="25">
        <v>30748</v>
      </c>
      <c r="L1494" s="25">
        <v>61496</v>
      </c>
    </row>
    <row r="1495" spans="1:12" x14ac:dyDescent="0.3">
      <c r="A1495" t="s">
        <v>5594</v>
      </c>
      <c r="B1495">
        <v>2.02602070922176E+18</v>
      </c>
      <c r="C1495" t="s">
        <v>5602</v>
      </c>
      <c r="D1495">
        <v>143790</v>
      </c>
      <c r="E1495" s="16" t="s">
        <v>7</v>
      </c>
      <c r="F1495" s="3">
        <v>1</v>
      </c>
      <c r="G1495" s="3">
        <v>41363.636363636302</v>
      </c>
      <c r="H1495" s="3">
        <v>45499.999999999935</v>
      </c>
      <c r="I1495" s="3">
        <v>45500</v>
      </c>
      <c r="J1495" s="3">
        <v>41363.636363636302</v>
      </c>
      <c r="K1495" s="25">
        <v>30748</v>
      </c>
      <c r="L1495" s="25">
        <v>30748</v>
      </c>
    </row>
    <row r="1496" spans="1:12" x14ac:dyDescent="0.3">
      <c r="A1496" t="s">
        <v>5594</v>
      </c>
      <c r="B1496">
        <v>2.02602060402002E+18</v>
      </c>
      <c r="C1496" t="s">
        <v>5602</v>
      </c>
      <c r="D1496">
        <v>143790</v>
      </c>
      <c r="E1496" s="16" t="s">
        <v>7</v>
      </c>
      <c r="F1496" s="3">
        <v>1</v>
      </c>
      <c r="G1496" s="3">
        <v>41363.636363636302</v>
      </c>
      <c r="H1496" s="3">
        <v>45499.999999999935</v>
      </c>
      <c r="I1496" s="3">
        <v>45500</v>
      </c>
      <c r="J1496" s="3">
        <v>41363.636363636302</v>
      </c>
      <c r="K1496" s="25">
        <v>30748</v>
      </c>
      <c r="L1496" s="25">
        <v>30748</v>
      </c>
    </row>
    <row r="1497" spans="1:12" x14ac:dyDescent="0.3">
      <c r="A1497" t="s">
        <v>5594</v>
      </c>
      <c r="B1497">
        <v>2.02602060328353E+18</v>
      </c>
      <c r="C1497" t="s">
        <v>5602</v>
      </c>
      <c r="D1497">
        <v>143790</v>
      </c>
      <c r="E1497" s="16" t="s">
        <v>7</v>
      </c>
      <c r="F1497" s="3">
        <v>1</v>
      </c>
      <c r="G1497" s="3">
        <v>41363.636363636302</v>
      </c>
      <c r="H1497" s="3">
        <v>45499.999999999935</v>
      </c>
      <c r="I1497" s="3">
        <v>45500</v>
      </c>
      <c r="J1497" s="3">
        <v>41363.636363636302</v>
      </c>
      <c r="K1497" s="25">
        <v>30748</v>
      </c>
      <c r="L1497" s="25">
        <v>30748</v>
      </c>
    </row>
    <row r="1498" spans="1:12" x14ac:dyDescent="0.3">
      <c r="A1498" t="s">
        <v>5594</v>
      </c>
      <c r="B1498">
        <v>2.02602050941566E+18</v>
      </c>
      <c r="C1498" t="s">
        <v>5602</v>
      </c>
      <c r="D1498">
        <v>143790</v>
      </c>
      <c r="E1498" s="16" t="s">
        <v>7</v>
      </c>
      <c r="F1498" s="3">
        <v>1</v>
      </c>
      <c r="G1498" s="3">
        <v>41363.636363636302</v>
      </c>
      <c r="H1498" s="3">
        <v>45499.999999999935</v>
      </c>
      <c r="I1498" s="3">
        <v>45500</v>
      </c>
      <c r="J1498" s="3">
        <v>41363.636363636302</v>
      </c>
      <c r="K1498" s="25">
        <v>30748</v>
      </c>
      <c r="L1498" s="25">
        <v>30748</v>
      </c>
    </row>
    <row r="1499" spans="1:12" x14ac:dyDescent="0.3">
      <c r="A1499" t="s">
        <v>5594</v>
      </c>
      <c r="B1499">
        <v>2.02602101100081E+18</v>
      </c>
      <c r="C1499" t="s">
        <v>5602</v>
      </c>
      <c r="D1499">
        <v>143812</v>
      </c>
      <c r="E1499" s="16" t="s">
        <v>7</v>
      </c>
      <c r="F1499" s="3">
        <v>1</v>
      </c>
      <c r="G1499" s="3">
        <v>41363.636363636302</v>
      </c>
      <c r="H1499" s="3">
        <v>45499.999999999935</v>
      </c>
      <c r="I1499" s="3">
        <v>45500</v>
      </c>
      <c r="J1499" s="3">
        <v>41363.636363636302</v>
      </c>
      <c r="K1499" s="25">
        <v>15374</v>
      </c>
      <c r="L1499" s="25">
        <v>15374</v>
      </c>
    </row>
    <row r="1500" spans="1:12" x14ac:dyDescent="0.3">
      <c r="A1500" t="s">
        <v>5594</v>
      </c>
      <c r="B1500">
        <v>2.02602101050351E+18</v>
      </c>
      <c r="C1500" t="s">
        <v>5602</v>
      </c>
      <c r="D1500">
        <v>143812</v>
      </c>
      <c r="E1500" s="16" t="s">
        <v>7</v>
      </c>
      <c r="F1500" s="3">
        <v>1</v>
      </c>
      <c r="G1500" s="3">
        <v>41363.636363636302</v>
      </c>
      <c r="H1500" s="3">
        <v>45499.999999999935</v>
      </c>
      <c r="I1500" s="3">
        <v>45500</v>
      </c>
      <c r="J1500" s="3">
        <v>41363.636363636302</v>
      </c>
      <c r="K1500" s="25">
        <v>15374</v>
      </c>
      <c r="L1500" s="25">
        <v>15374</v>
      </c>
    </row>
    <row r="1501" spans="1:12" x14ac:dyDescent="0.3">
      <c r="A1501" t="s">
        <v>5594</v>
      </c>
      <c r="B1501">
        <v>2.0260210104103501E+18</v>
      </c>
      <c r="C1501" t="s">
        <v>5602</v>
      </c>
      <c r="D1501">
        <v>143812</v>
      </c>
      <c r="E1501" s="16" t="s">
        <v>7</v>
      </c>
      <c r="F1501" s="3">
        <v>2</v>
      </c>
      <c r="G1501" s="3">
        <v>41363.636363636353</v>
      </c>
      <c r="H1501" s="3">
        <v>91000</v>
      </c>
      <c r="I1501" s="3">
        <v>91000</v>
      </c>
      <c r="J1501" s="3">
        <v>82727.272727272706</v>
      </c>
      <c r="K1501" s="25">
        <v>15374</v>
      </c>
      <c r="L1501" s="25">
        <v>30748</v>
      </c>
    </row>
    <row r="1502" spans="1:12" x14ac:dyDescent="0.3">
      <c r="A1502" t="s">
        <v>5594</v>
      </c>
      <c r="B1502">
        <v>2.02602101024515E+18</v>
      </c>
      <c r="C1502" t="s">
        <v>5602</v>
      </c>
      <c r="D1502">
        <v>143812</v>
      </c>
      <c r="E1502" s="16" t="s">
        <v>7</v>
      </c>
      <c r="F1502" s="3">
        <v>2</v>
      </c>
      <c r="G1502" s="3">
        <v>41363.636363636353</v>
      </c>
      <c r="H1502" s="3">
        <v>91000</v>
      </c>
      <c r="I1502" s="3">
        <v>91000</v>
      </c>
      <c r="J1502" s="3">
        <v>82727.272727272706</v>
      </c>
      <c r="K1502" s="25">
        <v>15374</v>
      </c>
      <c r="L1502" s="25">
        <v>30748</v>
      </c>
    </row>
    <row r="1503" spans="1:12" x14ac:dyDescent="0.3">
      <c r="A1503" t="s">
        <v>5594</v>
      </c>
      <c r="B1503">
        <v>2.02602100812031E+18</v>
      </c>
      <c r="C1503" t="s">
        <v>5602</v>
      </c>
      <c r="D1503">
        <v>143812</v>
      </c>
      <c r="E1503" s="16" t="s">
        <v>7</v>
      </c>
      <c r="F1503" s="3">
        <v>1</v>
      </c>
      <c r="G1503" s="3">
        <v>41363.636363636302</v>
      </c>
      <c r="H1503" s="3">
        <v>45499.999999999935</v>
      </c>
      <c r="I1503" s="3">
        <v>45500</v>
      </c>
      <c r="J1503" s="3">
        <v>41363.636363636302</v>
      </c>
      <c r="K1503" s="25">
        <v>15374</v>
      </c>
      <c r="L1503" s="25">
        <v>15374</v>
      </c>
    </row>
    <row r="1504" spans="1:12" x14ac:dyDescent="0.3">
      <c r="A1504" t="s">
        <v>5594</v>
      </c>
      <c r="B1504">
        <v>2.02602091905057E+18</v>
      </c>
      <c r="C1504" t="s">
        <v>5602</v>
      </c>
      <c r="D1504">
        <v>143812</v>
      </c>
      <c r="E1504" s="16" t="s">
        <v>7</v>
      </c>
      <c r="F1504" s="3">
        <v>1</v>
      </c>
      <c r="G1504" s="3">
        <v>41363.636363636302</v>
      </c>
      <c r="H1504" s="3">
        <v>45499.999999999935</v>
      </c>
      <c r="I1504" s="3">
        <v>45500</v>
      </c>
      <c r="J1504" s="3">
        <v>41363.636363636302</v>
      </c>
      <c r="K1504" s="25">
        <v>15374</v>
      </c>
      <c r="L1504" s="25">
        <v>15374</v>
      </c>
    </row>
    <row r="1505" spans="1:12" x14ac:dyDescent="0.3">
      <c r="A1505" t="s">
        <v>5594</v>
      </c>
      <c r="B1505">
        <v>2.0260209180623601E+18</v>
      </c>
      <c r="C1505" t="s">
        <v>5602</v>
      </c>
      <c r="D1505">
        <v>143812</v>
      </c>
      <c r="E1505" s="16" t="s">
        <v>7</v>
      </c>
      <c r="F1505" s="3">
        <v>1</v>
      </c>
      <c r="G1505" s="3">
        <v>41363.636363636302</v>
      </c>
      <c r="H1505" s="3">
        <v>45499.999999999935</v>
      </c>
      <c r="I1505" s="3">
        <v>45500</v>
      </c>
      <c r="J1505" s="3">
        <v>41363.636363636302</v>
      </c>
      <c r="K1505" s="25">
        <v>15374</v>
      </c>
      <c r="L1505" s="25">
        <v>15374</v>
      </c>
    </row>
    <row r="1506" spans="1:12" x14ac:dyDescent="0.3">
      <c r="A1506" t="s">
        <v>5594</v>
      </c>
      <c r="B1506">
        <v>2.0260209175346701E+18</v>
      </c>
      <c r="C1506" t="s">
        <v>5602</v>
      </c>
      <c r="D1506">
        <v>143812</v>
      </c>
      <c r="E1506" s="16" t="s">
        <v>7</v>
      </c>
      <c r="F1506" s="3">
        <v>1</v>
      </c>
      <c r="G1506" s="3">
        <v>41363.636363636302</v>
      </c>
      <c r="H1506" s="3">
        <v>45499.999999999935</v>
      </c>
      <c r="I1506" s="3">
        <v>45500</v>
      </c>
      <c r="J1506" s="3">
        <v>41363.636363636302</v>
      </c>
      <c r="K1506" s="25">
        <v>15374</v>
      </c>
      <c r="L1506" s="25">
        <v>15374</v>
      </c>
    </row>
    <row r="1507" spans="1:12" x14ac:dyDescent="0.3">
      <c r="A1507" t="s">
        <v>5594</v>
      </c>
      <c r="B1507">
        <v>2.02602091655022E+18</v>
      </c>
      <c r="C1507" t="s">
        <v>5602</v>
      </c>
      <c r="D1507">
        <v>143812</v>
      </c>
      <c r="E1507" s="16" t="s">
        <v>7</v>
      </c>
      <c r="F1507" s="3">
        <v>1</v>
      </c>
      <c r="G1507" s="3">
        <v>41363.636363636302</v>
      </c>
      <c r="H1507" s="3">
        <v>45499.999999999935</v>
      </c>
      <c r="I1507" s="3">
        <v>45500</v>
      </c>
      <c r="J1507" s="3">
        <v>41363.636363636302</v>
      </c>
      <c r="K1507" s="25">
        <v>15374</v>
      </c>
      <c r="L1507" s="25">
        <v>15374</v>
      </c>
    </row>
    <row r="1508" spans="1:12" x14ac:dyDescent="0.3">
      <c r="A1508" t="s">
        <v>5594</v>
      </c>
      <c r="B1508">
        <v>2.02602091221472E+18</v>
      </c>
      <c r="C1508" t="s">
        <v>5602</v>
      </c>
      <c r="D1508">
        <v>143812</v>
      </c>
      <c r="E1508" s="16" t="s">
        <v>7</v>
      </c>
      <c r="F1508" s="3">
        <v>1</v>
      </c>
      <c r="G1508" s="3">
        <v>41363.636363636302</v>
      </c>
      <c r="H1508" s="3">
        <v>45499.999999999935</v>
      </c>
      <c r="I1508" s="3">
        <v>45500</v>
      </c>
      <c r="J1508" s="3">
        <v>41363.636363636302</v>
      </c>
      <c r="K1508" s="25">
        <v>15374</v>
      </c>
      <c r="L1508" s="25">
        <v>15374</v>
      </c>
    </row>
    <row r="1509" spans="1:12" x14ac:dyDescent="0.3">
      <c r="A1509" t="s">
        <v>5594</v>
      </c>
      <c r="B1509">
        <v>2.02602092250146E+18</v>
      </c>
      <c r="C1509" t="s">
        <v>5602</v>
      </c>
      <c r="D1509">
        <v>143790</v>
      </c>
      <c r="E1509" s="16" t="s">
        <v>7</v>
      </c>
      <c r="F1509" s="3">
        <v>1</v>
      </c>
      <c r="G1509" s="3">
        <v>57272.727272727199</v>
      </c>
      <c r="H1509" s="3">
        <v>62999.999999999927</v>
      </c>
      <c r="I1509" s="3">
        <v>63000</v>
      </c>
      <c r="J1509" s="3">
        <v>57272.727272727199</v>
      </c>
      <c r="K1509" s="25">
        <v>30748</v>
      </c>
      <c r="L1509" s="25">
        <v>30748</v>
      </c>
    </row>
    <row r="1510" spans="1:12" x14ac:dyDescent="0.3">
      <c r="A1510" t="s">
        <v>5594</v>
      </c>
      <c r="B1510">
        <v>2.0260209191557199E+18</v>
      </c>
      <c r="C1510" t="s">
        <v>5602</v>
      </c>
      <c r="D1510">
        <v>143790</v>
      </c>
      <c r="E1510" s="16" t="s">
        <v>7</v>
      </c>
      <c r="F1510" s="3">
        <v>1</v>
      </c>
      <c r="G1510" s="3">
        <v>57272.727272727199</v>
      </c>
      <c r="H1510" s="3">
        <v>62999.999999999927</v>
      </c>
      <c r="I1510" s="3">
        <v>63000</v>
      </c>
      <c r="J1510" s="3">
        <v>57272.727272727199</v>
      </c>
      <c r="K1510" s="25">
        <v>30748</v>
      </c>
      <c r="L1510" s="25">
        <v>30748</v>
      </c>
    </row>
    <row r="1511" spans="1:12" x14ac:dyDescent="0.3">
      <c r="A1511" t="s">
        <v>5594</v>
      </c>
      <c r="B1511">
        <v>2.0260209173520599E+18</v>
      </c>
      <c r="C1511" t="s">
        <v>5602</v>
      </c>
      <c r="D1511">
        <v>143790</v>
      </c>
      <c r="E1511" s="16" t="s">
        <v>7</v>
      </c>
      <c r="F1511" s="3">
        <v>1</v>
      </c>
      <c r="G1511" s="3">
        <v>57272.727272727199</v>
      </c>
      <c r="H1511" s="3">
        <v>62999.999999999927</v>
      </c>
      <c r="I1511" s="3">
        <v>63000</v>
      </c>
      <c r="J1511" s="3">
        <v>57272.727272727199</v>
      </c>
      <c r="K1511" s="25">
        <v>30748</v>
      </c>
      <c r="L1511" s="25">
        <v>30748</v>
      </c>
    </row>
    <row r="1512" spans="1:12" x14ac:dyDescent="0.3">
      <c r="A1512" t="s">
        <v>5594</v>
      </c>
      <c r="B1512">
        <v>2.02602091257277E+18</v>
      </c>
      <c r="C1512" t="s">
        <v>5602</v>
      </c>
      <c r="D1512">
        <v>143790</v>
      </c>
      <c r="E1512" s="16" t="s">
        <v>7</v>
      </c>
      <c r="F1512" s="3">
        <v>1</v>
      </c>
      <c r="G1512" s="3">
        <v>57272.727272727199</v>
      </c>
      <c r="H1512" s="3">
        <v>62999.999999999927</v>
      </c>
      <c r="I1512" s="3">
        <v>63000</v>
      </c>
      <c r="J1512" s="3">
        <v>57272.727272727199</v>
      </c>
      <c r="K1512" s="25">
        <v>30748</v>
      </c>
      <c r="L1512" s="25">
        <v>30748</v>
      </c>
    </row>
    <row r="1513" spans="1:12" x14ac:dyDescent="0.3">
      <c r="A1513" t="s">
        <v>5594</v>
      </c>
      <c r="B1513">
        <v>2.0260206143417201E+18</v>
      </c>
      <c r="C1513" t="s">
        <v>5602</v>
      </c>
      <c r="D1513">
        <v>143790</v>
      </c>
      <c r="E1513" s="16" t="s">
        <v>7</v>
      </c>
      <c r="F1513" s="3">
        <v>2</v>
      </c>
      <c r="G1513" s="3">
        <v>57272.727272727003</v>
      </c>
      <c r="H1513" s="3">
        <v>125999.99999999942</v>
      </c>
      <c r="I1513" s="3">
        <v>126000</v>
      </c>
      <c r="J1513" s="3">
        <v>114545.45454545401</v>
      </c>
      <c r="K1513" s="25">
        <v>30748</v>
      </c>
      <c r="L1513" s="25">
        <v>61496</v>
      </c>
    </row>
    <row r="1514" spans="1:12" x14ac:dyDescent="0.3">
      <c r="A1514" t="s">
        <v>5594</v>
      </c>
      <c r="B1514">
        <v>2.0260211094551401E+18</v>
      </c>
      <c r="C1514" t="s">
        <v>5602</v>
      </c>
      <c r="D1514">
        <v>143790</v>
      </c>
      <c r="E1514" s="16" t="s">
        <v>7</v>
      </c>
      <c r="F1514" s="3">
        <v>1</v>
      </c>
      <c r="G1514" s="3">
        <v>41363.636363636302</v>
      </c>
      <c r="H1514" s="3">
        <v>45499.999999999935</v>
      </c>
      <c r="I1514" s="3">
        <v>45500</v>
      </c>
      <c r="J1514" s="3">
        <v>41363.636363636302</v>
      </c>
      <c r="K1514" s="25">
        <v>30748</v>
      </c>
      <c r="L1514" s="25">
        <v>30748</v>
      </c>
    </row>
    <row r="1515" spans="1:12" x14ac:dyDescent="0.3">
      <c r="A1515" t="s">
        <v>5594</v>
      </c>
      <c r="B1515">
        <v>2.02602110945587E+18</v>
      </c>
      <c r="C1515" t="s">
        <v>5602</v>
      </c>
      <c r="D1515">
        <v>143790</v>
      </c>
      <c r="E1515" s="16" t="s">
        <v>7</v>
      </c>
      <c r="F1515" s="3">
        <v>1</v>
      </c>
      <c r="G1515" s="3">
        <v>41363.636363636302</v>
      </c>
      <c r="H1515" s="3">
        <v>45499.999999999935</v>
      </c>
      <c r="I1515" s="3">
        <v>45500</v>
      </c>
      <c r="J1515" s="3">
        <v>41363.636363636302</v>
      </c>
      <c r="K1515" s="25">
        <v>30748</v>
      </c>
      <c r="L1515" s="25">
        <v>30748</v>
      </c>
    </row>
    <row r="1516" spans="1:12" x14ac:dyDescent="0.3">
      <c r="A1516" t="s">
        <v>5594</v>
      </c>
      <c r="B1516">
        <v>2.0260211081100401E+18</v>
      </c>
      <c r="C1516" t="s">
        <v>5602</v>
      </c>
      <c r="D1516">
        <v>143790</v>
      </c>
      <c r="E1516" s="16" t="s">
        <v>7</v>
      </c>
      <c r="F1516" s="3">
        <v>1</v>
      </c>
      <c r="G1516" s="3">
        <v>41363.636363636302</v>
      </c>
      <c r="H1516" s="3">
        <v>45499.999999999935</v>
      </c>
      <c r="I1516" s="3">
        <v>45500</v>
      </c>
      <c r="J1516" s="3">
        <v>41363.636363636302</v>
      </c>
      <c r="K1516" s="25">
        <v>30748</v>
      </c>
      <c r="L1516" s="25">
        <v>30748</v>
      </c>
    </row>
    <row r="1517" spans="1:12" x14ac:dyDescent="0.3">
      <c r="A1517" t="s">
        <v>5594</v>
      </c>
      <c r="B1517">
        <v>2.0260211024110799E+18</v>
      </c>
      <c r="C1517" t="s">
        <v>5602</v>
      </c>
      <c r="D1517">
        <v>143790</v>
      </c>
      <c r="E1517" s="16" t="s">
        <v>7</v>
      </c>
      <c r="F1517" s="3">
        <v>1</v>
      </c>
      <c r="G1517" s="3">
        <v>41363.636363636302</v>
      </c>
      <c r="H1517" s="3">
        <v>45499.999999999935</v>
      </c>
      <c r="I1517" s="3">
        <v>45500</v>
      </c>
      <c r="J1517" s="3">
        <v>41363.636363636302</v>
      </c>
      <c r="K1517" s="25">
        <v>30748</v>
      </c>
      <c r="L1517" s="25">
        <v>30748</v>
      </c>
    </row>
    <row r="1518" spans="1:12" x14ac:dyDescent="0.3">
      <c r="A1518" t="s">
        <v>5594</v>
      </c>
      <c r="B1518">
        <v>2.02602110238321E+18</v>
      </c>
      <c r="C1518" t="s">
        <v>5602</v>
      </c>
      <c r="D1518">
        <v>143790</v>
      </c>
      <c r="E1518" s="16" t="s">
        <v>7</v>
      </c>
      <c r="F1518" s="3">
        <v>1</v>
      </c>
      <c r="G1518" s="3">
        <v>41363.636363636302</v>
      </c>
      <c r="H1518" s="3">
        <v>45499.999999999935</v>
      </c>
      <c r="I1518" s="3">
        <v>45500</v>
      </c>
      <c r="J1518" s="3">
        <v>41363.636363636302</v>
      </c>
      <c r="K1518" s="25">
        <v>30748</v>
      </c>
      <c r="L1518" s="25">
        <v>30748</v>
      </c>
    </row>
    <row r="1519" spans="1:12" x14ac:dyDescent="0.3">
      <c r="A1519" t="s">
        <v>5594</v>
      </c>
      <c r="B1519">
        <v>2.0260211023513201E+18</v>
      </c>
      <c r="C1519" t="s">
        <v>5602</v>
      </c>
      <c r="D1519">
        <v>143790</v>
      </c>
      <c r="E1519" s="16" t="s">
        <v>7</v>
      </c>
      <c r="F1519" s="3">
        <v>1</v>
      </c>
      <c r="G1519" s="3">
        <v>41363.636363636302</v>
      </c>
      <c r="H1519" s="3">
        <v>45499.999999999935</v>
      </c>
      <c r="I1519" s="3">
        <v>45500</v>
      </c>
      <c r="J1519" s="3">
        <v>41363.636363636302</v>
      </c>
      <c r="K1519" s="25">
        <v>30748</v>
      </c>
      <c r="L1519" s="25">
        <v>30748</v>
      </c>
    </row>
    <row r="1520" spans="1:12" x14ac:dyDescent="0.3">
      <c r="A1520" t="s">
        <v>5594</v>
      </c>
      <c r="B1520">
        <v>2.0260211022456801E+18</v>
      </c>
      <c r="C1520" t="s">
        <v>5602</v>
      </c>
      <c r="D1520">
        <v>143790</v>
      </c>
      <c r="E1520" s="16" t="s">
        <v>7</v>
      </c>
      <c r="F1520" s="3">
        <v>1</v>
      </c>
      <c r="G1520" s="3">
        <v>41363.636363636302</v>
      </c>
      <c r="H1520" s="3">
        <v>45499.999999999935</v>
      </c>
      <c r="I1520" s="3">
        <v>45500</v>
      </c>
      <c r="J1520" s="3">
        <v>41363.636363636302</v>
      </c>
      <c r="K1520" s="25">
        <v>30748</v>
      </c>
      <c r="L1520" s="25">
        <v>30748</v>
      </c>
    </row>
    <row r="1521" spans="1:12" x14ac:dyDescent="0.3">
      <c r="A1521" t="s">
        <v>5594</v>
      </c>
      <c r="B1521">
        <v>2.02602102021279E+18</v>
      </c>
      <c r="C1521" t="s">
        <v>5602</v>
      </c>
      <c r="D1521">
        <v>143790</v>
      </c>
      <c r="E1521" s="16" t="s">
        <v>7</v>
      </c>
      <c r="F1521" s="3">
        <v>1</v>
      </c>
      <c r="G1521" s="3">
        <v>41363.636363636302</v>
      </c>
      <c r="H1521" s="3">
        <v>45499.999999999935</v>
      </c>
      <c r="I1521" s="3">
        <v>45500</v>
      </c>
      <c r="J1521" s="3">
        <v>41363.636363636302</v>
      </c>
      <c r="K1521" s="25">
        <v>30748</v>
      </c>
      <c r="L1521" s="25">
        <v>30748</v>
      </c>
    </row>
    <row r="1522" spans="1:12" x14ac:dyDescent="0.3">
      <c r="A1522" t="s">
        <v>5594</v>
      </c>
      <c r="B1522">
        <v>2.0260210175539999E+18</v>
      </c>
      <c r="C1522" t="s">
        <v>5602</v>
      </c>
      <c r="D1522">
        <v>143790</v>
      </c>
      <c r="E1522" s="16" t="s">
        <v>7</v>
      </c>
      <c r="F1522" s="3">
        <v>1</v>
      </c>
      <c r="G1522" s="3">
        <v>41363.636363636302</v>
      </c>
      <c r="H1522" s="3">
        <v>45499.999999999935</v>
      </c>
      <c r="I1522" s="3">
        <v>45500</v>
      </c>
      <c r="J1522" s="3">
        <v>41363.636363636302</v>
      </c>
      <c r="K1522" s="25">
        <v>30748</v>
      </c>
      <c r="L1522" s="25">
        <v>30748</v>
      </c>
    </row>
    <row r="1523" spans="1:12" x14ac:dyDescent="0.3">
      <c r="A1523" t="s">
        <v>5594</v>
      </c>
      <c r="B1523">
        <v>2.0260210141758999E+18</v>
      </c>
      <c r="C1523" t="s">
        <v>5602</v>
      </c>
      <c r="D1523">
        <v>143790</v>
      </c>
      <c r="E1523" s="16" t="s">
        <v>7</v>
      </c>
      <c r="F1523" s="3">
        <v>1</v>
      </c>
      <c r="G1523" s="3">
        <v>41363.636363636302</v>
      </c>
      <c r="H1523" s="3">
        <v>45499.999999999935</v>
      </c>
      <c r="I1523" s="3">
        <v>45500</v>
      </c>
      <c r="J1523" s="3">
        <v>41363.636363636302</v>
      </c>
      <c r="K1523" s="25">
        <v>30748</v>
      </c>
      <c r="L1523" s="25">
        <v>30748</v>
      </c>
    </row>
    <row r="1524" spans="1:12" x14ac:dyDescent="0.3">
      <c r="A1524" t="s">
        <v>5594</v>
      </c>
      <c r="B1524">
        <v>2.0260210122407401E+18</v>
      </c>
      <c r="C1524" t="s">
        <v>5602</v>
      </c>
      <c r="D1524">
        <v>143790</v>
      </c>
      <c r="E1524" s="16" t="s">
        <v>7</v>
      </c>
      <c r="F1524" s="3">
        <v>1</v>
      </c>
      <c r="G1524" s="3">
        <v>41363.636363636302</v>
      </c>
      <c r="H1524" s="3">
        <v>45499.999999999935</v>
      </c>
      <c r="I1524" s="3">
        <v>45500</v>
      </c>
      <c r="J1524" s="3">
        <v>41363.636363636302</v>
      </c>
      <c r="K1524" s="25">
        <v>30748</v>
      </c>
      <c r="L1524" s="25">
        <v>30748</v>
      </c>
    </row>
    <row r="1525" spans="1:12" x14ac:dyDescent="0.3">
      <c r="A1525" t="s">
        <v>5594</v>
      </c>
      <c r="B1525">
        <v>2.0260210111835699E+18</v>
      </c>
      <c r="C1525" t="s">
        <v>5602</v>
      </c>
      <c r="D1525">
        <v>143790</v>
      </c>
      <c r="E1525" s="16" t="s">
        <v>7</v>
      </c>
      <c r="F1525" s="3">
        <v>2</v>
      </c>
      <c r="G1525" s="3">
        <v>41363.636363636353</v>
      </c>
      <c r="H1525" s="3">
        <v>91000</v>
      </c>
      <c r="I1525" s="3">
        <v>91000</v>
      </c>
      <c r="J1525" s="3">
        <v>82727.272727272706</v>
      </c>
      <c r="K1525" s="25">
        <v>30748</v>
      </c>
      <c r="L1525" s="25">
        <v>61496</v>
      </c>
    </row>
    <row r="1526" spans="1:12" x14ac:dyDescent="0.3">
      <c r="A1526" t="s">
        <v>5594</v>
      </c>
      <c r="B1526">
        <v>2.0260210111528801E+18</v>
      </c>
      <c r="C1526" t="s">
        <v>5602</v>
      </c>
      <c r="D1526">
        <v>143790</v>
      </c>
      <c r="E1526" s="16" t="s">
        <v>7</v>
      </c>
      <c r="F1526" s="3">
        <v>1</v>
      </c>
      <c r="G1526" s="3">
        <v>41363.636363636302</v>
      </c>
      <c r="H1526" s="3">
        <v>45499.999999999935</v>
      </c>
      <c r="I1526" s="3">
        <v>45500</v>
      </c>
      <c r="J1526" s="3">
        <v>41363.636363636302</v>
      </c>
      <c r="K1526" s="25">
        <v>30748</v>
      </c>
      <c r="L1526" s="25">
        <v>30748</v>
      </c>
    </row>
    <row r="1527" spans="1:12" x14ac:dyDescent="0.3">
      <c r="A1527" t="s">
        <v>5594</v>
      </c>
      <c r="B1527">
        <v>2.0260211093647301E+18</v>
      </c>
      <c r="C1527" t="s">
        <v>5602</v>
      </c>
      <c r="D1527">
        <v>143812</v>
      </c>
      <c r="E1527" s="16" t="s">
        <v>7</v>
      </c>
      <c r="F1527" s="3">
        <v>1</v>
      </c>
      <c r="G1527" s="3">
        <v>41363.636363636302</v>
      </c>
      <c r="H1527" s="3">
        <v>45499.999999999935</v>
      </c>
      <c r="I1527" s="3">
        <v>45500</v>
      </c>
      <c r="J1527" s="3">
        <v>41363.636363636302</v>
      </c>
      <c r="K1527" s="25">
        <v>15374</v>
      </c>
      <c r="L1527" s="25">
        <v>15374</v>
      </c>
    </row>
    <row r="1528" spans="1:12" x14ac:dyDescent="0.3">
      <c r="A1528" t="s">
        <v>5594</v>
      </c>
      <c r="B1528">
        <v>2.02602110819517E+18</v>
      </c>
      <c r="C1528" t="s">
        <v>5602</v>
      </c>
      <c r="D1528">
        <v>143812</v>
      </c>
      <c r="E1528" s="16" t="s">
        <v>7</v>
      </c>
      <c r="F1528" s="3">
        <v>2</v>
      </c>
      <c r="G1528" s="3">
        <v>41363.636363636353</v>
      </c>
      <c r="H1528" s="3">
        <v>91000</v>
      </c>
      <c r="I1528" s="3">
        <v>91000</v>
      </c>
      <c r="J1528" s="3">
        <v>82727.272727272706</v>
      </c>
      <c r="K1528" s="25">
        <v>15374</v>
      </c>
      <c r="L1528" s="25">
        <v>30748</v>
      </c>
    </row>
    <row r="1529" spans="1:12" x14ac:dyDescent="0.3">
      <c r="A1529" t="s">
        <v>5594</v>
      </c>
      <c r="B1529">
        <v>2.02602110815502E+18</v>
      </c>
      <c r="C1529" t="s">
        <v>5602</v>
      </c>
      <c r="D1529">
        <v>143812</v>
      </c>
      <c r="E1529" s="16" t="s">
        <v>7</v>
      </c>
      <c r="F1529" s="3">
        <v>1</v>
      </c>
      <c r="G1529" s="3">
        <v>41363.636363636302</v>
      </c>
      <c r="H1529" s="3">
        <v>45499.999999999935</v>
      </c>
      <c r="I1529" s="3">
        <v>45500</v>
      </c>
      <c r="J1529" s="3">
        <v>41363.636363636302</v>
      </c>
      <c r="K1529" s="25">
        <v>15374</v>
      </c>
      <c r="L1529" s="25">
        <v>15374</v>
      </c>
    </row>
    <row r="1530" spans="1:12" x14ac:dyDescent="0.3">
      <c r="A1530" t="s">
        <v>5594</v>
      </c>
      <c r="B1530">
        <v>2.02602110746018E+18</v>
      </c>
      <c r="C1530" t="s">
        <v>5602</v>
      </c>
      <c r="D1530">
        <v>143812</v>
      </c>
      <c r="E1530" s="16" t="s">
        <v>7</v>
      </c>
      <c r="F1530" s="3">
        <v>1</v>
      </c>
      <c r="G1530" s="3">
        <v>41363.636363636302</v>
      </c>
      <c r="H1530" s="3">
        <v>45499.999999999935</v>
      </c>
      <c r="I1530" s="3">
        <v>45500</v>
      </c>
      <c r="J1530" s="3">
        <v>41363.636363636302</v>
      </c>
      <c r="K1530" s="25">
        <v>15374</v>
      </c>
      <c r="L1530" s="25">
        <v>15374</v>
      </c>
    </row>
    <row r="1531" spans="1:12" x14ac:dyDescent="0.3">
      <c r="A1531" t="s">
        <v>5594</v>
      </c>
      <c r="B1531">
        <v>2.02602102307346E+18</v>
      </c>
      <c r="C1531" t="s">
        <v>5602</v>
      </c>
      <c r="D1531">
        <v>143812</v>
      </c>
      <c r="E1531" s="16" t="s">
        <v>7</v>
      </c>
      <c r="F1531" s="3">
        <v>1</v>
      </c>
      <c r="G1531" s="3">
        <v>41363.636363636302</v>
      </c>
      <c r="H1531" s="3">
        <v>45499.999999999935</v>
      </c>
      <c r="I1531" s="3">
        <v>45500</v>
      </c>
      <c r="J1531" s="3">
        <v>41363.636363636302</v>
      </c>
      <c r="K1531" s="25">
        <v>15374</v>
      </c>
      <c r="L1531" s="25">
        <v>15374</v>
      </c>
    </row>
    <row r="1532" spans="1:12" x14ac:dyDescent="0.3">
      <c r="A1532" t="s">
        <v>5594</v>
      </c>
      <c r="B1532">
        <v>2.02602102207504E+18</v>
      </c>
      <c r="C1532" t="s">
        <v>5602</v>
      </c>
      <c r="D1532">
        <v>143812</v>
      </c>
      <c r="E1532" s="16" t="s">
        <v>7</v>
      </c>
      <c r="F1532" s="3">
        <v>3</v>
      </c>
      <c r="G1532" s="3">
        <v>41363.636363636331</v>
      </c>
      <c r="H1532" s="3">
        <v>136499.99999999991</v>
      </c>
      <c r="I1532" s="3">
        <v>136500</v>
      </c>
      <c r="J1532" s="3">
        <v>124090.909090909</v>
      </c>
      <c r="K1532" s="25">
        <v>15374</v>
      </c>
      <c r="L1532" s="25">
        <v>46122</v>
      </c>
    </row>
    <row r="1533" spans="1:12" x14ac:dyDescent="0.3">
      <c r="A1533" t="s">
        <v>5594</v>
      </c>
      <c r="B1533">
        <v>2.0260210212955799E+18</v>
      </c>
      <c r="C1533" t="s">
        <v>5602</v>
      </c>
      <c r="D1533">
        <v>143812</v>
      </c>
      <c r="E1533" s="16" t="s">
        <v>7</v>
      </c>
      <c r="F1533" s="3">
        <v>1</v>
      </c>
      <c r="G1533" s="3">
        <v>41363.636363636302</v>
      </c>
      <c r="H1533" s="3">
        <v>45499.999999999935</v>
      </c>
      <c r="I1533" s="3">
        <v>45500</v>
      </c>
      <c r="J1533" s="3">
        <v>41363.636363636302</v>
      </c>
      <c r="K1533" s="25">
        <v>15374</v>
      </c>
      <c r="L1533" s="25">
        <v>15374</v>
      </c>
    </row>
    <row r="1534" spans="1:12" x14ac:dyDescent="0.3">
      <c r="A1534" t="s">
        <v>5594</v>
      </c>
      <c r="B1534">
        <v>2.02602102114354E+18</v>
      </c>
      <c r="C1534" t="s">
        <v>5602</v>
      </c>
      <c r="D1534">
        <v>143812</v>
      </c>
      <c r="E1534" s="16" t="s">
        <v>7</v>
      </c>
      <c r="F1534" s="3">
        <v>1</v>
      </c>
      <c r="G1534" s="3">
        <v>41363.636363636302</v>
      </c>
      <c r="H1534" s="3">
        <v>45499.999999999935</v>
      </c>
      <c r="I1534" s="3">
        <v>45500</v>
      </c>
      <c r="J1534" s="3">
        <v>41363.636363636302</v>
      </c>
      <c r="K1534" s="25">
        <v>15374</v>
      </c>
      <c r="L1534" s="25">
        <v>15374</v>
      </c>
    </row>
    <row r="1535" spans="1:12" x14ac:dyDescent="0.3">
      <c r="A1535" t="s">
        <v>5594</v>
      </c>
      <c r="B1535">
        <v>2.0260210191937001E+18</v>
      </c>
      <c r="C1535" t="s">
        <v>5602</v>
      </c>
      <c r="D1535">
        <v>143812</v>
      </c>
      <c r="E1535" s="16" t="s">
        <v>7</v>
      </c>
      <c r="F1535" s="3">
        <v>1</v>
      </c>
      <c r="G1535" s="3">
        <v>41363.636363636302</v>
      </c>
      <c r="H1535" s="3">
        <v>45499.999999999935</v>
      </c>
      <c r="I1535" s="3">
        <v>45500</v>
      </c>
      <c r="J1535" s="3">
        <v>41363.636363636302</v>
      </c>
      <c r="K1535" s="25">
        <v>15374</v>
      </c>
      <c r="L1535" s="25">
        <v>15374</v>
      </c>
    </row>
    <row r="1536" spans="1:12" x14ac:dyDescent="0.3">
      <c r="A1536" t="s">
        <v>5594</v>
      </c>
      <c r="B1536">
        <v>2.0260210191627E+18</v>
      </c>
      <c r="C1536" t="s">
        <v>5602</v>
      </c>
      <c r="D1536">
        <v>143812</v>
      </c>
      <c r="E1536" s="16" t="s">
        <v>7</v>
      </c>
      <c r="F1536" s="3">
        <v>1</v>
      </c>
      <c r="G1536" s="3">
        <v>41363.636363636302</v>
      </c>
      <c r="H1536" s="3">
        <v>45499.999999999935</v>
      </c>
      <c r="I1536" s="3">
        <v>45500</v>
      </c>
      <c r="J1536" s="3">
        <v>41363.636363636302</v>
      </c>
      <c r="K1536" s="25">
        <v>15374</v>
      </c>
      <c r="L1536" s="25">
        <v>15374</v>
      </c>
    </row>
    <row r="1537" spans="1:12" x14ac:dyDescent="0.3">
      <c r="A1537" t="s">
        <v>5594</v>
      </c>
      <c r="B1537">
        <v>2.0260210165845499E+18</v>
      </c>
      <c r="C1537" t="s">
        <v>5602</v>
      </c>
      <c r="D1537">
        <v>143812</v>
      </c>
      <c r="E1537" s="16" t="s">
        <v>7</v>
      </c>
      <c r="F1537" s="3">
        <v>2</v>
      </c>
      <c r="G1537" s="3">
        <v>41363.636363636353</v>
      </c>
      <c r="H1537" s="3">
        <v>91000</v>
      </c>
      <c r="I1537" s="3">
        <v>91000</v>
      </c>
      <c r="J1537" s="3">
        <v>82727.272727272706</v>
      </c>
      <c r="K1537" s="25">
        <v>15374</v>
      </c>
      <c r="L1537" s="25">
        <v>30748</v>
      </c>
    </row>
    <row r="1538" spans="1:12" x14ac:dyDescent="0.3">
      <c r="A1538" t="s">
        <v>5594</v>
      </c>
      <c r="B1538">
        <v>2.02602101139282E+18</v>
      </c>
      <c r="C1538" t="s">
        <v>5602</v>
      </c>
      <c r="D1538">
        <v>143812</v>
      </c>
      <c r="E1538" s="16" t="s">
        <v>7</v>
      </c>
      <c r="F1538" s="3">
        <v>1</v>
      </c>
      <c r="G1538" s="3">
        <v>41363.636363636302</v>
      </c>
      <c r="H1538" s="3">
        <v>45499.999999999935</v>
      </c>
      <c r="I1538" s="3">
        <v>45500</v>
      </c>
      <c r="J1538" s="3">
        <v>41363.636363636302</v>
      </c>
      <c r="K1538" s="25">
        <v>15374</v>
      </c>
      <c r="L1538" s="25">
        <v>15374</v>
      </c>
    </row>
    <row r="1539" spans="1:12" x14ac:dyDescent="0.3">
      <c r="A1539" t="s">
        <v>5594</v>
      </c>
      <c r="B1539">
        <v>2.0260211080026399E+18</v>
      </c>
      <c r="C1539" t="s">
        <v>5602</v>
      </c>
      <c r="D1539">
        <v>143790</v>
      </c>
      <c r="E1539" s="16" t="s">
        <v>7</v>
      </c>
      <c r="F1539" s="3">
        <v>1</v>
      </c>
      <c r="G1539" s="3">
        <v>57272.727272727199</v>
      </c>
      <c r="H1539" s="3">
        <v>62999.999999999927</v>
      </c>
      <c r="I1539" s="3">
        <v>63000</v>
      </c>
      <c r="J1539" s="3">
        <v>57272.727272727199</v>
      </c>
      <c r="K1539" s="25">
        <v>30748</v>
      </c>
      <c r="L1539" s="25">
        <v>30748</v>
      </c>
    </row>
    <row r="1540" spans="1:12" x14ac:dyDescent="0.3">
      <c r="A1540" t="s">
        <v>5594</v>
      </c>
      <c r="B1540">
        <v>2.0260211002741399E+18</v>
      </c>
      <c r="C1540" t="s">
        <v>5602</v>
      </c>
      <c r="D1540">
        <v>143790</v>
      </c>
      <c r="E1540" s="16" t="s">
        <v>7</v>
      </c>
      <c r="F1540" s="3">
        <v>1</v>
      </c>
      <c r="G1540" s="3">
        <v>57272.727272727199</v>
      </c>
      <c r="H1540" s="3">
        <v>62999.999999999927</v>
      </c>
      <c r="I1540" s="3">
        <v>63000</v>
      </c>
      <c r="J1540" s="3">
        <v>57272.727272727199</v>
      </c>
      <c r="K1540" s="25">
        <v>30748</v>
      </c>
      <c r="L1540" s="25">
        <v>30748</v>
      </c>
    </row>
    <row r="1541" spans="1:12" x14ac:dyDescent="0.3">
      <c r="A1541" t="s">
        <v>5594</v>
      </c>
      <c r="B1541">
        <v>2.0260210233352901E+18</v>
      </c>
      <c r="C1541" t="s">
        <v>5602</v>
      </c>
      <c r="D1541">
        <v>143790</v>
      </c>
      <c r="E1541" s="16" t="s">
        <v>7</v>
      </c>
      <c r="F1541" s="3">
        <v>1</v>
      </c>
      <c r="G1541" s="3">
        <v>57272.727272727199</v>
      </c>
      <c r="H1541" s="3">
        <v>62999.999999999927</v>
      </c>
      <c r="I1541" s="3">
        <v>63000</v>
      </c>
      <c r="J1541" s="3">
        <v>57272.727272727199</v>
      </c>
      <c r="K1541" s="25">
        <v>30748</v>
      </c>
      <c r="L1541" s="25">
        <v>30748</v>
      </c>
    </row>
    <row r="1542" spans="1:12" x14ac:dyDescent="0.3">
      <c r="A1542" t="s">
        <v>5594</v>
      </c>
      <c r="B1542">
        <v>2.02602102153071E+18</v>
      </c>
      <c r="C1542" t="s">
        <v>5602</v>
      </c>
      <c r="D1542">
        <v>143790</v>
      </c>
      <c r="E1542" s="16" t="s">
        <v>7</v>
      </c>
      <c r="F1542" s="3">
        <v>1</v>
      </c>
      <c r="G1542" s="3">
        <v>57272.727272727199</v>
      </c>
      <c r="H1542" s="3">
        <v>62999.999999999927</v>
      </c>
      <c r="I1542" s="3">
        <v>63000</v>
      </c>
      <c r="J1542" s="3">
        <v>57272.727272727199</v>
      </c>
      <c r="K1542" s="25">
        <v>30748</v>
      </c>
      <c r="L1542" s="25">
        <v>30748</v>
      </c>
    </row>
    <row r="1543" spans="1:12" x14ac:dyDescent="0.3">
      <c r="A1543" t="s">
        <v>5594</v>
      </c>
      <c r="B1543">
        <v>2.02602102010162E+18</v>
      </c>
      <c r="C1543" t="s">
        <v>5602</v>
      </c>
      <c r="D1543">
        <v>143790</v>
      </c>
      <c r="E1543" s="16" t="s">
        <v>7</v>
      </c>
      <c r="F1543" s="3">
        <v>2</v>
      </c>
      <c r="G1543" s="3">
        <v>57272.727272727003</v>
      </c>
      <c r="H1543" s="3">
        <v>125999.99999999942</v>
      </c>
      <c r="I1543" s="3">
        <v>126000</v>
      </c>
      <c r="J1543" s="3">
        <v>114545.45454545401</v>
      </c>
      <c r="K1543" s="25">
        <v>30748</v>
      </c>
      <c r="L1543" s="25">
        <v>61496</v>
      </c>
    </row>
    <row r="1544" spans="1:12" x14ac:dyDescent="0.3">
      <c r="A1544" t="s">
        <v>5594</v>
      </c>
      <c r="B1544">
        <v>2.02602101352161E+18</v>
      </c>
      <c r="C1544" t="s">
        <v>5602</v>
      </c>
      <c r="D1544">
        <v>143790</v>
      </c>
      <c r="E1544" s="16" t="s">
        <v>7</v>
      </c>
      <c r="F1544" s="3">
        <v>1</v>
      </c>
      <c r="G1544" s="3">
        <v>57272.727272727199</v>
      </c>
      <c r="H1544" s="3">
        <v>62999.999999999927</v>
      </c>
      <c r="I1544" s="3">
        <v>63000</v>
      </c>
      <c r="J1544" s="3">
        <v>57272.727272727199</v>
      </c>
      <c r="K1544" s="25">
        <v>30748</v>
      </c>
      <c r="L1544" s="25">
        <v>30748</v>
      </c>
    </row>
    <row r="1545" spans="1:12" x14ac:dyDescent="0.3">
      <c r="A1545" t="s">
        <v>5594</v>
      </c>
      <c r="B1545">
        <v>2.0260210112219899E+18</v>
      </c>
      <c r="C1545" t="s">
        <v>5602</v>
      </c>
      <c r="D1545">
        <v>143790</v>
      </c>
      <c r="E1545" s="16" t="s">
        <v>7</v>
      </c>
      <c r="F1545" s="3">
        <v>1</v>
      </c>
      <c r="G1545" s="3">
        <v>57272.727272727199</v>
      </c>
      <c r="H1545" s="3">
        <v>62999.999999999927</v>
      </c>
      <c r="I1545" s="3">
        <v>63000</v>
      </c>
      <c r="J1545" s="3">
        <v>57272.727272727199</v>
      </c>
      <c r="K1545" s="25">
        <v>30748</v>
      </c>
      <c r="L1545" s="25">
        <v>30748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D874-5989-4569-B045-1BD503949842}">
  <dimension ref="A1:H1545"/>
  <sheetViews>
    <sheetView showGridLines="0" topLeftCell="A1507" zoomScale="85" zoomScaleNormal="85" workbookViewId="0">
      <selection activeCell="I1533" sqref="I1533"/>
    </sheetView>
  </sheetViews>
  <sheetFormatPr defaultRowHeight="16.5" x14ac:dyDescent="0.3"/>
  <cols>
    <col min="1" max="1" width="26.875" customWidth="1"/>
    <col min="2" max="7" width="18.375" customWidth="1"/>
    <col min="8" max="8" width="16.375" bestFit="1" customWidth="1"/>
  </cols>
  <sheetData>
    <row r="1" spans="1:8" x14ac:dyDescent="0.3">
      <c r="A1" s="29" t="s">
        <v>38</v>
      </c>
      <c r="B1" s="29" t="s">
        <v>2627</v>
      </c>
      <c r="C1" s="29" t="s">
        <v>5714</v>
      </c>
      <c r="D1" s="29" t="s">
        <v>39</v>
      </c>
      <c r="E1" s="29" t="s">
        <v>84</v>
      </c>
      <c r="F1" s="29" t="s">
        <v>1785</v>
      </c>
      <c r="G1" s="29" t="s">
        <v>40</v>
      </c>
      <c r="H1" s="29" t="s">
        <v>68</v>
      </c>
    </row>
    <row r="2" spans="1:8" x14ac:dyDescent="0.3">
      <c r="A2" s="64">
        <v>20260204818446</v>
      </c>
      <c r="B2" t="s">
        <v>41</v>
      </c>
      <c r="C2" s="65">
        <f>DATE(LEFT(TEXT(A2,"0"),4),MID(TEXT(A2,"0"),5,2),MID(TEXT(A2,"0"),7,2))</f>
        <v>46057</v>
      </c>
      <c r="D2" s="3">
        <v>1</v>
      </c>
      <c r="E2" s="3">
        <v>119000</v>
      </c>
      <c r="F2" s="3">
        <v>109000</v>
      </c>
      <c r="G2" s="3">
        <v>82110</v>
      </c>
      <c r="H2" s="25">
        <v>61496</v>
      </c>
    </row>
    <row r="3" spans="1:8" x14ac:dyDescent="0.3">
      <c r="A3" s="64">
        <v>20260204842609</v>
      </c>
      <c r="B3" t="s">
        <v>41</v>
      </c>
      <c r="C3" s="65">
        <f t="shared" ref="C3:C66" si="0">DATE(LEFT(TEXT(A3,"0"),4),MID(TEXT(A3,"0"),5,2),MID(TEXT(A3,"0"),7,2))</f>
        <v>46057</v>
      </c>
      <c r="D3" s="3">
        <v>1</v>
      </c>
      <c r="E3" s="3">
        <v>119000</v>
      </c>
      <c r="F3" s="3">
        <v>98800</v>
      </c>
      <c r="G3" s="3">
        <v>82110</v>
      </c>
      <c r="H3" s="25">
        <v>61496</v>
      </c>
    </row>
    <row r="4" spans="1:8" x14ac:dyDescent="0.3">
      <c r="A4" s="64">
        <v>20260205994554</v>
      </c>
      <c r="B4" t="s">
        <v>41</v>
      </c>
      <c r="C4" s="65">
        <f t="shared" si="0"/>
        <v>46058</v>
      </c>
      <c r="D4" s="3">
        <v>-1</v>
      </c>
      <c r="E4" s="3">
        <v>119000</v>
      </c>
      <c r="F4" s="3">
        <v>-113050</v>
      </c>
      <c r="G4" s="3">
        <v>-82110</v>
      </c>
      <c r="H4" s="25">
        <v>-61496</v>
      </c>
    </row>
    <row r="5" spans="1:8" x14ac:dyDescent="0.3">
      <c r="A5" s="64">
        <v>20260205994554</v>
      </c>
      <c r="B5" t="s">
        <v>41</v>
      </c>
      <c r="C5" s="65">
        <f t="shared" si="0"/>
        <v>46058</v>
      </c>
      <c r="D5" s="3">
        <v>1</v>
      </c>
      <c r="E5" s="3">
        <v>119000</v>
      </c>
      <c r="F5" s="3">
        <v>113050</v>
      </c>
      <c r="G5" s="3">
        <v>82110</v>
      </c>
      <c r="H5" s="25">
        <v>61496</v>
      </c>
    </row>
    <row r="6" spans="1:8" x14ac:dyDescent="0.3">
      <c r="A6" s="64">
        <v>20260205974443</v>
      </c>
      <c r="B6" t="s">
        <v>41</v>
      </c>
      <c r="C6" s="65">
        <f t="shared" si="0"/>
        <v>46058</v>
      </c>
      <c r="D6" s="3">
        <v>1</v>
      </c>
      <c r="E6" s="3">
        <v>119000</v>
      </c>
      <c r="F6" s="3">
        <v>119000</v>
      </c>
      <c r="G6" s="3">
        <v>82110</v>
      </c>
      <c r="H6" s="25">
        <v>61496</v>
      </c>
    </row>
    <row r="7" spans="1:8" x14ac:dyDescent="0.3">
      <c r="A7" s="64">
        <v>20260204816757</v>
      </c>
      <c r="B7" t="s">
        <v>41</v>
      </c>
      <c r="C7" s="65">
        <f t="shared" si="0"/>
        <v>46057</v>
      </c>
      <c r="D7" s="3">
        <v>1</v>
      </c>
      <c r="E7" s="3">
        <v>119000</v>
      </c>
      <c r="F7" s="3">
        <v>119000</v>
      </c>
      <c r="G7" s="3">
        <v>82110</v>
      </c>
      <c r="H7" s="25">
        <v>61496</v>
      </c>
    </row>
    <row r="8" spans="1:8" x14ac:dyDescent="0.3">
      <c r="A8" s="64">
        <v>20260204838783</v>
      </c>
      <c r="B8" t="s">
        <v>41</v>
      </c>
      <c r="C8" s="65">
        <f t="shared" si="0"/>
        <v>46057</v>
      </c>
      <c r="D8" s="3">
        <v>1</v>
      </c>
      <c r="E8" s="3">
        <v>119000</v>
      </c>
      <c r="F8" s="3">
        <v>101150</v>
      </c>
      <c r="G8" s="3">
        <v>82110</v>
      </c>
      <c r="H8" s="25">
        <v>61496</v>
      </c>
    </row>
    <row r="9" spans="1:8" x14ac:dyDescent="0.3">
      <c r="A9" s="64">
        <v>20260205993814</v>
      </c>
      <c r="B9" t="s">
        <v>41</v>
      </c>
      <c r="C9" s="65">
        <f t="shared" si="0"/>
        <v>46058</v>
      </c>
      <c r="D9" s="3">
        <v>2</v>
      </c>
      <c r="E9" s="3">
        <v>119000</v>
      </c>
      <c r="F9" s="3">
        <v>238000</v>
      </c>
      <c r="G9" s="3">
        <v>164220</v>
      </c>
      <c r="H9" s="25">
        <v>122992</v>
      </c>
    </row>
    <row r="10" spans="1:8" x14ac:dyDescent="0.3">
      <c r="A10" s="64">
        <v>20260205994105</v>
      </c>
      <c r="B10" t="s">
        <v>41</v>
      </c>
      <c r="C10" s="65">
        <f t="shared" si="0"/>
        <v>46058</v>
      </c>
      <c r="D10" s="3">
        <v>1</v>
      </c>
      <c r="E10" s="3">
        <v>119000</v>
      </c>
      <c r="F10" s="3">
        <v>119000</v>
      </c>
      <c r="G10" s="3">
        <v>82110</v>
      </c>
      <c r="H10" s="25">
        <v>61496</v>
      </c>
    </row>
    <row r="11" spans="1:8" x14ac:dyDescent="0.3">
      <c r="A11" s="64">
        <v>20260205995257</v>
      </c>
      <c r="B11" t="s">
        <v>41</v>
      </c>
      <c r="C11" s="65">
        <f t="shared" si="0"/>
        <v>46058</v>
      </c>
      <c r="D11" s="3">
        <v>1</v>
      </c>
      <c r="E11" s="3">
        <v>119000</v>
      </c>
      <c r="F11" s="3">
        <v>119000</v>
      </c>
      <c r="G11" s="3">
        <v>82110</v>
      </c>
      <c r="H11" s="25">
        <v>61496</v>
      </c>
    </row>
    <row r="12" spans="1:8" x14ac:dyDescent="0.3">
      <c r="A12" s="64">
        <v>20260205993931</v>
      </c>
      <c r="B12" t="s">
        <v>41</v>
      </c>
      <c r="C12" s="65">
        <f t="shared" si="0"/>
        <v>46058</v>
      </c>
      <c r="D12" s="3">
        <v>1</v>
      </c>
      <c r="E12" s="3">
        <v>119000</v>
      </c>
      <c r="F12" s="3">
        <v>119000</v>
      </c>
      <c r="G12" s="3">
        <v>82110</v>
      </c>
      <c r="H12" s="25">
        <v>61496</v>
      </c>
    </row>
    <row r="13" spans="1:8" x14ac:dyDescent="0.3">
      <c r="A13" s="64">
        <v>20260205992438</v>
      </c>
      <c r="B13" t="s">
        <v>41</v>
      </c>
      <c r="C13" s="65">
        <f t="shared" si="0"/>
        <v>46058</v>
      </c>
      <c r="D13" s="3">
        <v>1</v>
      </c>
      <c r="E13" s="3">
        <v>119000</v>
      </c>
      <c r="F13" s="3">
        <v>119000</v>
      </c>
      <c r="G13" s="3">
        <v>82110</v>
      </c>
      <c r="H13" s="25">
        <v>61496</v>
      </c>
    </row>
    <row r="14" spans="1:8" x14ac:dyDescent="0.3">
      <c r="A14" s="64">
        <v>20260205992964</v>
      </c>
      <c r="B14" t="s">
        <v>41</v>
      </c>
      <c r="C14" s="65">
        <f t="shared" si="0"/>
        <v>46058</v>
      </c>
      <c r="D14" s="3">
        <v>1</v>
      </c>
      <c r="E14" s="3">
        <v>119000</v>
      </c>
      <c r="F14" s="3">
        <v>113050</v>
      </c>
      <c r="G14" s="3">
        <v>82110</v>
      </c>
      <c r="H14" s="25">
        <v>61496</v>
      </c>
    </row>
    <row r="15" spans="1:8" x14ac:dyDescent="0.3">
      <c r="A15" s="64">
        <v>20260205995526</v>
      </c>
      <c r="B15" t="s">
        <v>41</v>
      </c>
      <c r="C15" s="65">
        <f t="shared" si="0"/>
        <v>46058</v>
      </c>
      <c r="D15" s="3">
        <v>1</v>
      </c>
      <c r="E15" s="3">
        <v>119000</v>
      </c>
      <c r="F15" s="3">
        <v>119000</v>
      </c>
      <c r="G15" s="3">
        <v>82110</v>
      </c>
      <c r="H15" s="25">
        <v>61496</v>
      </c>
    </row>
    <row r="16" spans="1:8" x14ac:dyDescent="0.3">
      <c r="A16" s="64">
        <v>20260205995622</v>
      </c>
      <c r="B16" t="s">
        <v>41</v>
      </c>
      <c r="C16" s="65">
        <f t="shared" si="0"/>
        <v>46058</v>
      </c>
      <c r="D16" s="3">
        <v>1</v>
      </c>
      <c r="E16" s="3">
        <v>119000</v>
      </c>
      <c r="F16" s="3">
        <v>119000</v>
      </c>
      <c r="G16" s="3">
        <v>82110</v>
      </c>
      <c r="H16" s="25">
        <v>61496</v>
      </c>
    </row>
    <row r="17" spans="1:8" x14ac:dyDescent="0.3">
      <c r="A17" s="64">
        <v>20260205997344</v>
      </c>
      <c r="B17" t="s">
        <v>41</v>
      </c>
      <c r="C17" s="65">
        <f t="shared" si="0"/>
        <v>46058</v>
      </c>
      <c r="D17" s="3">
        <v>1</v>
      </c>
      <c r="E17" s="3">
        <v>119000</v>
      </c>
      <c r="F17" s="3">
        <v>113050</v>
      </c>
      <c r="G17" s="3">
        <v>82110</v>
      </c>
      <c r="H17" s="25">
        <v>61496</v>
      </c>
    </row>
    <row r="18" spans="1:8" x14ac:dyDescent="0.3">
      <c r="A18" s="64">
        <v>20260205995265</v>
      </c>
      <c r="B18" t="s">
        <v>41</v>
      </c>
      <c r="C18" s="65">
        <f t="shared" si="0"/>
        <v>46058</v>
      </c>
      <c r="D18" s="3">
        <v>1</v>
      </c>
      <c r="E18" s="3">
        <v>119000</v>
      </c>
      <c r="F18" s="3">
        <v>119000</v>
      </c>
      <c r="G18" s="3">
        <v>82110</v>
      </c>
      <c r="H18" s="25">
        <v>61496</v>
      </c>
    </row>
    <row r="19" spans="1:8" x14ac:dyDescent="0.3">
      <c r="A19" s="64">
        <v>20260205994047</v>
      </c>
      <c r="B19" t="s">
        <v>41</v>
      </c>
      <c r="C19" s="65">
        <f t="shared" si="0"/>
        <v>46058</v>
      </c>
      <c r="D19" s="3">
        <v>1</v>
      </c>
      <c r="E19" s="3">
        <v>119000</v>
      </c>
      <c r="F19" s="3">
        <v>114000</v>
      </c>
      <c r="G19" s="3">
        <v>82110</v>
      </c>
      <c r="H19" s="25">
        <v>61496</v>
      </c>
    </row>
    <row r="20" spans="1:8" x14ac:dyDescent="0.3">
      <c r="A20" s="64">
        <v>20260205995035</v>
      </c>
      <c r="B20" t="s">
        <v>41</v>
      </c>
      <c r="C20" s="65">
        <f t="shared" si="0"/>
        <v>46058</v>
      </c>
      <c r="D20" s="3">
        <v>1</v>
      </c>
      <c r="E20" s="3">
        <v>119000</v>
      </c>
      <c r="F20" s="3">
        <v>119000</v>
      </c>
      <c r="G20" s="3">
        <v>82110</v>
      </c>
      <c r="H20" s="25">
        <v>61496</v>
      </c>
    </row>
    <row r="21" spans="1:8" x14ac:dyDescent="0.3">
      <c r="A21" s="64">
        <v>20260205994804</v>
      </c>
      <c r="B21" t="s">
        <v>41</v>
      </c>
      <c r="C21" s="65">
        <f t="shared" si="0"/>
        <v>46058</v>
      </c>
      <c r="D21" s="3">
        <v>1</v>
      </c>
      <c r="E21" s="3">
        <v>119000</v>
      </c>
      <c r="F21" s="3">
        <v>119000</v>
      </c>
      <c r="G21" s="3">
        <v>82110</v>
      </c>
      <c r="H21" s="25">
        <v>61496</v>
      </c>
    </row>
    <row r="22" spans="1:8" x14ac:dyDescent="0.3">
      <c r="A22" s="64">
        <v>20260205993699</v>
      </c>
      <c r="B22" t="s">
        <v>41</v>
      </c>
      <c r="C22" s="65">
        <f t="shared" si="0"/>
        <v>46058</v>
      </c>
      <c r="D22" s="3">
        <v>1</v>
      </c>
      <c r="E22" s="3">
        <v>119000</v>
      </c>
      <c r="F22" s="3">
        <v>105910</v>
      </c>
      <c r="G22" s="3">
        <v>82110</v>
      </c>
      <c r="H22" s="25">
        <v>61496</v>
      </c>
    </row>
    <row r="23" spans="1:8" x14ac:dyDescent="0.3">
      <c r="A23" s="64">
        <v>20260205995624</v>
      </c>
      <c r="B23" t="s">
        <v>41</v>
      </c>
      <c r="C23" s="65">
        <f t="shared" si="0"/>
        <v>46058</v>
      </c>
      <c r="D23" s="3">
        <v>1</v>
      </c>
      <c r="E23" s="3">
        <v>119000</v>
      </c>
      <c r="F23" s="3">
        <v>119000</v>
      </c>
      <c r="G23" s="3">
        <v>82110</v>
      </c>
      <c r="H23" s="25">
        <v>61496</v>
      </c>
    </row>
    <row r="24" spans="1:8" x14ac:dyDescent="0.3">
      <c r="A24" s="64">
        <v>20260205994327</v>
      </c>
      <c r="B24" t="s">
        <v>41</v>
      </c>
      <c r="C24" s="65">
        <f t="shared" si="0"/>
        <v>46058</v>
      </c>
      <c r="D24" s="3">
        <v>1</v>
      </c>
      <c r="E24" s="3">
        <v>119000</v>
      </c>
      <c r="F24" s="3">
        <v>119000</v>
      </c>
      <c r="G24" s="3">
        <v>82110</v>
      </c>
      <c r="H24" s="25">
        <v>61496</v>
      </c>
    </row>
    <row r="25" spans="1:8" x14ac:dyDescent="0.3">
      <c r="A25" s="64">
        <v>20260205994708</v>
      </c>
      <c r="B25" t="s">
        <v>41</v>
      </c>
      <c r="C25" s="65">
        <f t="shared" si="0"/>
        <v>46058</v>
      </c>
      <c r="D25" s="3">
        <v>1</v>
      </c>
      <c r="E25" s="3">
        <v>119000</v>
      </c>
      <c r="F25" s="3">
        <v>119000</v>
      </c>
      <c r="G25" s="3">
        <v>82110</v>
      </c>
      <c r="H25" s="25">
        <v>61496</v>
      </c>
    </row>
    <row r="26" spans="1:8" x14ac:dyDescent="0.3">
      <c r="A26" s="64">
        <v>20260205994944</v>
      </c>
      <c r="B26" t="s">
        <v>41</v>
      </c>
      <c r="C26" s="65">
        <f t="shared" si="0"/>
        <v>46058</v>
      </c>
      <c r="D26" s="3">
        <v>1</v>
      </c>
      <c r="E26" s="3">
        <v>119000</v>
      </c>
      <c r="F26" s="3">
        <v>105910</v>
      </c>
      <c r="G26" s="3">
        <v>82110</v>
      </c>
      <c r="H26" s="25">
        <v>61496</v>
      </c>
    </row>
    <row r="27" spans="1:8" x14ac:dyDescent="0.3">
      <c r="A27" s="64">
        <v>20260205993006</v>
      </c>
      <c r="B27" t="s">
        <v>41</v>
      </c>
      <c r="C27" s="65">
        <f t="shared" si="0"/>
        <v>46058</v>
      </c>
      <c r="D27" s="3">
        <v>1</v>
      </c>
      <c r="E27" s="3">
        <v>119000</v>
      </c>
      <c r="F27" s="3">
        <v>119000</v>
      </c>
      <c r="G27" s="3">
        <v>82110</v>
      </c>
      <c r="H27" s="25">
        <v>61496</v>
      </c>
    </row>
    <row r="28" spans="1:8" x14ac:dyDescent="0.3">
      <c r="A28" s="64">
        <v>20260205993208</v>
      </c>
      <c r="B28" t="s">
        <v>41</v>
      </c>
      <c r="C28" s="65">
        <f t="shared" si="0"/>
        <v>46058</v>
      </c>
      <c r="D28" s="3">
        <v>1</v>
      </c>
      <c r="E28" s="3">
        <v>119000</v>
      </c>
      <c r="F28" s="3">
        <v>96390</v>
      </c>
      <c r="G28" s="3">
        <v>82110</v>
      </c>
      <c r="H28" s="25">
        <v>61496</v>
      </c>
    </row>
    <row r="29" spans="1:8" x14ac:dyDescent="0.3">
      <c r="A29" s="64">
        <v>20260205994165</v>
      </c>
      <c r="B29" t="s">
        <v>41</v>
      </c>
      <c r="C29" s="65">
        <f t="shared" si="0"/>
        <v>46058</v>
      </c>
      <c r="D29" s="3">
        <v>1</v>
      </c>
      <c r="E29" s="3">
        <v>119000</v>
      </c>
      <c r="F29" s="3">
        <v>109000</v>
      </c>
      <c r="G29" s="3">
        <v>82110</v>
      </c>
      <c r="H29" s="25">
        <v>61496</v>
      </c>
    </row>
    <row r="30" spans="1:8" x14ac:dyDescent="0.3">
      <c r="A30" s="64">
        <v>20260205994774</v>
      </c>
      <c r="B30" t="s">
        <v>41</v>
      </c>
      <c r="C30" s="65">
        <f t="shared" si="0"/>
        <v>46058</v>
      </c>
      <c r="D30" s="3">
        <v>1</v>
      </c>
      <c r="E30" s="3">
        <v>119000</v>
      </c>
      <c r="F30" s="3">
        <v>119000</v>
      </c>
      <c r="G30" s="3">
        <v>82110</v>
      </c>
      <c r="H30" s="25">
        <v>61496</v>
      </c>
    </row>
    <row r="31" spans="1:8" x14ac:dyDescent="0.3">
      <c r="A31" s="64">
        <v>20260205993002</v>
      </c>
      <c r="B31" t="s">
        <v>41</v>
      </c>
      <c r="C31" s="65">
        <f t="shared" si="0"/>
        <v>46058</v>
      </c>
      <c r="D31" s="3">
        <v>1</v>
      </c>
      <c r="E31" s="3">
        <v>119000</v>
      </c>
      <c r="F31" s="3">
        <v>119000</v>
      </c>
      <c r="G31" s="3">
        <v>82110</v>
      </c>
      <c r="H31" s="25">
        <v>61496</v>
      </c>
    </row>
    <row r="32" spans="1:8" x14ac:dyDescent="0.3">
      <c r="A32" s="64">
        <v>20260205995233</v>
      </c>
      <c r="B32" t="s">
        <v>41</v>
      </c>
      <c r="C32" s="65">
        <f t="shared" si="0"/>
        <v>46058</v>
      </c>
      <c r="D32" s="3">
        <v>1</v>
      </c>
      <c r="E32" s="3">
        <v>119000</v>
      </c>
      <c r="F32" s="3">
        <v>119000</v>
      </c>
      <c r="G32" s="3">
        <v>82110</v>
      </c>
      <c r="H32" s="25">
        <v>61496</v>
      </c>
    </row>
    <row r="33" spans="1:8" x14ac:dyDescent="0.3">
      <c r="A33" s="64">
        <v>20260205995590</v>
      </c>
      <c r="B33" t="s">
        <v>41</v>
      </c>
      <c r="C33" s="65">
        <f t="shared" si="0"/>
        <v>46058</v>
      </c>
      <c r="D33" s="3">
        <v>1</v>
      </c>
      <c r="E33" s="3">
        <v>119000</v>
      </c>
      <c r="F33" s="3">
        <v>113050</v>
      </c>
      <c r="G33" s="3">
        <v>82110</v>
      </c>
      <c r="H33" s="25">
        <v>61496</v>
      </c>
    </row>
    <row r="34" spans="1:8" x14ac:dyDescent="0.3">
      <c r="A34" s="64">
        <v>20260205994071</v>
      </c>
      <c r="B34" t="s">
        <v>41</v>
      </c>
      <c r="C34" s="65">
        <f t="shared" si="0"/>
        <v>46058</v>
      </c>
      <c r="D34" s="3">
        <v>1</v>
      </c>
      <c r="E34" s="3">
        <v>119000</v>
      </c>
      <c r="F34" s="3">
        <v>119000</v>
      </c>
      <c r="G34" s="3">
        <v>82110</v>
      </c>
      <c r="H34" s="25">
        <v>61496</v>
      </c>
    </row>
    <row r="35" spans="1:8" x14ac:dyDescent="0.3">
      <c r="A35" s="64">
        <v>20260205995236</v>
      </c>
      <c r="B35" t="s">
        <v>41</v>
      </c>
      <c r="C35" s="65">
        <f t="shared" si="0"/>
        <v>46058</v>
      </c>
      <c r="D35" s="3">
        <v>1</v>
      </c>
      <c r="E35" s="3">
        <v>119000</v>
      </c>
      <c r="F35" s="3">
        <v>119000</v>
      </c>
      <c r="G35" s="3">
        <v>82110</v>
      </c>
      <c r="H35" s="25">
        <v>61496</v>
      </c>
    </row>
    <row r="36" spans="1:8" x14ac:dyDescent="0.3">
      <c r="A36" s="64">
        <v>20260205992736</v>
      </c>
      <c r="B36" t="s">
        <v>41</v>
      </c>
      <c r="C36" s="65">
        <f t="shared" si="0"/>
        <v>46058</v>
      </c>
      <c r="D36" s="3">
        <v>1</v>
      </c>
      <c r="E36" s="3">
        <v>119000</v>
      </c>
      <c r="F36" s="3">
        <v>119000</v>
      </c>
      <c r="G36" s="3">
        <v>82110</v>
      </c>
      <c r="H36" s="25">
        <v>61496</v>
      </c>
    </row>
    <row r="37" spans="1:8" x14ac:dyDescent="0.3">
      <c r="A37" s="64">
        <v>20260205993184</v>
      </c>
      <c r="B37" t="s">
        <v>41</v>
      </c>
      <c r="C37" s="65">
        <f t="shared" si="0"/>
        <v>46058</v>
      </c>
      <c r="D37" s="3">
        <v>1</v>
      </c>
      <c r="E37" s="3">
        <v>119000</v>
      </c>
      <c r="F37" s="3">
        <v>119000</v>
      </c>
      <c r="G37" s="3">
        <v>82110</v>
      </c>
      <c r="H37" s="25">
        <v>61496</v>
      </c>
    </row>
    <row r="38" spans="1:8" x14ac:dyDescent="0.3">
      <c r="A38" s="64">
        <v>20260205994068</v>
      </c>
      <c r="B38" t="s">
        <v>41</v>
      </c>
      <c r="C38" s="65">
        <f t="shared" si="0"/>
        <v>46058</v>
      </c>
      <c r="D38" s="3">
        <v>1</v>
      </c>
      <c r="E38" s="3">
        <v>119000</v>
      </c>
      <c r="F38" s="3">
        <v>119000</v>
      </c>
      <c r="G38" s="3">
        <v>82110</v>
      </c>
      <c r="H38" s="25">
        <v>61496</v>
      </c>
    </row>
    <row r="39" spans="1:8" x14ac:dyDescent="0.3">
      <c r="A39" s="64">
        <v>20260205994704</v>
      </c>
      <c r="B39" t="s">
        <v>41</v>
      </c>
      <c r="C39" s="65">
        <f t="shared" si="0"/>
        <v>46058</v>
      </c>
      <c r="D39" s="3">
        <v>1</v>
      </c>
      <c r="E39" s="3">
        <v>119000</v>
      </c>
      <c r="F39" s="3">
        <v>119000</v>
      </c>
      <c r="G39" s="3">
        <v>82110</v>
      </c>
      <c r="H39" s="25">
        <v>61496</v>
      </c>
    </row>
    <row r="40" spans="1:8" x14ac:dyDescent="0.3">
      <c r="A40" s="64">
        <v>20260205993640</v>
      </c>
      <c r="B40" t="s">
        <v>41</v>
      </c>
      <c r="C40" s="65">
        <f t="shared" si="0"/>
        <v>46058</v>
      </c>
      <c r="D40" s="3">
        <v>1</v>
      </c>
      <c r="E40" s="3">
        <v>119000</v>
      </c>
      <c r="F40" s="3">
        <v>119000</v>
      </c>
      <c r="G40" s="3">
        <v>82110</v>
      </c>
      <c r="H40" s="25">
        <v>61496</v>
      </c>
    </row>
    <row r="41" spans="1:8" x14ac:dyDescent="0.3">
      <c r="A41" s="64">
        <v>20260205994989</v>
      </c>
      <c r="B41" t="s">
        <v>41</v>
      </c>
      <c r="C41" s="65">
        <f t="shared" si="0"/>
        <v>46058</v>
      </c>
      <c r="D41" s="3">
        <v>1</v>
      </c>
      <c r="E41" s="3">
        <v>119000</v>
      </c>
      <c r="F41" s="3">
        <v>113050</v>
      </c>
      <c r="G41" s="3">
        <v>82110</v>
      </c>
      <c r="H41" s="25">
        <v>61496</v>
      </c>
    </row>
    <row r="42" spans="1:8" x14ac:dyDescent="0.3">
      <c r="A42" s="64">
        <v>20260205993988</v>
      </c>
      <c r="B42" t="s">
        <v>41</v>
      </c>
      <c r="C42" s="65">
        <f t="shared" si="0"/>
        <v>46058</v>
      </c>
      <c r="D42" s="3">
        <v>1</v>
      </c>
      <c r="E42" s="3">
        <v>119000</v>
      </c>
      <c r="F42" s="3">
        <v>119000</v>
      </c>
      <c r="G42" s="3">
        <v>82110</v>
      </c>
      <c r="H42" s="25">
        <v>61496</v>
      </c>
    </row>
    <row r="43" spans="1:8" x14ac:dyDescent="0.3">
      <c r="A43" s="64">
        <v>20260205995073</v>
      </c>
      <c r="B43" t="s">
        <v>41</v>
      </c>
      <c r="C43" s="65">
        <f t="shared" si="0"/>
        <v>46058</v>
      </c>
      <c r="D43" s="3">
        <v>1</v>
      </c>
      <c r="E43" s="3">
        <v>119000</v>
      </c>
      <c r="F43" s="3">
        <v>119000</v>
      </c>
      <c r="G43" s="3">
        <v>82110</v>
      </c>
      <c r="H43" s="25">
        <v>61496</v>
      </c>
    </row>
    <row r="44" spans="1:8" x14ac:dyDescent="0.3">
      <c r="A44" s="64">
        <v>20260205993674</v>
      </c>
      <c r="B44" t="s">
        <v>41</v>
      </c>
      <c r="C44" s="65">
        <f t="shared" si="0"/>
        <v>46058</v>
      </c>
      <c r="D44" s="3">
        <v>1</v>
      </c>
      <c r="E44" s="3">
        <v>119000</v>
      </c>
      <c r="F44" s="3">
        <v>119000</v>
      </c>
      <c r="G44" s="3">
        <v>82110</v>
      </c>
      <c r="H44" s="25">
        <v>61496</v>
      </c>
    </row>
    <row r="45" spans="1:8" x14ac:dyDescent="0.3">
      <c r="A45" s="64">
        <v>20260205993680</v>
      </c>
      <c r="B45" t="s">
        <v>41</v>
      </c>
      <c r="C45" s="65">
        <f t="shared" si="0"/>
        <v>46058</v>
      </c>
      <c r="D45" s="3">
        <v>1</v>
      </c>
      <c r="E45" s="3">
        <v>119000</v>
      </c>
      <c r="F45" s="3">
        <v>119000</v>
      </c>
      <c r="G45" s="3">
        <v>82110</v>
      </c>
      <c r="H45" s="25">
        <v>61496</v>
      </c>
    </row>
    <row r="46" spans="1:8" x14ac:dyDescent="0.3">
      <c r="A46" s="64">
        <v>20260205993664</v>
      </c>
      <c r="B46" t="s">
        <v>41</v>
      </c>
      <c r="C46" s="65">
        <f t="shared" si="0"/>
        <v>46058</v>
      </c>
      <c r="D46" s="3">
        <v>1</v>
      </c>
      <c r="E46" s="3">
        <v>119000</v>
      </c>
      <c r="F46" s="3">
        <v>119000</v>
      </c>
      <c r="G46" s="3">
        <v>82110</v>
      </c>
      <c r="H46" s="25">
        <v>61496</v>
      </c>
    </row>
    <row r="47" spans="1:8" x14ac:dyDescent="0.3">
      <c r="A47" s="64">
        <v>20260205993052</v>
      </c>
      <c r="B47" t="s">
        <v>41</v>
      </c>
      <c r="C47" s="65">
        <f t="shared" si="0"/>
        <v>46058</v>
      </c>
      <c r="D47" s="3">
        <v>1</v>
      </c>
      <c r="E47" s="3">
        <v>119000</v>
      </c>
      <c r="F47" s="3">
        <v>119000</v>
      </c>
      <c r="G47" s="3">
        <v>82110</v>
      </c>
      <c r="H47" s="25">
        <v>61496</v>
      </c>
    </row>
    <row r="48" spans="1:8" x14ac:dyDescent="0.3">
      <c r="A48" s="64">
        <v>20260205995037</v>
      </c>
      <c r="B48" t="s">
        <v>41</v>
      </c>
      <c r="C48" s="65">
        <f t="shared" si="0"/>
        <v>46058</v>
      </c>
      <c r="D48" s="3">
        <v>1</v>
      </c>
      <c r="E48" s="3">
        <v>119000</v>
      </c>
      <c r="F48" s="3">
        <v>119000</v>
      </c>
      <c r="G48" s="3">
        <v>82110</v>
      </c>
      <c r="H48" s="25">
        <v>61496</v>
      </c>
    </row>
    <row r="49" spans="1:8" x14ac:dyDescent="0.3">
      <c r="A49" s="64">
        <v>20260205995009</v>
      </c>
      <c r="B49" t="s">
        <v>41</v>
      </c>
      <c r="C49" s="65">
        <f t="shared" si="0"/>
        <v>46058</v>
      </c>
      <c r="D49" s="3">
        <v>1</v>
      </c>
      <c r="E49" s="3">
        <v>119000</v>
      </c>
      <c r="F49" s="3">
        <v>119000</v>
      </c>
      <c r="G49" s="3">
        <v>82110</v>
      </c>
      <c r="H49" s="25">
        <v>61496</v>
      </c>
    </row>
    <row r="50" spans="1:8" x14ac:dyDescent="0.3">
      <c r="A50" s="64">
        <v>20260205994035</v>
      </c>
      <c r="B50" t="s">
        <v>41</v>
      </c>
      <c r="C50" s="65">
        <f t="shared" si="0"/>
        <v>46058</v>
      </c>
      <c r="D50" s="3">
        <v>1</v>
      </c>
      <c r="E50" s="3">
        <v>119000</v>
      </c>
      <c r="F50" s="3">
        <v>119000</v>
      </c>
      <c r="G50" s="3">
        <v>82110</v>
      </c>
      <c r="H50" s="25">
        <v>61496</v>
      </c>
    </row>
    <row r="51" spans="1:8" x14ac:dyDescent="0.3">
      <c r="A51" s="64">
        <v>20260205995023</v>
      </c>
      <c r="B51" t="s">
        <v>41</v>
      </c>
      <c r="C51" s="65">
        <f t="shared" si="0"/>
        <v>46058</v>
      </c>
      <c r="D51" s="3">
        <v>1</v>
      </c>
      <c r="E51" s="3">
        <v>119000</v>
      </c>
      <c r="F51" s="3">
        <v>119000</v>
      </c>
      <c r="G51" s="3">
        <v>82110</v>
      </c>
      <c r="H51" s="25">
        <v>61496</v>
      </c>
    </row>
    <row r="52" spans="1:8" x14ac:dyDescent="0.3">
      <c r="A52" s="64">
        <v>20260205994048</v>
      </c>
      <c r="B52" t="s">
        <v>41</v>
      </c>
      <c r="C52" s="65">
        <f t="shared" si="0"/>
        <v>46058</v>
      </c>
      <c r="D52" s="3">
        <v>1</v>
      </c>
      <c r="E52" s="3">
        <v>119000</v>
      </c>
      <c r="F52" s="3">
        <v>113050</v>
      </c>
      <c r="G52" s="3">
        <v>82110</v>
      </c>
      <c r="H52" s="25">
        <v>61496</v>
      </c>
    </row>
    <row r="53" spans="1:8" x14ac:dyDescent="0.3">
      <c r="A53" s="64">
        <v>20260205993215</v>
      </c>
      <c r="B53" t="s">
        <v>41</v>
      </c>
      <c r="C53" s="65">
        <f t="shared" si="0"/>
        <v>46058</v>
      </c>
      <c r="D53" s="3">
        <v>1</v>
      </c>
      <c r="E53" s="3">
        <v>119000</v>
      </c>
      <c r="F53" s="3">
        <v>119000</v>
      </c>
      <c r="G53" s="3">
        <v>82110</v>
      </c>
      <c r="H53" s="25">
        <v>61496</v>
      </c>
    </row>
    <row r="54" spans="1:8" x14ac:dyDescent="0.3">
      <c r="A54" s="64">
        <v>20260205993380</v>
      </c>
      <c r="B54" t="s">
        <v>41</v>
      </c>
      <c r="C54" s="65">
        <f t="shared" si="0"/>
        <v>46058</v>
      </c>
      <c r="D54" s="3">
        <v>1</v>
      </c>
      <c r="E54" s="3">
        <v>119000</v>
      </c>
      <c r="F54" s="3">
        <v>119000</v>
      </c>
      <c r="G54" s="3">
        <v>82110</v>
      </c>
      <c r="H54" s="25">
        <v>61496</v>
      </c>
    </row>
    <row r="55" spans="1:8" x14ac:dyDescent="0.3">
      <c r="A55" s="64">
        <v>20260205995874</v>
      </c>
      <c r="B55" t="s">
        <v>41</v>
      </c>
      <c r="C55" s="65">
        <f t="shared" si="0"/>
        <v>46058</v>
      </c>
      <c r="D55" s="3">
        <v>1</v>
      </c>
      <c r="E55" s="3">
        <v>119000</v>
      </c>
      <c r="F55" s="3">
        <v>99960</v>
      </c>
      <c r="G55" s="3">
        <v>82110</v>
      </c>
      <c r="H55" s="25">
        <v>61496</v>
      </c>
    </row>
    <row r="56" spans="1:8" x14ac:dyDescent="0.3">
      <c r="A56" s="64">
        <v>20260205995155</v>
      </c>
      <c r="B56" t="s">
        <v>41</v>
      </c>
      <c r="C56" s="65">
        <f t="shared" si="0"/>
        <v>46058</v>
      </c>
      <c r="D56" s="3">
        <v>1</v>
      </c>
      <c r="E56" s="3">
        <v>119000</v>
      </c>
      <c r="F56" s="3">
        <v>119000</v>
      </c>
      <c r="G56" s="3">
        <v>82110</v>
      </c>
      <c r="H56" s="25">
        <v>61496</v>
      </c>
    </row>
    <row r="57" spans="1:8" x14ac:dyDescent="0.3">
      <c r="A57" s="64">
        <v>20260205994376</v>
      </c>
      <c r="B57" t="s">
        <v>41</v>
      </c>
      <c r="C57" s="65">
        <f t="shared" si="0"/>
        <v>46058</v>
      </c>
      <c r="D57" s="3">
        <v>1</v>
      </c>
      <c r="E57" s="3">
        <v>119000</v>
      </c>
      <c r="F57" s="3">
        <v>119000</v>
      </c>
      <c r="G57" s="3">
        <v>82110</v>
      </c>
      <c r="H57" s="25">
        <v>61496</v>
      </c>
    </row>
    <row r="58" spans="1:8" x14ac:dyDescent="0.3">
      <c r="A58" s="64">
        <v>20260205994564</v>
      </c>
      <c r="B58" t="s">
        <v>41</v>
      </c>
      <c r="C58" s="65">
        <f t="shared" si="0"/>
        <v>46058</v>
      </c>
      <c r="D58" s="3">
        <v>1</v>
      </c>
      <c r="E58" s="3">
        <v>119000</v>
      </c>
      <c r="F58" s="3">
        <v>119000</v>
      </c>
      <c r="G58" s="3">
        <v>82110</v>
      </c>
      <c r="H58" s="25">
        <v>61496</v>
      </c>
    </row>
    <row r="59" spans="1:8" x14ac:dyDescent="0.3">
      <c r="A59" s="64">
        <v>20260205994614</v>
      </c>
      <c r="B59" t="s">
        <v>41</v>
      </c>
      <c r="C59" s="65">
        <f t="shared" si="0"/>
        <v>46058</v>
      </c>
      <c r="D59" s="3">
        <v>1</v>
      </c>
      <c r="E59" s="3">
        <v>119000</v>
      </c>
      <c r="F59" s="3">
        <v>109000</v>
      </c>
      <c r="G59" s="3">
        <v>82110</v>
      </c>
      <c r="H59" s="25">
        <v>61496</v>
      </c>
    </row>
    <row r="60" spans="1:8" x14ac:dyDescent="0.3">
      <c r="A60" s="64">
        <v>20260205993698</v>
      </c>
      <c r="B60" t="s">
        <v>41</v>
      </c>
      <c r="C60" s="65">
        <f t="shared" si="0"/>
        <v>46058</v>
      </c>
      <c r="D60" s="3">
        <v>1</v>
      </c>
      <c r="E60" s="3">
        <v>119000</v>
      </c>
      <c r="F60" s="3">
        <v>99960</v>
      </c>
      <c r="G60" s="3">
        <v>82110</v>
      </c>
      <c r="H60" s="25">
        <v>61496</v>
      </c>
    </row>
    <row r="61" spans="1:8" x14ac:dyDescent="0.3">
      <c r="A61" s="64">
        <v>20260205992804</v>
      </c>
      <c r="B61" t="s">
        <v>41</v>
      </c>
      <c r="C61" s="65">
        <f t="shared" si="0"/>
        <v>46058</v>
      </c>
      <c r="D61" s="3">
        <v>1</v>
      </c>
      <c r="E61" s="3">
        <v>119000</v>
      </c>
      <c r="F61" s="3">
        <v>119000</v>
      </c>
      <c r="G61" s="3">
        <v>82110</v>
      </c>
      <c r="H61" s="25">
        <v>61496</v>
      </c>
    </row>
    <row r="62" spans="1:8" x14ac:dyDescent="0.3">
      <c r="A62" s="64">
        <v>20260205992800</v>
      </c>
      <c r="B62" t="s">
        <v>41</v>
      </c>
      <c r="C62" s="65">
        <f t="shared" si="0"/>
        <v>46058</v>
      </c>
      <c r="D62" s="3">
        <v>1</v>
      </c>
      <c r="E62" s="3">
        <v>119000</v>
      </c>
      <c r="F62" s="3">
        <v>113050</v>
      </c>
      <c r="G62" s="3">
        <v>82110</v>
      </c>
      <c r="H62" s="25">
        <v>61496</v>
      </c>
    </row>
    <row r="63" spans="1:8" x14ac:dyDescent="0.3">
      <c r="A63" s="64">
        <v>20260205994317</v>
      </c>
      <c r="B63" t="s">
        <v>41</v>
      </c>
      <c r="C63" s="65">
        <f t="shared" si="0"/>
        <v>46058</v>
      </c>
      <c r="D63" s="3">
        <v>1</v>
      </c>
      <c r="E63" s="3">
        <v>119000</v>
      </c>
      <c r="F63" s="3">
        <v>113050</v>
      </c>
      <c r="G63" s="3">
        <v>82110</v>
      </c>
      <c r="H63" s="25">
        <v>61496</v>
      </c>
    </row>
    <row r="64" spans="1:8" x14ac:dyDescent="0.3">
      <c r="A64" s="64">
        <v>20260205992772</v>
      </c>
      <c r="B64" t="s">
        <v>41</v>
      </c>
      <c r="C64" s="65">
        <f t="shared" si="0"/>
        <v>46058</v>
      </c>
      <c r="D64" s="3">
        <v>1</v>
      </c>
      <c r="E64" s="3">
        <v>119000</v>
      </c>
      <c r="F64" s="3">
        <v>119000</v>
      </c>
      <c r="G64" s="3">
        <v>82110</v>
      </c>
      <c r="H64" s="25">
        <v>61496</v>
      </c>
    </row>
    <row r="65" spans="1:8" x14ac:dyDescent="0.3">
      <c r="A65" s="64">
        <v>20260205995383</v>
      </c>
      <c r="B65" t="s">
        <v>41</v>
      </c>
      <c r="C65" s="65">
        <f t="shared" si="0"/>
        <v>46058</v>
      </c>
      <c r="D65" s="3">
        <v>1</v>
      </c>
      <c r="E65" s="3">
        <v>119000</v>
      </c>
      <c r="F65" s="3">
        <v>119000</v>
      </c>
      <c r="G65" s="3">
        <v>82110</v>
      </c>
      <c r="H65" s="25">
        <v>61496</v>
      </c>
    </row>
    <row r="66" spans="1:8" x14ac:dyDescent="0.3">
      <c r="A66" s="64">
        <v>20260205994159</v>
      </c>
      <c r="B66" t="s">
        <v>41</v>
      </c>
      <c r="C66" s="65">
        <f t="shared" si="0"/>
        <v>46058</v>
      </c>
      <c r="D66" s="3">
        <v>1</v>
      </c>
      <c r="E66" s="3">
        <v>119000</v>
      </c>
      <c r="F66" s="3">
        <v>119000</v>
      </c>
      <c r="G66" s="3">
        <v>82110</v>
      </c>
      <c r="H66" s="25">
        <v>61496</v>
      </c>
    </row>
    <row r="67" spans="1:8" x14ac:dyDescent="0.3">
      <c r="A67" s="64">
        <v>20260205994198</v>
      </c>
      <c r="B67" t="s">
        <v>41</v>
      </c>
      <c r="C67" s="65">
        <f t="shared" ref="C67:C130" si="1">DATE(LEFT(TEXT(A67,"0"),4),MID(TEXT(A67,"0"),5,2),MID(TEXT(A67,"0"),7,2))</f>
        <v>46058</v>
      </c>
      <c r="D67" s="3">
        <v>1</v>
      </c>
      <c r="E67" s="3">
        <v>119000</v>
      </c>
      <c r="F67" s="3">
        <v>119000</v>
      </c>
      <c r="G67" s="3">
        <v>82110</v>
      </c>
      <c r="H67" s="25">
        <v>61496</v>
      </c>
    </row>
    <row r="68" spans="1:8" x14ac:dyDescent="0.3">
      <c r="A68" s="64">
        <v>20260205994768</v>
      </c>
      <c r="B68" t="s">
        <v>41</v>
      </c>
      <c r="C68" s="65">
        <f t="shared" si="1"/>
        <v>46058</v>
      </c>
      <c r="D68" s="3">
        <v>1</v>
      </c>
      <c r="E68" s="3">
        <v>119000</v>
      </c>
      <c r="F68" s="3">
        <v>119000</v>
      </c>
      <c r="G68" s="3">
        <v>82110</v>
      </c>
      <c r="H68" s="25">
        <v>61496</v>
      </c>
    </row>
    <row r="69" spans="1:8" x14ac:dyDescent="0.3">
      <c r="A69" s="64">
        <v>20260205994818</v>
      </c>
      <c r="B69" t="s">
        <v>41</v>
      </c>
      <c r="C69" s="65">
        <f t="shared" si="1"/>
        <v>46058</v>
      </c>
      <c r="D69" s="3">
        <v>1</v>
      </c>
      <c r="E69" s="3">
        <v>119000</v>
      </c>
      <c r="F69" s="3">
        <v>119000</v>
      </c>
      <c r="G69" s="3">
        <v>82110</v>
      </c>
      <c r="H69" s="25">
        <v>61496</v>
      </c>
    </row>
    <row r="70" spans="1:8" x14ac:dyDescent="0.3">
      <c r="A70" s="64">
        <v>20260205992872</v>
      </c>
      <c r="B70" t="s">
        <v>41</v>
      </c>
      <c r="C70" s="65">
        <f t="shared" si="1"/>
        <v>46058</v>
      </c>
      <c r="D70" s="3">
        <v>1</v>
      </c>
      <c r="E70" s="3">
        <v>119000</v>
      </c>
      <c r="F70" s="3">
        <v>119000</v>
      </c>
      <c r="G70" s="3">
        <v>82110</v>
      </c>
      <c r="H70" s="25">
        <v>61496</v>
      </c>
    </row>
    <row r="71" spans="1:8" x14ac:dyDescent="0.3">
      <c r="A71" s="64">
        <v>20260205995552</v>
      </c>
      <c r="B71" t="s">
        <v>41</v>
      </c>
      <c r="C71" s="65">
        <f t="shared" si="1"/>
        <v>46058</v>
      </c>
      <c r="D71" s="3">
        <v>1</v>
      </c>
      <c r="E71" s="3">
        <v>119000</v>
      </c>
      <c r="F71" s="3">
        <v>119000</v>
      </c>
      <c r="G71" s="3">
        <v>82110</v>
      </c>
      <c r="H71" s="25">
        <v>61496</v>
      </c>
    </row>
    <row r="72" spans="1:8" x14ac:dyDescent="0.3">
      <c r="A72" s="64">
        <v>20260205995516</v>
      </c>
      <c r="B72" t="s">
        <v>41</v>
      </c>
      <c r="C72" s="65">
        <f t="shared" si="1"/>
        <v>46058</v>
      </c>
      <c r="D72" s="3">
        <v>1</v>
      </c>
      <c r="E72" s="3">
        <v>119000</v>
      </c>
      <c r="F72" s="3">
        <v>119000</v>
      </c>
      <c r="G72" s="3">
        <v>82110</v>
      </c>
      <c r="H72" s="25">
        <v>61496</v>
      </c>
    </row>
    <row r="73" spans="1:8" x14ac:dyDescent="0.3">
      <c r="A73" s="64">
        <v>20260205994953</v>
      </c>
      <c r="B73" t="s">
        <v>41</v>
      </c>
      <c r="C73" s="65">
        <f t="shared" si="1"/>
        <v>46058</v>
      </c>
      <c r="D73" s="3">
        <v>1</v>
      </c>
      <c r="E73" s="3">
        <v>119000</v>
      </c>
      <c r="F73" s="3">
        <v>99960</v>
      </c>
      <c r="G73" s="3">
        <v>82110</v>
      </c>
      <c r="H73" s="25">
        <v>61496</v>
      </c>
    </row>
    <row r="74" spans="1:8" x14ac:dyDescent="0.3">
      <c r="A74" s="64">
        <v>20260205995058</v>
      </c>
      <c r="B74" t="s">
        <v>41</v>
      </c>
      <c r="C74" s="65">
        <f t="shared" si="1"/>
        <v>46058</v>
      </c>
      <c r="D74" s="3">
        <v>1</v>
      </c>
      <c r="E74" s="3">
        <v>119000</v>
      </c>
      <c r="F74" s="3">
        <v>108300</v>
      </c>
      <c r="G74" s="3">
        <v>82110</v>
      </c>
      <c r="H74" s="25">
        <v>61496</v>
      </c>
    </row>
    <row r="75" spans="1:8" x14ac:dyDescent="0.3">
      <c r="A75" s="64">
        <v>20260205995012</v>
      </c>
      <c r="B75" t="s">
        <v>41</v>
      </c>
      <c r="C75" s="65">
        <f t="shared" si="1"/>
        <v>46058</v>
      </c>
      <c r="D75" s="3">
        <v>1</v>
      </c>
      <c r="E75" s="3">
        <v>119000</v>
      </c>
      <c r="F75" s="3">
        <v>119000</v>
      </c>
      <c r="G75" s="3">
        <v>82110</v>
      </c>
      <c r="H75" s="25">
        <v>61496</v>
      </c>
    </row>
    <row r="76" spans="1:8" x14ac:dyDescent="0.3">
      <c r="A76" s="64">
        <v>20260205993890</v>
      </c>
      <c r="B76" t="s">
        <v>41</v>
      </c>
      <c r="C76" s="65">
        <f t="shared" si="1"/>
        <v>46058</v>
      </c>
      <c r="D76" s="3">
        <v>1</v>
      </c>
      <c r="E76" s="3">
        <v>119000</v>
      </c>
      <c r="F76" s="3">
        <v>119000</v>
      </c>
      <c r="G76" s="3">
        <v>82110</v>
      </c>
      <c r="H76" s="25">
        <v>61496</v>
      </c>
    </row>
    <row r="77" spans="1:8" x14ac:dyDescent="0.3">
      <c r="A77" s="64">
        <v>20260205993358</v>
      </c>
      <c r="B77" t="s">
        <v>41</v>
      </c>
      <c r="C77" s="65">
        <f t="shared" si="1"/>
        <v>46058</v>
      </c>
      <c r="D77" s="3">
        <v>1</v>
      </c>
      <c r="E77" s="3">
        <v>119000</v>
      </c>
      <c r="F77" s="3">
        <v>109000</v>
      </c>
      <c r="G77" s="3">
        <v>82110</v>
      </c>
      <c r="H77" s="25">
        <v>61496</v>
      </c>
    </row>
    <row r="78" spans="1:8" x14ac:dyDescent="0.3">
      <c r="A78" s="64">
        <v>20260205992456</v>
      </c>
      <c r="B78" t="s">
        <v>41</v>
      </c>
      <c r="C78" s="65">
        <f t="shared" si="1"/>
        <v>46058</v>
      </c>
      <c r="D78" s="3">
        <v>1</v>
      </c>
      <c r="E78" s="3">
        <v>119000</v>
      </c>
      <c r="F78" s="3">
        <v>119000</v>
      </c>
      <c r="G78" s="3">
        <v>82110</v>
      </c>
      <c r="H78" s="25">
        <v>61496</v>
      </c>
    </row>
    <row r="79" spans="1:8" x14ac:dyDescent="0.3">
      <c r="A79" s="64">
        <v>20260205993113</v>
      </c>
      <c r="B79" t="s">
        <v>41</v>
      </c>
      <c r="C79" s="65">
        <f t="shared" si="1"/>
        <v>46058</v>
      </c>
      <c r="D79" s="3">
        <v>1</v>
      </c>
      <c r="E79" s="3">
        <v>119000</v>
      </c>
      <c r="F79" s="3">
        <v>119000</v>
      </c>
      <c r="G79" s="3">
        <v>82110</v>
      </c>
      <c r="H79" s="25">
        <v>61496</v>
      </c>
    </row>
    <row r="80" spans="1:8" x14ac:dyDescent="0.3">
      <c r="A80" s="64">
        <v>20260205995687</v>
      </c>
      <c r="B80" t="s">
        <v>41</v>
      </c>
      <c r="C80" s="65">
        <f t="shared" si="1"/>
        <v>46058</v>
      </c>
      <c r="D80" s="3">
        <v>2</v>
      </c>
      <c r="E80" s="3">
        <v>119000</v>
      </c>
      <c r="F80" s="3">
        <v>238000</v>
      </c>
      <c r="G80" s="3">
        <v>164220</v>
      </c>
      <c r="H80" s="25">
        <v>122992</v>
      </c>
    </row>
    <row r="81" spans="1:8" x14ac:dyDescent="0.3">
      <c r="A81" s="64">
        <v>20260205995005</v>
      </c>
      <c r="B81" t="s">
        <v>41</v>
      </c>
      <c r="C81" s="65">
        <f t="shared" si="1"/>
        <v>46058</v>
      </c>
      <c r="D81" s="3">
        <v>1</v>
      </c>
      <c r="E81" s="3">
        <v>119000</v>
      </c>
      <c r="F81" s="3">
        <v>119000</v>
      </c>
      <c r="G81" s="3">
        <v>82110</v>
      </c>
      <c r="H81" s="25">
        <v>61496</v>
      </c>
    </row>
    <row r="82" spans="1:8" x14ac:dyDescent="0.3">
      <c r="A82" s="64">
        <v>20260205992457</v>
      </c>
      <c r="B82" t="s">
        <v>41</v>
      </c>
      <c r="C82" s="65">
        <f t="shared" si="1"/>
        <v>46058</v>
      </c>
      <c r="D82" s="3">
        <v>1</v>
      </c>
      <c r="E82" s="3">
        <v>119000</v>
      </c>
      <c r="F82" s="3">
        <v>119000</v>
      </c>
      <c r="G82" s="3">
        <v>82110</v>
      </c>
      <c r="H82" s="25">
        <v>61496</v>
      </c>
    </row>
    <row r="83" spans="1:8" x14ac:dyDescent="0.3">
      <c r="A83" s="64">
        <v>20260205992975</v>
      </c>
      <c r="B83" t="s">
        <v>41</v>
      </c>
      <c r="C83" s="65">
        <f t="shared" si="1"/>
        <v>46058</v>
      </c>
      <c r="D83" s="3">
        <v>1</v>
      </c>
      <c r="E83" s="3">
        <v>119000</v>
      </c>
      <c r="F83" s="3">
        <v>99960</v>
      </c>
      <c r="G83" s="3">
        <v>82110</v>
      </c>
      <c r="H83" s="25">
        <v>61496</v>
      </c>
    </row>
    <row r="84" spans="1:8" x14ac:dyDescent="0.3">
      <c r="A84" s="64">
        <v>20260205994074</v>
      </c>
      <c r="B84" t="s">
        <v>41</v>
      </c>
      <c r="C84" s="65">
        <f t="shared" si="1"/>
        <v>46058</v>
      </c>
      <c r="D84" s="3">
        <v>1</v>
      </c>
      <c r="E84" s="3">
        <v>119000</v>
      </c>
      <c r="F84" s="3">
        <v>119000</v>
      </c>
      <c r="G84" s="3">
        <v>82110</v>
      </c>
      <c r="H84" s="25">
        <v>61496</v>
      </c>
    </row>
    <row r="85" spans="1:8" x14ac:dyDescent="0.3">
      <c r="A85" s="64">
        <v>20260205996186</v>
      </c>
      <c r="B85" t="s">
        <v>41</v>
      </c>
      <c r="C85" s="65">
        <f t="shared" si="1"/>
        <v>46058</v>
      </c>
      <c r="D85" s="3">
        <v>1</v>
      </c>
      <c r="E85" s="3">
        <v>119000</v>
      </c>
      <c r="F85" s="3">
        <v>109000</v>
      </c>
      <c r="G85" s="3">
        <v>82110</v>
      </c>
      <c r="H85" s="25">
        <v>61496</v>
      </c>
    </row>
    <row r="86" spans="1:8" x14ac:dyDescent="0.3">
      <c r="A86" s="64">
        <v>20260205993929</v>
      </c>
      <c r="B86" t="s">
        <v>41</v>
      </c>
      <c r="C86" s="65">
        <f t="shared" si="1"/>
        <v>46058</v>
      </c>
      <c r="D86" s="3">
        <v>1</v>
      </c>
      <c r="E86" s="3">
        <v>119000</v>
      </c>
      <c r="F86" s="3">
        <v>119000</v>
      </c>
      <c r="G86" s="3">
        <v>82110</v>
      </c>
      <c r="H86" s="25">
        <v>61496</v>
      </c>
    </row>
    <row r="87" spans="1:8" x14ac:dyDescent="0.3">
      <c r="A87" s="64">
        <v>20260205992859</v>
      </c>
      <c r="B87" t="s">
        <v>41</v>
      </c>
      <c r="C87" s="65">
        <f t="shared" si="1"/>
        <v>46058</v>
      </c>
      <c r="D87" s="3">
        <v>1</v>
      </c>
      <c r="E87" s="3">
        <v>119000</v>
      </c>
      <c r="F87" s="3">
        <v>119000</v>
      </c>
      <c r="G87" s="3">
        <v>82110</v>
      </c>
      <c r="H87" s="25">
        <v>61496</v>
      </c>
    </row>
    <row r="88" spans="1:8" x14ac:dyDescent="0.3">
      <c r="A88" s="64">
        <v>20260205995584</v>
      </c>
      <c r="B88" t="s">
        <v>41</v>
      </c>
      <c r="C88" s="65">
        <f t="shared" si="1"/>
        <v>46058</v>
      </c>
      <c r="D88" s="3">
        <v>1</v>
      </c>
      <c r="E88" s="3">
        <v>119000</v>
      </c>
      <c r="F88" s="3">
        <v>101150</v>
      </c>
      <c r="G88" s="3">
        <v>82110</v>
      </c>
      <c r="H88" s="25">
        <v>61496</v>
      </c>
    </row>
    <row r="89" spans="1:8" x14ac:dyDescent="0.3">
      <c r="A89" s="64">
        <v>20260205995161</v>
      </c>
      <c r="B89" t="s">
        <v>41</v>
      </c>
      <c r="C89" s="65">
        <f t="shared" si="1"/>
        <v>46058</v>
      </c>
      <c r="D89" s="3">
        <v>1</v>
      </c>
      <c r="E89" s="3">
        <v>119000</v>
      </c>
      <c r="F89" s="3">
        <v>119000</v>
      </c>
      <c r="G89" s="3">
        <v>82110</v>
      </c>
      <c r="H89" s="25">
        <v>61496</v>
      </c>
    </row>
    <row r="90" spans="1:8" x14ac:dyDescent="0.3">
      <c r="A90" s="64">
        <v>20260205995658</v>
      </c>
      <c r="B90" t="s">
        <v>41</v>
      </c>
      <c r="C90" s="65">
        <f t="shared" si="1"/>
        <v>46058</v>
      </c>
      <c r="D90" s="3">
        <v>1</v>
      </c>
      <c r="E90" s="3">
        <v>119000</v>
      </c>
      <c r="F90" s="3">
        <v>113050</v>
      </c>
      <c r="G90" s="3">
        <v>82110</v>
      </c>
      <c r="H90" s="25">
        <v>61496</v>
      </c>
    </row>
    <row r="91" spans="1:8" x14ac:dyDescent="0.3">
      <c r="A91" s="64">
        <v>20260205995042</v>
      </c>
      <c r="B91" t="s">
        <v>41</v>
      </c>
      <c r="C91" s="65">
        <f t="shared" si="1"/>
        <v>46058</v>
      </c>
      <c r="D91" s="3">
        <v>1</v>
      </c>
      <c r="E91" s="3">
        <v>119000</v>
      </c>
      <c r="F91" s="3">
        <v>109000</v>
      </c>
      <c r="G91" s="3">
        <v>82110</v>
      </c>
      <c r="H91" s="25">
        <v>61496</v>
      </c>
    </row>
    <row r="92" spans="1:8" x14ac:dyDescent="0.3">
      <c r="A92" s="64">
        <v>20260205994885</v>
      </c>
      <c r="B92" t="s">
        <v>41</v>
      </c>
      <c r="C92" s="65">
        <f t="shared" si="1"/>
        <v>46058</v>
      </c>
      <c r="D92" s="3">
        <v>1</v>
      </c>
      <c r="E92" s="3">
        <v>119000</v>
      </c>
      <c r="F92" s="3">
        <v>119000</v>
      </c>
      <c r="G92" s="3">
        <v>82110</v>
      </c>
      <c r="H92" s="25">
        <v>61496</v>
      </c>
    </row>
    <row r="93" spans="1:8" x14ac:dyDescent="0.3">
      <c r="A93" s="64">
        <v>20260205993437</v>
      </c>
      <c r="B93" t="s">
        <v>41</v>
      </c>
      <c r="C93" s="65">
        <f t="shared" si="1"/>
        <v>46058</v>
      </c>
      <c r="D93" s="3">
        <v>1</v>
      </c>
      <c r="E93" s="3">
        <v>119000</v>
      </c>
      <c r="F93" s="3">
        <v>119000</v>
      </c>
      <c r="G93" s="3">
        <v>82110</v>
      </c>
      <c r="H93" s="25">
        <v>61496</v>
      </c>
    </row>
    <row r="94" spans="1:8" x14ac:dyDescent="0.3">
      <c r="A94" s="64">
        <v>20260205993036</v>
      </c>
      <c r="B94" t="s">
        <v>41</v>
      </c>
      <c r="C94" s="65">
        <f t="shared" si="1"/>
        <v>46058</v>
      </c>
      <c r="D94" s="3">
        <v>1</v>
      </c>
      <c r="E94" s="3">
        <v>119000</v>
      </c>
      <c r="F94" s="3">
        <v>99960</v>
      </c>
      <c r="G94" s="3">
        <v>82110</v>
      </c>
      <c r="H94" s="25">
        <v>61496</v>
      </c>
    </row>
    <row r="95" spans="1:8" x14ac:dyDescent="0.3">
      <c r="A95" s="64">
        <v>20260205995472</v>
      </c>
      <c r="B95" t="s">
        <v>41</v>
      </c>
      <c r="C95" s="65">
        <f t="shared" si="1"/>
        <v>46058</v>
      </c>
      <c r="D95" s="3">
        <v>1</v>
      </c>
      <c r="E95" s="3">
        <v>119000</v>
      </c>
      <c r="F95" s="3">
        <v>113050</v>
      </c>
      <c r="G95" s="3">
        <v>82110</v>
      </c>
      <c r="H95" s="25">
        <v>61496</v>
      </c>
    </row>
    <row r="96" spans="1:8" x14ac:dyDescent="0.3">
      <c r="A96" s="64">
        <v>20260205992483</v>
      </c>
      <c r="B96" t="s">
        <v>41</v>
      </c>
      <c r="C96" s="65">
        <f t="shared" si="1"/>
        <v>46058</v>
      </c>
      <c r="D96" s="3">
        <v>1</v>
      </c>
      <c r="E96" s="3">
        <v>119000</v>
      </c>
      <c r="F96" s="3">
        <v>109000</v>
      </c>
      <c r="G96" s="3">
        <v>82110</v>
      </c>
      <c r="H96" s="25">
        <v>61496</v>
      </c>
    </row>
    <row r="97" spans="1:8" x14ac:dyDescent="0.3">
      <c r="A97" s="64">
        <v>20260205995325</v>
      </c>
      <c r="B97" t="s">
        <v>41</v>
      </c>
      <c r="C97" s="65">
        <f t="shared" si="1"/>
        <v>46058</v>
      </c>
      <c r="D97" s="3">
        <v>1</v>
      </c>
      <c r="E97" s="3">
        <v>119000</v>
      </c>
      <c r="F97" s="3">
        <v>119000</v>
      </c>
      <c r="G97" s="3">
        <v>82110</v>
      </c>
      <c r="H97" s="25">
        <v>61496</v>
      </c>
    </row>
    <row r="98" spans="1:8" x14ac:dyDescent="0.3">
      <c r="A98" s="64">
        <v>20260205992634</v>
      </c>
      <c r="B98" t="s">
        <v>41</v>
      </c>
      <c r="C98" s="65">
        <f t="shared" si="1"/>
        <v>46058</v>
      </c>
      <c r="D98" s="3">
        <v>1</v>
      </c>
      <c r="E98" s="3">
        <v>119000</v>
      </c>
      <c r="F98" s="3">
        <v>119000</v>
      </c>
      <c r="G98" s="3">
        <v>82110</v>
      </c>
      <c r="H98" s="25">
        <v>61496</v>
      </c>
    </row>
    <row r="99" spans="1:8" x14ac:dyDescent="0.3">
      <c r="A99" s="64">
        <v>20260205994152</v>
      </c>
      <c r="B99" t="s">
        <v>41</v>
      </c>
      <c r="C99" s="65">
        <f t="shared" si="1"/>
        <v>46058</v>
      </c>
      <c r="D99" s="3">
        <v>1</v>
      </c>
      <c r="E99" s="3">
        <v>119000</v>
      </c>
      <c r="F99" s="3">
        <v>119000</v>
      </c>
      <c r="G99" s="3">
        <v>82110</v>
      </c>
      <c r="H99" s="25">
        <v>61496</v>
      </c>
    </row>
    <row r="100" spans="1:8" x14ac:dyDescent="0.3">
      <c r="A100" s="64">
        <v>20260205995109</v>
      </c>
      <c r="B100" t="s">
        <v>41</v>
      </c>
      <c r="C100" s="65">
        <f t="shared" si="1"/>
        <v>46058</v>
      </c>
      <c r="D100" s="3">
        <v>1</v>
      </c>
      <c r="E100" s="3">
        <v>119000</v>
      </c>
      <c r="F100" s="3">
        <v>119000</v>
      </c>
      <c r="G100" s="3">
        <v>82110</v>
      </c>
      <c r="H100" s="25">
        <v>61496</v>
      </c>
    </row>
    <row r="101" spans="1:8" x14ac:dyDescent="0.3">
      <c r="A101" s="64">
        <v>20260205994273</v>
      </c>
      <c r="B101" t="s">
        <v>41</v>
      </c>
      <c r="C101" s="65">
        <f t="shared" si="1"/>
        <v>46058</v>
      </c>
      <c r="D101" s="3">
        <v>1</v>
      </c>
      <c r="E101" s="3">
        <v>119000</v>
      </c>
      <c r="F101" s="3">
        <v>119000</v>
      </c>
      <c r="G101" s="3">
        <v>82110</v>
      </c>
      <c r="H101" s="25">
        <v>61496</v>
      </c>
    </row>
    <row r="102" spans="1:8" x14ac:dyDescent="0.3">
      <c r="A102" s="64">
        <v>20260205995097</v>
      </c>
      <c r="B102" t="s">
        <v>41</v>
      </c>
      <c r="C102" s="65">
        <f t="shared" si="1"/>
        <v>46058</v>
      </c>
      <c r="D102" s="3">
        <v>1</v>
      </c>
      <c r="E102" s="3">
        <v>119000</v>
      </c>
      <c r="F102" s="3">
        <v>119000</v>
      </c>
      <c r="G102" s="3">
        <v>82110</v>
      </c>
      <c r="H102" s="25">
        <v>61496</v>
      </c>
    </row>
    <row r="103" spans="1:8" x14ac:dyDescent="0.3">
      <c r="A103" s="64">
        <v>20260205995180</v>
      </c>
      <c r="B103" t="s">
        <v>41</v>
      </c>
      <c r="C103" s="65">
        <f t="shared" si="1"/>
        <v>46058</v>
      </c>
      <c r="D103" s="3">
        <v>1</v>
      </c>
      <c r="E103" s="3">
        <v>119000</v>
      </c>
      <c r="F103" s="3">
        <v>96390</v>
      </c>
      <c r="G103" s="3">
        <v>82110</v>
      </c>
      <c r="H103" s="25">
        <v>61496</v>
      </c>
    </row>
    <row r="104" spans="1:8" x14ac:dyDescent="0.3">
      <c r="A104" s="64">
        <v>20260205992870</v>
      </c>
      <c r="B104" t="s">
        <v>41</v>
      </c>
      <c r="C104" s="65">
        <f t="shared" si="1"/>
        <v>46058</v>
      </c>
      <c r="D104" s="3">
        <v>1</v>
      </c>
      <c r="E104" s="3">
        <v>119000</v>
      </c>
      <c r="F104" s="3">
        <v>119000</v>
      </c>
      <c r="G104" s="3">
        <v>82110</v>
      </c>
      <c r="H104" s="25">
        <v>61496</v>
      </c>
    </row>
    <row r="105" spans="1:8" x14ac:dyDescent="0.3">
      <c r="A105" s="64">
        <v>20260205992940</v>
      </c>
      <c r="B105" t="s">
        <v>41</v>
      </c>
      <c r="C105" s="65">
        <f t="shared" si="1"/>
        <v>46058</v>
      </c>
      <c r="D105" s="3">
        <v>1</v>
      </c>
      <c r="E105" s="3">
        <v>119000</v>
      </c>
      <c r="F105" s="3">
        <v>119000</v>
      </c>
      <c r="G105" s="3">
        <v>82110</v>
      </c>
      <c r="H105" s="25">
        <v>61496</v>
      </c>
    </row>
    <row r="106" spans="1:8" x14ac:dyDescent="0.3">
      <c r="A106" s="64">
        <v>20260205993059</v>
      </c>
      <c r="B106" t="s">
        <v>41</v>
      </c>
      <c r="C106" s="65">
        <f t="shared" si="1"/>
        <v>46058</v>
      </c>
      <c r="D106" s="3">
        <v>1</v>
      </c>
      <c r="E106" s="3">
        <v>119000</v>
      </c>
      <c r="F106" s="3">
        <v>119000</v>
      </c>
      <c r="G106" s="3">
        <v>82110</v>
      </c>
      <c r="H106" s="25">
        <v>61496</v>
      </c>
    </row>
    <row r="107" spans="1:8" x14ac:dyDescent="0.3">
      <c r="A107" s="64">
        <v>20260205993112</v>
      </c>
      <c r="B107" t="s">
        <v>41</v>
      </c>
      <c r="C107" s="65">
        <f t="shared" si="1"/>
        <v>46058</v>
      </c>
      <c r="D107" s="3">
        <v>1</v>
      </c>
      <c r="E107" s="3">
        <v>119000</v>
      </c>
      <c r="F107" s="3">
        <v>119000</v>
      </c>
      <c r="G107" s="3">
        <v>82110</v>
      </c>
      <c r="H107" s="25">
        <v>61496</v>
      </c>
    </row>
    <row r="108" spans="1:8" x14ac:dyDescent="0.3">
      <c r="A108" s="64">
        <v>20260205993255</v>
      </c>
      <c r="B108" t="s">
        <v>41</v>
      </c>
      <c r="C108" s="65">
        <f t="shared" si="1"/>
        <v>46058</v>
      </c>
      <c r="D108" s="3">
        <v>1</v>
      </c>
      <c r="E108" s="3">
        <v>119000</v>
      </c>
      <c r="F108" s="3">
        <v>101150</v>
      </c>
      <c r="G108" s="3">
        <v>82110</v>
      </c>
      <c r="H108" s="25">
        <v>61496</v>
      </c>
    </row>
    <row r="109" spans="1:8" x14ac:dyDescent="0.3">
      <c r="A109" s="64">
        <v>20260205996361</v>
      </c>
      <c r="B109" t="s">
        <v>41</v>
      </c>
      <c r="C109" s="65">
        <f t="shared" si="1"/>
        <v>46058</v>
      </c>
      <c r="D109" s="3">
        <v>1</v>
      </c>
      <c r="E109" s="3">
        <v>119000</v>
      </c>
      <c r="F109" s="3">
        <v>113050</v>
      </c>
      <c r="G109" s="3">
        <v>82110</v>
      </c>
      <c r="H109" s="25">
        <v>61496</v>
      </c>
    </row>
    <row r="110" spans="1:8" x14ac:dyDescent="0.3">
      <c r="A110" s="64">
        <v>20260205993934</v>
      </c>
      <c r="B110" t="s">
        <v>41</v>
      </c>
      <c r="C110" s="65">
        <f t="shared" si="1"/>
        <v>46058</v>
      </c>
      <c r="D110" s="3">
        <v>1</v>
      </c>
      <c r="E110" s="3">
        <v>119000</v>
      </c>
      <c r="F110" s="3">
        <v>119000</v>
      </c>
      <c r="G110" s="3">
        <v>82110</v>
      </c>
      <c r="H110" s="25">
        <v>61496</v>
      </c>
    </row>
    <row r="111" spans="1:8" x14ac:dyDescent="0.3">
      <c r="A111" s="64">
        <v>20260205994400</v>
      </c>
      <c r="B111" t="s">
        <v>41</v>
      </c>
      <c r="C111" s="65">
        <f t="shared" si="1"/>
        <v>46058</v>
      </c>
      <c r="D111" s="3">
        <v>1</v>
      </c>
      <c r="E111" s="3">
        <v>119000</v>
      </c>
      <c r="F111" s="3">
        <v>119000</v>
      </c>
      <c r="G111" s="3">
        <v>82110</v>
      </c>
      <c r="H111" s="25">
        <v>61496</v>
      </c>
    </row>
    <row r="112" spans="1:8" x14ac:dyDescent="0.3">
      <c r="A112" s="64">
        <v>20260205994653</v>
      </c>
      <c r="B112" t="s">
        <v>41</v>
      </c>
      <c r="C112" s="65">
        <f t="shared" si="1"/>
        <v>46058</v>
      </c>
      <c r="D112" s="3">
        <v>1</v>
      </c>
      <c r="E112" s="3">
        <v>119000</v>
      </c>
      <c r="F112" s="3">
        <v>119000</v>
      </c>
      <c r="G112" s="3">
        <v>82110</v>
      </c>
      <c r="H112" s="25">
        <v>61496</v>
      </c>
    </row>
    <row r="113" spans="1:8" x14ac:dyDescent="0.3">
      <c r="A113" s="64">
        <v>20260205993867</v>
      </c>
      <c r="B113" t="s">
        <v>41</v>
      </c>
      <c r="C113" s="65">
        <f t="shared" si="1"/>
        <v>46058</v>
      </c>
      <c r="D113" s="3">
        <v>1</v>
      </c>
      <c r="E113" s="3">
        <v>119000</v>
      </c>
      <c r="F113" s="3">
        <v>119000</v>
      </c>
      <c r="G113" s="3">
        <v>82110</v>
      </c>
      <c r="H113" s="25">
        <v>61496</v>
      </c>
    </row>
    <row r="114" spans="1:8" x14ac:dyDescent="0.3">
      <c r="A114" s="64">
        <v>20260205993852</v>
      </c>
      <c r="B114" t="s">
        <v>41</v>
      </c>
      <c r="C114" s="65">
        <f t="shared" si="1"/>
        <v>46058</v>
      </c>
      <c r="D114" s="3">
        <v>1</v>
      </c>
      <c r="E114" s="3">
        <v>119000</v>
      </c>
      <c r="F114" s="3">
        <v>119000</v>
      </c>
      <c r="G114" s="3">
        <v>82110</v>
      </c>
      <c r="H114" s="25">
        <v>61496</v>
      </c>
    </row>
    <row r="115" spans="1:8" x14ac:dyDescent="0.3">
      <c r="A115" s="64">
        <v>20260205992712</v>
      </c>
      <c r="B115" t="s">
        <v>41</v>
      </c>
      <c r="C115" s="65">
        <f t="shared" si="1"/>
        <v>46058</v>
      </c>
      <c r="D115" s="3">
        <v>1</v>
      </c>
      <c r="E115" s="3">
        <v>119000</v>
      </c>
      <c r="F115" s="3">
        <v>99960</v>
      </c>
      <c r="G115" s="3">
        <v>82110</v>
      </c>
      <c r="H115" s="25">
        <v>61496</v>
      </c>
    </row>
    <row r="116" spans="1:8" x14ac:dyDescent="0.3">
      <c r="A116" s="64">
        <v>20260205993266</v>
      </c>
      <c r="B116" t="s">
        <v>41</v>
      </c>
      <c r="C116" s="65">
        <f t="shared" si="1"/>
        <v>46058</v>
      </c>
      <c r="D116" s="3">
        <v>1</v>
      </c>
      <c r="E116" s="3">
        <v>119000</v>
      </c>
      <c r="F116" s="3">
        <v>119000</v>
      </c>
      <c r="G116" s="3">
        <v>82110</v>
      </c>
      <c r="H116" s="25">
        <v>61496</v>
      </c>
    </row>
    <row r="117" spans="1:8" x14ac:dyDescent="0.3">
      <c r="A117" s="64">
        <v>20260205994296</v>
      </c>
      <c r="B117" t="s">
        <v>41</v>
      </c>
      <c r="C117" s="65">
        <f t="shared" si="1"/>
        <v>46058</v>
      </c>
      <c r="D117" s="3">
        <v>1</v>
      </c>
      <c r="E117" s="3">
        <v>119000</v>
      </c>
      <c r="F117" s="3">
        <v>119000</v>
      </c>
      <c r="G117" s="3">
        <v>82110</v>
      </c>
      <c r="H117" s="25">
        <v>61496</v>
      </c>
    </row>
    <row r="118" spans="1:8" x14ac:dyDescent="0.3">
      <c r="A118" s="64">
        <v>20260205994429</v>
      </c>
      <c r="B118" t="s">
        <v>41</v>
      </c>
      <c r="C118" s="65">
        <f t="shared" si="1"/>
        <v>46058</v>
      </c>
      <c r="D118" s="3">
        <v>1</v>
      </c>
      <c r="E118" s="3">
        <v>119000</v>
      </c>
      <c r="F118" s="3">
        <v>119000</v>
      </c>
      <c r="G118" s="3">
        <v>82110</v>
      </c>
      <c r="H118" s="25">
        <v>61496</v>
      </c>
    </row>
    <row r="119" spans="1:8" x14ac:dyDescent="0.3">
      <c r="A119" s="64">
        <v>20260205993269</v>
      </c>
      <c r="B119" t="s">
        <v>41</v>
      </c>
      <c r="C119" s="65">
        <f t="shared" si="1"/>
        <v>46058</v>
      </c>
      <c r="D119" s="3">
        <v>1</v>
      </c>
      <c r="E119" s="3">
        <v>119000</v>
      </c>
      <c r="F119" s="3">
        <v>119000</v>
      </c>
      <c r="G119" s="3">
        <v>82110</v>
      </c>
      <c r="H119" s="25">
        <v>61496</v>
      </c>
    </row>
    <row r="120" spans="1:8" x14ac:dyDescent="0.3">
      <c r="A120" s="64">
        <v>20260205992567</v>
      </c>
      <c r="B120" t="s">
        <v>41</v>
      </c>
      <c r="C120" s="65">
        <f t="shared" si="1"/>
        <v>46058</v>
      </c>
      <c r="D120" s="3">
        <v>1</v>
      </c>
      <c r="E120" s="3">
        <v>119000</v>
      </c>
      <c r="F120" s="3">
        <v>109000</v>
      </c>
      <c r="G120" s="3">
        <v>82110</v>
      </c>
      <c r="H120" s="25">
        <v>61496</v>
      </c>
    </row>
    <row r="121" spans="1:8" x14ac:dyDescent="0.3">
      <c r="A121" s="64">
        <v>20260205993710</v>
      </c>
      <c r="B121" t="s">
        <v>41</v>
      </c>
      <c r="C121" s="65">
        <f t="shared" si="1"/>
        <v>46058</v>
      </c>
      <c r="D121" s="3">
        <v>1</v>
      </c>
      <c r="E121" s="3">
        <v>119000</v>
      </c>
      <c r="F121" s="3">
        <v>119000</v>
      </c>
      <c r="G121" s="3">
        <v>82110</v>
      </c>
      <c r="H121" s="25">
        <v>61496</v>
      </c>
    </row>
    <row r="122" spans="1:8" x14ac:dyDescent="0.3">
      <c r="A122" s="64">
        <v>20260205995307</v>
      </c>
      <c r="B122" t="s">
        <v>41</v>
      </c>
      <c r="C122" s="65">
        <f t="shared" si="1"/>
        <v>46058</v>
      </c>
      <c r="D122" s="3">
        <v>1</v>
      </c>
      <c r="E122" s="3">
        <v>119000</v>
      </c>
      <c r="F122" s="3">
        <v>113050</v>
      </c>
      <c r="G122" s="3">
        <v>82110</v>
      </c>
      <c r="H122" s="25">
        <v>61496</v>
      </c>
    </row>
    <row r="123" spans="1:8" x14ac:dyDescent="0.3">
      <c r="A123" s="64">
        <v>20260205995613</v>
      </c>
      <c r="B123" t="s">
        <v>41</v>
      </c>
      <c r="C123" s="65">
        <f t="shared" si="1"/>
        <v>46058</v>
      </c>
      <c r="D123" s="3">
        <v>1</v>
      </c>
      <c r="E123" s="3">
        <v>119000</v>
      </c>
      <c r="F123" s="3">
        <v>119000</v>
      </c>
      <c r="G123" s="3">
        <v>82110</v>
      </c>
      <c r="H123" s="25">
        <v>61496</v>
      </c>
    </row>
    <row r="124" spans="1:8" x14ac:dyDescent="0.3">
      <c r="A124" s="64">
        <v>20260205002375</v>
      </c>
      <c r="B124" t="s">
        <v>41</v>
      </c>
      <c r="C124" s="65">
        <f t="shared" si="1"/>
        <v>46058</v>
      </c>
      <c r="D124" s="3">
        <v>1</v>
      </c>
      <c r="E124" s="3">
        <v>119000</v>
      </c>
      <c r="F124" s="3">
        <v>119000</v>
      </c>
      <c r="G124" s="3">
        <v>82110</v>
      </c>
      <c r="H124" s="25">
        <v>61496</v>
      </c>
    </row>
    <row r="125" spans="1:8" x14ac:dyDescent="0.3">
      <c r="A125" s="64">
        <v>20260205994008</v>
      </c>
      <c r="B125" t="s">
        <v>41</v>
      </c>
      <c r="C125" s="65">
        <f t="shared" si="1"/>
        <v>46058</v>
      </c>
      <c r="D125" s="3">
        <v>1</v>
      </c>
      <c r="E125" s="3">
        <v>119000</v>
      </c>
      <c r="F125" s="3">
        <v>109000</v>
      </c>
      <c r="G125" s="3">
        <v>82110</v>
      </c>
      <c r="H125" s="25">
        <v>61496</v>
      </c>
    </row>
    <row r="126" spans="1:8" x14ac:dyDescent="0.3">
      <c r="A126" s="64">
        <v>20260205993800</v>
      </c>
      <c r="B126" t="s">
        <v>41</v>
      </c>
      <c r="C126" s="65">
        <f t="shared" si="1"/>
        <v>46058</v>
      </c>
      <c r="D126" s="3">
        <v>1</v>
      </c>
      <c r="E126" s="3">
        <v>119000</v>
      </c>
      <c r="F126" s="3">
        <v>119000</v>
      </c>
      <c r="G126" s="3">
        <v>82110</v>
      </c>
      <c r="H126" s="25">
        <v>61496</v>
      </c>
    </row>
    <row r="127" spans="1:8" x14ac:dyDescent="0.3">
      <c r="A127" s="64">
        <v>20260206644091</v>
      </c>
      <c r="B127" t="s">
        <v>41</v>
      </c>
      <c r="C127" s="65">
        <f t="shared" si="1"/>
        <v>46059</v>
      </c>
      <c r="D127" s="3">
        <v>1</v>
      </c>
      <c r="E127" s="3">
        <v>119000</v>
      </c>
      <c r="F127" s="3">
        <v>113050</v>
      </c>
      <c r="G127" s="3">
        <v>82110</v>
      </c>
      <c r="H127" s="25">
        <v>61496</v>
      </c>
    </row>
    <row r="128" spans="1:8" x14ac:dyDescent="0.3">
      <c r="A128" s="64">
        <v>20260205995701</v>
      </c>
      <c r="B128" t="s">
        <v>41</v>
      </c>
      <c r="C128" s="65">
        <f t="shared" si="1"/>
        <v>46058</v>
      </c>
      <c r="D128" s="3">
        <v>1</v>
      </c>
      <c r="E128" s="3">
        <v>119000</v>
      </c>
      <c r="F128" s="3">
        <v>119000</v>
      </c>
      <c r="G128" s="3">
        <v>82110</v>
      </c>
      <c r="H128" s="25">
        <v>61496</v>
      </c>
    </row>
    <row r="129" spans="1:8" x14ac:dyDescent="0.3">
      <c r="A129" s="64">
        <v>20260205995459</v>
      </c>
      <c r="B129" t="s">
        <v>41</v>
      </c>
      <c r="C129" s="65">
        <f t="shared" si="1"/>
        <v>46058</v>
      </c>
      <c r="D129" s="3">
        <v>1</v>
      </c>
      <c r="E129" s="3">
        <v>119000</v>
      </c>
      <c r="F129" s="3">
        <v>99960</v>
      </c>
      <c r="G129" s="3">
        <v>82110</v>
      </c>
      <c r="H129" s="25">
        <v>61496</v>
      </c>
    </row>
    <row r="130" spans="1:8" x14ac:dyDescent="0.3">
      <c r="A130" s="64">
        <v>20260205993710</v>
      </c>
      <c r="B130" t="s">
        <v>41</v>
      </c>
      <c r="C130" s="65">
        <f t="shared" si="1"/>
        <v>46058</v>
      </c>
      <c r="D130" s="3">
        <v>1</v>
      </c>
      <c r="E130" s="3">
        <v>119000</v>
      </c>
      <c r="F130" s="3">
        <v>119000</v>
      </c>
      <c r="G130" s="3">
        <v>82110</v>
      </c>
      <c r="H130" s="25">
        <v>61496</v>
      </c>
    </row>
    <row r="131" spans="1:8" x14ac:dyDescent="0.3">
      <c r="A131" s="64">
        <v>20260205005766</v>
      </c>
      <c r="B131" t="s">
        <v>41</v>
      </c>
      <c r="C131" s="65">
        <f t="shared" ref="C131:C194" si="2">DATE(LEFT(TEXT(A131,"0"),4),MID(TEXT(A131,"0"),5,2),MID(TEXT(A131,"0"),7,2))</f>
        <v>46058</v>
      </c>
      <c r="D131" s="3">
        <v>1</v>
      </c>
      <c r="E131" s="3">
        <v>119000</v>
      </c>
      <c r="F131" s="3">
        <v>119000</v>
      </c>
      <c r="G131" s="3">
        <v>82110</v>
      </c>
      <c r="H131" s="25">
        <v>61496</v>
      </c>
    </row>
    <row r="132" spans="1:8" x14ac:dyDescent="0.3">
      <c r="A132" s="64">
        <v>20260205995598</v>
      </c>
      <c r="B132" t="s">
        <v>41</v>
      </c>
      <c r="C132" s="65">
        <f t="shared" si="2"/>
        <v>46058</v>
      </c>
      <c r="D132" s="3">
        <v>1</v>
      </c>
      <c r="E132" s="3">
        <v>119000</v>
      </c>
      <c r="F132" s="3">
        <v>119000</v>
      </c>
      <c r="G132" s="3">
        <v>82110</v>
      </c>
      <c r="H132" s="25">
        <v>61496</v>
      </c>
    </row>
    <row r="133" spans="1:8" x14ac:dyDescent="0.3">
      <c r="A133" s="64">
        <v>20260205994093</v>
      </c>
      <c r="B133" t="s">
        <v>41</v>
      </c>
      <c r="C133" s="65">
        <f t="shared" si="2"/>
        <v>46058</v>
      </c>
      <c r="D133" s="3">
        <v>1</v>
      </c>
      <c r="E133" s="3">
        <v>119000</v>
      </c>
      <c r="F133" s="3">
        <v>119000</v>
      </c>
      <c r="G133" s="3">
        <v>82110</v>
      </c>
      <c r="H133" s="25">
        <v>61496</v>
      </c>
    </row>
    <row r="134" spans="1:8" x14ac:dyDescent="0.3">
      <c r="A134" s="64">
        <v>20260205994741</v>
      </c>
      <c r="B134" t="s">
        <v>41</v>
      </c>
      <c r="C134" s="65">
        <f t="shared" si="2"/>
        <v>46058</v>
      </c>
      <c r="D134" s="3">
        <v>1</v>
      </c>
      <c r="E134" s="3">
        <v>119000</v>
      </c>
      <c r="F134" s="3">
        <v>109000</v>
      </c>
      <c r="G134" s="3">
        <v>82110</v>
      </c>
      <c r="H134" s="25">
        <v>61496</v>
      </c>
    </row>
    <row r="135" spans="1:8" x14ac:dyDescent="0.3">
      <c r="A135" s="64">
        <v>20260205993823</v>
      </c>
      <c r="B135" t="s">
        <v>41</v>
      </c>
      <c r="C135" s="65">
        <f t="shared" si="2"/>
        <v>46058</v>
      </c>
      <c r="D135" s="3">
        <v>1</v>
      </c>
      <c r="E135" s="3">
        <v>119000</v>
      </c>
      <c r="F135" s="3">
        <v>119000</v>
      </c>
      <c r="G135" s="3">
        <v>82110</v>
      </c>
      <c r="H135" s="25">
        <v>61496</v>
      </c>
    </row>
    <row r="136" spans="1:8" x14ac:dyDescent="0.3">
      <c r="A136" s="64">
        <v>20260205993746</v>
      </c>
      <c r="B136" t="s">
        <v>41</v>
      </c>
      <c r="C136" s="65">
        <f t="shared" si="2"/>
        <v>46058</v>
      </c>
      <c r="D136" s="3">
        <v>2</v>
      </c>
      <c r="E136" s="3">
        <v>119000</v>
      </c>
      <c r="F136" s="3">
        <v>238000</v>
      </c>
      <c r="G136" s="3">
        <v>164220</v>
      </c>
      <c r="H136" s="25">
        <v>122992</v>
      </c>
    </row>
    <row r="137" spans="1:8" x14ac:dyDescent="0.3">
      <c r="A137" s="64">
        <v>20260205993743</v>
      </c>
      <c r="B137" t="s">
        <v>41</v>
      </c>
      <c r="C137" s="65">
        <f t="shared" si="2"/>
        <v>46058</v>
      </c>
      <c r="D137" s="3">
        <v>1</v>
      </c>
      <c r="E137" s="3">
        <v>119000</v>
      </c>
      <c r="F137" s="3">
        <v>119000</v>
      </c>
      <c r="G137" s="3">
        <v>82110</v>
      </c>
      <c r="H137" s="25">
        <v>61496</v>
      </c>
    </row>
    <row r="138" spans="1:8" x14ac:dyDescent="0.3">
      <c r="A138" s="64">
        <v>20260205993518</v>
      </c>
      <c r="B138" t="s">
        <v>41</v>
      </c>
      <c r="C138" s="65">
        <f t="shared" si="2"/>
        <v>46058</v>
      </c>
      <c r="D138" s="3">
        <v>1</v>
      </c>
      <c r="E138" s="3">
        <v>119000</v>
      </c>
      <c r="F138" s="3">
        <v>99960</v>
      </c>
      <c r="G138" s="3">
        <v>82110</v>
      </c>
      <c r="H138" s="25">
        <v>61496</v>
      </c>
    </row>
    <row r="139" spans="1:8" x14ac:dyDescent="0.3">
      <c r="A139" s="64">
        <v>20260205993886</v>
      </c>
      <c r="B139" t="s">
        <v>41</v>
      </c>
      <c r="C139" s="65">
        <f t="shared" si="2"/>
        <v>46058</v>
      </c>
      <c r="D139" s="3">
        <v>1</v>
      </c>
      <c r="E139" s="3">
        <v>119000</v>
      </c>
      <c r="F139" s="3">
        <v>119000</v>
      </c>
      <c r="G139" s="3">
        <v>82110</v>
      </c>
      <c r="H139" s="25">
        <v>61496</v>
      </c>
    </row>
    <row r="140" spans="1:8" x14ac:dyDescent="0.3">
      <c r="A140" s="64">
        <v>20260205993347</v>
      </c>
      <c r="B140" t="s">
        <v>41</v>
      </c>
      <c r="C140" s="65">
        <f t="shared" si="2"/>
        <v>46058</v>
      </c>
      <c r="D140" s="3">
        <v>1</v>
      </c>
      <c r="E140" s="3">
        <v>119000</v>
      </c>
      <c r="F140" s="3">
        <v>109000</v>
      </c>
      <c r="G140" s="3">
        <v>82110</v>
      </c>
      <c r="H140" s="25">
        <v>61496</v>
      </c>
    </row>
    <row r="141" spans="1:8" x14ac:dyDescent="0.3">
      <c r="A141" s="64">
        <v>20260205992569</v>
      </c>
      <c r="B141" t="s">
        <v>41</v>
      </c>
      <c r="C141" s="65">
        <f t="shared" si="2"/>
        <v>46058</v>
      </c>
      <c r="D141" s="3">
        <v>1</v>
      </c>
      <c r="E141" s="3">
        <v>119000</v>
      </c>
      <c r="F141" s="3">
        <v>119000</v>
      </c>
      <c r="G141" s="3">
        <v>82110</v>
      </c>
      <c r="H141" s="25">
        <v>61496</v>
      </c>
    </row>
    <row r="142" spans="1:8" x14ac:dyDescent="0.3">
      <c r="A142" s="64">
        <v>20260205992662</v>
      </c>
      <c r="B142" t="s">
        <v>41</v>
      </c>
      <c r="C142" s="65">
        <f t="shared" si="2"/>
        <v>46058</v>
      </c>
      <c r="D142" s="3">
        <v>1</v>
      </c>
      <c r="E142" s="3">
        <v>119000</v>
      </c>
      <c r="F142" s="3">
        <v>119000</v>
      </c>
      <c r="G142" s="3">
        <v>82110</v>
      </c>
      <c r="H142" s="25">
        <v>61496</v>
      </c>
    </row>
    <row r="143" spans="1:8" x14ac:dyDescent="0.3">
      <c r="A143" s="64">
        <v>20260205993291</v>
      </c>
      <c r="B143" t="s">
        <v>41</v>
      </c>
      <c r="C143" s="65">
        <f t="shared" si="2"/>
        <v>46058</v>
      </c>
      <c r="D143" s="3">
        <v>1</v>
      </c>
      <c r="E143" s="3">
        <v>119000</v>
      </c>
      <c r="F143" s="3">
        <v>119000</v>
      </c>
      <c r="G143" s="3">
        <v>82110</v>
      </c>
      <c r="H143" s="25">
        <v>61496</v>
      </c>
    </row>
    <row r="144" spans="1:8" x14ac:dyDescent="0.3">
      <c r="A144" s="64">
        <v>20260205995260</v>
      </c>
      <c r="B144" t="s">
        <v>41</v>
      </c>
      <c r="C144" s="65">
        <f t="shared" si="2"/>
        <v>46058</v>
      </c>
      <c r="D144" s="3">
        <v>1</v>
      </c>
      <c r="E144" s="3">
        <v>119000</v>
      </c>
      <c r="F144" s="3">
        <v>119000</v>
      </c>
      <c r="G144" s="3">
        <v>82110</v>
      </c>
      <c r="H144" s="25">
        <v>61496</v>
      </c>
    </row>
    <row r="145" spans="1:8" x14ac:dyDescent="0.3">
      <c r="A145" s="64">
        <v>20260205995397</v>
      </c>
      <c r="B145" t="s">
        <v>41</v>
      </c>
      <c r="C145" s="65">
        <f t="shared" si="2"/>
        <v>46058</v>
      </c>
      <c r="D145" s="3">
        <v>1</v>
      </c>
      <c r="E145" s="3">
        <v>119000</v>
      </c>
      <c r="F145" s="3">
        <v>119000</v>
      </c>
      <c r="G145" s="3">
        <v>82110</v>
      </c>
      <c r="H145" s="25">
        <v>61496</v>
      </c>
    </row>
    <row r="146" spans="1:8" x14ac:dyDescent="0.3">
      <c r="A146" s="64">
        <v>20260205997063</v>
      </c>
      <c r="B146" t="s">
        <v>41</v>
      </c>
      <c r="C146" s="65">
        <f t="shared" si="2"/>
        <v>46058</v>
      </c>
      <c r="D146" s="3">
        <v>1</v>
      </c>
      <c r="E146" s="3">
        <v>119000</v>
      </c>
      <c r="F146" s="3">
        <v>119000</v>
      </c>
      <c r="G146" s="3">
        <v>82110</v>
      </c>
      <c r="H146" s="25">
        <v>61496</v>
      </c>
    </row>
    <row r="147" spans="1:8" x14ac:dyDescent="0.3">
      <c r="A147" s="64">
        <v>20260205994666</v>
      </c>
      <c r="B147" t="s">
        <v>41</v>
      </c>
      <c r="C147" s="65">
        <f t="shared" si="2"/>
        <v>46058</v>
      </c>
      <c r="D147" s="3">
        <v>1</v>
      </c>
      <c r="E147" s="3">
        <v>119000</v>
      </c>
      <c r="F147" s="3">
        <v>119000</v>
      </c>
      <c r="G147" s="3">
        <v>82110</v>
      </c>
      <c r="H147" s="25">
        <v>61496</v>
      </c>
    </row>
    <row r="148" spans="1:8" x14ac:dyDescent="0.3">
      <c r="A148" s="64">
        <v>20260206628960</v>
      </c>
      <c r="B148" t="s">
        <v>41</v>
      </c>
      <c r="C148" s="65">
        <f t="shared" si="2"/>
        <v>46059</v>
      </c>
      <c r="D148" s="3">
        <v>1</v>
      </c>
      <c r="E148" s="3">
        <v>119000</v>
      </c>
      <c r="F148" s="3">
        <v>119000</v>
      </c>
      <c r="G148" s="3">
        <v>82110</v>
      </c>
      <c r="H148" s="25">
        <v>61496</v>
      </c>
    </row>
    <row r="149" spans="1:8" x14ac:dyDescent="0.3">
      <c r="A149" s="64">
        <v>20260205995524</v>
      </c>
      <c r="B149" t="s">
        <v>41</v>
      </c>
      <c r="C149" s="65">
        <f t="shared" si="2"/>
        <v>46058</v>
      </c>
      <c r="D149" s="3">
        <v>1</v>
      </c>
      <c r="E149" s="3">
        <v>119000</v>
      </c>
      <c r="F149" s="3">
        <v>119000</v>
      </c>
      <c r="G149" s="3">
        <v>82110</v>
      </c>
      <c r="H149" s="25">
        <v>61496</v>
      </c>
    </row>
    <row r="150" spans="1:8" x14ac:dyDescent="0.3">
      <c r="A150" s="64">
        <v>20260205994107</v>
      </c>
      <c r="B150" t="s">
        <v>41</v>
      </c>
      <c r="C150" s="65">
        <f t="shared" si="2"/>
        <v>46058</v>
      </c>
      <c r="D150" s="3">
        <v>1</v>
      </c>
      <c r="E150" s="3">
        <v>119000</v>
      </c>
      <c r="F150" s="3">
        <v>119000</v>
      </c>
      <c r="G150" s="3">
        <v>82110</v>
      </c>
      <c r="H150" s="25">
        <v>61496</v>
      </c>
    </row>
    <row r="151" spans="1:8" x14ac:dyDescent="0.3">
      <c r="A151" s="64">
        <v>20260205995032</v>
      </c>
      <c r="B151" t="s">
        <v>41</v>
      </c>
      <c r="C151" s="65">
        <f t="shared" si="2"/>
        <v>46058</v>
      </c>
      <c r="D151" s="3">
        <v>1</v>
      </c>
      <c r="E151" s="3">
        <v>119000</v>
      </c>
      <c r="F151" s="3">
        <v>119000</v>
      </c>
      <c r="G151" s="3">
        <v>82110</v>
      </c>
      <c r="H151" s="25">
        <v>61496</v>
      </c>
    </row>
    <row r="152" spans="1:8" x14ac:dyDescent="0.3">
      <c r="A152" s="64">
        <v>20260205995095</v>
      </c>
      <c r="B152" t="s">
        <v>41</v>
      </c>
      <c r="C152" s="65">
        <f t="shared" si="2"/>
        <v>46058</v>
      </c>
      <c r="D152" s="3">
        <v>1</v>
      </c>
      <c r="E152" s="3">
        <v>119000</v>
      </c>
      <c r="F152" s="3">
        <v>119000</v>
      </c>
      <c r="G152" s="3">
        <v>82110</v>
      </c>
      <c r="H152" s="25">
        <v>61496</v>
      </c>
    </row>
    <row r="153" spans="1:8" x14ac:dyDescent="0.3">
      <c r="A153" s="64">
        <v>20260205994275</v>
      </c>
      <c r="B153" t="s">
        <v>41</v>
      </c>
      <c r="C153" s="65">
        <f t="shared" si="2"/>
        <v>46058</v>
      </c>
      <c r="D153" s="3">
        <v>1</v>
      </c>
      <c r="E153" s="3">
        <v>119000</v>
      </c>
      <c r="F153" s="3">
        <v>119000</v>
      </c>
      <c r="G153" s="3">
        <v>82110</v>
      </c>
      <c r="H153" s="25">
        <v>61496</v>
      </c>
    </row>
    <row r="154" spans="1:8" x14ac:dyDescent="0.3">
      <c r="A154" s="64">
        <v>20260205994238</v>
      </c>
      <c r="B154" t="s">
        <v>41</v>
      </c>
      <c r="C154" s="65">
        <f t="shared" si="2"/>
        <v>46058</v>
      </c>
      <c r="D154" s="3">
        <v>1</v>
      </c>
      <c r="E154" s="3">
        <v>119000</v>
      </c>
      <c r="F154" s="3">
        <v>119000</v>
      </c>
      <c r="G154" s="3">
        <v>82110</v>
      </c>
      <c r="H154" s="25">
        <v>61496</v>
      </c>
    </row>
    <row r="155" spans="1:8" x14ac:dyDescent="0.3">
      <c r="A155" s="64">
        <v>20260206629059</v>
      </c>
      <c r="B155" t="s">
        <v>41</v>
      </c>
      <c r="C155" s="65">
        <f t="shared" si="2"/>
        <v>46059</v>
      </c>
      <c r="D155" s="3">
        <v>1</v>
      </c>
      <c r="E155" s="3">
        <v>119000</v>
      </c>
      <c r="F155" s="3">
        <v>119000</v>
      </c>
      <c r="G155" s="3">
        <v>82110</v>
      </c>
      <c r="H155" s="25">
        <v>61496</v>
      </c>
    </row>
    <row r="156" spans="1:8" x14ac:dyDescent="0.3">
      <c r="A156" s="64">
        <v>20260205997716</v>
      </c>
      <c r="B156" t="s">
        <v>41</v>
      </c>
      <c r="C156" s="65">
        <f t="shared" si="2"/>
        <v>46058</v>
      </c>
      <c r="D156" s="3">
        <v>1</v>
      </c>
      <c r="E156" s="3">
        <v>119000</v>
      </c>
      <c r="F156" s="3">
        <v>114000</v>
      </c>
      <c r="G156" s="3">
        <v>82110</v>
      </c>
      <c r="H156" s="25">
        <v>61496</v>
      </c>
    </row>
    <row r="157" spans="1:8" x14ac:dyDescent="0.3">
      <c r="A157" s="64">
        <v>20260205994854</v>
      </c>
      <c r="B157" t="s">
        <v>41</v>
      </c>
      <c r="C157" s="65">
        <f t="shared" si="2"/>
        <v>46058</v>
      </c>
      <c r="D157" s="3">
        <v>1</v>
      </c>
      <c r="E157" s="3">
        <v>119000</v>
      </c>
      <c r="F157" s="3">
        <v>119000</v>
      </c>
      <c r="G157" s="3">
        <v>82110</v>
      </c>
      <c r="H157" s="25">
        <v>61496</v>
      </c>
    </row>
    <row r="158" spans="1:8" x14ac:dyDescent="0.3">
      <c r="A158" s="64">
        <v>20260205995046</v>
      </c>
      <c r="B158" t="s">
        <v>41</v>
      </c>
      <c r="C158" s="65">
        <f t="shared" si="2"/>
        <v>46058</v>
      </c>
      <c r="D158" s="3">
        <v>1</v>
      </c>
      <c r="E158" s="3">
        <v>119000</v>
      </c>
      <c r="F158" s="3">
        <v>119000</v>
      </c>
      <c r="G158" s="3">
        <v>82110</v>
      </c>
      <c r="H158" s="25">
        <v>61496</v>
      </c>
    </row>
    <row r="159" spans="1:8" x14ac:dyDescent="0.3">
      <c r="A159" s="64">
        <v>20260205992812</v>
      </c>
      <c r="B159" t="s">
        <v>41</v>
      </c>
      <c r="C159" s="65">
        <f t="shared" si="2"/>
        <v>46058</v>
      </c>
      <c r="D159" s="3">
        <v>1</v>
      </c>
      <c r="E159" s="3">
        <v>119000</v>
      </c>
      <c r="F159" s="3">
        <v>119000</v>
      </c>
      <c r="G159" s="3">
        <v>82110</v>
      </c>
      <c r="H159" s="25">
        <v>61496</v>
      </c>
    </row>
    <row r="160" spans="1:8" x14ac:dyDescent="0.3">
      <c r="A160" s="64">
        <v>20260205993048</v>
      </c>
      <c r="B160" t="s">
        <v>41</v>
      </c>
      <c r="C160" s="65">
        <f t="shared" si="2"/>
        <v>46058</v>
      </c>
      <c r="D160" s="3">
        <v>1</v>
      </c>
      <c r="E160" s="3">
        <v>119000</v>
      </c>
      <c r="F160" s="3">
        <v>119000</v>
      </c>
      <c r="G160" s="3">
        <v>82110</v>
      </c>
      <c r="H160" s="25">
        <v>61496</v>
      </c>
    </row>
    <row r="161" spans="1:8" x14ac:dyDescent="0.3">
      <c r="A161" s="64">
        <v>20260205993092</v>
      </c>
      <c r="B161" t="s">
        <v>41</v>
      </c>
      <c r="C161" s="65">
        <f t="shared" si="2"/>
        <v>46058</v>
      </c>
      <c r="D161" s="3">
        <v>1</v>
      </c>
      <c r="E161" s="3">
        <v>119000</v>
      </c>
      <c r="F161" s="3">
        <v>119000</v>
      </c>
      <c r="G161" s="3">
        <v>82110</v>
      </c>
      <c r="H161" s="25">
        <v>61496</v>
      </c>
    </row>
    <row r="162" spans="1:8" x14ac:dyDescent="0.3">
      <c r="A162" s="64">
        <v>20260205993598</v>
      </c>
      <c r="B162" t="s">
        <v>41</v>
      </c>
      <c r="C162" s="65">
        <f t="shared" si="2"/>
        <v>46058</v>
      </c>
      <c r="D162" s="3">
        <v>1</v>
      </c>
      <c r="E162" s="3">
        <v>119000</v>
      </c>
      <c r="F162" s="3">
        <v>119000</v>
      </c>
      <c r="G162" s="3">
        <v>82110</v>
      </c>
      <c r="H162" s="25">
        <v>61496</v>
      </c>
    </row>
    <row r="163" spans="1:8" x14ac:dyDescent="0.3">
      <c r="A163" s="64">
        <v>20260205995045</v>
      </c>
      <c r="B163" t="s">
        <v>41</v>
      </c>
      <c r="C163" s="65">
        <f t="shared" si="2"/>
        <v>46058</v>
      </c>
      <c r="D163" s="3">
        <v>1</v>
      </c>
      <c r="E163" s="3">
        <v>119000</v>
      </c>
      <c r="F163" s="3">
        <v>119000</v>
      </c>
      <c r="G163" s="3">
        <v>82110</v>
      </c>
      <c r="H163" s="25">
        <v>61496</v>
      </c>
    </row>
    <row r="164" spans="1:8" x14ac:dyDescent="0.3">
      <c r="A164" s="64">
        <v>20260205993918</v>
      </c>
      <c r="B164" t="s">
        <v>41</v>
      </c>
      <c r="C164" s="65">
        <f t="shared" si="2"/>
        <v>46058</v>
      </c>
      <c r="D164" s="3">
        <v>1</v>
      </c>
      <c r="E164" s="3">
        <v>119000</v>
      </c>
      <c r="F164" s="3">
        <v>99960</v>
      </c>
      <c r="G164" s="3">
        <v>82110</v>
      </c>
      <c r="H164" s="25">
        <v>61496</v>
      </c>
    </row>
    <row r="165" spans="1:8" x14ac:dyDescent="0.3">
      <c r="A165" s="64">
        <v>20260205995159</v>
      </c>
      <c r="B165" t="s">
        <v>41</v>
      </c>
      <c r="C165" s="65">
        <f t="shared" si="2"/>
        <v>46058</v>
      </c>
      <c r="D165" s="3">
        <v>1</v>
      </c>
      <c r="E165" s="3">
        <v>119000</v>
      </c>
      <c r="F165" s="3">
        <v>119000</v>
      </c>
      <c r="G165" s="3">
        <v>82110</v>
      </c>
      <c r="H165" s="25">
        <v>61496</v>
      </c>
    </row>
    <row r="166" spans="1:8" x14ac:dyDescent="0.3">
      <c r="A166" s="64">
        <v>20260205995312</v>
      </c>
      <c r="B166" t="s">
        <v>41</v>
      </c>
      <c r="C166" s="65">
        <f t="shared" si="2"/>
        <v>46058</v>
      </c>
      <c r="D166" s="3">
        <v>1</v>
      </c>
      <c r="E166" s="3">
        <v>119000</v>
      </c>
      <c r="F166" s="3">
        <v>119000</v>
      </c>
      <c r="G166" s="3">
        <v>82110</v>
      </c>
      <c r="H166" s="25">
        <v>61496</v>
      </c>
    </row>
    <row r="167" spans="1:8" x14ac:dyDescent="0.3">
      <c r="A167" s="64">
        <v>20260205994825</v>
      </c>
      <c r="B167" t="s">
        <v>41</v>
      </c>
      <c r="C167" s="65">
        <f t="shared" si="2"/>
        <v>46058</v>
      </c>
      <c r="D167" s="3">
        <v>1</v>
      </c>
      <c r="E167" s="3">
        <v>119000</v>
      </c>
      <c r="F167" s="3">
        <v>119000</v>
      </c>
      <c r="G167" s="3">
        <v>82110</v>
      </c>
      <c r="H167" s="25">
        <v>61496</v>
      </c>
    </row>
    <row r="168" spans="1:8" x14ac:dyDescent="0.3">
      <c r="A168" s="64">
        <v>20260205994949</v>
      </c>
      <c r="B168" t="s">
        <v>41</v>
      </c>
      <c r="C168" s="65">
        <f t="shared" si="2"/>
        <v>46058</v>
      </c>
      <c r="D168" s="3">
        <v>1</v>
      </c>
      <c r="E168" s="3">
        <v>119000</v>
      </c>
      <c r="F168" s="3">
        <v>103550</v>
      </c>
      <c r="G168" s="3">
        <v>82110</v>
      </c>
      <c r="H168" s="25">
        <v>61496</v>
      </c>
    </row>
    <row r="169" spans="1:8" x14ac:dyDescent="0.3">
      <c r="A169" s="64">
        <v>20260205994979</v>
      </c>
      <c r="B169" t="s">
        <v>41</v>
      </c>
      <c r="C169" s="65">
        <f t="shared" si="2"/>
        <v>46058</v>
      </c>
      <c r="D169" s="3">
        <v>1</v>
      </c>
      <c r="E169" s="3">
        <v>119000</v>
      </c>
      <c r="F169" s="3">
        <v>119000</v>
      </c>
      <c r="G169" s="3">
        <v>82110</v>
      </c>
      <c r="H169" s="25">
        <v>61496</v>
      </c>
    </row>
    <row r="170" spans="1:8" x14ac:dyDescent="0.3">
      <c r="A170" s="64">
        <v>20260205993513</v>
      </c>
      <c r="B170" t="s">
        <v>41</v>
      </c>
      <c r="C170" s="65">
        <f t="shared" si="2"/>
        <v>46058</v>
      </c>
      <c r="D170" s="3">
        <v>1</v>
      </c>
      <c r="E170" s="3">
        <v>119000</v>
      </c>
      <c r="F170" s="3">
        <v>96390</v>
      </c>
      <c r="G170" s="3">
        <v>82110</v>
      </c>
      <c r="H170" s="25">
        <v>61496</v>
      </c>
    </row>
    <row r="171" spans="1:8" x14ac:dyDescent="0.3">
      <c r="A171" s="64">
        <v>20260205995604</v>
      </c>
      <c r="B171" t="s">
        <v>41</v>
      </c>
      <c r="C171" s="65">
        <f t="shared" si="2"/>
        <v>46058</v>
      </c>
      <c r="D171" s="3">
        <v>1</v>
      </c>
      <c r="E171" s="3">
        <v>119000</v>
      </c>
      <c r="F171" s="3">
        <v>119000</v>
      </c>
      <c r="G171" s="3">
        <v>82110</v>
      </c>
      <c r="H171" s="25">
        <v>61496</v>
      </c>
    </row>
    <row r="172" spans="1:8" x14ac:dyDescent="0.3">
      <c r="A172" s="64">
        <v>20260205995517</v>
      </c>
      <c r="B172" t="s">
        <v>41</v>
      </c>
      <c r="C172" s="65">
        <f t="shared" si="2"/>
        <v>46058</v>
      </c>
      <c r="D172" s="3">
        <v>1</v>
      </c>
      <c r="E172" s="3">
        <v>119000</v>
      </c>
      <c r="F172" s="3">
        <v>105910</v>
      </c>
      <c r="G172" s="3">
        <v>82110</v>
      </c>
      <c r="H172" s="25">
        <v>61496</v>
      </c>
    </row>
    <row r="173" spans="1:8" x14ac:dyDescent="0.3">
      <c r="A173" s="64">
        <v>20260205995098</v>
      </c>
      <c r="B173" t="s">
        <v>41</v>
      </c>
      <c r="C173" s="65">
        <f t="shared" si="2"/>
        <v>46058</v>
      </c>
      <c r="D173" s="3">
        <v>1</v>
      </c>
      <c r="E173" s="3">
        <v>119000</v>
      </c>
      <c r="F173" s="3">
        <v>119000</v>
      </c>
      <c r="G173" s="3">
        <v>82110</v>
      </c>
      <c r="H173" s="25">
        <v>61496</v>
      </c>
    </row>
    <row r="174" spans="1:8" x14ac:dyDescent="0.3">
      <c r="A174" s="64">
        <v>20260205994449</v>
      </c>
      <c r="B174" t="s">
        <v>41</v>
      </c>
      <c r="C174" s="65">
        <f t="shared" si="2"/>
        <v>46058</v>
      </c>
      <c r="D174" s="3">
        <v>1</v>
      </c>
      <c r="E174" s="3">
        <v>119000</v>
      </c>
      <c r="F174" s="3">
        <v>119000</v>
      </c>
      <c r="G174" s="3">
        <v>82110</v>
      </c>
      <c r="H174" s="25">
        <v>61496</v>
      </c>
    </row>
    <row r="175" spans="1:8" x14ac:dyDescent="0.3">
      <c r="A175" s="64">
        <v>20260205993692</v>
      </c>
      <c r="B175" t="s">
        <v>41</v>
      </c>
      <c r="C175" s="65">
        <f t="shared" si="2"/>
        <v>46058</v>
      </c>
      <c r="D175" s="3">
        <v>1</v>
      </c>
      <c r="E175" s="3">
        <v>119000</v>
      </c>
      <c r="F175" s="3">
        <v>119000</v>
      </c>
      <c r="G175" s="3">
        <v>82110</v>
      </c>
      <c r="H175" s="25">
        <v>61496</v>
      </c>
    </row>
    <row r="176" spans="1:8" x14ac:dyDescent="0.3">
      <c r="A176" s="64">
        <v>20260205994013</v>
      </c>
      <c r="B176" t="s">
        <v>41</v>
      </c>
      <c r="C176" s="65">
        <f t="shared" si="2"/>
        <v>46058</v>
      </c>
      <c r="D176" s="3">
        <v>1</v>
      </c>
      <c r="E176" s="3">
        <v>119000</v>
      </c>
      <c r="F176" s="3">
        <v>113050</v>
      </c>
      <c r="G176" s="3">
        <v>82110</v>
      </c>
      <c r="H176" s="25">
        <v>61496</v>
      </c>
    </row>
    <row r="177" spans="1:8" x14ac:dyDescent="0.3">
      <c r="A177" s="64">
        <v>20260205993305</v>
      </c>
      <c r="B177" t="s">
        <v>41</v>
      </c>
      <c r="C177" s="65">
        <f t="shared" si="2"/>
        <v>46058</v>
      </c>
      <c r="D177" s="3">
        <v>1</v>
      </c>
      <c r="E177" s="3">
        <v>119000</v>
      </c>
      <c r="F177" s="3">
        <v>113050</v>
      </c>
      <c r="G177" s="3">
        <v>82110</v>
      </c>
      <c r="H177" s="25">
        <v>61496</v>
      </c>
    </row>
    <row r="178" spans="1:8" x14ac:dyDescent="0.3">
      <c r="A178" s="64">
        <v>20260205992338</v>
      </c>
      <c r="B178" t="s">
        <v>41</v>
      </c>
      <c r="C178" s="65">
        <f t="shared" si="2"/>
        <v>46058</v>
      </c>
      <c r="D178" s="3">
        <v>1</v>
      </c>
      <c r="E178" s="3">
        <v>119000</v>
      </c>
      <c r="F178" s="3">
        <v>119000</v>
      </c>
      <c r="G178" s="3">
        <v>82110</v>
      </c>
      <c r="H178" s="25">
        <v>61496</v>
      </c>
    </row>
    <row r="179" spans="1:8" x14ac:dyDescent="0.3">
      <c r="A179" s="64">
        <v>20260205992763</v>
      </c>
      <c r="B179" t="s">
        <v>41</v>
      </c>
      <c r="C179" s="65">
        <f t="shared" si="2"/>
        <v>46058</v>
      </c>
      <c r="D179" s="3">
        <v>1</v>
      </c>
      <c r="E179" s="3">
        <v>119000</v>
      </c>
      <c r="F179" s="3">
        <v>119000</v>
      </c>
      <c r="G179" s="3">
        <v>82110</v>
      </c>
      <c r="H179" s="25">
        <v>61496</v>
      </c>
    </row>
    <row r="180" spans="1:8" x14ac:dyDescent="0.3">
      <c r="A180" s="64">
        <v>20260205992914</v>
      </c>
      <c r="B180" t="s">
        <v>41</v>
      </c>
      <c r="C180" s="65">
        <f t="shared" si="2"/>
        <v>46058</v>
      </c>
      <c r="D180" s="3">
        <v>1</v>
      </c>
      <c r="E180" s="3">
        <v>119000</v>
      </c>
      <c r="F180" s="3">
        <v>119000</v>
      </c>
      <c r="G180" s="3">
        <v>82110</v>
      </c>
      <c r="H180" s="25">
        <v>61496</v>
      </c>
    </row>
    <row r="181" spans="1:8" x14ac:dyDescent="0.3">
      <c r="A181" s="64">
        <v>20260205992756</v>
      </c>
      <c r="B181" t="s">
        <v>41</v>
      </c>
      <c r="C181" s="65">
        <f t="shared" si="2"/>
        <v>46058</v>
      </c>
      <c r="D181" s="3">
        <v>2</v>
      </c>
      <c r="E181" s="3">
        <v>119000</v>
      </c>
      <c r="F181" s="3">
        <v>192780</v>
      </c>
      <c r="G181" s="3">
        <v>164220</v>
      </c>
      <c r="H181" s="25">
        <v>122992</v>
      </c>
    </row>
    <row r="182" spans="1:8" x14ac:dyDescent="0.3">
      <c r="A182" s="64">
        <v>20260205993968</v>
      </c>
      <c r="B182" t="s">
        <v>41</v>
      </c>
      <c r="C182" s="65">
        <f t="shared" si="2"/>
        <v>46058</v>
      </c>
      <c r="D182" s="3">
        <v>1</v>
      </c>
      <c r="E182" s="3">
        <v>119000</v>
      </c>
      <c r="F182" s="3">
        <v>119000</v>
      </c>
      <c r="G182" s="3">
        <v>82110</v>
      </c>
      <c r="H182" s="25">
        <v>61496</v>
      </c>
    </row>
    <row r="183" spans="1:8" x14ac:dyDescent="0.3">
      <c r="A183" s="64">
        <v>20260205994732</v>
      </c>
      <c r="B183" t="s">
        <v>41</v>
      </c>
      <c r="C183" s="65">
        <f t="shared" si="2"/>
        <v>46058</v>
      </c>
      <c r="D183" s="3">
        <v>1</v>
      </c>
      <c r="E183" s="3">
        <v>119000</v>
      </c>
      <c r="F183" s="3">
        <v>119000</v>
      </c>
      <c r="G183" s="3">
        <v>82110</v>
      </c>
      <c r="H183" s="25">
        <v>61496</v>
      </c>
    </row>
    <row r="184" spans="1:8" x14ac:dyDescent="0.3">
      <c r="A184" s="64">
        <v>20260205994658</v>
      </c>
      <c r="B184" t="s">
        <v>41</v>
      </c>
      <c r="C184" s="65">
        <f t="shared" si="2"/>
        <v>46058</v>
      </c>
      <c r="D184" s="3">
        <v>1</v>
      </c>
      <c r="E184" s="3">
        <v>119000</v>
      </c>
      <c r="F184" s="3">
        <v>119000</v>
      </c>
      <c r="G184" s="3">
        <v>82110</v>
      </c>
      <c r="H184" s="25">
        <v>61496</v>
      </c>
    </row>
    <row r="185" spans="1:8" x14ac:dyDescent="0.3">
      <c r="A185" s="64">
        <v>20260205994878</v>
      </c>
      <c r="B185" t="s">
        <v>41</v>
      </c>
      <c r="C185" s="65">
        <f t="shared" si="2"/>
        <v>46058</v>
      </c>
      <c r="D185" s="3">
        <v>1</v>
      </c>
      <c r="E185" s="3">
        <v>119000</v>
      </c>
      <c r="F185" s="3">
        <v>113050</v>
      </c>
      <c r="G185" s="3">
        <v>82110</v>
      </c>
      <c r="H185" s="25">
        <v>61496</v>
      </c>
    </row>
    <row r="186" spans="1:8" x14ac:dyDescent="0.3">
      <c r="A186" s="64">
        <v>20260205996662</v>
      </c>
      <c r="B186" t="s">
        <v>41</v>
      </c>
      <c r="C186" s="65">
        <f t="shared" si="2"/>
        <v>46058</v>
      </c>
      <c r="D186" s="3">
        <v>1</v>
      </c>
      <c r="E186" s="3">
        <v>119000</v>
      </c>
      <c r="F186" s="3">
        <v>109000</v>
      </c>
      <c r="G186" s="3">
        <v>82110</v>
      </c>
      <c r="H186" s="25">
        <v>61496</v>
      </c>
    </row>
    <row r="187" spans="1:8" x14ac:dyDescent="0.3">
      <c r="A187" s="64">
        <v>20260205994173</v>
      </c>
      <c r="B187" t="s">
        <v>41</v>
      </c>
      <c r="C187" s="65">
        <f t="shared" si="2"/>
        <v>46058</v>
      </c>
      <c r="D187" s="3">
        <v>1</v>
      </c>
      <c r="E187" s="3">
        <v>119000</v>
      </c>
      <c r="F187" s="3">
        <v>105910</v>
      </c>
      <c r="G187" s="3">
        <v>82110</v>
      </c>
      <c r="H187" s="25">
        <v>61496</v>
      </c>
    </row>
    <row r="188" spans="1:8" x14ac:dyDescent="0.3">
      <c r="A188" s="64">
        <v>20260205992741</v>
      </c>
      <c r="B188" t="s">
        <v>41</v>
      </c>
      <c r="C188" s="65">
        <f t="shared" si="2"/>
        <v>46058</v>
      </c>
      <c r="D188" s="3">
        <v>1</v>
      </c>
      <c r="E188" s="3">
        <v>119000</v>
      </c>
      <c r="F188" s="3">
        <v>119000</v>
      </c>
      <c r="G188" s="3">
        <v>82110</v>
      </c>
      <c r="H188" s="25">
        <v>61496</v>
      </c>
    </row>
    <row r="189" spans="1:8" x14ac:dyDescent="0.3">
      <c r="A189" s="64">
        <v>20260205992734</v>
      </c>
      <c r="B189" t="s">
        <v>41</v>
      </c>
      <c r="C189" s="65">
        <f t="shared" si="2"/>
        <v>46058</v>
      </c>
      <c r="D189" s="3">
        <v>1</v>
      </c>
      <c r="E189" s="3">
        <v>119000</v>
      </c>
      <c r="F189" s="3">
        <v>119000</v>
      </c>
      <c r="G189" s="3">
        <v>82110</v>
      </c>
      <c r="H189" s="25">
        <v>61496</v>
      </c>
    </row>
    <row r="190" spans="1:8" x14ac:dyDescent="0.3">
      <c r="A190" s="64">
        <v>20260205992797</v>
      </c>
      <c r="B190" t="s">
        <v>41</v>
      </c>
      <c r="C190" s="65">
        <f t="shared" si="2"/>
        <v>46058</v>
      </c>
      <c r="D190" s="3">
        <v>1</v>
      </c>
      <c r="E190" s="3">
        <v>119000</v>
      </c>
      <c r="F190" s="3">
        <v>105910</v>
      </c>
      <c r="G190" s="3">
        <v>82110</v>
      </c>
      <c r="H190" s="25">
        <v>61496</v>
      </c>
    </row>
    <row r="191" spans="1:8" x14ac:dyDescent="0.3">
      <c r="A191" s="64">
        <v>20260205994648</v>
      </c>
      <c r="B191" t="s">
        <v>41</v>
      </c>
      <c r="C191" s="65">
        <f t="shared" si="2"/>
        <v>46058</v>
      </c>
      <c r="D191" s="3">
        <v>1</v>
      </c>
      <c r="E191" s="3">
        <v>119000</v>
      </c>
      <c r="F191" s="3">
        <v>119000</v>
      </c>
      <c r="G191" s="3">
        <v>82110</v>
      </c>
      <c r="H191" s="25">
        <v>61496</v>
      </c>
    </row>
    <row r="192" spans="1:8" x14ac:dyDescent="0.3">
      <c r="A192" s="64">
        <v>20260205995119</v>
      </c>
      <c r="B192" t="s">
        <v>41</v>
      </c>
      <c r="C192" s="65">
        <f t="shared" si="2"/>
        <v>46058</v>
      </c>
      <c r="D192" s="3">
        <v>1</v>
      </c>
      <c r="E192" s="3">
        <v>119000</v>
      </c>
      <c r="F192" s="3">
        <v>109000</v>
      </c>
      <c r="G192" s="3">
        <v>82110</v>
      </c>
      <c r="H192" s="25">
        <v>61496</v>
      </c>
    </row>
    <row r="193" spans="1:8" x14ac:dyDescent="0.3">
      <c r="A193" s="64">
        <v>20260205994118</v>
      </c>
      <c r="B193" t="s">
        <v>41</v>
      </c>
      <c r="C193" s="65">
        <f t="shared" si="2"/>
        <v>46058</v>
      </c>
      <c r="D193" s="3">
        <v>1</v>
      </c>
      <c r="E193" s="3">
        <v>119000</v>
      </c>
      <c r="F193" s="3">
        <v>119000</v>
      </c>
      <c r="G193" s="3">
        <v>82110</v>
      </c>
      <c r="H193" s="25">
        <v>61496</v>
      </c>
    </row>
    <row r="194" spans="1:8" x14ac:dyDescent="0.3">
      <c r="A194" s="64">
        <v>20260205993710</v>
      </c>
      <c r="B194" t="s">
        <v>41</v>
      </c>
      <c r="C194" s="65">
        <f t="shared" si="2"/>
        <v>46058</v>
      </c>
      <c r="D194" s="3">
        <v>1</v>
      </c>
      <c r="E194" s="3">
        <v>119000</v>
      </c>
      <c r="F194" s="3">
        <v>119000</v>
      </c>
      <c r="G194" s="3">
        <v>82110</v>
      </c>
      <c r="H194" s="25">
        <v>61496</v>
      </c>
    </row>
    <row r="195" spans="1:8" x14ac:dyDescent="0.3">
      <c r="A195" s="64">
        <v>20260205993710</v>
      </c>
      <c r="B195" t="s">
        <v>41</v>
      </c>
      <c r="C195" s="65">
        <f t="shared" ref="C195:C258" si="3">DATE(LEFT(TEXT(A195,"0"),4),MID(TEXT(A195,"0"),5,2),MID(TEXT(A195,"0"),7,2))</f>
        <v>46058</v>
      </c>
      <c r="D195" s="3">
        <v>1</v>
      </c>
      <c r="E195" s="3">
        <v>119000</v>
      </c>
      <c r="F195" s="3">
        <v>119000</v>
      </c>
      <c r="G195" s="3">
        <v>82110</v>
      </c>
      <c r="H195" s="25">
        <v>61496</v>
      </c>
    </row>
    <row r="196" spans="1:8" x14ac:dyDescent="0.3">
      <c r="A196" s="64">
        <v>20260205994226</v>
      </c>
      <c r="B196" t="s">
        <v>41</v>
      </c>
      <c r="C196" s="65">
        <f t="shared" si="3"/>
        <v>46058</v>
      </c>
      <c r="D196" s="3">
        <v>1</v>
      </c>
      <c r="E196" s="3">
        <v>119000</v>
      </c>
      <c r="F196" s="3">
        <v>119000</v>
      </c>
      <c r="G196" s="3">
        <v>82110</v>
      </c>
      <c r="H196" s="25">
        <v>61496</v>
      </c>
    </row>
    <row r="197" spans="1:8" x14ac:dyDescent="0.3">
      <c r="A197" s="64">
        <v>20260205995392</v>
      </c>
      <c r="B197" t="s">
        <v>41</v>
      </c>
      <c r="C197" s="65">
        <f t="shared" si="3"/>
        <v>46058</v>
      </c>
      <c r="D197" s="3">
        <v>1</v>
      </c>
      <c r="E197" s="3">
        <v>119000</v>
      </c>
      <c r="F197" s="3">
        <v>119000</v>
      </c>
      <c r="G197" s="3">
        <v>82110</v>
      </c>
      <c r="H197" s="25">
        <v>61496</v>
      </c>
    </row>
    <row r="198" spans="1:8" x14ac:dyDescent="0.3">
      <c r="A198" s="64">
        <v>20260205994445</v>
      </c>
      <c r="B198" t="s">
        <v>41</v>
      </c>
      <c r="C198" s="65">
        <f t="shared" si="3"/>
        <v>46058</v>
      </c>
      <c r="D198" s="3">
        <v>1</v>
      </c>
      <c r="E198" s="3">
        <v>119000</v>
      </c>
      <c r="F198" s="3">
        <v>119000</v>
      </c>
      <c r="G198" s="3">
        <v>82110</v>
      </c>
      <c r="H198" s="25">
        <v>61496</v>
      </c>
    </row>
    <row r="199" spans="1:8" x14ac:dyDescent="0.3">
      <c r="A199" s="64">
        <v>20260205994636</v>
      </c>
      <c r="B199" t="s">
        <v>41</v>
      </c>
      <c r="C199" s="65">
        <f t="shared" si="3"/>
        <v>46058</v>
      </c>
      <c r="D199" s="3">
        <v>1</v>
      </c>
      <c r="E199" s="3">
        <v>119000</v>
      </c>
      <c r="F199" s="3">
        <v>119000</v>
      </c>
      <c r="G199" s="3">
        <v>82110</v>
      </c>
      <c r="H199" s="25">
        <v>61496</v>
      </c>
    </row>
    <row r="200" spans="1:8" x14ac:dyDescent="0.3">
      <c r="A200" s="64">
        <v>20260205993543</v>
      </c>
      <c r="B200" t="s">
        <v>41</v>
      </c>
      <c r="C200" s="65">
        <f t="shared" si="3"/>
        <v>46058</v>
      </c>
      <c r="D200" s="3">
        <v>1</v>
      </c>
      <c r="E200" s="3">
        <v>119000</v>
      </c>
      <c r="F200" s="3">
        <v>119000</v>
      </c>
      <c r="G200" s="3">
        <v>82110</v>
      </c>
      <c r="H200" s="25">
        <v>61496</v>
      </c>
    </row>
    <row r="201" spans="1:8" x14ac:dyDescent="0.3">
      <c r="A201" s="64">
        <v>20260205994834</v>
      </c>
      <c r="B201" t="s">
        <v>41</v>
      </c>
      <c r="C201" s="65">
        <f t="shared" si="3"/>
        <v>46058</v>
      </c>
      <c r="D201" s="3">
        <v>1</v>
      </c>
      <c r="E201" s="3">
        <v>119000</v>
      </c>
      <c r="F201" s="3">
        <v>119000</v>
      </c>
      <c r="G201" s="3">
        <v>82110</v>
      </c>
      <c r="H201" s="25">
        <v>61496</v>
      </c>
    </row>
    <row r="202" spans="1:8" x14ac:dyDescent="0.3">
      <c r="A202" s="64">
        <v>20260205993877</v>
      </c>
      <c r="B202" t="s">
        <v>41</v>
      </c>
      <c r="C202" s="65">
        <f t="shared" si="3"/>
        <v>46058</v>
      </c>
      <c r="D202" s="3">
        <v>1</v>
      </c>
      <c r="E202" s="3">
        <v>119000</v>
      </c>
      <c r="F202" s="3">
        <v>119000</v>
      </c>
      <c r="G202" s="3">
        <v>82110</v>
      </c>
      <c r="H202" s="25">
        <v>61496</v>
      </c>
    </row>
    <row r="203" spans="1:8" x14ac:dyDescent="0.3">
      <c r="A203" s="64">
        <v>20260205993908</v>
      </c>
      <c r="B203" t="s">
        <v>41</v>
      </c>
      <c r="C203" s="65">
        <f t="shared" si="3"/>
        <v>46058</v>
      </c>
      <c r="D203" s="3">
        <v>1</v>
      </c>
      <c r="E203" s="3">
        <v>119000</v>
      </c>
      <c r="F203" s="3">
        <v>119000</v>
      </c>
      <c r="G203" s="3">
        <v>82110</v>
      </c>
      <c r="H203" s="25">
        <v>61496</v>
      </c>
    </row>
    <row r="204" spans="1:8" x14ac:dyDescent="0.3">
      <c r="A204" s="64">
        <v>20260205993875</v>
      </c>
      <c r="B204" t="s">
        <v>41</v>
      </c>
      <c r="C204" s="65">
        <f t="shared" si="3"/>
        <v>46058</v>
      </c>
      <c r="D204" s="3">
        <v>1</v>
      </c>
      <c r="E204" s="3">
        <v>119000</v>
      </c>
      <c r="F204" s="3">
        <v>113050</v>
      </c>
      <c r="G204" s="3">
        <v>82110</v>
      </c>
      <c r="H204" s="25">
        <v>61496</v>
      </c>
    </row>
    <row r="205" spans="1:8" x14ac:dyDescent="0.3">
      <c r="A205" s="64">
        <v>20260205993960</v>
      </c>
      <c r="B205" t="s">
        <v>41</v>
      </c>
      <c r="C205" s="65">
        <f t="shared" si="3"/>
        <v>46058</v>
      </c>
      <c r="D205" s="3">
        <v>1</v>
      </c>
      <c r="E205" s="3">
        <v>119000</v>
      </c>
      <c r="F205" s="3">
        <v>119000</v>
      </c>
      <c r="G205" s="3">
        <v>82110</v>
      </c>
      <c r="H205" s="25">
        <v>61496</v>
      </c>
    </row>
    <row r="206" spans="1:8" x14ac:dyDescent="0.3">
      <c r="A206" s="64">
        <v>20260205992628</v>
      </c>
      <c r="B206" t="s">
        <v>41</v>
      </c>
      <c r="C206" s="65">
        <f t="shared" si="3"/>
        <v>46058</v>
      </c>
      <c r="D206" s="3">
        <v>1</v>
      </c>
      <c r="E206" s="3">
        <v>119000</v>
      </c>
      <c r="F206" s="3">
        <v>119000</v>
      </c>
      <c r="G206" s="3">
        <v>82110</v>
      </c>
      <c r="H206" s="25">
        <v>61496</v>
      </c>
    </row>
    <row r="207" spans="1:8" x14ac:dyDescent="0.3">
      <c r="A207" s="64">
        <v>20260205992776</v>
      </c>
      <c r="B207" t="s">
        <v>41</v>
      </c>
      <c r="C207" s="65">
        <f t="shared" si="3"/>
        <v>46058</v>
      </c>
      <c r="D207" s="3">
        <v>1</v>
      </c>
      <c r="E207" s="3">
        <v>119000</v>
      </c>
      <c r="F207" s="3">
        <v>119000</v>
      </c>
      <c r="G207" s="3">
        <v>82110</v>
      </c>
      <c r="H207" s="25">
        <v>61496</v>
      </c>
    </row>
    <row r="208" spans="1:8" x14ac:dyDescent="0.3">
      <c r="A208" s="64">
        <v>20260205992776</v>
      </c>
      <c r="B208" t="s">
        <v>41</v>
      </c>
      <c r="C208" s="65">
        <f t="shared" si="3"/>
        <v>46058</v>
      </c>
      <c r="D208" s="3">
        <v>1</v>
      </c>
      <c r="E208" s="3">
        <v>119000</v>
      </c>
      <c r="F208" s="3">
        <v>119000</v>
      </c>
      <c r="G208" s="3">
        <v>82110</v>
      </c>
      <c r="H208" s="25">
        <v>61496</v>
      </c>
    </row>
    <row r="209" spans="1:8" x14ac:dyDescent="0.3">
      <c r="A209" s="64">
        <v>20260205992904</v>
      </c>
      <c r="B209" t="s">
        <v>41</v>
      </c>
      <c r="C209" s="65">
        <f t="shared" si="3"/>
        <v>46058</v>
      </c>
      <c r="D209" s="3">
        <v>1</v>
      </c>
      <c r="E209" s="3">
        <v>119000</v>
      </c>
      <c r="F209" s="3">
        <v>119000</v>
      </c>
      <c r="G209" s="3">
        <v>82110</v>
      </c>
      <c r="H209" s="25">
        <v>61496</v>
      </c>
    </row>
    <row r="210" spans="1:8" x14ac:dyDescent="0.3">
      <c r="A210" s="64">
        <v>20260205992898</v>
      </c>
      <c r="B210" t="s">
        <v>41</v>
      </c>
      <c r="C210" s="65">
        <f t="shared" si="3"/>
        <v>46058</v>
      </c>
      <c r="D210" s="3">
        <v>1</v>
      </c>
      <c r="E210" s="3">
        <v>119000</v>
      </c>
      <c r="F210" s="3">
        <v>113050</v>
      </c>
      <c r="G210" s="3">
        <v>82110</v>
      </c>
      <c r="H210" s="25">
        <v>61496</v>
      </c>
    </row>
    <row r="211" spans="1:8" x14ac:dyDescent="0.3">
      <c r="A211" s="64">
        <v>20260205993183</v>
      </c>
      <c r="B211" t="s">
        <v>41</v>
      </c>
      <c r="C211" s="65">
        <f t="shared" si="3"/>
        <v>46058</v>
      </c>
      <c r="D211" s="3">
        <v>1</v>
      </c>
      <c r="E211" s="3">
        <v>119000</v>
      </c>
      <c r="F211" s="3">
        <v>119000</v>
      </c>
      <c r="G211" s="3">
        <v>82110</v>
      </c>
      <c r="H211" s="25">
        <v>61496</v>
      </c>
    </row>
    <row r="212" spans="1:8" x14ac:dyDescent="0.3">
      <c r="A212" s="64">
        <v>20260205993148</v>
      </c>
      <c r="B212" t="s">
        <v>41</v>
      </c>
      <c r="C212" s="65">
        <f t="shared" si="3"/>
        <v>46058</v>
      </c>
      <c r="D212" s="3">
        <v>1</v>
      </c>
      <c r="E212" s="3">
        <v>119000</v>
      </c>
      <c r="F212" s="3">
        <v>119000</v>
      </c>
      <c r="G212" s="3">
        <v>82110</v>
      </c>
      <c r="H212" s="25">
        <v>61496</v>
      </c>
    </row>
    <row r="213" spans="1:8" x14ac:dyDescent="0.3">
      <c r="A213" s="64">
        <v>20260205993058</v>
      </c>
      <c r="B213" t="s">
        <v>41</v>
      </c>
      <c r="C213" s="65">
        <f t="shared" si="3"/>
        <v>46058</v>
      </c>
      <c r="D213" s="3">
        <v>1</v>
      </c>
      <c r="E213" s="3">
        <v>119000</v>
      </c>
      <c r="F213" s="3">
        <v>119000</v>
      </c>
      <c r="G213" s="3">
        <v>82110</v>
      </c>
      <c r="H213" s="25">
        <v>61496</v>
      </c>
    </row>
    <row r="214" spans="1:8" x14ac:dyDescent="0.3">
      <c r="A214" s="64">
        <v>20260205996079</v>
      </c>
      <c r="B214" t="s">
        <v>41</v>
      </c>
      <c r="C214" s="65">
        <f t="shared" si="3"/>
        <v>46058</v>
      </c>
      <c r="D214" s="3">
        <v>1</v>
      </c>
      <c r="E214" s="3">
        <v>119000</v>
      </c>
      <c r="F214" s="3">
        <v>119000</v>
      </c>
      <c r="G214" s="3">
        <v>82110</v>
      </c>
      <c r="H214" s="25">
        <v>61496</v>
      </c>
    </row>
    <row r="215" spans="1:8" x14ac:dyDescent="0.3">
      <c r="A215" s="64">
        <v>20260205993619</v>
      </c>
      <c r="B215" t="s">
        <v>41</v>
      </c>
      <c r="C215" s="65">
        <f t="shared" si="3"/>
        <v>46058</v>
      </c>
      <c r="D215" s="3">
        <v>1</v>
      </c>
      <c r="E215" s="3">
        <v>119000</v>
      </c>
      <c r="F215" s="3">
        <v>119000</v>
      </c>
      <c r="G215" s="3">
        <v>82110</v>
      </c>
      <c r="H215" s="25">
        <v>61496</v>
      </c>
    </row>
    <row r="216" spans="1:8" x14ac:dyDescent="0.3">
      <c r="A216" s="64">
        <v>20260205994384</v>
      </c>
      <c r="B216" t="s">
        <v>41</v>
      </c>
      <c r="C216" s="65">
        <f t="shared" si="3"/>
        <v>46058</v>
      </c>
      <c r="D216" s="3">
        <v>1</v>
      </c>
      <c r="E216" s="3">
        <v>119000</v>
      </c>
      <c r="F216" s="3">
        <v>105910</v>
      </c>
      <c r="G216" s="3">
        <v>82110</v>
      </c>
      <c r="H216" s="25">
        <v>61496</v>
      </c>
    </row>
    <row r="217" spans="1:8" x14ac:dyDescent="0.3">
      <c r="A217" s="64">
        <v>20260205994642</v>
      </c>
      <c r="B217" t="s">
        <v>41</v>
      </c>
      <c r="C217" s="65">
        <f t="shared" si="3"/>
        <v>46058</v>
      </c>
      <c r="D217" s="3">
        <v>1</v>
      </c>
      <c r="E217" s="3">
        <v>119000</v>
      </c>
      <c r="F217" s="3">
        <v>119000</v>
      </c>
      <c r="G217" s="3">
        <v>82110</v>
      </c>
      <c r="H217" s="25">
        <v>61496</v>
      </c>
    </row>
    <row r="218" spans="1:8" x14ac:dyDescent="0.3">
      <c r="A218" s="64">
        <v>20260205993790</v>
      </c>
      <c r="B218" t="s">
        <v>41</v>
      </c>
      <c r="C218" s="65">
        <f t="shared" si="3"/>
        <v>46058</v>
      </c>
      <c r="D218" s="3">
        <v>1</v>
      </c>
      <c r="E218" s="3">
        <v>119000</v>
      </c>
      <c r="F218" s="3">
        <v>119000</v>
      </c>
      <c r="G218" s="3">
        <v>82110</v>
      </c>
      <c r="H218" s="25">
        <v>61496</v>
      </c>
    </row>
    <row r="219" spans="1:8" x14ac:dyDescent="0.3">
      <c r="A219" s="64">
        <v>20260205993178</v>
      </c>
      <c r="B219" t="s">
        <v>41</v>
      </c>
      <c r="C219" s="65">
        <f t="shared" si="3"/>
        <v>46058</v>
      </c>
      <c r="D219" s="3">
        <v>1</v>
      </c>
      <c r="E219" s="3">
        <v>119000</v>
      </c>
      <c r="F219" s="3">
        <v>109000</v>
      </c>
      <c r="G219" s="3">
        <v>82110</v>
      </c>
      <c r="H219" s="25">
        <v>61496</v>
      </c>
    </row>
    <row r="220" spans="1:8" x14ac:dyDescent="0.3">
      <c r="A220" s="64">
        <v>20260205995500</v>
      </c>
      <c r="B220" t="s">
        <v>41</v>
      </c>
      <c r="C220" s="65">
        <f t="shared" si="3"/>
        <v>46058</v>
      </c>
      <c r="D220" s="3">
        <v>1</v>
      </c>
      <c r="E220" s="3">
        <v>119000</v>
      </c>
      <c r="F220" s="3">
        <v>119000</v>
      </c>
      <c r="G220" s="3">
        <v>82110</v>
      </c>
      <c r="H220" s="25">
        <v>61496</v>
      </c>
    </row>
    <row r="221" spans="1:8" x14ac:dyDescent="0.3">
      <c r="A221" s="64">
        <v>20260205995571</v>
      </c>
      <c r="B221" t="s">
        <v>41</v>
      </c>
      <c r="C221" s="65">
        <f t="shared" si="3"/>
        <v>46058</v>
      </c>
      <c r="D221" s="3">
        <v>1</v>
      </c>
      <c r="E221" s="3">
        <v>119000</v>
      </c>
      <c r="F221" s="3">
        <v>101150</v>
      </c>
      <c r="G221" s="3">
        <v>82110</v>
      </c>
      <c r="H221" s="25">
        <v>61496</v>
      </c>
    </row>
    <row r="222" spans="1:8" x14ac:dyDescent="0.3">
      <c r="A222" s="64">
        <v>20260205994980</v>
      </c>
      <c r="B222" t="s">
        <v>41</v>
      </c>
      <c r="C222" s="65">
        <f t="shared" si="3"/>
        <v>46058</v>
      </c>
      <c r="D222" s="3">
        <v>1</v>
      </c>
      <c r="E222" s="3">
        <v>119000</v>
      </c>
      <c r="F222" s="3">
        <v>119000</v>
      </c>
      <c r="G222" s="3">
        <v>82110</v>
      </c>
      <c r="H222" s="25">
        <v>61496</v>
      </c>
    </row>
    <row r="223" spans="1:8" x14ac:dyDescent="0.3">
      <c r="A223" s="64">
        <v>20260205992733</v>
      </c>
      <c r="B223" t="s">
        <v>41</v>
      </c>
      <c r="C223" s="65">
        <f t="shared" si="3"/>
        <v>46058</v>
      </c>
      <c r="D223" s="3">
        <v>1</v>
      </c>
      <c r="E223" s="3">
        <v>119000</v>
      </c>
      <c r="F223" s="3">
        <v>119000</v>
      </c>
      <c r="G223" s="3">
        <v>82110</v>
      </c>
      <c r="H223" s="25">
        <v>61496</v>
      </c>
    </row>
    <row r="224" spans="1:8" x14ac:dyDescent="0.3">
      <c r="A224" s="64">
        <v>20260205992956</v>
      </c>
      <c r="B224" t="s">
        <v>41</v>
      </c>
      <c r="C224" s="65">
        <f t="shared" si="3"/>
        <v>46058</v>
      </c>
      <c r="D224" s="3">
        <v>1</v>
      </c>
      <c r="E224" s="3">
        <v>119000</v>
      </c>
      <c r="F224" s="3">
        <v>119000</v>
      </c>
      <c r="G224" s="3">
        <v>82110</v>
      </c>
      <c r="H224" s="25">
        <v>61496</v>
      </c>
    </row>
    <row r="225" spans="1:8" x14ac:dyDescent="0.3">
      <c r="A225" s="64">
        <v>20260205994593</v>
      </c>
      <c r="B225" t="s">
        <v>41</v>
      </c>
      <c r="C225" s="65">
        <f t="shared" si="3"/>
        <v>46058</v>
      </c>
      <c r="D225" s="3">
        <v>1</v>
      </c>
      <c r="E225" s="3">
        <v>119000</v>
      </c>
      <c r="F225" s="3">
        <v>119000</v>
      </c>
      <c r="G225" s="3">
        <v>82110</v>
      </c>
      <c r="H225" s="25">
        <v>61496</v>
      </c>
    </row>
    <row r="226" spans="1:8" x14ac:dyDescent="0.3">
      <c r="A226" s="64">
        <v>20260205994146</v>
      </c>
      <c r="B226" t="s">
        <v>41</v>
      </c>
      <c r="C226" s="65">
        <f t="shared" si="3"/>
        <v>46058</v>
      </c>
      <c r="D226" s="3">
        <v>1</v>
      </c>
      <c r="E226" s="3">
        <v>119000</v>
      </c>
      <c r="F226" s="3">
        <v>119000</v>
      </c>
      <c r="G226" s="3">
        <v>82110</v>
      </c>
      <c r="H226" s="25">
        <v>61496</v>
      </c>
    </row>
    <row r="227" spans="1:8" x14ac:dyDescent="0.3">
      <c r="A227" s="64">
        <v>20260205993672</v>
      </c>
      <c r="B227" t="s">
        <v>41</v>
      </c>
      <c r="C227" s="65">
        <f t="shared" si="3"/>
        <v>46058</v>
      </c>
      <c r="D227" s="3">
        <v>1</v>
      </c>
      <c r="E227" s="3">
        <v>119000</v>
      </c>
      <c r="F227" s="3">
        <v>119000</v>
      </c>
      <c r="G227" s="3">
        <v>82110</v>
      </c>
      <c r="H227" s="25">
        <v>61496</v>
      </c>
    </row>
    <row r="228" spans="1:8" x14ac:dyDescent="0.3">
      <c r="A228" s="64">
        <v>20260205994792</v>
      </c>
      <c r="B228" t="s">
        <v>41</v>
      </c>
      <c r="C228" s="65">
        <f t="shared" si="3"/>
        <v>46058</v>
      </c>
      <c r="D228" s="3">
        <v>1</v>
      </c>
      <c r="E228" s="3">
        <v>119000</v>
      </c>
      <c r="F228" s="3">
        <v>119000</v>
      </c>
      <c r="G228" s="3">
        <v>82110</v>
      </c>
      <c r="H228" s="25">
        <v>61496</v>
      </c>
    </row>
    <row r="229" spans="1:8" x14ac:dyDescent="0.3">
      <c r="A229" s="64">
        <v>20260205994934</v>
      </c>
      <c r="B229" t="s">
        <v>41</v>
      </c>
      <c r="C229" s="65">
        <f t="shared" si="3"/>
        <v>46058</v>
      </c>
      <c r="D229" s="3">
        <v>1</v>
      </c>
      <c r="E229" s="3">
        <v>119000</v>
      </c>
      <c r="F229" s="3">
        <v>119000</v>
      </c>
      <c r="G229" s="3">
        <v>82110</v>
      </c>
      <c r="H229" s="25">
        <v>61496</v>
      </c>
    </row>
    <row r="230" spans="1:8" x14ac:dyDescent="0.3">
      <c r="A230" s="64">
        <v>20260205993519</v>
      </c>
      <c r="B230" t="s">
        <v>41</v>
      </c>
      <c r="C230" s="65">
        <f t="shared" si="3"/>
        <v>46058</v>
      </c>
      <c r="D230" s="3">
        <v>1</v>
      </c>
      <c r="E230" s="3">
        <v>119000</v>
      </c>
      <c r="F230" s="3">
        <v>99960</v>
      </c>
      <c r="G230" s="3">
        <v>82110</v>
      </c>
      <c r="H230" s="25">
        <v>61496</v>
      </c>
    </row>
    <row r="231" spans="1:8" x14ac:dyDescent="0.3">
      <c r="A231" s="64">
        <v>20260205992372</v>
      </c>
      <c r="B231" t="s">
        <v>41</v>
      </c>
      <c r="C231" s="65">
        <f t="shared" si="3"/>
        <v>46058</v>
      </c>
      <c r="D231" s="3">
        <v>2</v>
      </c>
      <c r="E231" s="3">
        <v>119000</v>
      </c>
      <c r="F231" s="3">
        <v>238000</v>
      </c>
      <c r="G231" s="3">
        <v>164220</v>
      </c>
      <c r="H231" s="25">
        <v>122992</v>
      </c>
    </row>
    <row r="232" spans="1:8" x14ac:dyDescent="0.3">
      <c r="A232" s="64">
        <v>20260205994821</v>
      </c>
      <c r="B232" t="s">
        <v>41</v>
      </c>
      <c r="C232" s="65">
        <f t="shared" si="3"/>
        <v>46058</v>
      </c>
      <c r="D232" s="3">
        <v>1</v>
      </c>
      <c r="E232" s="3">
        <v>119000</v>
      </c>
      <c r="F232" s="3">
        <v>119000</v>
      </c>
      <c r="G232" s="3">
        <v>82110</v>
      </c>
      <c r="H232" s="25">
        <v>61496</v>
      </c>
    </row>
    <row r="233" spans="1:8" x14ac:dyDescent="0.3">
      <c r="A233" s="64">
        <v>20260205994969</v>
      </c>
      <c r="B233" t="s">
        <v>41</v>
      </c>
      <c r="C233" s="65">
        <f t="shared" si="3"/>
        <v>46058</v>
      </c>
      <c r="D233" s="3">
        <v>1</v>
      </c>
      <c r="E233" s="3">
        <v>119000</v>
      </c>
      <c r="F233" s="3">
        <v>119000</v>
      </c>
      <c r="G233" s="3">
        <v>82110</v>
      </c>
      <c r="H233" s="25">
        <v>61496</v>
      </c>
    </row>
    <row r="234" spans="1:8" x14ac:dyDescent="0.3">
      <c r="A234" s="64">
        <v>20260205994017</v>
      </c>
      <c r="B234" t="s">
        <v>41</v>
      </c>
      <c r="C234" s="65">
        <f t="shared" si="3"/>
        <v>46058</v>
      </c>
      <c r="D234" s="3">
        <v>1</v>
      </c>
      <c r="E234" s="3">
        <v>119000</v>
      </c>
      <c r="F234" s="3">
        <v>113050</v>
      </c>
      <c r="G234" s="3">
        <v>82110</v>
      </c>
      <c r="H234" s="25">
        <v>61496</v>
      </c>
    </row>
    <row r="235" spans="1:8" x14ac:dyDescent="0.3">
      <c r="A235" s="64">
        <v>20260205994011</v>
      </c>
      <c r="B235" t="s">
        <v>41</v>
      </c>
      <c r="C235" s="65">
        <f t="shared" si="3"/>
        <v>46058</v>
      </c>
      <c r="D235" s="3">
        <v>1</v>
      </c>
      <c r="E235" s="3">
        <v>119000</v>
      </c>
      <c r="F235" s="3">
        <v>119000</v>
      </c>
      <c r="G235" s="3">
        <v>82110</v>
      </c>
      <c r="H235" s="25">
        <v>61496</v>
      </c>
    </row>
    <row r="236" spans="1:8" x14ac:dyDescent="0.3">
      <c r="A236" s="64">
        <v>20260205994772</v>
      </c>
      <c r="B236" t="s">
        <v>41</v>
      </c>
      <c r="C236" s="65">
        <f t="shared" si="3"/>
        <v>46058</v>
      </c>
      <c r="D236" s="3">
        <v>1</v>
      </c>
      <c r="E236" s="3">
        <v>119000</v>
      </c>
      <c r="F236" s="3">
        <v>119000</v>
      </c>
      <c r="G236" s="3">
        <v>82110</v>
      </c>
      <c r="H236" s="25">
        <v>61496</v>
      </c>
    </row>
    <row r="237" spans="1:8" x14ac:dyDescent="0.3">
      <c r="A237" s="64">
        <v>20260205994841</v>
      </c>
      <c r="B237" t="s">
        <v>41</v>
      </c>
      <c r="C237" s="65">
        <f t="shared" si="3"/>
        <v>46058</v>
      </c>
      <c r="D237" s="3">
        <v>1</v>
      </c>
      <c r="E237" s="3">
        <v>119000</v>
      </c>
      <c r="F237" s="3">
        <v>109000</v>
      </c>
      <c r="G237" s="3">
        <v>82110</v>
      </c>
      <c r="H237" s="25">
        <v>61496</v>
      </c>
    </row>
    <row r="238" spans="1:8" x14ac:dyDescent="0.3">
      <c r="A238" s="64">
        <v>20260205993648</v>
      </c>
      <c r="B238" t="s">
        <v>41</v>
      </c>
      <c r="C238" s="65">
        <f t="shared" si="3"/>
        <v>46058</v>
      </c>
      <c r="D238" s="3">
        <v>1</v>
      </c>
      <c r="E238" s="3">
        <v>119000</v>
      </c>
      <c r="F238" s="3">
        <v>119000</v>
      </c>
      <c r="G238" s="3">
        <v>82110</v>
      </c>
      <c r="H238" s="25">
        <v>61496</v>
      </c>
    </row>
    <row r="239" spans="1:8" x14ac:dyDescent="0.3">
      <c r="A239" s="64">
        <v>20260205992386</v>
      </c>
      <c r="B239" t="s">
        <v>41</v>
      </c>
      <c r="C239" s="65">
        <f t="shared" si="3"/>
        <v>46058</v>
      </c>
      <c r="D239" s="3">
        <v>1</v>
      </c>
      <c r="E239" s="3">
        <v>119000</v>
      </c>
      <c r="F239" s="3">
        <v>119000</v>
      </c>
      <c r="G239" s="3">
        <v>82110</v>
      </c>
      <c r="H239" s="25">
        <v>61496</v>
      </c>
    </row>
    <row r="240" spans="1:8" x14ac:dyDescent="0.3">
      <c r="A240" s="64">
        <v>20260205995406</v>
      </c>
      <c r="B240" t="s">
        <v>41</v>
      </c>
      <c r="C240" s="65">
        <f t="shared" si="3"/>
        <v>46058</v>
      </c>
      <c r="D240" s="3">
        <v>1</v>
      </c>
      <c r="E240" s="3">
        <v>119000</v>
      </c>
      <c r="F240" s="3">
        <v>119000</v>
      </c>
      <c r="G240" s="3">
        <v>82110</v>
      </c>
      <c r="H240" s="25">
        <v>61496</v>
      </c>
    </row>
    <row r="241" spans="1:8" x14ac:dyDescent="0.3">
      <c r="A241" s="64">
        <v>20260205993902</v>
      </c>
      <c r="B241" t="s">
        <v>41</v>
      </c>
      <c r="C241" s="65">
        <f t="shared" si="3"/>
        <v>46058</v>
      </c>
      <c r="D241" s="3">
        <v>1</v>
      </c>
      <c r="E241" s="3">
        <v>119000</v>
      </c>
      <c r="F241" s="3">
        <v>113050</v>
      </c>
      <c r="G241" s="3">
        <v>82110</v>
      </c>
      <c r="H241" s="25">
        <v>61496</v>
      </c>
    </row>
    <row r="242" spans="1:8" x14ac:dyDescent="0.3">
      <c r="A242" s="64">
        <v>20260205995112</v>
      </c>
      <c r="B242" t="s">
        <v>41</v>
      </c>
      <c r="C242" s="65">
        <f t="shared" si="3"/>
        <v>46058</v>
      </c>
      <c r="D242" s="3">
        <v>1</v>
      </c>
      <c r="E242" s="3">
        <v>119000</v>
      </c>
      <c r="F242" s="3">
        <v>119000</v>
      </c>
      <c r="G242" s="3">
        <v>82110</v>
      </c>
      <c r="H242" s="25">
        <v>61496</v>
      </c>
    </row>
    <row r="243" spans="1:8" x14ac:dyDescent="0.3">
      <c r="A243" s="64">
        <v>20260205992636</v>
      </c>
      <c r="B243" t="s">
        <v>41</v>
      </c>
      <c r="C243" s="65">
        <f t="shared" si="3"/>
        <v>46058</v>
      </c>
      <c r="D243" s="3">
        <v>1</v>
      </c>
      <c r="E243" s="3">
        <v>119000</v>
      </c>
      <c r="F243" s="3">
        <v>119000</v>
      </c>
      <c r="G243" s="3">
        <v>82110</v>
      </c>
      <c r="H243" s="25">
        <v>61496</v>
      </c>
    </row>
    <row r="244" spans="1:8" x14ac:dyDescent="0.3">
      <c r="A244" s="64">
        <v>20260205993892</v>
      </c>
      <c r="B244" t="s">
        <v>41</v>
      </c>
      <c r="C244" s="65">
        <f t="shared" si="3"/>
        <v>46058</v>
      </c>
      <c r="D244" s="3">
        <v>1</v>
      </c>
      <c r="E244" s="3">
        <v>119000</v>
      </c>
      <c r="F244" s="3">
        <v>119000</v>
      </c>
      <c r="G244" s="3">
        <v>82110</v>
      </c>
      <c r="H244" s="25">
        <v>61496</v>
      </c>
    </row>
    <row r="245" spans="1:8" x14ac:dyDescent="0.3">
      <c r="A245" s="64">
        <v>20260205994997</v>
      </c>
      <c r="B245" t="s">
        <v>41</v>
      </c>
      <c r="C245" s="65">
        <f t="shared" si="3"/>
        <v>46058</v>
      </c>
      <c r="D245" s="3">
        <v>1</v>
      </c>
      <c r="E245" s="3">
        <v>119000</v>
      </c>
      <c r="F245" s="3">
        <v>107350</v>
      </c>
      <c r="G245" s="3">
        <v>82110</v>
      </c>
      <c r="H245" s="25">
        <v>61496</v>
      </c>
    </row>
    <row r="246" spans="1:8" x14ac:dyDescent="0.3">
      <c r="A246" s="64">
        <v>20260205993878</v>
      </c>
      <c r="B246" t="s">
        <v>41</v>
      </c>
      <c r="C246" s="65">
        <f t="shared" si="3"/>
        <v>46058</v>
      </c>
      <c r="D246" s="3">
        <v>2</v>
      </c>
      <c r="E246" s="3">
        <v>119000</v>
      </c>
      <c r="F246" s="3">
        <v>238000</v>
      </c>
      <c r="G246" s="3">
        <v>164220</v>
      </c>
      <c r="H246" s="25">
        <v>122992</v>
      </c>
    </row>
    <row r="247" spans="1:8" x14ac:dyDescent="0.3">
      <c r="A247" s="64">
        <v>20260205993394</v>
      </c>
      <c r="B247" t="s">
        <v>41</v>
      </c>
      <c r="C247" s="65">
        <f t="shared" si="3"/>
        <v>46058</v>
      </c>
      <c r="D247" s="3">
        <v>1</v>
      </c>
      <c r="E247" s="3">
        <v>119000</v>
      </c>
      <c r="F247" s="3">
        <v>119000</v>
      </c>
      <c r="G247" s="3">
        <v>82110</v>
      </c>
      <c r="H247" s="25">
        <v>61496</v>
      </c>
    </row>
    <row r="248" spans="1:8" x14ac:dyDescent="0.3">
      <c r="A248" s="64">
        <v>20260205993490</v>
      </c>
      <c r="B248" t="s">
        <v>41</v>
      </c>
      <c r="C248" s="65">
        <f t="shared" si="3"/>
        <v>46058</v>
      </c>
      <c r="D248" s="3">
        <v>1</v>
      </c>
      <c r="E248" s="3">
        <v>119000</v>
      </c>
      <c r="F248" s="3">
        <v>119000</v>
      </c>
      <c r="G248" s="3">
        <v>82110</v>
      </c>
      <c r="H248" s="25">
        <v>61496</v>
      </c>
    </row>
    <row r="249" spans="1:8" x14ac:dyDescent="0.3">
      <c r="A249" s="64">
        <v>20260205992805</v>
      </c>
      <c r="B249" t="s">
        <v>41</v>
      </c>
      <c r="C249" s="65">
        <f t="shared" si="3"/>
        <v>46058</v>
      </c>
      <c r="D249" s="3">
        <v>1</v>
      </c>
      <c r="E249" s="3">
        <v>119000</v>
      </c>
      <c r="F249" s="3">
        <v>119000</v>
      </c>
      <c r="G249" s="3">
        <v>82110</v>
      </c>
      <c r="H249" s="25">
        <v>61496</v>
      </c>
    </row>
    <row r="250" spans="1:8" x14ac:dyDescent="0.3">
      <c r="A250" s="64">
        <v>20260205993167</v>
      </c>
      <c r="B250" t="s">
        <v>41</v>
      </c>
      <c r="C250" s="65">
        <f t="shared" si="3"/>
        <v>46058</v>
      </c>
      <c r="D250" s="3">
        <v>1</v>
      </c>
      <c r="E250" s="3">
        <v>119000</v>
      </c>
      <c r="F250" s="3">
        <v>119000</v>
      </c>
      <c r="G250" s="3">
        <v>82110</v>
      </c>
      <c r="H250" s="25">
        <v>61496</v>
      </c>
    </row>
    <row r="251" spans="1:8" x14ac:dyDescent="0.3">
      <c r="A251" s="64">
        <v>20260206639164</v>
      </c>
      <c r="B251" t="s">
        <v>41</v>
      </c>
      <c r="C251" s="65">
        <f t="shared" si="3"/>
        <v>46059</v>
      </c>
      <c r="D251" s="3">
        <v>1</v>
      </c>
      <c r="E251" s="3">
        <v>119000</v>
      </c>
      <c r="F251" s="3">
        <v>101150</v>
      </c>
      <c r="G251" s="3">
        <v>82110</v>
      </c>
      <c r="H251" s="25">
        <v>61496</v>
      </c>
    </row>
    <row r="252" spans="1:8" x14ac:dyDescent="0.3">
      <c r="A252" s="64">
        <v>20260205994965</v>
      </c>
      <c r="B252" t="s">
        <v>41</v>
      </c>
      <c r="C252" s="65">
        <f t="shared" si="3"/>
        <v>46058</v>
      </c>
      <c r="D252" s="3">
        <v>1</v>
      </c>
      <c r="E252" s="3">
        <v>119000</v>
      </c>
      <c r="F252" s="3">
        <v>119000</v>
      </c>
      <c r="G252" s="3">
        <v>82110</v>
      </c>
      <c r="H252" s="25">
        <v>61496</v>
      </c>
    </row>
    <row r="253" spans="1:8" x14ac:dyDescent="0.3">
      <c r="A253" s="64">
        <v>20260205995226</v>
      </c>
      <c r="B253" t="s">
        <v>41</v>
      </c>
      <c r="C253" s="65">
        <f t="shared" si="3"/>
        <v>46058</v>
      </c>
      <c r="D253" s="3">
        <v>1</v>
      </c>
      <c r="E253" s="3">
        <v>119000</v>
      </c>
      <c r="F253" s="3">
        <v>119000</v>
      </c>
      <c r="G253" s="3">
        <v>82110</v>
      </c>
      <c r="H253" s="25">
        <v>61496</v>
      </c>
    </row>
    <row r="254" spans="1:8" x14ac:dyDescent="0.3">
      <c r="A254" s="64">
        <v>20260205995451</v>
      </c>
      <c r="B254" t="s">
        <v>41</v>
      </c>
      <c r="C254" s="65">
        <f t="shared" si="3"/>
        <v>46058</v>
      </c>
      <c r="D254" s="3">
        <v>1</v>
      </c>
      <c r="E254" s="3">
        <v>119000</v>
      </c>
      <c r="F254" s="3">
        <v>119000</v>
      </c>
      <c r="G254" s="3">
        <v>82110</v>
      </c>
      <c r="H254" s="25">
        <v>61496</v>
      </c>
    </row>
    <row r="255" spans="1:8" x14ac:dyDescent="0.3">
      <c r="A255" s="64">
        <v>20260205995408</v>
      </c>
      <c r="B255" t="s">
        <v>41</v>
      </c>
      <c r="C255" s="65">
        <f t="shared" si="3"/>
        <v>46058</v>
      </c>
      <c r="D255" s="3">
        <v>1</v>
      </c>
      <c r="E255" s="3">
        <v>119000</v>
      </c>
      <c r="F255" s="3">
        <v>119000</v>
      </c>
      <c r="G255" s="3">
        <v>82110</v>
      </c>
      <c r="H255" s="25">
        <v>61496</v>
      </c>
    </row>
    <row r="256" spans="1:8" x14ac:dyDescent="0.3">
      <c r="A256" s="64">
        <v>20260205995252</v>
      </c>
      <c r="B256" t="s">
        <v>41</v>
      </c>
      <c r="C256" s="65">
        <f t="shared" si="3"/>
        <v>46058</v>
      </c>
      <c r="D256" s="3">
        <v>1</v>
      </c>
      <c r="E256" s="3">
        <v>119000</v>
      </c>
      <c r="F256" s="3">
        <v>119000</v>
      </c>
      <c r="G256" s="3">
        <v>82110</v>
      </c>
      <c r="H256" s="25">
        <v>61496</v>
      </c>
    </row>
    <row r="257" spans="1:8" x14ac:dyDescent="0.3">
      <c r="A257" s="64">
        <v>20260205995543</v>
      </c>
      <c r="B257" t="s">
        <v>41</v>
      </c>
      <c r="C257" s="65">
        <f t="shared" si="3"/>
        <v>46058</v>
      </c>
      <c r="D257" s="3">
        <v>1</v>
      </c>
      <c r="E257" s="3">
        <v>119000</v>
      </c>
      <c r="F257" s="3">
        <v>119000</v>
      </c>
      <c r="G257" s="3">
        <v>82110</v>
      </c>
      <c r="H257" s="25">
        <v>61496</v>
      </c>
    </row>
    <row r="258" spans="1:8" x14ac:dyDescent="0.3">
      <c r="A258" s="64">
        <v>20260205995557</v>
      </c>
      <c r="B258" t="s">
        <v>41</v>
      </c>
      <c r="C258" s="65">
        <f t="shared" si="3"/>
        <v>46058</v>
      </c>
      <c r="D258" s="3">
        <v>1</v>
      </c>
      <c r="E258" s="3">
        <v>119000</v>
      </c>
      <c r="F258" s="3">
        <v>119000</v>
      </c>
      <c r="G258" s="3">
        <v>82110</v>
      </c>
      <c r="H258" s="25">
        <v>61496</v>
      </c>
    </row>
    <row r="259" spans="1:8" x14ac:dyDescent="0.3">
      <c r="A259" s="64">
        <v>20260205995144</v>
      </c>
      <c r="B259" t="s">
        <v>41</v>
      </c>
      <c r="C259" s="65">
        <f t="shared" ref="C259:C322" si="4">DATE(LEFT(TEXT(A259,"0"),4),MID(TEXT(A259,"0"),5,2),MID(TEXT(A259,"0"),7,2))</f>
        <v>46058</v>
      </c>
      <c r="D259" s="3">
        <v>1</v>
      </c>
      <c r="E259" s="3">
        <v>119000</v>
      </c>
      <c r="F259" s="3">
        <v>119000</v>
      </c>
      <c r="G259" s="3">
        <v>82110</v>
      </c>
      <c r="H259" s="25">
        <v>61496</v>
      </c>
    </row>
    <row r="260" spans="1:8" x14ac:dyDescent="0.3">
      <c r="A260" s="64">
        <v>20260205993754</v>
      </c>
      <c r="B260" t="s">
        <v>41</v>
      </c>
      <c r="C260" s="65">
        <f t="shared" si="4"/>
        <v>46058</v>
      </c>
      <c r="D260" s="3">
        <v>1</v>
      </c>
      <c r="E260" s="3">
        <v>119000</v>
      </c>
      <c r="F260" s="3">
        <v>119000</v>
      </c>
      <c r="G260" s="3">
        <v>82110</v>
      </c>
      <c r="H260" s="25">
        <v>61496</v>
      </c>
    </row>
    <row r="261" spans="1:8" x14ac:dyDescent="0.3">
      <c r="A261" s="64">
        <v>20260205994732</v>
      </c>
      <c r="B261" t="s">
        <v>41</v>
      </c>
      <c r="C261" s="65">
        <f t="shared" si="4"/>
        <v>46058</v>
      </c>
      <c r="D261" s="3">
        <v>1</v>
      </c>
      <c r="E261" s="3">
        <v>119000</v>
      </c>
      <c r="F261" s="3">
        <v>119000</v>
      </c>
      <c r="G261" s="3">
        <v>82110</v>
      </c>
      <c r="H261" s="25">
        <v>61496</v>
      </c>
    </row>
    <row r="262" spans="1:8" x14ac:dyDescent="0.3">
      <c r="A262" s="64">
        <v>20260205994833</v>
      </c>
      <c r="B262" t="s">
        <v>41</v>
      </c>
      <c r="C262" s="65">
        <f t="shared" si="4"/>
        <v>46058</v>
      </c>
      <c r="D262" s="3">
        <v>1</v>
      </c>
      <c r="E262" s="3">
        <v>119000</v>
      </c>
      <c r="F262" s="3">
        <v>119000</v>
      </c>
      <c r="G262" s="3">
        <v>82110</v>
      </c>
      <c r="H262" s="25">
        <v>61496</v>
      </c>
    </row>
    <row r="263" spans="1:8" x14ac:dyDescent="0.3">
      <c r="A263" s="64">
        <v>20260205994879</v>
      </c>
      <c r="B263" t="s">
        <v>41</v>
      </c>
      <c r="C263" s="65">
        <f t="shared" si="4"/>
        <v>46058</v>
      </c>
      <c r="D263" s="3">
        <v>1</v>
      </c>
      <c r="E263" s="3">
        <v>119000</v>
      </c>
      <c r="F263" s="3">
        <v>119000</v>
      </c>
      <c r="G263" s="3">
        <v>82110</v>
      </c>
      <c r="H263" s="25">
        <v>61496</v>
      </c>
    </row>
    <row r="264" spans="1:8" x14ac:dyDescent="0.3">
      <c r="A264" s="64">
        <v>20260205994922</v>
      </c>
      <c r="B264" t="s">
        <v>41</v>
      </c>
      <c r="C264" s="65">
        <f t="shared" si="4"/>
        <v>46058</v>
      </c>
      <c r="D264" s="3">
        <v>1</v>
      </c>
      <c r="E264" s="3">
        <v>119000</v>
      </c>
      <c r="F264" s="3">
        <v>119000</v>
      </c>
      <c r="G264" s="3">
        <v>82110</v>
      </c>
      <c r="H264" s="25">
        <v>61496</v>
      </c>
    </row>
    <row r="265" spans="1:8" x14ac:dyDescent="0.3">
      <c r="A265" s="64">
        <v>20260205993720</v>
      </c>
      <c r="B265" t="s">
        <v>41</v>
      </c>
      <c r="C265" s="65">
        <f t="shared" si="4"/>
        <v>46058</v>
      </c>
      <c r="D265" s="3">
        <v>1</v>
      </c>
      <c r="E265" s="3">
        <v>119000</v>
      </c>
      <c r="F265" s="3">
        <v>119000</v>
      </c>
      <c r="G265" s="3">
        <v>82110</v>
      </c>
      <c r="H265" s="25">
        <v>61496</v>
      </c>
    </row>
    <row r="266" spans="1:8" x14ac:dyDescent="0.3">
      <c r="A266" s="64">
        <v>20260205993936</v>
      </c>
      <c r="B266" t="s">
        <v>41</v>
      </c>
      <c r="C266" s="65">
        <f t="shared" si="4"/>
        <v>46058</v>
      </c>
      <c r="D266" s="3">
        <v>1</v>
      </c>
      <c r="E266" s="3">
        <v>119000</v>
      </c>
      <c r="F266" s="3">
        <v>119000</v>
      </c>
      <c r="G266" s="3">
        <v>82110</v>
      </c>
      <c r="H266" s="25">
        <v>61496</v>
      </c>
    </row>
    <row r="267" spans="1:8" x14ac:dyDescent="0.3">
      <c r="A267" s="64">
        <v>20260205993350</v>
      </c>
      <c r="B267" t="s">
        <v>41</v>
      </c>
      <c r="C267" s="65">
        <f t="shared" si="4"/>
        <v>46058</v>
      </c>
      <c r="D267" s="3">
        <v>1</v>
      </c>
      <c r="E267" s="3">
        <v>119000</v>
      </c>
      <c r="F267" s="3">
        <v>109000</v>
      </c>
      <c r="G267" s="3">
        <v>82110</v>
      </c>
      <c r="H267" s="25">
        <v>61496</v>
      </c>
    </row>
    <row r="268" spans="1:8" x14ac:dyDescent="0.3">
      <c r="A268" s="64">
        <v>20260205992637</v>
      </c>
      <c r="B268" t="s">
        <v>41</v>
      </c>
      <c r="C268" s="65">
        <f t="shared" si="4"/>
        <v>46058</v>
      </c>
      <c r="D268" s="3">
        <v>1</v>
      </c>
      <c r="E268" s="3">
        <v>119000</v>
      </c>
      <c r="F268" s="3">
        <v>119000</v>
      </c>
      <c r="G268" s="3">
        <v>82110</v>
      </c>
      <c r="H268" s="25">
        <v>61496</v>
      </c>
    </row>
    <row r="269" spans="1:8" x14ac:dyDescent="0.3">
      <c r="A269" s="64">
        <v>20260205992663</v>
      </c>
      <c r="B269" t="s">
        <v>41</v>
      </c>
      <c r="C269" s="65">
        <f t="shared" si="4"/>
        <v>46058</v>
      </c>
      <c r="D269" s="3">
        <v>1</v>
      </c>
      <c r="E269" s="3">
        <v>119000</v>
      </c>
      <c r="F269" s="3">
        <v>119000</v>
      </c>
      <c r="G269" s="3">
        <v>82110</v>
      </c>
      <c r="H269" s="25">
        <v>61496</v>
      </c>
    </row>
    <row r="270" spans="1:8" x14ac:dyDescent="0.3">
      <c r="A270" s="64">
        <v>20260205992791</v>
      </c>
      <c r="B270" t="s">
        <v>41</v>
      </c>
      <c r="C270" s="65">
        <f t="shared" si="4"/>
        <v>46058</v>
      </c>
      <c r="D270" s="3">
        <v>1</v>
      </c>
      <c r="E270" s="3">
        <v>119000</v>
      </c>
      <c r="F270" s="3">
        <v>119000</v>
      </c>
      <c r="G270" s="3">
        <v>82110</v>
      </c>
      <c r="H270" s="25">
        <v>61496</v>
      </c>
    </row>
    <row r="271" spans="1:8" x14ac:dyDescent="0.3">
      <c r="A271" s="64">
        <v>20260205992861</v>
      </c>
      <c r="B271" t="s">
        <v>41</v>
      </c>
      <c r="C271" s="65">
        <f t="shared" si="4"/>
        <v>46058</v>
      </c>
      <c r="D271" s="3">
        <v>1</v>
      </c>
      <c r="E271" s="3">
        <v>119000</v>
      </c>
      <c r="F271" s="3">
        <v>119000</v>
      </c>
      <c r="G271" s="3">
        <v>82110</v>
      </c>
      <c r="H271" s="25">
        <v>61496</v>
      </c>
    </row>
    <row r="272" spans="1:8" x14ac:dyDescent="0.3">
      <c r="A272" s="64">
        <v>20260205993182</v>
      </c>
      <c r="B272" t="s">
        <v>41</v>
      </c>
      <c r="C272" s="65">
        <f t="shared" si="4"/>
        <v>46058</v>
      </c>
      <c r="D272" s="3">
        <v>1</v>
      </c>
      <c r="E272" s="3">
        <v>119000</v>
      </c>
      <c r="F272" s="3">
        <v>119000</v>
      </c>
      <c r="G272" s="3">
        <v>82110</v>
      </c>
      <c r="H272" s="25">
        <v>61496</v>
      </c>
    </row>
    <row r="273" spans="1:8" x14ac:dyDescent="0.3">
      <c r="A273" s="64">
        <v>20260205993222</v>
      </c>
      <c r="B273" t="s">
        <v>41</v>
      </c>
      <c r="C273" s="65">
        <f t="shared" si="4"/>
        <v>46058</v>
      </c>
      <c r="D273" s="3">
        <v>1</v>
      </c>
      <c r="E273" s="3">
        <v>119000</v>
      </c>
      <c r="F273" s="3">
        <v>119000</v>
      </c>
      <c r="G273" s="3">
        <v>82110</v>
      </c>
      <c r="H273" s="25">
        <v>61496</v>
      </c>
    </row>
    <row r="274" spans="1:8" x14ac:dyDescent="0.3">
      <c r="A274" s="64">
        <v>20260205993549</v>
      </c>
      <c r="B274" t="s">
        <v>41</v>
      </c>
      <c r="C274" s="65">
        <f t="shared" si="4"/>
        <v>46058</v>
      </c>
      <c r="D274" s="3">
        <v>1</v>
      </c>
      <c r="E274" s="3">
        <v>119000</v>
      </c>
      <c r="F274" s="3">
        <v>119000</v>
      </c>
      <c r="G274" s="3">
        <v>82110</v>
      </c>
      <c r="H274" s="25">
        <v>61496</v>
      </c>
    </row>
    <row r="275" spans="1:8" x14ac:dyDescent="0.3">
      <c r="A275" s="64">
        <v>20260205992690</v>
      </c>
      <c r="B275" t="s">
        <v>41</v>
      </c>
      <c r="C275" s="65">
        <f t="shared" si="4"/>
        <v>46058</v>
      </c>
      <c r="D275" s="3">
        <v>1</v>
      </c>
      <c r="E275" s="3">
        <v>119000</v>
      </c>
      <c r="F275" s="3">
        <v>119000</v>
      </c>
      <c r="G275" s="3">
        <v>82110</v>
      </c>
      <c r="H275" s="25">
        <v>61496</v>
      </c>
    </row>
    <row r="276" spans="1:8" x14ac:dyDescent="0.3">
      <c r="A276" s="64">
        <v>20260205995551</v>
      </c>
      <c r="B276" t="s">
        <v>41</v>
      </c>
      <c r="C276" s="65">
        <f t="shared" si="4"/>
        <v>46058</v>
      </c>
      <c r="D276" s="3">
        <v>1</v>
      </c>
      <c r="E276" s="3">
        <v>119000</v>
      </c>
      <c r="F276" s="3">
        <v>119000</v>
      </c>
      <c r="G276" s="3">
        <v>82110</v>
      </c>
      <c r="H276" s="25">
        <v>61496</v>
      </c>
    </row>
    <row r="277" spans="1:8" x14ac:dyDescent="0.3">
      <c r="A277" s="64">
        <v>20260205995626</v>
      </c>
      <c r="B277" t="s">
        <v>41</v>
      </c>
      <c r="C277" s="65">
        <f t="shared" si="4"/>
        <v>46058</v>
      </c>
      <c r="D277" s="3">
        <v>1</v>
      </c>
      <c r="E277" s="3">
        <v>119000</v>
      </c>
      <c r="F277" s="3">
        <v>119000</v>
      </c>
      <c r="G277" s="3">
        <v>82110</v>
      </c>
      <c r="H277" s="25">
        <v>61496</v>
      </c>
    </row>
    <row r="278" spans="1:8" x14ac:dyDescent="0.3">
      <c r="A278" s="64">
        <v>20260205996241</v>
      </c>
      <c r="B278" t="s">
        <v>41</v>
      </c>
      <c r="C278" s="65">
        <f t="shared" si="4"/>
        <v>46058</v>
      </c>
      <c r="D278" s="3">
        <v>1</v>
      </c>
      <c r="E278" s="3">
        <v>119000</v>
      </c>
      <c r="F278" s="3">
        <v>119000</v>
      </c>
      <c r="G278" s="3">
        <v>82110</v>
      </c>
      <c r="H278" s="25">
        <v>61496</v>
      </c>
    </row>
    <row r="279" spans="1:8" x14ac:dyDescent="0.3">
      <c r="A279" s="64">
        <v>20260205994016</v>
      </c>
      <c r="B279" t="s">
        <v>41</v>
      </c>
      <c r="C279" s="65">
        <f t="shared" si="4"/>
        <v>46058</v>
      </c>
      <c r="D279" s="3">
        <v>1</v>
      </c>
      <c r="E279" s="3">
        <v>119000</v>
      </c>
      <c r="F279" s="3">
        <v>119000</v>
      </c>
      <c r="G279" s="3">
        <v>82110</v>
      </c>
      <c r="H279" s="25">
        <v>61496</v>
      </c>
    </row>
    <row r="280" spans="1:8" x14ac:dyDescent="0.3">
      <c r="A280" s="64">
        <v>20260205994157</v>
      </c>
      <c r="B280" t="s">
        <v>41</v>
      </c>
      <c r="C280" s="65">
        <f t="shared" si="4"/>
        <v>46058</v>
      </c>
      <c r="D280" s="3">
        <v>1</v>
      </c>
      <c r="E280" s="3">
        <v>119000</v>
      </c>
      <c r="F280" s="3">
        <v>119000</v>
      </c>
      <c r="G280" s="3">
        <v>82110</v>
      </c>
      <c r="H280" s="25">
        <v>61496</v>
      </c>
    </row>
    <row r="281" spans="1:8" x14ac:dyDescent="0.3">
      <c r="A281" s="64">
        <v>20260205995268</v>
      </c>
      <c r="B281" t="s">
        <v>41</v>
      </c>
      <c r="C281" s="65">
        <f t="shared" si="4"/>
        <v>46058</v>
      </c>
      <c r="D281" s="3">
        <v>1</v>
      </c>
      <c r="E281" s="3">
        <v>119000</v>
      </c>
      <c r="F281" s="3">
        <v>119000</v>
      </c>
      <c r="G281" s="3">
        <v>82110</v>
      </c>
      <c r="H281" s="25">
        <v>61496</v>
      </c>
    </row>
    <row r="282" spans="1:8" x14ac:dyDescent="0.3">
      <c r="A282" s="64">
        <v>20260205994486</v>
      </c>
      <c r="B282" t="s">
        <v>41</v>
      </c>
      <c r="C282" s="65">
        <f t="shared" si="4"/>
        <v>46058</v>
      </c>
      <c r="D282" s="3">
        <v>1</v>
      </c>
      <c r="E282" s="3">
        <v>119000</v>
      </c>
      <c r="F282" s="3">
        <v>119000</v>
      </c>
      <c r="G282" s="3">
        <v>82110</v>
      </c>
      <c r="H282" s="25">
        <v>61496</v>
      </c>
    </row>
    <row r="283" spans="1:8" x14ac:dyDescent="0.3">
      <c r="A283" s="64">
        <v>20260205994744</v>
      </c>
      <c r="B283" t="s">
        <v>41</v>
      </c>
      <c r="C283" s="65">
        <f t="shared" si="4"/>
        <v>46058</v>
      </c>
      <c r="D283" s="3">
        <v>1</v>
      </c>
      <c r="E283" s="3">
        <v>119000</v>
      </c>
      <c r="F283" s="3">
        <v>99960</v>
      </c>
      <c r="G283" s="3">
        <v>82110</v>
      </c>
      <c r="H283" s="25">
        <v>61496</v>
      </c>
    </row>
    <row r="284" spans="1:8" x14ac:dyDescent="0.3">
      <c r="A284" s="64">
        <v>20260205992679</v>
      </c>
      <c r="B284" t="s">
        <v>41</v>
      </c>
      <c r="C284" s="65">
        <f t="shared" si="4"/>
        <v>46058</v>
      </c>
      <c r="D284" s="3">
        <v>1</v>
      </c>
      <c r="E284" s="3">
        <v>119000</v>
      </c>
      <c r="F284" s="3">
        <v>119000</v>
      </c>
      <c r="G284" s="3">
        <v>82110</v>
      </c>
      <c r="H284" s="25">
        <v>61496</v>
      </c>
    </row>
    <row r="285" spans="1:8" x14ac:dyDescent="0.3">
      <c r="A285" s="64">
        <v>20260205992794</v>
      </c>
      <c r="B285" t="s">
        <v>41</v>
      </c>
      <c r="C285" s="65">
        <f t="shared" si="4"/>
        <v>46058</v>
      </c>
      <c r="D285" s="3">
        <v>1</v>
      </c>
      <c r="E285" s="3">
        <v>119000</v>
      </c>
      <c r="F285" s="3">
        <v>119000</v>
      </c>
      <c r="G285" s="3">
        <v>82110</v>
      </c>
      <c r="H285" s="25">
        <v>61496</v>
      </c>
    </row>
    <row r="286" spans="1:8" x14ac:dyDescent="0.3">
      <c r="A286" s="64">
        <v>20260205992734</v>
      </c>
      <c r="B286" t="s">
        <v>41</v>
      </c>
      <c r="C286" s="65">
        <f t="shared" si="4"/>
        <v>46058</v>
      </c>
      <c r="D286" s="3">
        <v>1</v>
      </c>
      <c r="E286" s="3">
        <v>119000</v>
      </c>
      <c r="F286" s="3">
        <v>119000</v>
      </c>
      <c r="G286" s="3">
        <v>82110</v>
      </c>
      <c r="H286" s="25">
        <v>61496</v>
      </c>
    </row>
    <row r="287" spans="1:8" x14ac:dyDescent="0.3">
      <c r="A287" s="64">
        <v>20260205992738</v>
      </c>
      <c r="B287" t="s">
        <v>41</v>
      </c>
      <c r="C287" s="65">
        <f t="shared" si="4"/>
        <v>46058</v>
      </c>
      <c r="D287" s="3">
        <v>1</v>
      </c>
      <c r="E287" s="3">
        <v>119000</v>
      </c>
      <c r="F287" s="3">
        <v>119000</v>
      </c>
      <c r="G287" s="3">
        <v>82110</v>
      </c>
      <c r="H287" s="25">
        <v>61496</v>
      </c>
    </row>
    <row r="288" spans="1:8" x14ac:dyDescent="0.3">
      <c r="A288" s="64">
        <v>20260205992986</v>
      </c>
      <c r="B288" t="s">
        <v>41</v>
      </c>
      <c r="C288" s="65">
        <f t="shared" si="4"/>
        <v>46058</v>
      </c>
      <c r="D288" s="3">
        <v>1</v>
      </c>
      <c r="E288" s="3">
        <v>119000</v>
      </c>
      <c r="F288" s="3">
        <v>119000</v>
      </c>
      <c r="G288" s="3">
        <v>82110</v>
      </c>
      <c r="H288" s="25">
        <v>61496</v>
      </c>
    </row>
    <row r="289" spans="1:8" x14ac:dyDescent="0.3">
      <c r="A289" s="64">
        <v>20260205995135</v>
      </c>
      <c r="B289" t="s">
        <v>41</v>
      </c>
      <c r="C289" s="65">
        <f t="shared" si="4"/>
        <v>46058</v>
      </c>
      <c r="D289" s="3">
        <v>1</v>
      </c>
      <c r="E289" s="3">
        <v>119000</v>
      </c>
      <c r="F289" s="3">
        <v>119000</v>
      </c>
      <c r="G289" s="3">
        <v>82110</v>
      </c>
      <c r="H289" s="25">
        <v>61496</v>
      </c>
    </row>
    <row r="290" spans="1:8" x14ac:dyDescent="0.3">
      <c r="A290" s="64">
        <v>20260205995051</v>
      </c>
      <c r="B290" t="s">
        <v>41</v>
      </c>
      <c r="C290" s="65">
        <f t="shared" si="4"/>
        <v>46058</v>
      </c>
      <c r="D290" s="3">
        <v>1</v>
      </c>
      <c r="E290" s="3">
        <v>119000</v>
      </c>
      <c r="F290" s="3">
        <v>113050</v>
      </c>
      <c r="G290" s="3">
        <v>82110</v>
      </c>
      <c r="H290" s="25">
        <v>61496</v>
      </c>
    </row>
    <row r="291" spans="1:8" x14ac:dyDescent="0.3">
      <c r="A291" s="64">
        <v>20260205995178</v>
      </c>
      <c r="B291" t="s">
        <v>41</v>
      </c>
      <c r="C291" s="65">
        <f t="shared" si="4"/>
        <v>46058</v>
      </c>
      <c r="D291" s="3">
        <v>1</v>
      </c>
      <c r="E291" s="3">
        <v>119000</v>
      </c>
      <c r="F291" s="3">
        <v>119000</v>
      </c>
      <c r="G291" s="3">
        <v>82110</v>
      </c>
      <c r="H291" s="25">
        <v>61496</v>
      </c>
    </row>
    <row r="292" spans="1:8" x14ac:dyDescent="0.3">
      <c r="A292" s="64">
        <v>20260205995310</v>
      </c>
      <c r="B292" t="s">
        <v>41</v>
      </c>
      <c r="C292" s="65">
        <f t="shared" si="4"/>
        <v>46058</v>
      </c>
      <c r="D292" s="3">
        <v>1</v>
      </c>
      <c r="E292" s="3">
        <v>119000</v>
      </c>
      <c r="F292" s="3">
        <v>119000</v>
      </c>
      <c r="G292" s="3">
        <v>82110</v>
      </c>
      <c r="H292" s="25">
        <v>61496</v>
      </c>
    </row>
    <row r="293" spans="1:8" x14ac:dyDescent="0.3">
      <c r="A293" s="64">
        <v>20260205994627</v>
      </c>
      <c r="B293" t="s">
        <v>41</v>
      </c>
      <c r="C293" s="65">
        <f t="shared" si="4"/>
        <v>46058</v>
      </c>
      <c r="D293" s="3">
        <v>1</v>
      </c>
      <c r="E293" s="3">
        <v>119000</v>
      </c>
      <c r="F293" s="3">
        <v>119000</v>
      </c>
      <c r="G293" s="3">
        <v>82110</v>
      </c>
      <c r="H293" s="25">
        <v>61496</v>
      </c>
    </row>
    <row r="294" spans="1:8" x14ac:dyDescent="0.3">
      <c r="A294" s="64">
        <v>20260205992706</v>
      </c>
      <c r="B294" t="s">
        <v>41</v>
      </c>
      <c r="C294" s="65">
        <f t="shared" si="4"/>
        <v>46058</v>
      </c>
      <c r="D294" s="3">
        <v>1</v>
      </c>
      <c r="E294" s="3">
        <v>119000</v>
      </c>
      <c r="F294" s="3">
        <v>101150</v>
      </c>
      <c r="G294" s="3">
        <v>82110</v>
      </c>
      <c r="H294" s="25">
        <v>61496</v>
      </c>
    </row>
    <row r="295" spans="1:8" x14ac:dyDescent="0.3">
      <c r="A295" s="64">
        <v>20260205992897</v>
      </c>
      <c r="B295" t="s">
        <v>41</v>
      </c>
      <c r="C295" s="65">
        <f t="shared" si="4"/>
        <v>46058</v>
      </c>
      <c r="D295" s="3">
        <v>1</v>
      </c>
      <c r="E295" s="3">
        <v>119000</v>
      </c>
      <c r="F295" s="3">
        <v>96390</v>
      </c>
      <c r="G295" s="3">
        <v>82110</v>
      </c>
      <c r="H295" s="25">
        <v>61496</v>
      </c>
    </row>
    <row r="296" spans="1:8" x14ac:dyDescent="0.3">
      <c r="A296" s="64">
        <v>20260205994669</v>
      </c>
      <c r="B296" t="s">
        <v>41</v>
      </c>
      <c r="C296" s="65">
        <f t="shared" si="4"/>
        <v>46058</v>
      </c>
      <c r="D296" s="3">
        <v>1</v>
      </c>
      <c r="E296" s="3">
        <v>119000</v>
      </c>
      <c r="F296" s="3">
        <v>119000</v>
      </c>
      <c r="G296" s="3">
        <v>82110</v>
      </c>
      <c r="H296" s="25">
        <v>61496</v>
      </c>
    </row>
    <row r="297" spans="1:8" x14ac:dyDescent="0.3">
      <c r="A297" s="64">
        <v>20260205993830</v>
      </c>
      <c r="B297" t="s">
        <v>41</v>
      </c>
      <c r="C297" s="65">
        <f t="shared" si="4"/>
        <v>46058</v>
      </c>
      <c r="D297" s="3">
        <v>1</v>
      </c>
      <c r="E297" s="3">
        <v>119000</v>
      </c>
      <c r="F297" s="3">
        <v>119000</v>
      </c>
      <c r="G297" s="3">
        <v>82110</v>
      </c>
      <c r="H297" s="25">
        <v>61496</v>
      </c>
    </row>
    <row r="298" spans="1:8" x14ac:dyDescent="0.3">
      <c r="A298" s="64">
        <v>20260205993830</v>
      </c>
      <c r="B298" t="s">
        <v>41</v>
      </c>
      <c r="C298" s="65">
        <f t="shared" si="4"/>
        <v>46058</v>
      </c>
      <c r="D298" s="3">
        <v>1</v>
      </c>
      <c r="E298" s="3">
        <v>119000</v>
      </c>
      <c r="F298" s="3">
        <v>119000</v>
      </c>
      <c r="G298" s="3">
        <v>82110</v>
      </c>
      <c r="H298" s="25">
        <v>61496</v>
      </c>
    </row>
    <row r="299" spans="1:8" x14ac:dyDescent="0.3">
      <c r="A299" s="64">
        <v>20260205993426</v>
      </c>
      <c r="B299" t="s">
        <v>41</v>
      </c>
      <c r="C299" s="65">
        <f t="shared" si="4"/>
        <v>46058</v>
      </c>
      <c r="D299" s="3">
        <v>1</v>
      </c>
      <c r="E299" s="3">
        <v>119000</v>
      </c>
      <c r="F299" s="3">
        <v>119000</v>
      </c>
      <c r="G299" s="3">
        <v>82110</v>
      </c>
      <c r="H299" s="25">
        <v>61496</v>
      </c>
    </row>
    <row r="300" spans="1:8" x14ac:dyDescent="0.3">
      <c r="A300" s="64">
        <v>20260205993231</v>
      </c>
      <c r="B300" t="s">
        <v>41</v>
      </c>
      <c r="C300" s="65">
        <f t="shared" si="4"/>
        <v>46058</v>
      </c>
      <c r="D300" s="3">
        <v>1</v>
      </c>
      <c r="E300" s="3">
        <v>119000</v>
      </c>
      <c r="F300" s="3">
        <v>119000</v>
      </c>
      <c r="G300" s="3">
        <v>82110</v>
      </c>
      <c r="H300" s="25">
        <v>61496</v>
      </c>
    </row>
    <row r="301" spans="1:8" x14ac:dyDescent="0.3">
      <c r="A301" s="64">
        <v>20260205995033</v>
      </c>
      <c r="B301" t="s">
        <v>41</v>
      </c>
      <c r="C301" s="65">
        <f t="shared" si="4"/>
        <v>46058</v>
      </c>
      <c r="D301" s="3">
        <v>1</v>
      </c>
      <c r="E301" s="3">
        <v>119000</v>
      </c>
      <c r="F301" s="3">
        <v>119000</v>
      </c>
      <c r="G301" s="3">
        <v>82110</v>
      </c>
      <c r="H301" s="25">
        <v>61496</v>
      </c>
    </row>
    <row r="302" spans="1:8" x14ac:dyDescent="0.3">
      <c r="A302" s="64">
        <v>20260205994734</v>
      </c>
      <c r="B302" t="s">
        <v>41</v>
      </c>
      <c r="C302" s="65">
        <f t="shared" si="4"/>
        <v>46058</v>
      </c>
      <c r="D302" s="3">
        <v>1</v>
      </c>
      <c r="E302" s="3">
        <v>119000</v>
      </c>
      <c r="F302" s="3">
        <v>119000</v>
      </c>
      <c r="G302" s="3">
        <v>82110</v>
      </c>
      <c r="H302" s="25">
        <v>61496</v>
      </c>
    </row>
    <row r="303" spans="1:8" x14ac:dyDescent="0.3">
      <c r="A303" s="64">
        <v>20260205005878</v>
      </c>
      <c r="B303" t="s">
        <v>41</v>
      </c>
      <c r="C303" s="65">
        <f t="shared" si="4"/>
        <v>46058</v>
      </c>
      <c r="D303" s="3">
        <v>1</v>
      </c>
      <c r="E303" s="3">
        <v>119000</v>
      </c>
      <c r="F303" s="3">
        <v>113050</v>
      </c>
      <c r="G303" s="3">
        <v>82110</v>
      </c>
      <c r="H303" s="25">
        <v>61496</v>
      </c>
    </row>
    <row r="304" spans="1:8" x14ac:dyDescent="0.3">
      <c r="A304" s="64">
        <v>20260205002209</v>
      </c>
      <c r="B304" t="s">
        <v>41</v>
      </c>
      <c r="C304" s="65">
        <f t="shared" si="4"/>
        <v>46058</v>
      </c>
      <c r="D304" s="3">
        <v>1</v>
      </c>
      <c r="E304" s="3">
        <v>119000</v>
      </c>
      <c r="F304" s="3">
        <v>119000</v>
      </c>
      <c r="G304" s="3">
        <v>82110</v>
      </c>
      <c r="H304" s="25">
        <v>61496</v>
      </c>
    </row>
    <row r="305" spans="1:8" x14ac:dyDescent="0.3">
      <c r="A305" s="64">
        <v>20260205994403</v>
      </c>
      <c r="B305" t="s">
        <v>41</v>
      </c>
      <c r="C305" s="65">
        <f t="shared" si="4"/>
        <v>46058</v>
      </c>
      <c r="D305" s="3">
        <v>1</v>
      </c>
      <c r="E305" s="3">
        <v>119000</v>
      </c>
      <c r="F305" s="3">
        <v>119000</v>
      </c>
      <c r="G305" s="3">
        <v>82110</v>
      </c>
      <c r="H305" s="25">
        <v>61496</v>
      </c>
    </row>
    <row r="306" spans="1:8" x14ac:dyDescent="0.3">
      <c r="A306" s="64">
        <v>20260205993716</v>
      </c>
      <c r="B306" t="s">
        <v>41</v>
      </c>
      <c r="C306" s="65">
        <f t="shared" si="4"/>
        <v>46058</v>
      </c>
      <c r="D306" s="3">
        <v>1</v>
      </c>
      <c r="E306" s="3">
        <v>119000</v>
      </c>
      <c r="F306" s="3">
        <v>119000</v>
      </c>
      <c r="G306" s="3">
        <v>82110</v>
      </c>
      <c r="H306" s="25">
        <v>61496</v>
      </c>
    </row>
    <row r="307" spans="1:8" x14ac:dyDescent="0.3">
      <c r="A307" s="64">
        <v>20260205994897</v>
      </c>
      <c r="B307" t="s">
        <v>41</v>
      </c>
      <c r="C307" s="65">
        <f t="shared" si="4"/>
        <v>46058</v>
      </c>
      <c r="D307" s="3">
        <v>1</v>
      </c>
      <c r="E307" s="3">
        <v>119000</v>
      </c>
      <c r="F307" s="3">
        <v>119000</v>
      </c>
      <c r="G307" s="3">
        <v>82110</v>
      </c>
      <c r="H307" s="25">
        <v>61496</v>
      </c>
    </row>
    <row r="308" spans="1:8" x14ac:dyDescent="0.3">
      <c r="A308" s="64">
        <v>20260205995346</v>
      </c>
      <c r="B308" t="s">
        <v>41</v>
      </c>
      <c r="C308" s="65">
        <f t="shared" si="4"/>
        <v>46058</v>
      </c>
      <c r="D308" s="3">
        <v>1</v>
      </c>
      <c r="E308" s="3">
        <v>119000</v>
      </c>
      <c r="F308" s="3">
        <v>119000</v>
      </c>
      <c r="G308" s="3">
        <v>82110</v>
      </c>
      <c r="H308" s="25">
        <v>61496</v>
      </c>
    </row>
    <row r="309" spans="1:8" x14ac:dyDescent="0.3">
      <c r="A309" s="64">
        <v>20260205994059</v>
      </c>
      <c r="B309" t="s">
        <v>41</v>
      </c>
      <c r="C309" s="65">
        <f t="shared" si="4"/>
        <v>46058</v>
      </c>
      <c r="D309" s="3">
        <v>1</v>
      </c>
      <c r="E309" s="3">
        <v>119000</v>
      </c>
      <c r="F309" s="3">
        <v>109000</v>
      </c>
      <c r="G309" s="3">
        <v>82110</v>
      </c>
      <c r="H309" s="25">
        <v>61496</v>
      </c>
    </row>
    <row r="310" spans="1:8" x14ac:dyDescent="0.3">
      <c r="A310" s="64">
        <v>20260205994147</v>
      </c>
      <c r="B310" t="s">
        <v>41</v>
      </c>
      <c r="C310" s="65">
        <f t="shared" si="4"/>
        <v>46058</v>
      </c>
      <c r="D310" s="3">
        <v>1</v>
      </c>
      <c r="E310" s="3">
        <v>119000</v>
      </c>
      <c r="F310" s="3">
        <v>119000</v>
      </c>
      <c r="G310" s="3">
        <v>82110</v>
      </c>
      <c r="H310" s="25">
        <v>61496</v>
      </c>
    </row>
    <row r="311" spans="1:8" x14ac:dyDescent="0.3">
      <c r="A311" s="64">
        <v>20260205993758</v>
      </c>
      <c r="B311" t="s">
        <v>41</v>
      </c>
      <c r="C311" s="65">
        <f t="shared" si="4"/>
        <v>46058</v>
      </c>
      <c r="D311" s="3">
        <v>1</v>
      </c>
      <c r="E311" s="3">
        <v>119000</v>
      </c>
      <c r="F311" s="3">
        <v>119000</v>
      </c>
      <c r="G311" s="3">
        <v>82110</v>
      </c>
      <c r="H311" s="25">
        <v>61496</v>
      </c>
    </row>
    <row r="312" spans="1:8" x14ac:dyDescent="0.3">
      <c r="A312" s="64">
        <v>20260205994158</v>
      </c>
      <c r="B312" t="s">
        <v>41</v>
      </c>
      <c r="C312" s="65">
        <f t="shared" si="4"/>
        <v>46058</v>
      </c>
      <c r="D312" s="3">
        <v>1</v>
      </c>
      <c r="E312" s="3">
        <v>119000</v>
      </c>
      <c r="F312" s="3">
        <v>119000</v>
      </c>
      <c r="G312" s="3">
        <v>82110</v>
      </c>
      <c r="H312" s="25">
        <v>61496</v>
      </c>
    </row>
    <row r="313" spans="1:8" x14ac:dyDescent="0.3">
      <c r="A313" s="64">
        <v>20260205994158</v>
      </c>
      <c r="B313" t="s">
        <v>41</v>
      </c>
      <c r="C313" s="65">
        <f t="shared" si="4"/>
        <v>46058</v>
      </c>
      <c r="D313" s="3">
        <v>1</v>
      </c>
      <c r="E313" s="3">
        <v>119000</v>
      </c>
      <c r="F313" s="3">
        <v>119000</v>
      </c>
      <c r="G313" s="3">
        <v>82110</v>
      </c>
      <c r="H313" s="25">
        <v>61496</v>
      </c>
    </row>
    <row r="314" spans="1:8" x14ac:dyDescent="0.3">
      <c r="A314" s="64">
        <v>20260205993463</v>
      </c>
      <c r="B314" t="s">
        <v>41</v>
      </c>
      <c r="C314" s="65">
        <f t="shared" si="4"/>
        <v>46058</v>
      </c>
      <c r="D314" s="3">
        <v>1</v>
      </c>
      <c r="E314" s="3">
        <v>119000</v>
      </c>
      <c r="F314" s="3">
        <v>119000</v>
      </c>
      <c r="G314" s="3">
        <v>82110</v>
      </c>
      <c r="H314" s="25">
        <v>61496</v>
      </c>
    </row>
    <row r="315" spans="1:8" x14ac:dyDescent="0.3">
      <c r="A315" s="64">
        <v>20260205994122</v>
      </c>
      <c r="B315" t="s">
        <v>41</v>
      </c>
      <c r="C315" s="65">
        <f t="shared" si="4"/>
        <v>46058</v>
      </c>
      <c r="D315" s="3">
        <v>1</v>
      </c>
      <c r="E315" s="3">
        <v>119000</v>
      </c>
      <c r="F315" s="3">
        <v>119000</v>
      </c>
      <c r="G315" s="3">
        <v>82110</v>
      </c>
      <c r="H315" s="25">
        <v>61496</v>
      </c>
    </row>
    <row r="316" spans="1:8" x14ac:dyDescent="0.3">
      <c r="A316" s="64">
        <v>20260205995057</v>
      </c>
      <c r="B316" t="s">
        <v>41</v>
      </c>
      <c r="C316" s="65">
        <f t="shared" si="4"/>
        <v>46058</v>
      </c>
      <c r="D316" s="3">
        <v>1</v>
      </c>
      <c r="E316" s="3">
        <v>119000</v>
      </c>
      <c r="F316" s="3">
        <v>109000</v>
      </c>
      <c r="G316" s="3">
        <v>82110</v>
      </c>
      <c r="H316" s="25">
        <v>61496</v>
      </c>
    </row>
    <row r="317" spans="1:8" x14ac:dyDescent="0.3">
      <c r="A317" s="64">
        <v>20260205994528</v>
      </c>
      <c r="B317" t="s">
        <v>41</v>
      </c>
      <c r="C317" s="65">
        <f t="shared" si="4"/>
        <v>46058</v>
      </c>
      <c r="D317" s="3">
        <v>1</v>
      </c>
      <c r="E317" s="3">
        <v>119000</v>
      </c>
      <c r="F317" s="3">
        <v>119000</v>
      </c>
      <c r="G317" s="3">
        <v>82110</v>
      </c>
      <c r="H317" s="25">
        <v>61496</v>
      </c>
    </row>
    <row r="318" spans="1:8" x14ac:dyDescent="0.3">
      <c r="A318" s="64">
        <v>20260205993913</v>
      </c>
      <c r="B318" t="s">
        <v>41</v>
      </c>
      <c r="C318" s="65">
        <f t="shared" si="4"/>
        <v>46058</v>
      </c>
      <c r="D318" s="3">
        <v>1</v>
      </c>
      <c r="E318" s="3">
        <v>119000</v>
      </c>
      <c r="F318" s="3">
        <v>109000</v>
      </c>
      <c r="G318" s="3">
        <v>82110</v>
      </c>
      <c r="H318" s="25">
        <v>61496</v>
      </c>
    </row>
    <row r="319" spans="1:8" x14ac:dyDescent="0.3">
      <c r="A319" s="64">
        <v>20260205994535</v>
      </c>
      <c r="B319" t="s">
        <v>41</v>
      </c>
      <c r="C319" s="65">
        <f t="shared" si="4"/>
        <v>46058</v>
      </c>
      <c r="D319" s="3">
        <v>2</v>
      </c>
      <c r="E319" s="3">
        <v>119000</v>
      </c>
      <c r="F319" s="3">
        <v>238000</v>
      </c>
      <c r="G319" s="3">
        <v>164220</v>
      </c>
      <c r="H319" s="25">
        <v>122992</v>
      </c>
    </row>
    <row r="320" spans="1:8" x14ac:dyDescent="0.3">
      <c r="A320" s="64">
        <v>20260205994836</v>
      </c>
      <c r="B320" t="s">
        <v>41</v>
      </c>
      <c r="C320" s="65">
        <f t="shared" si="4"/>
        <v>46058</v>
      </c>
      <c r="D320" s="3">
        <v>1</v>
      </c>
      <c r="E320" s="3">
        <v>119000</v>
      </c>
      <c r="F320" s="3">
        <v>119000</v>
      </c>
      <c r="G320" s="3">
        <v>82110</v>
      </c>
      <c r="H320" s="25">
        <v>61496</v>
      </c>
    </row>
    <row r="321" spans="1:8" x14ac:dyDescent="0.3">
      <c r="A321" s="64">
        <v>20260205994447</v>
      </c>
      <c r="B321" t="s">
        <v>41</v>
      </c>
      <c r="C321" s="65">
        <f t="shared" si="4"/>
        <v>46058</v>
      </c>
      <c r="D321" s="3">
        <v>1</v>
      </c>
      <c r="E321" s="3">
        <v>119000</v>
      </c>
      <c r="F321" s="3">
        <v>119000</v>
      </c>
      <c r="G321" s="3">
        <v>82110</v>
      </c>
      <c r="H321" s="25">
        <v>61496</v>
      </c>
    </row>
    <row r="322" spans="1:8" x14ac:dyDescent="0.3">
      <c r="A322" s="64">
        <v>20260205995071</v>
      </c>
      <c r="B322" t="s">
        <v>41</v>
      </c>
      <c r="C322" s="65">
        <f t="shared" si="4"/>
        <v>46058</v>
      </c>
      <c r="D322" s="3">
        <v>1</v>
      </c>
      <c r="E322" s="3">
        <v>119000</v>
      </c>
      <c r="F322" s="3">
        <v>119000</v>
      </c>
      <c r="G322" s="3">
        <v>82110</v>
      </c>
      <c r="H322" s="25">
        <v>61496</v>
      </c>
    </row>
    <row r="323" spans="1:8" x14ac:dyDescent="0.3">
      <c r="A323" s="64">
        <v>20260205994350</v>
      </c>
      <c r="B323" t="s">
        <v>41</v>
      </c>
      <c r="C323" s="65">
        <f t="shared" ref="C323:C386" si="5">DATE(LEFT(TEXT(A323,"0"),4),MID(TEXT(A323,"0"),5,2),MID(TEXT(A323,"0"),7,2))</f>
        <v>46058</v>
      </c>
      <c r="D323" s="3">
        <v>1</v>
      </c>
      <c r="E323" s="3">
        <v>119000</v>
      </c>
      <c r="F323" s="3">
        <v>119000</v>
      </c>
      <c r="G323" s="3">
        <v>82110</v>
      </c>
      <c r="H323" s="25">
        <v>61496</v>
      </c>
    </row>
    <row r="324" spans="1:8" x14ac:dyDescent="0.3">
      <c r="A324" s="64">
        <v>20260205992509</v>
      </c>
      <c r="B324" t="s">
        <v>41</v>
      </c>
      <c r="C324" s="65">
        <f t="shared" si="5"/>
        <v>46058</v>
      </c>
      <c r="D324" s="3">
        <v>1</v>
      </c>
      <c r="E324" s="3">
        <v>119000</v>
      </c>
      <c r="F324" s="3">
        <v>119000</v>
      </c>
      <c r="G324" s="3">
        <v>82110</v>
      </c>
      <c r="H324" s="25">
        <v>61496</v>
      </c>
    </row>
    <row r="325" spans="1:8" x14ac:dyDescent="0.3">
      <c r="A325" s="64">
        <v>20260205995352</v>
      </c>
      <c r="B325" t="s">
        <v>41</v>
      </c>
      <c r="C325" s="65">
        <f t="shared" si="5"/>
        <v>46058</v>
      </c>
      <c r="D325" s="3">
        <v>1</v>
      </c>
      <c r="E325" s="3">
        <v>119000</v>
      </c>
      <c r="F325" s="3">
        <v>119000</v>
      </c>
      <c r="G325" s="3">
        <v>82110</v>
      </c>
      <c r="H325" s="25">
        <v>61496</v>
      </c>
    </row>
    <row r="326" spans="1:8" x14ac:dyDescent="0.3">
      <c r="A326" s="64">
        <v>20260205995384</v>
      </c>
      <c r="B326" t="s">
        <v>41</v>
      </c>
      <c r="C326" s="65">
        <f t="shared" si="5"/>
        <v>46058</v>
      </c>
      <c r="D326" s="3">
        <v>1</v>
      </c>
      <c r="E326" s="3">
        <v>119000</v>
      </c>
      <c r="F326" s="3">
        <v>119000</v>
      </c>
      <c r="G326" s="3">
        <v>82110</v>
      </c>
      <c r="H326" s="25">
        <v>61496</v>
      </c>
    </row>
    <row r="327" spans="1:8" x14ac:dyDescent="0.3">
      <c r="A327" s="64">
        <v>20260205994156</v>
      </c>
      <c r="B327" t="s">
        <v>41</v>
      </c>
      <c r="C327" s="65">
        <f t="shared" si="5"/>
        <v>46058</v>
      </c>
      <c r="D327" s="3">
        <v>1</v>
      </c>
      <c r="E327" s="3">
        <v>119000</v>
      </c>
      <c r="F327" s="3">
        <v>119000</v>
      </c>
      <c r="G327" s="3">
        <v>82110</v>
      </c>
      <c r="H327" s="25">
        <v>61496</v>
      </c>
    </row>
    <row r="328" spans="1:8" x14ac:dyDescent="0.3">
      <c r="A328" s="64">
        <v>20260205995064</v>
      </c>
      <c r="B328" t="s">
        <v>41</v>
      </c>
      <c r="C328" s="65">
        <f t="shared" si="5"/>
        <v>46058</v>
      </c>
      <c r="D328" s="3">
        <v>1</v>
      </c>
      <c r="E328" s="3">
        <v>119000</v>
      </c>
      <c r="F328" s="3">
        <v>119000</v>
      </c>
      <c r="G328" s="3">
        <v>82110</v>
      </c>
      <c r="H328" s="25">
        <v>61496</v>
      </c>
    </row>
    <row r="329" spans="1:8" x14ac:dyDescent="0.3">
      <c r="A329" s="64">
        <v>20260205995094</v>
      </c>
      <c r="B329" t="s">
        <v>41</v>
      </c>
      <c r="C329" s="65">
        <f t="shared" si="5"/>
        <v>46058</v>
      </c>
      <c r="D329" s="3">
        <v>1</v>
      </c>
      <c r="E329" s="3">
        <v>119000</v>
      </c>
      <c r="F329" s="3">
        <v>119000</v>
      </c>
      <c r="G329" s="3">
        <v>82110</v>
      </c>
      <c r="H329" s="25">
        <v>61496</v>
      </c>
    </row>
    <row r="330" spans="1:8" x14ac:dyDescent="0.3">
      <c r="A330" s="64">
        <v>20260205995405</v>
      </c>
      <c r="B330" t="s">
        <v>41</v>
      </c>
      <c r="C330" s="65">
        <f t="shared" si="5"/>
        <v>46058</v>
      </c>
      <c r="D330" s="3">
        <v>1</v>
      </c>
      <c r="E330" s="3">
        <v>119000</v>
      </c>
      <c r="F330" s="3">
        <v>119000</v>
      </c>
      <c r="G330" s="3">
        <v>82110</v>
      </c>
      <c r="H330" s="25">
        <v>61496</v>
      </c>
    </row>
    <row r="331" spans="1:8" x14ac:dyDescent="0.3">
      <c r="A331" s="64">
        <v>20260205995039</v>
      </c>
      <c r="B331" t="s">
        <v>41</v>
      </c>
      <c r="C331" s="65">
        <f t="shared" si="5"/>
        <v>46058</v>
      </c>
      <c r="D331" s="3">
        <v>1</v>
      </c>
      <c r="E331" s="3">
        <v>119000</v>
      </c>
      <c r="F331" s="3">
        <v>119000</v>
      </c>
      <c r="G331" s="3">
        <v>82110</v>
      </c>
      <c r="H331" s="25">
        <v>61496</v>
      </c>
    </row>
    <row r="332" spans="1:8" x14ac:dyDescent="0.3">
      <c r="A332" s="64">
        <v>20260205994153</v>
      </c>
      <c r="B332" t="s">
        <v>41</v>
      </c>
      <c r="C332" s="65">
        <f t="shared" si="5"/>
        <v>46058</v>
      </c>
      <c r="D332" s="3">
        <v>1</v>
      </c>
      <c r="E332" s="3">
        <v>119000</v>
      </c>
      <c r="F332" s="3">
        <v>119000</v>
      </c>
      <c r="G332" s="3">
        <v>82110</v>
      </c>
      <c r="H332" s="25">
        <v>61496</v>
      </c>
    </row>
    <row r="333" spans="1:8" x14ac:dyDescent="0.3">
      <c r="A333" s="64">
        <v>20260205994151</v>
      </c>
      <c r="B333" t="s">
        <v>41</v>
      </c>
      <c r="C333" s="65">
        <f t="shared" si="5"/>
        <v>46058</v>
      </c>
      <c r="D333" s="3">
        <v>1</v>
      </c>
      <c r="E333" s="3">
        <v>119000</v>
      </c>
      <c r="F333" s="3">
        <v>119000</v>
      </c>
      <c r="G333" s="3">
        <v>82110</v>
      </c>
      <c r="H333" s="25">
        <v>61496</v>
      </c>
    </row>
    <row r="334" spans="1:8" x14ac:dyDescent="0.3">
      <c r="A334" s="64">
        <v>20260205994805</v>
      </c>
      <c r="B334" t="s">
        <v>41</v>
      </c>
      <c r="C334" s="65">
        <f t="shared" si="5"/>
        <v>46058</v>
      </c>
      <c r="D334" s="3">
        <v>1</v>
      </c>
      <c r="E334" s="3">
        <v>119000</v>
      </c>
      <c r="F334" s="3">
        <v>119000</v>
      </c>
      <c r="G334" s="3">
        <v>82110</v>
      </c>
      <c r="H334" s="25">
        <v>61496</v>
      </c>
    </row>
    <row r="335" spans="1:8" x14ac:dyDescent="0.3">
      <c r="A335" s="64">
        <v>20260205993562</v>
      </c>
      <c r="B335" t="s">
        <v>41</v>
      </c>
      <c r="C335" s="65">
        <f t="shared" si="5"/>
        <v>46058</v>
      </c>
      <c r="D335" s="3">
        <v>1</v>
      </c>
      <c r="E335" s="3">
        <v>119000</v>
      </c>
      <c r="F335" s="3">
        <v>119000</v>
      </c>
      <c r="G335" s="3">
        <v>82110</v>
      </c>
      <c r="H335" s="25">
        <v>61496</v>
      </c>
    </row>
    <row r="336" spans="1:8" x14ac:dyDescent="0.3">
      <c r="A336" s="64">
        <v>20260205992492</v>
      </c>
      <c r="B336" t="s">
        <v>41</v>
      </c>
      <c r="C336" s="65">
        <f t="shared" si="5"/>
        <v>46058</v>
      </c>
      <c r="D336" s="3">
        <v>1</v>
      </c>
      <c r="E336" s="3">
        <v>119000</v>
      </c>
      <c r="F336" s="3">
        <v>119000</v>
      </c>
      <c r="G336" s="3">
        <v>82110</v>
      </c>
      <c r="H336" s="25">
        <v>61496</v>
      </c>
    </row>
    <row r="337" spans="1:8" x14ac:dyDescent="0.3">
      <c r="A337" s="64">
        <v>20260205992669</v>
      </c>
      <c r="B337" t="s">
        <v>41</v>
      </c>
      <c r="C337" s="65">
        <f t="shared" si="5"/>
        <v>46058</v>
      </c>
      <c r="D337" s="3">
        <v>1</v>
      </c>
      <c r="E337" s="3">
        <v>119000</v>
      </c>
      <c r="F337" s="3">
        <v>119000</v>
      </c>
      <c r="G337" s="3">
        <v>82110</v>
      </c>
      <c r="H337" s="25">
        <v>61496</v>
      </c>
    </row>
    <row r="338" spans="1:8" x14ac:dyDescent="0.3">
      <c r="A338" s="64">
        <v>20260205993173</v>
      </c>
      <c r="B338" t="s">
        <v>41</v>
      </c>
      <c r="C338" s="65">
        <f t="shared" si="5"/>
        <v>46058</v>
      </c>
      <c r="D338" s="3">
        <v>1</v>
      </c>
      <c r="E338" s="3">
        <v>119000</v>
      </c>
      <c r="F338" s="3">
        <v>114000</v>
      </c>
      <c r="G338" s="3">
        <v>82110</v>
      </c>
      <c r="H338" s="25">
        <v>61496</v>
      </c>
    </row>
    <row r="339" spans="1:8" x14ac:dyDescent="0.3">
      <c r="A339" s="64">
        <v>20260205995345</v>
      </c>
      <c r="B339" t="s">
        <v>41</v>
      </c>
      <c r="C339" s="65">
        <f t="shared" si="5"/>
        <v>46058</v>
      </c>
      <c r="D339" s="3">
        <v>1</v>
      </c>
      <c r="E339" s="3">
        <v>119000</v>
      </c>
      <c r="F339" s="3">
        <v>119000</v>
      </c>
      <c r="G339" s="3">
        <v>82110</v>
      </c>
      <c r="H339" s="25">
        <v>61496</v>
      </c>
    </row>
    <row r="340" spans="1:8" x14ac:dyDescent="0.3">
      <c r="A340" s="64">
        <v>20260205994889</v>
      </c>
      <c r="B340" t="s">
        <v>41</v>
      </c>
      <c r="C340" s="65">
        <f t="shared" si="5"/>
        <v>46058</v>
      </c>
      <c r="D340" s="3">
        <v>1</v>
      </c>
      <c r="E340" s="3">
        <v>119000</v>
      </c>
      <c r="F340" s="3">
        <v>119000</v>
      </c>
      <c r="G340" s="3">
        <v>82110</v>
      </c>
      <c r="H340" s="25">
        <v>61496</v>
      </c>
    </row>
    <row r="341" spans="1:8" x14ac:dyDescent="0.3">
      <c r="A341" s="64">
        <v>20260205995613</v>
      </c>
      <c r="B341" t="s">
        <v>41</v>
      </c>
      <c r="C341" s="65">
        <f t="shared" si="5"/>
        <v>46058</v>
      </c>
      <c r="D341" s="3">
        <v>1</v>
      </c>
      <c r="E341" s="3">
        <v>119000</v>
      </c>
      <c r="F341" s="3">
        <v>119000</v>
      </c>
      <c r="G341" s="3">
        <v>82110</v>
      </c>
      <c r="H341" s="25">
        <v>61496</v>
      </c>
    </row>
    <row r="342" spans="1:8" x14ac:dyDescent="0.3">
      <c r="A342" s="64">
        <v>20260205994040</v>
      </c>
      <c r="B342" t="s">
        <v>41</v>
      </c>
      <c r="C342" s="65">
        <f t="shared" si="5"/>
        <v>46058</v>
      </c>
      <c r="D342" s="3">
        <v>1</v>
      </c>
      <c r="E342" s="3">
        <v>119000</v>
      </c>
      <c r="F342" s="3">
        <v>119000</v>
      </c>
      <c r="G342" s="3">
        <v>82110</v>
      </c>
      <c r="H342" s="25">
        <v>61496</v>
      </c>
    </row>
    <row r="343" spans="1:8" x14ac:dyDescent="0.3">
      <c r="A343" s="64">
        <v>20260205995186</v>
      </c>
      <c r="B343" t="s">
        <v>41</v>
      </c>
      <c r="C343" s="65">
        <f t="shared" si="5"/>
        <v>46058</v>
      </c>
      <c r="D343" s="3">
        <v>1</v>
      </c>
      <c r="E343" s="3">
        <v>119000</v>
      </c>
      <c r="F343" s="3">
        <v>119000</v>
      </c>
      <c r="G343" s="3">
        <v>82110</v>
      </c>
      <c r="H343" s="25">
        <v>61496</v>
      </c>
    </row>
    <row r="344" spans="1:8" x14ac:dyDescent="0.3">
      <c r="A344" s="64">
        <v>20260205995299</v>
      </c>
      <c r="B344" t="s">
        <v>41</v>
      </c>
      <c r="C344" s="65">
        <f t="shared" si="5"/>
        <v>46058</v>
      </c>
      <c r="D344" s="3">
        <v>1</v>
      </c>
      <c r="E344" s="3">
        <v>119000</v>
      </c>
      <c r="F344" s="3">
        <v>119000</v>
      </c>
      <c r="G344" s="3">
        <v>82110</v>
      </c>
      <c r="H344" s="25">
        <v>61496</v>
      </c>
    </row>
    <row r="345" spans="1:8" x14ac:dyDescent="0.3">
      <c r="A345" s="64">
        <v>20260205995316</v>
      </c>
      <c r="B345" t="s">
        <v>41</v>
      </c>
      <c r="C345" s="65">
        <f t="shared" si="5"/>
        <v>46058</v>
      </c>
      <c r="D345" s="3">
        <v>1</v>
      </c>
      <c r="E345" s="3">
        <v>119000</v>
      </c>
      <c r="F345" s="3">
        <v>101150</v>
      </c>
      <c r="G345" s="3">
        <v>82110</v>
      </c>
      <c r="H345" s="25">
        <v>61496</v>
      </c>
    </row>
    <row r="346" spans="1:8" x14ac:dyDescent="0.3">
      <c r="A346" s="64">
        <v>20260205994533</v>
      </c>
      <c r="B346" t="s">
        <v>41</v>
      </c>
      <c r="C346" s="65">
        <f t="shared" si="5"/>
        <v>46058</v>
      </c>
      <c r="D346" s="3">
        <v>1</v>
      </c>
      <c r="E346" s="3">
        <v>119000</v>
      </c>
      <c r="F346" s="3">
        <v>119000</v>
      </c>
      <c r="G346" s="3">
        <v>82110</v>
      </c>
      <c r="H346" s="25">
        <v>61496</v>
      </c>
    </row>
    <row r="347" spans="1:8" x14ac:dyDescent="0.3">
      <c r="A347" s="64">
        <v>20260205993733</v>
      </c>
      <c r="B347" t="s">
        <v>41</v>
      </c>
      <c r="C347" s="65">
        <f t="shared" si="5"/>
        <v>46058</v>
      </c>
      <c r="D347" s="3">
        <v>1</v>
      </c>
      <c r="E347" s="3">
        <v>119000</v>
      </c>
      <c r="F347" s="3">
        <v>119000</v>
      </c>
      <c r="G347" s="3">
        <v>82110</v>
      </c>
      <c r="H347" s="25">
        <v>61496</v>
      </c>
    </row>
    <row r="348" spans="1:8" x14ac:dyDescent="0.3">
      <c r="A348" s="64">
        <v>20260205994835</v>
      </c>
      <c r="B348" t="s">
        <v>41</v>
      </c>
      <c r="C348" s="65">
        <f t="shared" si="5"/>
        <v>46058</v>
      </c>
      <c r="D348" s="3">
        <v>1</v>
      </c>
      <c r="E348" s="3">
        <v>119000</v>
      </c>
      <c r="F348" s="3">
        <v>119000</v>
      </c>
      <c r="G348" s="3">
        <v>82110</v>
      </c>
      <c r="H348" s="25">
        <v>61496</v>
      </c>
    </row>
    <row r="349" spans="1:8" x14ac:dyDescent="0.3">
      <c r="A349" s="64">
        <v>20260205994754</v>
      </c>
      <c r="B349" t="s">
        <v>41</v>
      </c>
      <c r="C349" s="65">
        <f t="shared" si="5"/>
        <v>46058</v>
      </c>
      <c r="D349" s="3">
        <v>1</v>
      </c>
      <c r="E349" s="3">
        <v>119000</v>
      </c>
      <c r="F349" s="3">
        <v>119000</v>
      </c>
      <c r="G349" s="3">
        <v>82110</v>
      </c>
      <c r="H349" s="25">
        <v>61496</v>
      </c>
    </row>
    <row r="350" spans="1:8" x14ac:dyDescent="0.3">
      <c r="A350" s="64">
        <v>20260205993550</v>
      </c>
      <c r="B350" t="s">
        <v>41</v>
      </c>
      <c r="C350" s="65">
        <f t="shared" si="5"/>
        <v>46058</v>
      </c>
      <c r="D350" s="3">
        <v>1</v>
      </c>
      <c r="E350" s="3">
        <v>119000</v>
      </c>
      <c r="F350" s="3">
        <v>119000</v>
      </c>
      <c r="G350" s="3">
        <v>82110</v>
      </c>
      <c r="H350" s="25">
        <v>61496</v>
      </c>
    </row>
    <row r="351" spans="1:8" x14ac:dyDescent="0.3">
      <c r="A351" s="64">
        <v>20260205992544</v>
      </c>
      <c r="B351" t="s">
        <v>41</v>
      </c>
      <c r="C351" s="65">
        <f t="shared" si="5"/>
        <v>46058</v>
      </c>
      <c r="D351" s="3">
        <v>1</v>
      </c>
      <c r="E351" s="3">
        <v>119000</v>
      </c>
      <c r="F351" s="3">
        <v>119000</v>
      </c>
      <c r="G351" s="3">
        <v>82110</v>
      </c>
      <c r="H351" s="25">
        <v>61496</v>
      </c>
    </row>
    <row r="352" spans="1:8" x14ac:dyDescent="0.3">
      <c r="A352" s="64">
        <v>20260205992696</v>
      </c>
      <c r="B352" t="s">
        <v>41</v>
      </c>
      <c r="C352" s="65">
        <f t="shared" si="5"/>
        <v>46058</v>
      </c>
      <c r="D352" s="3">
        <v>1</v>
      </c>
      <c r="E352" s="3">
        <v>119000</v>
      </c>
      <c r="F352" s="3">
        <v>119000</v>
      </c>
      <c r="G352" s="3">
        <v>82110</v>
      </c>
      <c r="H352" s="25">
        <v>61496</v>
      </c>
    </row>
    <row r="353" spans="1:8" x14ac:dyDescent="0.3">
      <c r="A353" s="64">
        <v>20260205992743</v>
      </c>
      <c r="B353" t="s">
        <v>41</v>
      </c>
      <c r="C353" s="65">
        <f t="shared" si="5"/>
        <v>46058</v>
      </c>
      <c r="D353" s="3">
        <v>1</v>
      </c>
      <c r="E353" s="3">
        <v>119000</v>
      </c>
      <c r="F353" s="3">
        <v>119000</v>
      </c>
      <c r="G353" s="3">
        <v>82110</v>
      </c>
      <c r="H353" s="25">
        <v>61496</v>
      </c>
    </row>
    <row r="354" spans="1:8" x14ac:dyDescent="0.3">
      <c r="A354" s="64">
        <v>20260205992739</v>
      </c>
      <c r="B354" t="s">
        <v>41</v>
      </c>
      <c r="C354" s="65">
        <f t="shared" si="5"/>
        <v>46058</v>
      </c>
      <c r="D354" s="3">
        <v>1</v>
      </c>
      <c r="E354" s="3">
        <v>119000</v>
      </c>
      <c r="F354" s="3">
        <v>119000</v>
      </c>
      <c r="G354" s="3">
        <v>82110</v>
      </c>
      <c r="H354" s="25">
        <v>61496</v>
      </c>
    </row>
    <row r="355" spans="1:8" x14ac:dyDescent="0.3">
      <c r="A355" s="64">
        <v>20260205992862</v>
      </c>
      <c r="B355" t="s">
        <v>41</v>
      </c>
      <c r="C355" s="65">
        <f t="shared" si="5"/>
        <v>46058</v>
      </c>
      <c r="D355" s="3">
        <v>1</v>
      </c>
      <c r="E355" s="3">
        <v>119000</v>
      </c>
      <c r="F355" s="3">
        <v>119000</v>
      </c>
      <c r="G355" s="3">
        <v>82110</v>
      </c>
      <c r="H355" s="25">
        <v>61496</v>
      </c>
    </row>
    <row r="356" spans="1:8" x14ac:dyDescent="0.3">
      <c r="A356" s="64">
        <v>20260205993211</v>
      </c>
      <c r="B356" t="s">
        <v>41</v>
      </c>
      <c r="C356" s="65">
        <f t="shared" si="5"/>
        <v>46058</v>
      </c>
      <c r="D356" s="3">
        <v>1</v>
      </c>
      <c r="E356" s="3">
        <v>119000</v>
      </c>
      <c r="F356" s="3">
        <v>119000</v>
      </c>
      <c r="G356" s="3">
        <v>82110</v>
      </c>
      <c r="H356" s="25">
        <v>61496</v>
      </c>
    </row>
    <row r="357" spans="1:8" x14ac:dyDescent="0.3">
      <c r="A357" s="64">
        <v>20260205993118</v>
      </c>
      <c r="B357" t="s">
        <v>41</v>
      </c>
      <c r="C357" s="65">
        <f t="shared" si="5"/>
        <v>46058</v>
      </c>
      <c r="D357" s="3">
        <v>1</v>
      </c>
      <c r="E357" s="3">
        <v>119000</v>
      </c>
      <c r="F357" s="3">
        <v>119000</v>
      </c>
      <c r="G357" s="3">
        <v>82110</v>
      </c>
      <c r="H357" s="25">
        <v>61496</v>
      </c>
    </row>
    <row r="358" spans="1:8" x14ac:dyDescent="0.3">
      <c r="A358" s="64">
        <v>20260205993605</v>
      </c>
      <c r="B358" t="s">
        <v>41</v>
      </c>
      <c r="C358" s="65">
        <f t="shared" si="5"/>
        <v>46058</v>
      </c>
      <c r="D358" s="3">
        <v>1</v>
      </c>
      <c r="E358" s="3">
        <v>119000</v>
      </c>
      <c r="F358" s="3">
        <v>119000</v>
      </c>
      <c r="G358" s="3">
        <v>82110</v>
      </c>
      <c r="H358" s="25">
        <v>61496</v>
      </c>
    </row>
    <row r="359" spans="1:8" x14ac:dyDescent="0.3">
      <c r="A359" s="64">
        <v>20260205995566</v>
      </c>
      <c r="B359" t="s">
        <v>41</v>
      </c>
      <c r="C359" s="65">
        <f t="shared" si="5"/>
        <v>46058</v>
      </c>
      <c r="D359" s="3">
        <v>1</v>
      </c>
      <c r="E359" s="3">
        <v>119000</v>
      </c>
      <c r="F359" s="3">
        <v>119000</v>
      </c>
      <c r="G359" s="3">
        <v>82110</v>
      </c>
      <c r="H359" s="25">
        <v>61496</v>
      </c>
    </row>
    <row r="360" spans="1:8" x14ac:dyDescent="0.3">
      <c r="A360" s="64">
        <v>20260205995554</v>
      </c>
      <c r="B360" t="s">
        <v>41</v>
      </c>
      <c r="C360" s="65">
        <f t="shared" si="5"/>
        <v>46058</v>
      </c>
      <c r="D360" s="3">
        <v>1</v>
      </c>
      <c r="E360" s="3">
        <v>119000</v>
      </c>
      <c r="F360" s="3">
        <v>119000</v>
      </c>
      <c r="G360" s="3">
        <v>82110</v>
      </c>
      <c r="H360" s="25">
        <v>61496</v>
      </c>
    </row>
    <row r="361" spans="1:8" x14ac:dyDescent="0.3">
      <c r="A361" s="64">
        <v>20260205995721</v>
      </c>
      <c r="B361" t="s">
        <v>41</v>
      </c>
      <c r="C361" s="65">
        <f t="shared" si="5"/>
        <v>46058</v>
      </c>
      <c r="D361" s="3">
        <v>1</v>
      </c>
      <c r="E361" s="3">
        <v>119000</v>
      </c>
      <c r="F361" s="3">
        <v>99960</v>
      </c>
      <c r="G361" s="3">
        <v>82110</v>
      </c>
      <c r="H361" s="25">
        <v>61496</v>
      </c>
    </row>
    <row r="362" spans="1:8" x14ac:dyDescent="0.3">
      <c r="A362" s="64">
        <v>20260205995702</v>
      </c>
      <c r="B362" t="s">
        <v>41</v>
      </c>
      <c r="C362" s="65">
        <f t="shared" si="5"/>
        <v>46058</v>
      </c>
      <c r="D362" s="3">
        <v>1</v>
      </c>
      <c r="E362" s="3">
        <v>119000</v>
      </c>
      <c r="F362" s="3">
        <v>109000</v>
      </c>
      <c r="G362" s="3">
        <v>82110</v>
      </c>
      <c r="H362" s="25">
        <v>61496</v>
      </c>
    </row>
    <row r="363" spans="1:8" x14ac:dyDescent="0.3">
      <c r="A363" s="64">
        <v>20260205994054</v>
      </c>
      <c r="B363" t="s">
        <v>41</v>
      </c>
      <c r="C363" s="65">
        <f t="shared" si="5"/>
        <v>46058</v>
      </c>
      <c r="D363" s="3">
        <v>1</v>
      </c>
      <c r="E363" s="3">
        <v>119000</v>
      </c>
      <c r="F363" s="3">
        <v>119000</v>
      </c>
      <c r="G363" s="3">
        <v>82110</v>
      </c>
      <c r="H363" s="25">
        <v>61496</v>
      </c>
    </row>
    <row r="364" spans="1:8" x14ac:dyDescent="0.3">
      <c r="A364" s="64">
        <v>20260205995169</v>
      </c>
      <c r="B364" t="s">
        <v>41</v>
      </c>
      <c r="C364" s="65">
        <f t="shared" si="5"/>
        <v>46058</v>
      </c>
      <c r="D364" s="3">
        <v>1</v>
      </c>
      <c r="E364" s="3">
        <v>119000</v>
      </c>
      <c r="F364" s="3">
        <v>119000</v>
      </c>
      <c r="G364" s="3">
        <v>82110</v>
      </c>
      <c r="H364" s="25">
        <v>61496</v>
      </c>
    </row>
    <row r="365" spans="1:8" x14ac:dyDescent="0.3">
      <c r="A365" s="64">
        <v>20260205995271</v>
      </c>
      <c r="B365" t="s">
        <v>41</v>
      </c>
      <c r="C365" s="65">
        <f t="shared" si="5"/>
        <v>46058</v>
      </c>
      <c r="D365" s="3">
        <v>1</v>
      </c>
      <c r="E365" s="3">
        <v>119000</v>
      </c>
      <c r="F365" s="3">
        <v>119000</v>
      </c>
      <c r="G365" s="3">
        <v>82110</v>
      </c>
      <c r="H365" s="25">
        <v>61496</v>
      </c>
    </row>
    <row r="366" spans="1:8" x14ac:dyDescent="0.3">
      <c r="A366" s="64">
        <v>20260205994328</v>
      </c>
      <c r="B366" t="s">
        <v>41</v>
      </c>
      <c r="C366" s="65">
        <f t="shared" si="5"/>
        <v>46058</v>
      </c>
      <c r="D366" s="3">
        <v>1</v>
      </c>
      <c r="E366" s="3">
        <v>119000</v>
      </c>
      <c r="F366" s="3">
        <v>119000</v>
      </c>
      <c r="G366" s="3">
        <v>82110</v>
      </c>
      <c r="H366" s="25">
        <v>61496</v>
      </c>
    </row>
    <row r="367" spans="1:8" x14ac:dyDescent="0.3">
      <c r="A367" s="64">
        <v>20260205994951</v>
      </c>
      <c r="B367" t="s">
        <v>41</v>
      </c>
      <c r="C367" s="65">
        <f t="shared" si="5"/>
        <v>46058</v>
      </c>
      <c r="D367" s="3">
        <v>1</v>
      </c>
      <c r="E367" s="3">
        <v>119000</v>
      </c>
      <c r="F367" s="3">
        <v>119000</v>
      </c>
      <c r="G367" s="3">
        <v>82110</v>
      </c>
      <c r="H367" s="25">
        <v>61496</v>
      </c>
    </row>
    <row r="368" spans="1:8" x14ac:dyDescent="0.3">
      <c r="A368" s="64">
        <v>20260205994702</v>
      </c>
      <c r="B368" t="s">
        <v>41</v>
      </c>
      <c r="C368" s="65">
        <f t="shared" si="5"/>
        <v>46058</v>
      </c>
      <c r="D368" s="3">
        <v>1</v>
      </c>
      <c r="E368" s="3">
        <v>119000</v>
      </c>
      <c r="F368" s="3">
        <v>119000</v>
      </c>
      <c r="G368" s="3">
        <v>82110</v>
      </c>
      <c r="H368" s="25">
        <v>61496</v>
      </c>
    </row>
    <row r="369" spans="1:8" x14ac:dyDescent="0.3">
      <c r="A369" s="64">
        <v>20260205994682</v>
      </c>
      <c r="B369" t="s">
        <v>41</v>
      </c>
      <c r="C369" s="65">
        <f t="shared" si="5"/>
        <v>46058</v>
      </c>
      <c r="D369" s="3">
        <v>1</v>
      </c>
      <c r="E369" s="3">
        <v>119000</v>
      </c>
      <c r="F369" s="3">
        <v>109000</v>
      </c>
      <c r="G369" s="3">
        <v>82110</v>
      </c>
      <c r="H369" s="25">
        <v>61496</v>
      </c>
    </row>
    <row r="370" spans="1:8" x14ac:dyDescent="0.3">
      <c r="A370" s="64">
        <v>20260205994827</v>
      </c>
      <c r="B370" t="s">
        <v>41</v>
      </c>
      <c r="C370" s="65">
        <f t="shared" si="5"/>
        <v>46058</v>
      </c>
      <c r="D370" s="3">
        <v>1</v>
      </c>
      <c r="E370" s="3">
        <v>119000</v>
      </c>
      <c r="F370" s="3">
        <v>119000</v>
      </c>
      <c r="G370" s="3">
        <v>82110</v>
      </c>
      <c r="H370" s="25">
        <v>61496</v>
      </c>
    </row>
    <row r="371" spans="1:8" x14ac:dyDescent="0.3">
      <c r="A371" s="64">
        <v>20260205993834</v>
      </c>
      <c r="B371" t="s">
        <v>41</v>
      </c>
      <c r="C371" s="65">
        <f t="shared" si="5"/>
        <v>46058</v>
      </c>
      <c r="D371" s="3">
        <v>1</v>
      </c>
      <c r="E371" s="3">
        <v>119000</v>
      </c>
      <c r="F371" s="3">
        <v>119000</v>
      </c>
      <c r="G371" s="3">
        <v>82110</v>
      </c>
      <c r="H371" s="25">
        <v>61496</v>
      </c>
    </row>
    <row r="372" spans="1:8" x14ac:dyDescent="0.3">
      <c r="A372" s="64">
        <v>20260205994440</v>
      </c>
      <c r="B372" t="s">
        <v>41</v>
      </c>
      <c r="C372" s="65">
        <f t="shared" si="5"/>
        <v>46058</v>
      </c>
      <c r="D372" s="3">
        <v>1</v>
      </c>
      <c r="E372" s="3">
        <v>119000</v>
      </c>
      <c r="F372" s="3">
        <v>109000</v>
      </c>
      <c r="G372" s="3">
        <v>82110</v>
      </c>
      <c r="H372" s="25">
        <v>61496</v>
      </c>
    </row>
    <row r="373" spans="1:8" x14ac:dyDescent="0.3">
      <c r="A373" s="64">
        <v>20260205002208</v>
      </c>
      <c r="B373" t="s">
        <v>41</v>
      </c>
      <c r="C373" s="65">
        <f t="shared" si="5"/>
        <v>46058</v>
      </c>
      <c r="D373" s="3">
        <v>1</v>
      </c>
      <c r="E373" s="3">
        <v>119000</v>
      </c>
      <c r="F373" s="3">
        <v>119000</v>
      </c>
      <c r="G373" s="3">
        <v>82110</v>
      </c>
      <c r="H373" s="25">
        <v>61496</v>
      </c>
    </row>
    <row r="374" spans="1:8" x14ac:dyDescent="0.3">
      <c r="A374" s="64">
        <v>20260205995362</v>
      </c>
      <c r="B374" t="s">
        <v>41</v>
      </c>
      <c r="C374" s="65">
        <f t="shared" si="5"/>
        <v>46058</v>
      </c>
      <c r="D374" s="3">
        <v>1</v>
      </c>
      <c r="E374" s="3">
        <v>119000</v>
      </c>
      <c r="F374" s="3">
        <v>119000</v>
      </c>
      <c r="G374" s="3">
        <v>82110</v>
      </c>
      <c r="H374" s="25">
        <v>61496</v>
      </c>
    </row>
    <row r="375" spans="1:8" x14ac:dyDescent="0.3">
      <c r="A375" s="64">
        <v>20260205993973</v>
      </c>
      <c r="B375" t="s">
        <v>41</v>
      </c>
      <c r="C375" s="65">
        <f t="shared" si="5"/>
        <v>46058</v>
      </c>
      <c r="D375" s="3">
        <v>1</v>
      </c>
      <c r="E375" s="3">
        <v>119000</v>
      </c>
      <c r="F375" s="3">
        <v>119000</v>
      </c>
      <c r="G375" s="3">
        <v>82110</v>
      </c>
      <c r="H375" s="25">
        <v>61496</v>
      </c>
    </row>
    <row r="376" spans="1:8" x14ac:dyDescent="0.3">
      <c r="A376" s="64">
        <v>20260205994109</v>
      </c>
      <c r="B376" t="s">
        <v>41</v>
      </c>
      <c r="C376" s="65">
        <f t="shared" si="5"/>
        <v>46058</v>
      </c>
      <c r="D376" s="3">
        <v>1</v>
      </c>
      <c r="E376" s="3">
        <v>119000</v>
      </c>
      <c r="F376" s="3">
        <v>119000</v>
      </c>
      <c r="G376" s="3">
        <v>82110</v>
      </c>
      <c r="H376" s="25">
        <v>61496</v>
      </c>
    </row>
    <row r="377" spans="1:8" x14ac:dyDescent="0.3">
      <c r="A377" s="64">
        <v>20260205995200</v>
      </c>
      <c r="B377" t="s">
        <v>41</v>
      </c>
      <c r="C377" s="65">
        <f t="shared" si="5"/>
        <v>46058</v>
      </c>
      <c r="D377" s="3">
        <v>1</v>
      </c>
      <c r="E377" s="3">
        <v>119000</v>
      </c>
      <c r="F377" s="3">
        <v>119000</v>
      </c>
      <c r="G377" s="3">
        <v>82110</v>
      </c>
      <c r="H377" s="25">
        <v>61496</v>
      </c>
    </row>
    <row r="378" spans="1:8" x14ac:dyDescent="0.3">
      <c r="A378" s="64">
        <v>20260205994357</v>
      </c>
      <c r="B378" t="s">
        <v>41</v>
      </c>
      <c r="C378" s="65">
        <f t="shared" si="5"/>
        <v>46058</v>
      </c>
      <c r="D378" s="3">
        <v>1</v>
      </c>
      <c r="E378" s="3">
        <v>119000</v>
      </c>
      <c r="F378" s="3">
        <v>119000</v>
      </c>
      <c r="G378" s="3">
        <v>82110</v>
      </c>
      <c r="H378" s="25">
        <v>61496</v>
      </c>
    </row>
    <row r="379" spans="1:8" x14ac:dyDescent="0.3">
      <c r="A379" s="64">
        <v>20260205994598</v>
      </c>
      <c r="B379" t="s">
        <v>41</v>
      </c>
      <c r="C379" s="65">
        <f t="shared" si="5"/>
        <v>46058</v>
      </c>
      <c r="D379" s="3">
        <v>1</v>
      </c>
      <c r="E379" s="3">
        <v>119000</v>
      </c>
      <c r="F379" s="3">
        <v>119000</v>
      </c>
      <c r="G379" s="3">
        <v>82110</v>
      </c>
      <c r="H379" s="25">
        <v>61496</v>
      </c>
    </row>
    <row r="380" spans="1:8" x14ac:dyDescent="0.3">
      <c r="A380" s="64">
        <v>20260205993542</v>
      </c>
      <c r="B380" t="s">
        <v>41</v>
      </c>
      <c r="C380" s="65">
        <f t="shared" si="5"/>
        <v>46058</v>
      </c>
      <c r="D380" s="3">
        <v>1</v>
      </c>
      <c r="E380" s="3">
        <v>119000</v>
      </c>
      <c r="F380" s="3">
        <v>119000</v>
      </c>
      <c r="G380" s="3">
        <v>82110</v>
      </c>
      <c r="H380" s="25">
        <v>61496</v>
      </c>
    </row>
    <row r="381" spans="1:8" x14ac:dyDescent="0.3">
      <c r="A381" s="64">
        <v>20260205994528</v>
      </c>
      <c r="B381" t="s">
        <v>41</v>
      </c>
      <c r="C381" s="65">
        <f t="shared" si="5"/>
        <v>46058</v>
      </c>
      <c r="D381" s="3">
        <v>1</v>
      </c>
      <c r="E381" s="3">
        <v>119000</v>
      </c>
      <c r="F381" s="3">
        <v>119000</v>
      </c>
      <c r="G381" s="3">
        <v>82110</v>
      </c>
      <c r="H381" s="25">
        <v>61496</v>
      </c>
    </row>
    <row r="382" spans="1:8" x14ac:dyDescent="0.3">
      <c r="A382" s="64">
        <v>20260205994528</v>
      </c>
      <c r="B382" t="s">
        <v>41</v>
      </c>
      <c r="C382" s="65">
        <f t="shared" si="5"/>
        <v>46058</v>
      </c>
      <c r="D382" s="3">
        <v>1</v>
      </c>
      <c r="E382" s="3">
        <v>119000</v>
      </c>
      <c r="F382" s="3">
        <v>119000</v>
      </c>
      <c r="G382" s="3">
        <v>82110</v>
      </c>
      <c r="H382" s="25">
        <v>61496</v>
      </c>
    </row>
    <row r="383" spans="1:8" x14ac:dyDescent="0.3">
      <c r="A383" s="64">
        <v>20260205994942</v>
      </c>
      <c r="B383" t="s">
        <v>41</v>
      </c>
      <c r="C383" s="65">
        <f t="shared" si="5"/>
        <v>46058</v>
      </c>
      <c r="D383" s="3">
        <v>1</v>
      </c>
      <c r="E383" s="3">
        <v>119000</v>
      </c>
      <c r="F383" s="3">
        <v>99960</v>
      </c>
      <c r="G383" s="3">
        <v>82110</v>
      </c>
      <c r="H383" s="25">
        <v>61496</v>
      </c>
    </row>
    <row r="384" spans="1:8" x14ac:dyDescent="0.3">
      <c r="A384" s="64">
        <v>20260205994610</v>
      </c>
      <c r="B384" t="s">
        <v>41</v>
      </c>
      <c r="C384" s="65">
        <f t="shared" si="5"/>
        <v>46058</v>
      </c>
      <c r="D384" s="3">
        <v>1</v>
      </c>
      <c r="E384" s="3">
        <v>119000</v>
      </c>
      <c r="F384" s="3">
        <v>109000</v>
      </c>
      <c r="G384" s="3">
        <v>82110</v>
      </c>
      <c r="H384" s="25">
        <v>61496</v>
      </c>
    </row>
    <row r="385" spans="1:8" x14ac:dyDescent="0.3">
      <c r="A385" s="64">
        <v>20260205992392</v>
      </c>
      <c r="B385" t="s">
        <v>41</v>
      </c>
      <c r="C385" s="65">
        <f t="shared" si="5"/>
        <v>46058</v>
      </c>
      <c r="D385" s="3">
        <v>1</v>
      </c>
      <c r="E385" s="3">
        <v>119000</v>
      </c>
      <c r="F385" s="3">
        <v>119000</v>
      </c>
      <c r="G385" s="3">
        <v>82110</v>
      </c>
      <c r="H385" s="25">
        <v>61496</v>
      </c>
    </row>
    <row r="386" spans="1:8" x14ac:dyDescent="0.3">
      <c r="A386" s="64">
        <v>20260205993376</v>
      </c>
      <c r="B386" t="s">
        <v>41</v>
      </c>
      <c r="C386" s="65">
        <f t="shared" si="5"/>
        <v>46058</v>
      </c>
      <c r="D386" s="3">
        <v>1</v>
      </c>
      <c r="E386" s="3">
        <v>119000</v>
      </c>
      <c r="F386" s="3">
        <v>113050</v>
      </c>
      <c r="G386" s="3">
        <v>82110</v>
      </c>
      <c r="H386" s="25">
        <v>61496</v>
      </c>
    </row>
    <row r="387" spans="1:8" x14ac:dyDescent="0.3">
      <c r="A387" s="64">
        <v>20260205995534</v>
      </c>
      <c r="B387" t="s">
        <v>41</v>
      </c>
      <c r="C387" s="65">
        <f t="shared" ref="C387:C450" si="6">DATE(LEFT(TEXT(A387,"0"),4),MID(TEXT(A387,"0"),5,2),MID(TEXT(A387,"0"),7,2))</f>
        <v>46058</v>
      </c>
      <c r="D387" s="3">
        <v>1</v>
      </c>
      <c r="E387" s="3">
        <v>119000</v>
      </c>
      <c r="F387" s="3">
        <v>119000</v>
      </c>
      <c r="G387" s="3">
        <v>82110</v>
      </c>
      <c r="H387" s="25">
        <v>61496</v>
      </c>
    </row>
    <row r="388" spans="1:8" x14ac:dyDescent="0.3">
      <c r="A388" s="64">
        <v>20260205992635</v>
      </c>
      <c r="B388" t="s">
        <v>41</v>
      </c>
      <c r="C388" s="65">
        <f t="shared" si="6"/>
        <v>46058</v>
      </c>
      <c r="D388" s="3">
        <v>1</v>
      </c>
      <c r="E388" s="3">
        <v>119000</v>
      </c>
      <c r="F388" s="3">
        <v>119000</v>
      </c>
      <c r="G388" s="3">
        <v>82110</v>
      </c>
      <c r="H388" s="25">
        <v>61496</v>
      </c>
    </row>
    <row r="389" spans="1:8" x14ac:dyDescent="0.3">
      <c r="A389" s="64">
        <v>20260205993273</v>
      </c>
      <c r="B389" t="s">
        <v>41</v>
      </c>
      <c r="C389" s="65">
        <f t="shared" si="6"/>
        <v>46058</v>
      </c>
      <c r="D389" s="3">
        <v>1</v>
      </c>
      <c r="E389" s="3">
        <v>119000</v>
      </c>
      <c r="F389" s="3">
        <v>119000</v>
      </c>
      <c r="G389" s="3">
        <v>82110</v>
      </c>
      <c r="H389" s="25">
        <v>61496</v>
      </c>
    </row>
    <row r="390" spans="1:8" x14ac:dyDescent="0.3">
      <c r="A390" s="64">
        <v>20260205993601</v>
      </c>
      <c r="B390" t="s">
        <v>41</v>
      </c>
      <c r="C390" s="65">
        <f t="shared" si="6"/>
        <v>46058</v>
      </c>
      <c r="D390" s="3">
        <v>1</v>
      </c>
      <c r="E390" s="3">
        <v>119000</v>
      </c>
      <c r="F390" s="3">
        <v>119000</v>
      </c>
      <c r="G390" s="3">
        <v>82110</v>
      </c>
      <c r="H390" s="25">
        <v>61496</v>
      </c>
    </row>
    <row r="391" spans="1:8" x14ac:dyDescent="0.3">
      <c r="A391" s="64">
        <v>20260205995425</v>
      </c>
      <c r="B391" t="s">
        <v>41</v>
      </c>
      <c r="C391" s="65">
        <f t="shared" si="6"/>
        <v>46058</v>
      </c>
      <c r="D391" s="3">
        <v>1</v>
      </c>
      <c r="E391" s="3">
        <v>119000</v>
      </c>
      <c r="F391" s="3">
        <v>119000</v>
      </c>
      <c r="G391" s="3">
        <v>82110</v>
      </c>
      <c r="H391" s="25">
        <v>61496</v>
      </c>
    </row>
    <row r="392" spans="1:8" x14ac:dyDescent="0.3">
      <c r="A392" s="64">
        <v>20260205995563</v>
      </c>
      <c r="B392" t="s">
        <v>41</v>
      </c>
      <c r="C392" s="65">
        <f t="shared" si="6"/>
        <v>46058</v>
      </c>
      <c r="D392" s="3">
        <v>1</v>
      </c>
      <c r="E392" s="3">
        <v>119000</v>
      </c>
      <c r="F392" s="3">
        <v>119000</v>
      </c>
      <c r="G392" s="3">
        <v>82110</v>
      </c>
      <c r="H392" s="25">
        <v>61496</v>
      </c>
    </row>
    <row r="393" spans="1:8" x14ac:dyDescent="0.3">
      <c r="A393" s="64">
        <v>20260205994033</v>
      </c>
      <c r="B393" t="s">
        <v>41</v>
      </c>
      <c r="C393" s="65">
        <f t="shared" si="6"/>
        <v>46058</v>
      </c>
      <c r="D393" s="3">
        <v>1</v>
      </c>
      <c r="E393" s="3">
        <v>119000</v>
      </c>
      <c r="F393" s="3">
        <v>119000</v>
      </c>
      <c r="G393" s="3">
        <v>82110</v>
      </c>
      <c r="H393" s="25">
        <v>61496</v>
      </c>
    </row>
    <row r="394" spans="1:8" x14ac:dyDescent="0.3">
      <c r="A394" s="64">
        <v>20260205994274</v>
      </c>
      <c r="B394" t="s">
        <v>41</v>
      </c>
      <c r="C394" s="65">
        <f t="shared" si="6"/>
        <v>46058</v>
      </c>
      <c r="D394" s="3">
        <v>1</v>
      </c>
      <c r="E394" s="3">
        <v>119000</v>
      </c>
      <c r="F394" s="3">
        <v>109000</v>
      </c>
      <c r="G394" s="3">
        <v>82110</v>
      </c>
      <c r="H394" s="25">
        <v>61496</v>
      </c>
    </row>
    <row r="395" spans="1:8" x14ac:dyDescent="0.3">
      <c r="A395" s="64">
        <v>20260205993726</v>
      </c>
      <c r="B395" t="s">
        <v>41</v>
      </c>
      <c r="C395" s="65">
        <f t="shared" si="6"/>
        <v>46058</v>
      </c>
      <c r="D395" s="3">
        <v>1</v>
      </c>
      <c r="E395" s="3">
        <v>119000</v>
      </c>
      <c r="F395" s="3">
        <v>113050</v>
      </c>
      <c r="G395" s="3">
        <v>82110</v>
      </c>
      <c r="H395" s="25">
        <v>61496</v>
      </c>
    </row>
    <row r="396" spans="1:8" x14ac:dyDescent="0.3">
      <c r="A396" s="64">
        <v>20260205993741</v>
      </c>
      <c r="B396" t="s">
        <v>41</v>
      </c>
      <c r="C396" s="65">
        <f t="shared" si="6"/>
        <v>46058</v>
      </c>
      <c r="D396" s="3">
        <v>1</v>
      </c>
      <c r="E396" s="3">
        <v>119000</v>
      </c>
      <c r="F396" s="3">
        <v>119000</v>
      </c>
      <c r="G396" s="3">
        <v>82110</v>
      </c>
      <c r="H396" s="25">
        <v>61496</v>
      </c>
    </row>
    <row r="397" spans="1:8" x14ac:dyDescent="0.3">
      <c r="A397" s="64">
        <v>20260205992788</v>
      </c>
      <c r="B397" t="s">
        <v>41</v>
      </c>
      <c r="C397" s="65">
        <f t="shared" si="6"/>
        <v>46058</v>
      </c>
      <c r="D397" s="3">
        <v>1</v>
      </c>
      <c r="E397" s="3">
        <v>119000</v>
      </c>
      <c r="F397" s="3">
        <v>119000</v>
      </c>
      <c r="G397" s="3">
        <v>82110</v>
      </c>
      <c r="H397" s="25">
        <v>61496</v>
      </c>
    </row>
    <row r="398" spans="1:8" x14ac:dyDescent="0.3">
      <c r="A398" s="64">
        <v>20260205993377</v>
      </c>
      <c r="B398" t="s">
        <v>41</v>
      </c>
      <c r="C398" s="65">
        <f t="shared" si="6"/>
        <v>46058</v>
      </c>
      <c r="D398" s="3">
        <v>1</v>
      </c>
      <c r="E398" s="3">
        <v>119000</v>
      </c>
      <c r="F398" s="3">
        <v>113050</v>
      </c>
      <c r="G398" s="3">
        <v>82110</v>
      </c>
      <c r="H398" s="25">
        <v>61496</v>
      </c>
    </row>
    <row r="399" spans="1:8" x14ac:dyDescent="0.3">
      <c r="A399" s="64">
        <v>20260205002373</v>
      </c>
      <c r="B399" t="s">
        <v>41</v>
      </c>
      <c r="C399" s="65">
        <f t="shared" si="6"/>
        <v>46058</v>
      </c>
      <c r="D399" s="3">
        <v>1</v>
      </c>
      <c r="E399" s="3">
        <v>119000</v>
      </c>
      <c r="F399" s="3">
        <v>119000</v>
      </c>
      <c r="G399" s="3">
        <v>82110</v>
      </c>
      <c r="H399" s="25">
        <v>61496</v>
      </c>
    </row>
    <row r="400" spans="1:8" x14ac:dyDescent="0.3">
      <c r="A400" s="64">
        <v>20260205993491</v>
      </c>
      <c r="B400" t="s">
        <v>41</v>
      </c>
      <c r="C400" s="65">
        <f t="shared" si="6"/>
        <v>46058</v>
      </c>
      <c r="D400" s="3">
        <v>1</v>
      </c>
      <c r="E400" s="3">
        <v>119000</v>
      </c>
      <c r="F400" s="3">
        <v>119000</v>
      </c>
      <c r="G400" s="3">
        <v>82110</v>
      </c>
      <c r="H400" s="25">
        <v>61496</v>
      </c>
    </row>
    <row r="401" spans="1:8" x14ac:dyDescent="0.3">
      <c r="A401" s="64">
        <v>20260205993677</v>
      </c>
      <c r="B401" t="s">
        <v>41</v>
      </c>
      <c r="C401" s="65">
        <f t="shared" si="6"/>
        <v>46058</v>
      </c>
      <c r="D401" s="3">
        <v>1</v>
      </c>
      <c r="E401" s="3">
        <v>119000</v>
      </c>
      <c r="F401" s="3">
        <v>119000</v>
      </c>
      <c r="G401" s="3">
        <v>82110</v>
      </c>
      <c r="H401" s="25">
        <v>61496</v>
      </c>
    </row>
    <row r="402" spans="1:8" x14ac:dyDescent="0.3">
      <c r="A402" s="64">
        <v>20260205992889</v>
      </c>
      <c r="B402" t="s">
        <v>41</v>
      </c>
      <c r="C402" s="65">
        <f t="shared" si="6"/>
        <v>46058</v>
      </c>
      <c r="D402" s="3">
        <v>1</v>
      </c>
      <c r="E402" s="3">
        <v>119000</v>
      </c>
      <c r="F402" s="3">
        <v>99960</v>
      </c>
      <c r="G402" s="3">
        <v>82110</v>
      </c>
      <c r="H402" s="25">
        <v>61496</v>
      </c>
    </row>
    <row r="403" spans="1:8" x14ac:dyDescent="0.3">
      <c r="A403" s="64">
        <v>20260205995396</v>
      </c>
      <c r="B403" t="s">
        <v>41</v>
      </c>
      <c r="C403" s="65">
        <f t="shared" si="6"/>
        <v>46058</v>
      </c>
      <c r="D403" s="3">
        <v>1</v>
      </c>
      <c r="E403" s="3">
        <v>119000</v>
      </c>
      <c r="F403" s="3">
        <v>113050</v>
      </c>
      <c r="G403" s="3">
        <v>82110</v>
      </c>
      <c r="H403" s="25">
        <v>61496</v>
      </c>
    </row>
    <row r="404" spans="1:8" x14ac:dyDescent="0.3">
      <c r="A404" s="64">
        <v>20260205994136</v>
      </c>
      <c r="B404" t="s">
        <v>41</v>
      </c>
      <c r="C404" s="65">
        <f t="shared" si="6"/>
        <v>46058</v>
      </c>
      <c r="D404" s="3">
        <v>1</v>
      </c>
      <c r="E404" s="3">
        <v>119000</v>
      </c>
      <c r="F404" s="3">
        <v>119000</v>
      </c>
      <c r="G404" s="3">
        <v>82110</v>
      </c>
      <c r="H404" s="25">
        <v>61496</v>
      </c>
    </row>
    <row r="405" spans="1:8" x14ac:dyDescent="0.3">
      <c r="A405" s="64">
        <v>20260205994291</v>
      </c>
      <c r="B405" t="s">
        <v>41</v>
      </c>
      <c r="C405" s="65">
        <f t="shared" si="6"/>
        <v>46058</v>
      </c>
      <c r="D405" s="3">
        <v>1</v>
      </c>
      <c r="E405" s="3">
        <v>119000</v>
      </c>
      <c r="F405" s="3">
        <v>119000</v>
      </c>
      <c r="G405" s="3">
        <v>82110</v>
      </c>
      <c r="H405" s="25">
        <v>61496</v>
      </c>
    </row>
    <row r="406" spans="1:8" x14ac:dyDescent="0.3">
      <c r="A406" s="64">
        <v>20260205994309</v>
      </c>
      <c r="B406" t="s">
        <v>41</v>
      </c>
      <c r="C406" s="65">
        <f t="shared" si="6"/>
        <v>46058</v>
      </c>
      <c r="D406" s="3">
        <v>1</v>
      </c>
      <c r="E406" s="3">
        <v>119000</v>
      </c>
      <c r="F406" s="3">
        <v>99960</v>
      </c>
      <c r="G406" s="3">
        <v>82110</v>
      </c>
      <c r="H406" s="25">
        <v>61496</v>
      </c>
    </row>
    <row r="407" spans="1:8" x14ac:dyDescent="0.3">
      <c r="A407" s="64">
        <v>20260205995304</v>
      </c>
      <c r="B407" t="s">
        <v>41</v>
      </c>
      <c r="C407" s="65">
        <f t="shared" si="6"/>
        <v>46058</v>
      </c>
      <c r="D407" s="3">
        <v>1</v>
      </c>
      <c r="E407" s="3">
        <v>119000</v>
      </c>
      <c r="F407" s="3">
        <v>119000</v>
      </c>
      <c r="G407" s="3">
        <v>82110</v>
      </c>
      <c r="H407" s="25">
        <v>61496</v>
      </c>
    </row>
    <row r="408" spans="1:8" x14ac:dyDescent="0.3">
      <c r="A408" s="64">
        <v>20260205994179</v>
      </c>
      <c r="B408" t="s">
        <v>41</v>
      </c>
      <c r="C408" s="65">
        <f t="shared" si="6"/>
        <v>46058</v>
      </c>
      <c r="D408" s="3">
        <v>1</v>
      </c>
      <c r="E408" s="3">
        <v>119000</v>
      </c>
      <c r="F408" s="3">
        <v>119000</v>
      </c>
      <c r="G408" s="3">
        <v>82110</v>
      </c>
      <c r="H408" s="25">
        <v>61496</v>
      </c>
    </row>
    <row r="409" spans="1:8" x14ac:dyDescent="0.3">
      <c r="A409" s="64">
        <v>20260205993164</v>
      </c>
      <c r="B409" t="s">
        <v>41</v>
      </c>
      <c r="C409" s="65">
        <f t="shared" si="6"/>
        <v>46058</v>
      </c>
      <c r="D409" s="3">
        <v>1</v>
      </c>
      <c r="E409" s="3">
        <v>119000</v>
      </c>
      <c r="F409" s="3">
        <v>119000</v>
      </c>
      <c r="G409" s="3">
        <v>82110</v>
      </c>
      <c r="H409" s="25">
        <v>61496</v>
      </c>
    </row>
    <row r="410" spans="1:8" x14ac:dyDescent="0.3">
      <c r="A410" s="64">
        <v>20260205995833</v>
      </c>
      <c r="B410" t="s">
        <v>41</v>
      </c>
      <c r="C410" s="65">
        <f t="shared" si="6"/>
        <v>46058</v>
      </c>
      <c r="D410" s="3">
        <v>1</v>
      </c>
      <c r="E410" s="3">
        <v>119000</v>
      </c>
      <c r="F410" s="3">
        <v>119000</v>
      </c>
      <c r="G410" s="3">
        <v>82110</v>
      </c>
      <c r="H410" s="25">
        <v>61496</v>
      </c>
    </row>
    <row r="411" spans="1:8" x14ac:dyDescent="0.3">
      <c r="A411" s="64">
        <v>20260205994119</v>
      </c>
      <c r="B411" t="s">
        <v>41</v>
      </c>
      <c r="C411" s="65">
        <f t="shared" si="6"/>
        <v>46058</v>
      </c>
      <c r="D411" s="3">
        <v>1</v>
      </c>
      <c r="E411" s="3">
        <v>119000</v>
      </c>
      <c r="F411" s="3">
        <v>119000</v>
      </c>
      <c r="G411" s="3">
        <v>82110</v>
      </c>
      <c r="H411" s="25">
        <v>61496</v>
      </c>
    </row>
    <row r="412" spans="1:8" x14ac:dyDescent="0.3">
      <c r="A412" s="64">
        <v>20260205993950</v>
      </c>
      <c r="B412" t="s">
        <v>41</v>
      </c>
      <c r="C412" s="65">
        <f t="shared" si="6"/>
        <v>46058</v>
      </c>
      <c r="D412" s="3">
        <v>1</v>
      </c>
      <c r="E412" s="3">
        <v>119000</v>
      </c>
      <c r="F412" s="3">
        <v>119000</v>
      </c>
      <c r="G412" s="3">
        <v>82110</v>
      </c>
      <c r="H412" s="25">
        <v>61496</v>
      </c>
    </row>
    <row r="413" spans="1:8" x14ac:dyDescent="0.3">
      <c r="A413" s="64">
        <v>20260205993318</v>
      </c>
      <c r="B413" t="s">
        <v>41</v>
      </c>
      <c r="C413" s="65">
        <f t="shared" si="6"/>
        <v>46058</v>
      </c>
      <c r="D413" s="3">
        <v>1</v>
      </c>
      <c r="E413" s="3">
        <v>119000</v>
      </c>
      <c r="F413" s="3">
        <v>113050</v>
      </c>
      <c r="G413" s="3">
        <v>82110</v>
      </c>
      <c r="H413" s="25">
        <v>61496</v>
      </c>
    </row>
    <row r="414" spans="1:8" x14ac:dyDescent="0.3">
      <c r="A414" s="64">
        <v>20260205992582</v>
      </c>
      <c r="B414" t="s">
        <v>41</v>
      </c>
      <c r="C414" s="65">
        <f t="shared" si="6"/>
        <v>46058</v>
      </c>
      <c r="D414" s="3">
        <v>1</v>
      </c>
      <c r="E414" s="3">
        <v>119000</v>
      </c>
      <c r="F414" s="3">
        <v>119000</v>
      </c>
      <c r="G414" s="3">
        <v>82110</v>
      </c>
      <c r="H414" s="25">
        <v>61496</v>
      </c>
    </row>
    <row r="415" spans="1:8" x14ac:dyDescent="0.3">
      <c r="A415" s="64">
        <v>20260205993262</v>
      </c>
      <c r="B415" t="s">
        <v>41</v>
      </c>
      <c r="C415" s="65">
        <f t="shared" si="6"/>
        <v>46058</v>
      </c>
      <c r="D415" s="3">
        <v>1</v>
      </c>
      <c r="E415" s="3">
        <v>119000</v>
      </c>
      <c r="F415" s="3">
        <v>119000</v>
      </c>
      <c r="G415" s="3">
        <v>82110</v>
      </c>
      <c r="H415" s="25">
        <v>61496</v>
      </c>
    </row>
    <row r="416" spans="1:8" x14ac:dyDescent="0.3">
      <c r="A416" s="64">
        <v>20260205994495</v>
      </c>
      <c r="B416" t="s">
        <v>41</v>
      </c>
      <c r="C416" s="65">
        <f t="shared" si="6"/>
        <v>46058</v>
      </c>
      <c r="D416" s="3">
        <v>1</v>
      </c>
      <c r="E416" s="3">
        <v>119000</v>
      </c>
      <c r="F416" s="3">
        <v>114000</v>
      </c>
      <c r="G416" s="3">
        <v>82110</v>
      </c>
      <c r="H416" s="25">
        <v>61496</v>
      </c>
    </row>
    <row r="417" spans="1:8" x14ac:dyDescent="0.3">
      <c r="A417" s="64">
        <v>20260205995261</v>
      </c>
      <c r="B417" t="s">
        <v>41</v>
      </c>
      <c r="C417" s="65">
        <f t="shared" si="6"/>
        <v>46058</v>
      </c>
      <c r="D417" s="3">
        <v>1</v>
      </c>
      <c r="E417" s="3">
        <v>119000</v>
      </c>
      <c r="F417" s="3">
        <v>109000</v>
      </c>
      <c r="G417" s="3">
        <v>82110</v>
      </c>
      <c r="H417" s="25">
        <v>61496</v>
      </c>
    </row>
    <row r="418" spans="1:8" x14ac:dyDescent="0.3">
      <c r="A418" s="64">
        <v>20260205994416</v>
      </c>
      <c r="B418" t="s">
        <v>41</v>
      </c>
      <c r="C418" s="65">
        <f t="shared" si="6"/>
        <v>46058</v>
      </c>
      <c r="D418" s="3">
        <v>1</v>
      </c>
      <c r="E418" s="3">
        <v>119000</v>
      </c>
      <c r="F418" s="3">
        <v>119000</v>
      </c>
      <c r="G418" s="3">
        <v>82110</v>
      </c>
      <c r="H418" s="25">
        <v>61496</v>
      </c>
    </row>
    <row r="419" spans="1:8" x14ac:dyDescent="0.3">
      <c r="A419" s="64">
        <v>20260205994123</v>
      </c>
      <c r="B419" t="s">
        <v>41</v>
      </c>
      <c r="C419" s="65">
        <f t="shared" si="6"/>
        <v>46058</v>
      </c>
      <c r="D419" s="3">
        <v>1</v>
      </c>
      <c r="E419" s="3">
        <v>119000</v>
      </c>
      <c r="F419" s="3">
        <v>119000</v>
      </c>
      <c r="G419" s="3">
        <v>82110</v>
      </c>
      <c r="H419" s="25">
        <v>61496</v>
      </c>
    </row>
    <row r="420" spans="1:8" x14ac:dyDescent="0.3">
      <c r="A420" s="64">
        <v>20260205993773</v>
      </c>
      <c r="B420" t="s">
        <v>41</v>
      </c>
      <c r="C420" s="65">
        <f t="shared" si="6"/>
        <v>46058</v>
      </c>
      <c r="D420" s="3">
        <v>1</v>
      </c>
      <c r="E420" s="3">
        <v>119000</v>
      </c>
      <c r="F420" s="3">
        <v>113050</v>
      </c>
      <c r="G420" s="3">
        <v>82110</v>
      </c>
      <c r="H420" s="25">
        <v>61496</v>
      </c>
    </row>
    <row r="421" spans="1:8" x14ac:dyDescent="0.3">
      <c r="A421" s="64">
        <v>20260205993527</v>
      </c>
      <c r="B421" t="s">
        <v>41</v>
      </c>
      <c r="C421" s="65">
        <f t="shared" si="6"/>
        <v>46058</v>
      </c>
      <c r="D421" s="3">
        <v>1</v>
      </c>
      <c r="E421" s="3">
        <v>119000</v>
      </c>
      <c r="F421" s="3">
        <v>113050</v>
      </c>
      <c r="G421" s="3">
        <v>82110</v>
      </c>
      <c r="H421" s="25">
        <v>61496</v>
      </c>
    </row>
    <row r="422" spans="1:8" x14ac:dyDescent="0.3">
      <c r="A422" s="64">
        <v>20260205993977</v>
      </c>
      <c r="B422" t="s">
        <v>41</v>
      </c>
      <c r="C422" s="65">
        <f t="shared" si="6"/>
        <v>46058</v>
      </c>
      <c r="D422" s="3">
        <v>1</v>
      </c>
      <c r="E422" s="3">
        <v>119000</v>
      </c>
      <c r="F422" s="3">
        <v>119000</v>
      </c>
      <c r="G422" s="3">
        <v>82110</v>
      </c>
      <c r="H422" s="25">
        <v>61496</v>
      </c>
    </row>
    <row r="423" spans="1:8" x14ac:dyDescent="0.3">
      <c r="A423" s="64">
        <v>20260205993559</v>
      </c>
      <c r="B423" t="s">
        <v>41</v>
      </c>
      <c r="C423" s="65">
        <f t="shared" si="6"/>
        <v>46058</v>
      </c>
      <c r="D423" s="3">
        <v>1</v>
      </c>
      <c r="E423" s="3">
        <v>119000</v>
      </c>
      <c r="F423" s="3">
        <v>119000</v>
      </c>
      <c r="G423" s="3">
        <v>82110</v>
      </c>
      <c r="H423" s="25">
        <v>61496</v>
      </c>
    </row>
    <row r="424" spans="1:8" x14ac:dyDescent="0.3">
      <c r="A424" s="64">
        <v>20260205992777</v>
      </c>
      <c r="B424" t="s">
        <v>41</v>
      </c>
      <c r="C424" s="65">
        <f t="shared" si="6"/>
        <v>46058</v>
      </c>
      <c r="D424" s="3">
        <v>1</v>
      </c>
      <c r="E424" s="3">
        <v>119000</v>
      </c>
      <c r="F424" s="3">
        <v>119000</v>
      </c>
      <c r="G424" s="3">
        <v>82110</v>
      </c>
      <c r="H424" s="25">
        <v>61496</v>
      </c>
    </row>
    <row r="425" spans="1:8" x14ac:dyDescent="0.3">
      <c r="A425" s="64">
        <v>20260205992824</v>
      </c>
      <c r="B425" t="s">
        <v>41</v>
      </c>
      <c r="C425" s="65">
        <f t="shared" si="6"/>
        <v>46058</v>
      </c>
      <c r="D425" s="3">
        <v>1</v>
      </c>
      <c r="E425" s="3">
        <v>119000</v>
      </c>
      <c r="F425" s="3">
        <v>119000</v>
      </c>
      <c r="G425" s="3">
        <v>82110</v>
      </c>
      <c r="H425" s="25">
        <v>61496</v>
      </c>
    </row>
    <row r="426" spans="1:8" x14ac:dyDescent="0.3">
      <c r="A426" s="64">
        <v>20260205993046</v>
      </c>
      <c r="B426" t="s">
        <v>41</v>
      </c>
      <c r="C426" s="65">
        <f t="shared" si="6"/>
        <v>46058</v>
      </c>
      <c r="D426" s="3">
        <v>1</v>
      </c>
      <c r="E426" s="3">
        <v>119000</v>
      </c>
      <c r="F426" s="3">
        <v>119000</v>
      </c>
      <c r="G426" s="3">
        <v>82110</v>
      </c>
      <c r="H426" s="25">
        <v>61496</v>
      </c>
    </row>
    <row r="427" spans="1:8" x14ac:dyDescent="0.3">
      <c r="A427" s="64">
        <v>20260205993001</v>
      </c>
      <c r="B427" t="s">
        <v>41</v>
      </c>
      <c r="C427" s="65">
        <f t="shared" si="6"/>
        <v>46058</v>
      </c>
      <c r="D427" s="3">
        <v>1</v>
      </c>
      <c r="E427" s="3">
        <v>119000</v>
      </c>
      <c r="F427" s="3">
        <v>119000</v>
      </c>
      <c r="G427" s="3">
        <v>82110</v>
      </c>
      <c r="H427" s="25">
        <v>61496</v>
      </c>
    </row>
    <row r="428" spans="1:8" x14ac:dyDescent="0.3">
      <c r="A428" s="64">
        <v>20260205993000</v>
      </c>
      <c r="B428" t="s">
        <v>41</v>
      </c>
      <c r="C428" s="65">
        <f t="shared" si="6"/>
        <v>46058</v>
      </c>
      <c r="D428" s="3">
        <v>1</v>
      </c>
      <c r="E428" s="3">
        <v>119000</v>
      </c>
      <c r="F428" s="3">
        <v>119000</v>
      </c>
      <c r="G428" s="3">
        <v>82110</v>
      </c>
      <c r="H428" s="25">
        <v>61496</v>
      </c>
    </row>
    <row r="429" spans="1:8" x14ac:dyDescent="0.3">
      <c r="A429" s="64">
        <v>20260205993784</v>
      </c>
      <c r="B429" t="s">
        <v>41</v>
      </c>
      <c r="C429" s="65">
        <f t="shared" si="6"/>
        <v>46058</v>
      </c>
      <c r="D429" s="3">
        <v>1</v>
      </c>
      <c r="E429" s="3">
        <v>119000</v>
      </c>
      <c r="F429" s="3">
        <v>119000</v>
      </c>
      <c r="G429" s="3">
        <v>82110</v>
      </c>
      <c r="H429" s="25">
        <v>61496</v>
      </c>
    </row>
    <row r="430" spans="1:8" x14ac:dyDescent="0.3">
      <c r="A430" s="64">
        <v>20260205995541</v>
      </c>
      <c r="B430" t="s">
        <v>41</v>
      </c>
      <c r="C430" s="65">
        <f t="shared" si="6"/>
        <v>46058</v>
      </c>
      <c r="D430" s="3">
        <v>1</v>
      </c>
      <c r="E430" s="3">
        <v>119000</v>
      </c>
      <c r="F430" s="3">
        <v>119000</v>
      </c>
      <c r="G430" s="3">
        <v>82110</v>
      </c>
      <c r="H430" s="25">
        <v>61496</v>
      </c>
    </row>
    <row r="431" spans="1:8" x14ac:dyDescent="0.3">
      <c r="A431" s="64">
        <v>20260205995287</v>
      </c>
      <c r="B431" t="s">
        <v>41</v>
      </c>
      <c r="C431" s="65">
        <f t="shared" si="6"/>
        <v>46058</v>
      </c>
      <c r="D431" s="3">
        <v>1</v>
      </c>
      <c r="E431" s="3">
        <v>119000</v>
      </c>
      <c r="F431" s="3">
        <v>119000</v>
      </c>
      <c r="G431" s="3">
        <v>82110</v>
      </c>
      <c r="H431" s="25">
        <v>61496</v>
      </c>
    </row>
    <row r="432" spans="1:8" x14ac:dyDescent="0.3">
      <c r="A432" s="64">
        <v>20260205994452</v>
      </c>
      <c r="B432" t="s">
        <v>41</v>
      </c>
      <c r="C432" s="65">
        <f t="shared" si="6"/>
        <v>46058</v>
      </c>
      <c r="D432" s="3">
        <v>1</v>
      </c>
      <c r="E432" s="3">
        <v>119000</v>
      </c>
      <c r="F432" s="3">
        <v>119000</v>
      </c>
      <c r="G432" s="3">
        <v>82110</v>
      </c>
      <c r="H432" s="25">
        <v>61496</v>
      </c>
    </row>
    <row r="433" spans="1:8" x14ac:dyDescent="0.3">
      <c r="A433" s="64">
        <v>20260205994705</v>
      </c>
      <c r="B433" t="s">
        <v>41</v>
      </c>
      <c r="C433" s="65">
        <f t="shared" si="6"/>
        <v>46058</v>
      </c>
      <c r="D433" s="3">
        <v>1</v>
      </c>
      <c r="E433" s="3">
        <v>119000</v>
      </c>
      <c r="F433" s="3">
        <v>119000</v>
      </c>
      <c r="G433" s="3">
        <v>82110</v>
      </c>
      <c r="H433" s="25">
        <v>61496</v>
      </c>
    </row>
    <row r="434" spans="1:8" x14ac:dyDescent="0.3">
      <c r="A434" s="64">
        <v>20260205995017</v>
      </c>
      <c r="B434" t="s">
        <v>41</v>
      </c>
      <c r="C434" s="65">
        <f t="shared" si="6"/>
        <v>46058</v>
      </c>
      <c r="D434" s="3">
        <v>1</v>
      </c>
      <c r="E434" s="3">
        <v>119000</v>
      </c>
      <c r="F434" s="3">
        <v>119000</v>
      </c>
      <c r="G434" s="3">
        <v>82110</v>
      </c>
      <c r="H434" s="25">
        <v>61496</v>
      </c>
    </row>
    <row r="435" spans="1:8" x14ac:dyDescent="0.3">
      <c r="A435" s="64">
        <v>20260205995647</v>
      </c>
      <c r="B435" t="s">
        <v>41</v>
      </c>
      <c r="C435" s="65">
        <f t="shared" si="6"/>
        <v>46058</v>
      </c>
      <c r="D435" s="3">
        <v>1</v>
      </c>
      <c r="E435" s="3">
        <v>119000</v>
      </c>
      <c r="F435" s="3">
        <v>119000</v>
      </c>
      <c r="G435" s="3">
        <v>82110</v>
      </c>
      <c r="H435" s="25">
        <v>61496</v>
      </c>
    </row>
    <row r="436" spans="1:8" x14ac:dyDescent="0.3">
      <c r="A436" s="64">
        <v>20260205998293</v>
      </c>
      <c r="B436" t="s">
        <v>41</v>
      </c>
      <c r="C436" s="65">
        <f t="shared" si="6"/>
        <v>46058</v>
      </c>
      <c r="D436" s="3">
        <v>1</v>
      </c>
      <c r="E436" s="3">
        <v>119000</v>
      </c>
      <c r="F436" s="3">
        <v>119000</v>
      </c>
      <c r="G436" s="3">
        <v>82110</v>
      </c>
      <c r="H436" s="25">
        <v>61496</v>
      </c>
    </row>
    <row r="437" spans="1:8" x14ac:dyDescent="0.3">
      <c r="A437" s="64">
        <v>20260206633008</v>
      </c>
      <c r="B437" t="s">
        <v>41</v>
      </c>
      <c r="C437" s="65">
        <f t="shared" si="6"/>
        <v>46059</v>
      </c>
      <c r="D437" s="3">
        <v>1</v>
      </c>
      <c r="E437" s="3">
        <v>78000</v>
      </c>
      <c r="F437" s="3">
        <v>66300</v>
      </c>
      <c r="G437" s="3">
        <v>53820</v>
      </c>
      <c r="H437" s="25">
        <v>30748</v>
      </c>
    </row>
    <row r="438" spans="1:8" x14ac:dyDescent="0.3">
      <c r="A438" s="64">
        <v>20260205995006</v>
      </c>
      <c r="B438" t="s">
        <v>41</v>
      </c>
      <c r="C438" s="65">
        <f t="shared" si="6"/>
        <v>46058</v>
      </c>
      <c r="D438" s="3">
        <v>1</v>
      </c>
      <c r="E438" s="3">
        <v>119000</v>
      </c>
      <c r="F438" s="3">
        <v>119000</v>
      </c>
      <c r="G438" s="3">
        <v>82110</v>
      </c>
      <c r="H438" s="25">
        <v>61496</v>
      </c>
    </row>
    <row r="439" spans="1:8" x14ac:dyDescent="0.3">
      <c r="A439" s="64">
        <v>20260205992912</v>
      </c>
      <c r="B439" t="s">
        <v>41</v>
      </c>
      <c r="C439" s="65">
        <f t="shared" si="6"/>
        <v>46058</v>
      </c>
      <c r="D439" s="3">
        <v>1</v>
      </c>
      <c r="E439" s="3">
        <v>119000</v>
      </c>
      <c r="F439" s="3">
        <v>119000</v>
      </c>
      <c r="G439" s="3">
        <v>82110</v>
      </c>
      <c r="H439" s="25">
        <v>61496</v>
      </c>
    </row>
    <row r="440" spans="1:8" x14ac:dyDescent="0.3">
      <c r="A440" s="64">
        <v>20260208259331</v>
      </c>
      <c r="B440" t="s">
        <v>41</v>
      </c>
      <c r="C440" s="65">
        <f t="shared" si="6"/>
        <v>46061</v>
      </c>
      <c r="D440" s="3">
        <v>1</v>
      </c>
      <c r="E440" s="3">
        <v>119000</v>
      </c>
      <c r="F440" s="3">
        <v>113050</v>
      </c>
      <c r="G440" s="3">
        <v>82110</v>
      </c>
      <c r="H440" s="25">
        <v>61496</v>
      </c>
    </row>
    <row r="441" spans="1:8" x14ac:dyDescent="0.3">
      <c r="A441" s="64">
        <v>20260208260475</v>
      </c>
      <c r="B441" t="s">
        <v>41</v>
      </c>
      <c r="C441" s="65">
        <f t="shared" si="6"/>
        <v>46061</v>
      </c>
      <c r="D441" s="3">
        <v>1</v>
      </c>
      <c r="E441" s="3">
        <v>119000</v>
      </c>
      <c r="F441" s="3">
        <v>113050</v>
      </c>
      <c r="G441" s="3">
        <v>82110</v>
      </c>
      <c r="H441" s="25">
        <v>61496</v>
      </c>
    </row>
    <row r="442" spans="1:8" x14ac:dyDescent="0.3">
      <c r="A442" s="64">
        <v>20260207158331</v>
      </c>
      <c r="B442" t="s">
        <v>41</v>
      </c>
      <c r="C442" s="65">
        <f t="shared" si="6"/>
        <v>46060</v>
      </c>
      <c r="D442" s="3">
        <v>1</v>
      </c>
      <c r="E442" s="3">
        <v>119000</v>
      </c>
      <c r="F442" s="3">
        <v>113050</v>
      </c>
      <c r="G442" s="3">
        <v>82110</v>
      </c>
      <c r="H442" s="25">
        <v>61496</v>
      </c>
    </row>
    <row r="443" spans="1:8" x14ac:dyDescent="0.3">
      <c r="A443" s="64">
        <v>20260208229524</v>
      </c>
      <c r="B443" t="s">
        <v>41</v>
      </c>
      <c r="C443" s="65">
        <f t="shared" si="6"/>
        <v>46061</v>
      </c>
      <c r="D443" s="3">
        <v>1</v>
      </c>
      <c r="E443" s="3">
        <v>119000</v>
      </c>
      <c r="F443" s="3">
        <v>113050</v>
      </c>
      <c r="G443" s="3">
        <v>82110</v>
      </c>
      <c r="H443" s="25">
        <v>61496</v>
      </c>
    </row>
    <row r="444" spans="1:8" x14ac:dyDescent="0.3">
      <c r="A444" s="64">
        <v>20260208244830</v>
      </c>
      <c r="B444" t="s">
        <v>41</v>
      </c>
      <c r="C444" s="65">
        <f t="shared" si="6"/>
        <v>46061</v>
      </c>
      <c r="D444" s="3">
        <v>1</v>
      </c>
      <c r="E444" s="3">
        <v>119000</v>
      </c>
      <c r="F444" s="3">
        <v>113050</v>
      </c>
      <c r="G444" s="3">
        <v>82110</v>
      </c>
      <c r="H444" s="25">
        <v>61496</v>
      </c>
    </row>
    <row r="445" spans="1:8" x14ac:dyDescent="0.3">
      <c r="A445" s="64">
        <v>20260207151522</v>
      </c>
      <c r="B445" t="s">
        <v>41</v>
      </c>
      <c r="C445" s="65">
        <f t="shared" si="6"/>
        <v>46060</v>
      </c>
      <c r="D445" s="3">
        <v>1</v>
      </c>
      <c r="E445" s="3">
        <v>119000</v>
      </c>
      <c r="F445" s="3">
        <v>119000</v>
      </c>
      <c r="G445" s="3">
        <v>82110</v>
      </c>
      <c r="H445" s="25">
        <v>61496</v>
      </c>
    </row>
    <row r="446" spans="1:8" x14ac:dyDescent="0.3">
      <c r="A446" s="64">
        <v>20260210360594</v>
      </c>
      <c r="B446" t="s">
        <v>41</v>
      </c>
      <c r="C446" s="65">
        <f t="shared" si="6"/>
        <v>46063</v>
      </c>
      <c r="D446" s="3">
        <v>1</v>
      </c>
      <c r="E446" s="3">
        <v>119000</v>
      </c>
      <c r="F446" s="3">
        <v>119000</v>
      </c>
      <c r="G446" s="3">
        <v>80920</v>
      </c>
      <c r="H446" s="25">
        <v>61496</v>
      </c>
    </row>
    <row r="447" spans="1:8" x14ac:dyDescent="0.3">
      <c r="A447" s="64">
        <v>20260207150468</v>
      </c>
      <c r="B447" t="s">
        <v>41</v>
      </c>
      <c r="C447" s="65">
        <f t="shared" si="6"/>
        <v>46060</v>
      </c>
      <c r="D447" s="3">
        <v>1</v>
      </c>
      <c r="E447" s="3">
        <v>119000</v>
      </c>
      <c r="F447" s="3">
        <v>113050</v>
      </c>
      <c r="G447" s="3">
        <v>82110</v>
      </c>
      <c r="H447" s="25">
        <v>61496</v>
      </c>
    </row>
    <row r="448" spans="1:8" x14ac:dyDescent="0.3">
      <c r="A448" s="64">
        <v>20260209873932</v>
      </c>
      <c r="B448" t="s">
        <v>41</v>
      </c>
      <c r="C448" s="65">
        <f t="shared" si="6"/>
        <v>46062</v>
      </c>
      <c r="D448" s="3">
        <v>1</v>
      </c>
      <c r="E448" s="3">
        <v>119000</v>
      </c>
      <c r="F448" s="3">
        <v>105910</v>
      </c>
      <c r="G448" s="3">
        <v>82110</v>
      </c>
      <c r="H448" s="25">
        <v>61496</v>
      </c>
    </row>
    <row r="449" spans="1:8" x14ac:dyDescent="0.3">
      <c r="A449" s="64">
        <v>20260206659552</v>
      </c>
      <c r="B449" t="s">
        <v>41</v>
      </c>
      <c r="C449" s="65">
        <f t="shared" si="6"/>
        <v>46059</v>
      </c>
      <c r="D449" s="3">
        <v>1</v>
      </c>
      <c r="E449" s="3">
        <v>119000</v>
      </c>
      <c r="F449" s="3">
        <v>113050</v>
      </c>
      <c r="G449" s="3">
        <v>82110</v>
      </c>
      <c r="H449" s="25">
        <v>61496</v>
      </c>
    </row>
    <row r="450" spans="1:8" x14ac:dyDescent="0.3">
      <c r="A450" s="64">
        <v>20260206651056</v>
      </c>
      <c r="B450" t="s">
        <v>41</v>
      </c>
      <c r="C450" s="65">
        <f t="shared" si="6"/>
        <v>46059</v>
      </c>
      <c r="D450" s="3">
        <v>1</v>
      </c>
      <c r="E450" s="3">
        <v>119000</v>
      </c>
      <c r="F450" s="3">
        <v>113050</v>
      </c>
      <c r="G450" s="3">
        <v>82110</v>
      </c>
      <c r="H450" s="25">
        <v>61496</v>
      </c>
    </row>
    <row r="451" spans="1:8" x14ac:dyDescent="0.3">
      <c r="A451" s="64">
        <v>20260207124110</v>
      </c>
      <c r="B451" t="s">
        <v>41</v>
      </c>
      <c r="C451" s="65">
        <f t="shared" ref="C451:C514" si="7">DATE(LEFT(TEXT(A451,"0"),4),MID(TEXT(A451,"0"),5,2),MID(TEXT(A451,"0"),7,2))</f>
        <v>46060</v>
      </c>
      <c r="D451" s="3">
        <v>1</v>
      </c>
      <c r="E451" s="3">
        <v>119000</v>
      </c>
      <c r="F451" s="3">
        <v>113050</v>
      </c>
      <c r="G451" s="3">
        <v>82110</v>
      </c>
      <c r="H451" s="25">
        <v>61496</v>
      </c>
    </row>
    <row r="452" spans="1:8" x14ac:dyDescent="0.3">
      <c r="A452" s="64">
        <v>20260208259329</v>
      </c>
      <c r="B452" t="s">
        <v>41</v>
      </c>
      <c r="C452" s="65">
        <f t="shared" si="7"/>
        <v>46061</v>
      </c>
      <c r="D452" s="3">
        <v>1</v>
      </c>
      <c r="E452" s="3">
        <v>119000</v>
      </c>
      <c r="F452" s="3">
        <v>113050</v>
      </c>
      <c r="G452" s="3">
        <v>82110</v>
      </c>
      <c r="H452" s="25">
        <v>61496</v>
      </c>
    </row>
    <row r="453" spans="1:8" x14ac:dyDescent="0.3">
      <c r="A453" s="64">
        <v>20260207150472</v>
      </c>
      <c r="B453" t="s">
        <v>41</v>
      </c>
      <c r="C453" s="65">
        <f t="shared" si="7"/>
        <v>46060</v>
      </c>
      <c r="D453" s="3">
        <v>1</v>
      </c>
      <c r="E453" s="3">
        <v>119000</v>
      </c>
      <c r="F453" s="3">
        <v>113050</v>
      </c>
      <c r="G453" s="3">
        <v>82110</v>
      </c>
      <c r="H453" s="25">
        <v>61496</v>
      </c>
    </row>
    <row r="454" spans="1:8" x14ac:dyDescent="0.3">
      <c r="A454" s="64">
        <v>20260207147250</v>
      </c>
      <c r="B454" t="s">
        <v>41</v>
      </c>
      <c r="C454" s="65">
        <f t="shared" si="7"/>
        <v>46060</v>
      </c>
      <c r="D454" s="3">
        <v>1</v>
      </c>
      <c r="E454" s="3">
        <v>119000</v>
      </c>
      <c r="F454" s="3">
        <v>113050</v>
      </c>
      <c r="G454" s="3">
        <v>82110</v>
      </c>
      <c r="H454" s="25">
        <v>61496</v>
      </c>
    </row>
    <row r="455" spans="1:8" x14ac:dyDescent="0.3">
      <c r="A455" s="64">
        <v>20260207147257</v>
      </c>
      <c r="B455" t="s">
        <v>41</v>
      </c>
      <c r="C455" s="65">
        <f t="shared" si="7"/>
        <v>46060</v>
      </c>
      <c r="D455" s="3">
        <v>1</v>
      </c>
      <c r="E455" s="3">
        <v>119000</v>
      </c>
      <c r="F455" s="3">
        <v>113050</v>
      </c>
      <c r="G455" s="3">
        <v>82110</v>
      </c>
      <c r="H455" s="25">
        <v>61496</v>
      </c>
    </row>
    <row r="456" spans="1:8" x14ac:dyDescent="0.3">
      <c r="A456" s="64">
        <v>20260208260735</v>
      </c>
      <c r="B456" t="s">
        <v>41</v>
      </c>
      <c r="C456" s="65">
        <f t="shared" si="7"/>
        <v>46061</v>
      </c>
      <c r="D456" s="3">
        <v>1</v>
      </c>
      <c r="E456" s="3">
        <v>119000</v>
      </c>
      <c r="F456" s="3">
        <v>113050</v>
      </c>
      <c r="G456" s="3">
        <v>82110</v>
      </c>
      <c r="H456" s="25">
        <v>61496</v>
      </c>
    </row>
    <row r="457" spans="1:8" x14ac:dyDescent="0.3">
      <c r="A457" s="64">
        <v>20260207117865</v>
      </c>
      <c r="B457" t="s">
        <v>41</v>
      </c>
      <c r="C457" s="65">
        <f t="shared" si="7"/>
        <v>46060</v>
      </c>
      <c r="D457" s="3">
        <v>1</v>
      </c>
      <c r="E457" s="3">
        <v>119000</v>
      </c>
      <c r="F457" s="3">
        <v>119000</v>
      </c>
      <c r="G457" s="3">
        <v>82110</v>
      </c>
      <c r="H457" s="25">
        <v>61496</v>
      </c>
    </row>
    <row r="458" spans="1:8" x14ac:dyDescent="0.3">
      <c r="A458" s="64">
        <v>20260205994815</v>
      </c>
      <c r="B458" t="s">
        <v>41</v>
      </c>
      <c r="C458" s="65">
        <f t="shared" si="7"/>
        <v>46058</v>
      </c>
      <c r="D458" s="3">
        <v>1</v>
      </c>
      <c r="E458" s="3">
        <v>119000</v>
      </c>
      <c r="F458" s="3">
        <v>119000</v>
      </c>
      <c r="G458" s="3">
        <v>82110</v>
      </c>
      <c r="H458" s="25">
        <v>61496</v>
      </c>
    </row>
    <row r="459" spans="1:8" x14ac:dyDescent="0.3">
      <c r="A459" s="64">
        <v>20260203309850</v>
      </c>
      <c r="B459" t="s">
        <v>41</v>
      </c>
      <c r="C459" s="65">
        <f t="shared" si="7"/>
        <v>46056</v>
      </c>
      <c r="D459" s="3">
        <v>1</v>
      </c>
      <c r="E459" s="3">
        <v>119000</v>
      </c>
      <c r="F459" s="3">
        <v>109000</v>
      </c>
      <c r="G459" s="3">
        <v>82110</v>
      </c>
      <c r="H459" s="25">
        <v>61496</v>
      </c>
    </row>
    <row r="460" spans="1:8" x14ac:dyDescent="0.3">
      <c r="A460" s="64">
        <v>20260207151170</v>
      </c>
      <c r="B460" t="s">
        <v>41</v>
      </c>
      <c r="C460" s="65">
        <f t="shared" si="7"/>
        <v>46060</v>
      </c>
      <c r="D460" s="3">
        <v>1</v>
      </c>
      <c r="E460" s="3">
        <v>119000</v>
      </c>
      <c r="F460" s="3">
        <v>109000</v>
      </c>
      <c r="G460" s="3">
        <v>82110</v>
      </c>
      <c r="H460" s="25">
        <v>61496</v>
      </c>
    </row>
    <row r="461" spans="1:8" x14ac:dyDescent="0.3">
      <c r="A461" s="64">
        <v>20260205992935</v>
      </c>
      <c r="B461" t="s">
        <v>41</v>
      </c>
      <c r="C461" s="65">
        <f t="shared" si="7"/>
        <v>46058</v>
      </c>
      <c r="D461" s="3">
        <v>1</v>
      </c>
      <c r="E461" s="3">
        <v>119000</v>
      </c>
      <c r="F461" s="3">
        <v>119000</v>
      </c>
      <c r="G461" s="3">
        <v>82110</v>
      </c>
      <c r="H461" s="25">
        <v>61496</v>
      </c>
    </row>
    <row r="462" spans="1:8" x14ac:dyDescent="0.3">
      <c r="A462" s="64">
        <v>20260205994829</v>
      </c>
      <c r="B462" t="s">
        <v>41</v>
      </c>
      <c r="C462" s="65">
        <f t="shared" si="7"/>
        <v>46058</v>
      </c>
      <c r="D462" s="3">
        <v>3</v>
      </c>
      <c r="E462" s="3">
        <v>119000</v>
      </c>
      <c r="F462" s="3">
        <v>357000</v>
      </c>
      <c r="G462" s="3">
        <v>246330</v>
      </c>
      <c r="H462" s="25">
        <v>184488</v>
      </c>
    </row>
    <row r="463" spans="1:8" x14ac:dyDescent="0.3">
      <c r="A463" s="64">
        <v>20260205994617</v>
      </c>
      <c r="B463" t="s">
        <v>41</v>
      </c>
      <c r="C463" s="65">
        <f t="shared" si="7"/>
        <v>46058</v>
      </c>
      <c r="D463" s="3">
        <v>1</v>
      </c>
      <c r="E463" s="3">
        <v>119000</v>
      </c>
      <c r="F463" s="3">
        <v>113050</v>
      </c>
      <c r="G463" s="3">
        <v>82110</v>
      </c>
      <c r="H463" s="25">
        <v>61496</v>
      </c>
    </row>
    <row r="464" spans="1:8" x14ac:dyDescent="0.3">
      <c r="A464" s="64">
        <v>20260205995024</v>
      </c>
      <c r="B464" t="s">
        <v>41</v>
      </c>
      <c r="C464" s="65">
        <f t="shared" si="7"/>
        <v>46058</v>
      </c>
      <c r="D464" s="3">
        <v>1</v>
      </c>
      <c r="E464" s="3">
        <v>119000</v>
      </c>
      <c r="F464" s="3">
        <v>119000</v>
      </c>
      <c r="G464" s="3">
        <v>82110</v>
      </c>
      <c r="H464" s="25">
        <v>61496</v>
      </c>
    </row>
    <row r="465" spans="1:8" x14ac:dyDescent="0.3">
      <c r="A465" s="64">
        <v>20260203309978</v>
      </c>
      <c r="B465" t="s">
        <v>41</v>
      </c>
      <c r="C465" s="65">
        <f t="shared" si="7"/>
        <v>46056</v>
      </c>
      <c r="D465" s="3">
        <v>1</v>
      </c>
      <c r="E465" s="3">
        <v>119000</v>
      </c>
      <c r="F465" s="3">
        <v>119000</v>
      </c>
      <c r="G465" s="3">
        <v>82110</v>
      </c>
      <c r="H465" s="25">
        <v>61496</v>
      </c>
    </row>
    <row r="466" spans="1:8" x14ac:dyDescent="0.3">
      <c r="A466" s="64">
        <v>20260205994069</v>
      </c>
      <c r="B466" t="s">
        <v>41</v>
      </c>
      <c r="C466" s="65">
        <f t="shared" si="7"/>
        <v>46058</v>
      </c>
      <c r="D466" s="3">
        <v>1</v>
      </c>
      <c r="E466" s="3">
        <v>119000</v>
      </c>
      <c r="F466" s="3">
        <v>119000</v>
      </c>
      <c r="G466" s="3">
        <v>82110</v>
      </c>
      <c r="H466" s="25">
        <v>61496</v>
      </c>
    </row>
    <row r="467" spans="1:8" x14ac:dyDescent="0.3">
      <c r="A467" s="64">
        <v>20260208250075</v>
      </c>
      <c r="B467" t="s">
        <v>41</v>
      </c>
      <c r="C467" s="65">
        <f t="shared" si="7"/>
        <v>46061</v>
      </c>
      <c r="D467" s="3">
        <v>1</v>
      </c>
      <c r="E467" s="3">
        <v>119000</v>
      </c>
      <c r="F467" s="3">
        <v>119000</v>
      </c>
      <c r="G467" s="3">
        <v>82110</v>
      </c>
      <c r="H467" s="25">
        <v>61496</v>
      </c>
    </row>
    <row r="468" spans="1:8" x14ac:dyDescent="0.3">
      <c r="A468" s="64">
        <v>20260205994926</v>
      </c>
      <c r="B468" t="s">
        <v>41</v>
      </c>
      <c r="C468" s="65">
        <f t="shared" si="7"/>
        <v>46058</v>
      </c>
      <c r="D468" s="3">
        <v>1</v>
      </c>
      <c r="E468" s="3">
        <v>119000</v>
      </c>
      <c r="F468" s="3">
        <v>119000</v>
      </c>
      <c r="G468" s="3">
        <v>82110</v>
      </c>
      <c r="H468" s="25">
        <v>61496</v>
      </c>
    </row>
    <row r="469" spans="1:8" x14ac:dyDescent="0.3">
      <c r="A469" s="64">
        <v>20260205993624</v>
      </c>
      <c r="B469" t="s">
        <v>41</v>
      </c>
      <c r="C469" s="65">
        <f t="shared" si="7"/>
        <v>46058</v>
      </c>
      <c r="D469" s="3">
        <v>1</v>
      </c>
      <c r="E469" s="3">
        <v>119000</v>
      </c>
      <c r="F469" s="3">
        <v>119000</v>
      </c>
      <c r="G469" s="3">
        <v>82110</v>
      </c>
      <c r="H469" s="25">
        <v>61496</v>
      </c>
    </row>
    <row r="470" spans="1:8" x14ac:dyDescent="0.3">
      <c r="A470" s="64">
        <v>20260205993757</v>
      </c>
      <c r="B470" t="s">
        <v>41</v>
      </c>
      <c r="C470" s="65">
        <f t="shared" si="7"/>
        <v>46058</v>
      </c>
      <c r="D470" s="3">
        <v>1</v>
      </c>
      <c r="E470" s="3">
        <v>119000</v>
      </c>
      <c r="F470" s="3">
        <v>119000</v>
      </c>
      <c r="G470" s="3">
        <v>82110</v>
      </c>
      <c r="H470" s="25">
        <v>61496</v>
      </c>
    </row>
    <row r="471" spans="1:8" x14ac:dyDescent="0.3">
      <c r="A471" s="64">
        <v>20260205994369</v>
      </c>
      <c r="B471" t="s">
        <v>41</v>
      </c>
      <c r="C471" s="65">
        <f t="shared" si="7"/>
        <v>46058</v>
      </c>
      <c r="D471" s="3">
        <v>1</v>
      </c>
      <c r="E471" s="3">
        <v>119000</v>
      </c>
      <c r="F471" s="3">
        <v>119000</v>
      </c>
      <c r="G471" s="3">
        <v>82110</v>
      </c>
      <c r="H471" s="25">
        <v>61496</v>
      </c>
    </row>
    <row r="472" spans="1:8" x14ac:dyDescent="0.3">
      <c r="A472" s="64">
        <v>20260206641134</v>
      </c>
      <c r="B472" t="s">
        <v>41</v>
      </c>
      <c r="C472" s="65">
        <f t="shared" si="7"/>
        <v>46059</v>
      </c>
      <c r="D472" s="3">
        <v>1</v>
      </c>
      <c r="E472" s="3">
        <v>119000</v>
      </c>
      <c r="F472" s="3">
        <v>119000</v>
      </c>
      <c r="G472" s="3">
        <v>82110</v>
      </c>
      <c r="H472" s="25">
        <v>61496</v>
      </c>
    </row>
    <row r="473" spans="1:8" x14ac:dyDescent="0.3">
      <c r="A473" s="64">
        <v>20260208251315</v>
      </c>
      <c r="B473" t="s">
        <v>41</v>
      </c>
      <c r="C473" s="65">
        <f t="shared" si="7"/>
        <v>46061</v>
      </c>
      <c r="D473" s="3">
        <v>1</v>
      </c>
      <c r="E473" s="3">
        <v>119000</v>
      </c>
      <c r="F473" s="3">
        <v>119000</v>
      </c>
      <c r="G473" s="3">
        <v>82110</v>
      </c>
      <c r="H473" s="25">
        <v>61496</v>
      </c>
    </row>
    <row r="474" spans="1:8" x14ac:dyDescent="0.3">
      <c r="A474" s="64">
        <v>20260205994412</v>
      </c>
      <c r="B474" t="s">
        <v>41</v>
      </c>
      <c r="C474" s="65">
        <f t="shared" si="7"/>
        <v>46058</v>
      </c>
      <c r="D474" s="3">
        <v>1</v>
      </c>
      <c r="E474" s="3">
        <v>119000</v>
      </c>
      <c r="F474" s="3">
        <v>119000</v>
      </c>
      <c r="G474" s="3">
        <v>82110</v>
      </c>
      <c r="H474" s="25">
        <v>61496</v>
      </c>
    </row>
    <row r="475" spans="1:8" x14ac:dyDescent="0.3">
      <c r="A475" s="64">
        <v>20260210360594</v>
      </c>
      <c r="B475" t="s">
        <v>41</v>
      </c>
      <c r="C475" s="65">
        <f t="shared" si="7"/>
        <v>46063</v>
      </c>
      <c r="D475" s="3">
        <v>-1</v>
      </c>
      <c r="E475" s="3">
        <v>119000</v>
      </c>
      <c r="F475" s="3">
        <v>-119000</v>
      </c>
      <c r="G475" s="3">
        <v>-80920</v>
      </c>
      <c r="H475" s="25">
        <v>-61496</v>
      </c>
    </row>
    <row r="476" spans="1:8" x14ac:dyDescent="0.3">
      <c r="A476" s="64">
        <v>20260206650034</v>
      </c>
      <c r="B476" t="s">
        <v>41</v>
      </c>
      <c r="C476" s="65">
        <f t="shared" si="7"/>
        <v>46059</v>
      </c>
      <c r="D476" s="3">
        <v>1</v>
      </c>
      <c r="E476" s="3">
        <v>78000</v>
      </c>
      <c r="F476" s="3">
        <v>78000</v>
      </c>
      <c r="G476" s="3">
        <v>53820</v>
      </c>
      <c r="H476" s="25">
        <v>30748</v>
      </c>
    </row>
    <row r="477" spans="1:8" x14ac:dyDescent="0.3">
      <c r="A477" s="64">
        <v>20260208250982</v>
      </c>
      <c r="B477" t="s">
        <v>41</v>
      </c>
      <c r="C477" s="65">
        <f t="shared" si="7"/>
        <v>46061</v>
      </c>
      <c r="D477" s="3">
        <v>1</v>
      </c>
      <c r="E477" s="3">
        <v>78000</v>
      </c>
      <c r="F477" s="3">
        <v>65520</v>
      </c>
      <c r="G477" s="3">
        <v>53820</v>
      </c>
      <c r="H477" s="25">
        <v>30748</v>
      </c>
    </row>
    <row r="478" spans="1:8" x14ac:dyDescent="0.3">
      <c r="A478" s="64">
        <v>20260207149611</v>
      </c>
      <c r="B478" t="s">
        <v>41</v>
      </c>
      <c r="C478" s="65">
        <f t="shared" si="7"/>
        <v>46060</v>
      </c>
      <c r="D478" s="3">
        <v>1</v>
      </c>
      <c r="E478" s="3">
        <v>78000</v>
      </c>
      <c r="F478" s="3">
        <v>66300</v>
      </c>
      <c r="G478" s="3">
        <v>53820</v>
      </c>
      <c r="H478" s="25">
        <v>30748</v>
      </c>
    </row>
    <row r="479" spans="1:8" x14ac:dyDescent="0.3">
      <c r="A479" s="64">
        <v>20260209883427</v>
      </c>
      <c r="B479" t="s">
        <v>41</v>
      </c>
      <c r="C479" s="65">
        <f t="shared" si="7"/>
        <v>46062</v>
      </c>
      <c r="D479" s="3">
        <v>1</v>
      </c>
      <c r="E479" s="3">
        <v>119000</v>
      </c>
      <c r="F479" s="3">
        <v>113050</v>
      </c>
      <c r="G479" s="3">
        <v>82110</v>
      </c>
      <c r="H479" s="25">
        <v>61496</v>
      </c>
    </row>
    <row r="480" spans="1:8" x14ac:dyDescent="0.3">
      <c r="A480" s="64">
        <v>20260210360516</v>
      </c>
      <c r="B480" t="s">
        <v>41</v>
      </c>
      <c r="C480" s="65">
        <f t="shared" si="7"/>
        <v>46063</v>
      </c>
      <c r="D480" s="3">
        <v>-1</v>
      </c>
      <c r="E480" s="3">
        <v>119000</v>
      </c>
      <c r="F480" s="3">
        <v>-119000</v>
      </c>
      <c r="G480" s="3">
        <v>-80920</v>
      </c>
      <c r="H480" s="25">
        <v>-61496</v>
      </c>
    </row>
    <row r="481" spans="1:8" x14ac:dyDescent="0.3">
      <c r="A481" s="64">
        <v>20260210360516</v>
      </c>
      <c r="B481" t="s">
        <v>41</v>
      </c>
      <c r="C481" s="65">
        <f t="shared" si="7"/>
        <v>46063</v>
      </c>
      <c r="D481" s="3">
        <v>1</v>
      </c>
      <c r="E481" s="3">
        <v>119000</v>
      </c>
      <c r="F481" s="3">
        <v>119000</v>
      </c>
      <c r="G481" s="3">
        <v>80920</v>
      </c>
      <c r="H481" s="25">
        <v>61496</v>
      </c>
    </row>
    <row r="482" spans="1:8" x14ac:dyDescent="0.3">
      <c r="A482" s="64">
        <v>20260209904260</v>
      </c>
      <c r="B482" t="s">
        <v>41</v>
      </c>
      <c r="C482" s="65">
        <f t="shared" si="7"/>
        <v>46062</v>
      </c>
      <c r="D482" s="3">
        <v>1</v>
      </c>
      <c r="E482" s="3">
        <v>119000</v>
      </c>
      <c r="F482" s="3">
        <v>119000</v>
      </c>
      <c r="G482" s="3">
        <v>80920</v>
      </c>
      <c r="H482" s="25">
        <v>61496</v>
      </c>
    </row>
    <row r="483" spans="1:8" x14ac:dyDescent="0.3">
      <c r="A483" s="64">
        <v>20260209896967</v>
      </c>
      <c r="B483" t="s">
        <v>41</v>
      </c>
      <c r="C483" s="65">
        <f t="shared" si="7"/>
        <v>46062</v>
      </c>
      <c r="D483" s="3">
        <v>4</v>
      </c>
      <c r="E483" s="3">
        <v>119000</v>
      </c>
      <c r="F483" s="3">
        <v>452200</v>
      </c>
      <c r="G483" s="3">
        <v>328440</v>
      </c>
      <c r="H483" s="25">
        <v>245984</v>
      </c>
    </row>
    <row r="484" spans="1:8" x14ac:dyDescent="0.3">
      <c r="A484" s="64">
        <v>20260209898425</v>
      </c>
      <c r="B484" t="s">
        <v>41</v>
      </c>
      <c r="C484" s="65">
        <f t="shared" si="7"/>
        <v>46062</v>
      </c>
      <c r="D484" s="3">
        <v>1</v>
      </c>
      <c r="E484" s="3">
        <v>119000</v>
      </c>
      <c r="F484" s="3">
        <v>113050</v>
      </c>
      <c r="G484" s="3">
        <v>82110</v>
      </c>
      <c r="H484" s="25">
        <v>61496</v>
      </c>
    </row>
    <row r="485" spans="1:8" x14ac:dyDescent="0.3">
      <c r="A485" s="64">
        <v>20260208247573</v>
      </c>
      <c r="B485" t="s">
        <v>41</v>
      </c>
      <c r="C485" s="65">
        <f t="shared" si="7"/>
        <v>46061</v>
      </c>
      <c r="D485" s="3">
        <v>1</v>
      </c>
      <c r="E485" s="3">
        <v>119000</v>
      </c>
      <c r="F485" s="3">
        <v>109000</v>
      </c>
      <c r="G485" s="3">
        <v>82110</v>
      </c>
      <c r="H485" s="25">
        <v>61496</v>
      </c>
    </row>
    <row r="486" spans="1:8" x14ac:dyDescent="0.3">
      <c r="A486" s="64">
        <v>20260209919611</v>
      </c>
      <c r="B486" t="s">
        <v>41</v>
      </c>
      <c r="C486" s="65">
        <f t="shared" si="7"/>
        <v>46062</v>
      </c>
      <c r="D486" s="3">
        <v>1</v>
      </c>
      <c r="E486" s="3">
        <v>119000</v>
      </c>
      <c r="F486" s="3">
        <v>95200</v>
      </c>
      <c r="G486" s="3">
        <v>80920</v>
      </c>
      <c r="H486" s="25">
        <v>61496</v>
      </c>
    </row>
    <row r="487" spans="1:8" x14ac:dyDescent="0.3">
      <c r="A487" s="64">
        <v>20260205995605</v>
      </c>
      <c r="B487" t="s">
        <v>41</v>
      </c>
      <c r="C487" s="65">
        <f t="shared" si="7"/>
        <v>46058</v>
      </c>
      <c r="D487" s="3">
        <v>1</v>
      </c>
      <c r="E487" s="3">
        <v>119000</v>
      </c>
      <c r="F487" s="3">
        <v>119000</v>
      </c>
      <c r="G487" s="3">
        <v>82110</v>
      </c>
      <c r="H487" s="25">
        <v>61496</v>
      </c>
    </row>
    <row r="488" spans="1:8" x14ac:dyDescent="0.3">
      <c r="A488" s="64">
        <v>20260209889552</v>
      </c>
      <c r="B488" t="s">
        <v>41</v>
      </c>
      <c r="C488" s="65">
        <f t="shared" si="7"/>
        <v>46062</v>
      </c>
      <c r="D488" s="3">
        <v>1</v>
      </c>
      <c r="E488" s="3">
        <v>119000</v>
      </c>
      <c r="F488" s="3">
        <v>118180</v>
      </c>
      <c r="G488" s="3">
        <v>82110</v>
      </c>
      <c r="H488" s="25">
        <v>61496</v>
      </c>
    </row>
    <row r="489" spans="1:8" x14ac:dyDescent="0.3">
      <c r="A489" s="64">
        <v>20260205993840</v>
      </c>
      <c r="B489" t="s">
        <v>41</v>
      </c>
      <c r="C489" s="65">
        <f t="shared" si="7"/>
        <v>46058</v>
      </c>
      <c r="D489" s="3">
        <v>1</v>
      </c>
      <c r="E489" s="3">
        <v>119000</v>
      </c>
      <c r="F489" s="3">
        <v>119000</v>
      </c>
      <c r="G489" s="3">
        <v>82110</v>
      </c>
      <c r="H489" s="25">
        <v>61496</v>
      </c>
    </row>
    <row r="490" spans="1:8" x14ac:dyDescent="0.3">
      <c r="A490" s="64">
        <v>20260205992722</v>
      </c>
      <c r="B490" t="s">
        <v>41</v>
      </c>
      <c r="C490" s="65">
        <f t="shared" si="7"/>
        <v>46058</v>
      </c>
      <c r="D490" s="3">
        <v>1</v>
      </c>
      <c r="E490" s="3">
        <v>119000</v>
      </c>
      <c r="F490" s="3">
        <v>119000</v>
      </c>
      <c r="G490" s="3">
        <v>82110</v>
      </c>
      <c r="H490" s="25">
        <v>61496</v>
      </c>
    </row>
    <row r="491" spans="1:8" x14ac:dyDescent="0.3">
      <c r="A491" s="64">
        <v>20260210347699</v>
      </c>
      <c r="B491" t="s">
        <v>41</v>
      </c>
      <c r="C491" s="65">
        <f t="shared" si="7"/>
        <v>46063</v>
      </c>
      <c r="D491" s="3">
        <v>1</v>
      </c>
      <c r="E491" s="3">
        <v>119000</v>
      </c>
      <c r="F491" s="3">
        <v>98770</v>
      </c>
      <c r="G491" s="3">
        <v>80920</v>
      </c>
      <c r="H491" s="25">
        <v>61496</v>
      </c>
    </row>
    <row r="492" spans="1:8" x14ac:dyDescent="0.3">
      <c r="A492" s="64">
        <v>20260205995560</v>
      </c>
      <c r="B492" t="s">
        <v>41</v>
      </c>
      <c r="C492" s="65">
        <f t="shared" si="7"/>
        <v>46058</v>
      </c>
      <c r="D492" s="3">
        <v>1</v>
      </c>
      <c r="E492" s="3">
        <v>119000</v>
      </c>
      <c r="F492" s="3">
        <v>119000</v>
      </c>
      <c r="G492" s="3">
        <v>82110</v>
      </c>
      <c r="H492" s="25">
        <v>61496</v>
      </c>
    </row>
    <row r="493" spans="1:8" x14ac:dyDescent="0.3">
      <c r="A493" s="64">
        <v>20260205994523</v>
      </c>
      <c r="B493" t="s">
        <v>41</v>
      </c>
      <c r="C493" s="65">
        <f t="shared" si="7"/>
        <v>46058</v>
      </c>
      <c r="D493" s="3">
        <v>1</v>
      </c>
      <c r="E493" s="3">
        <v>119000</v>
      </c>
      <c r="F493" s="3">
        <v>119000</v>
      </c>
      <c r="G493" s="3">
        <v>82110</v>
      </c>
      <c r="H493" s="25">
        <v>61496</v>
      </c>
    </row>
    <row r="494" spans="1:8" x14ac:dyDescent="0.3">
      <c r="A494" s="64">
        <v>20260209898048</v>
      </c>
      <c r="B494" t="s">
        <v>41</v>
      </c>
      <c r="C494" s="65">
        <f t="shared" si="7"/>
        <v>46062</v>
      </c>
      <c r="D494" s="3">
        <v>1</v>
      </c>
      <c r="E494" s="3">
        <v>78000</v>
      </c>
      <c r="F494" s="3">
        <v>74100</v>
      </c>
      <c r="G494" s="3">
        <v>53820</v>
      </c>
      <c r="H494" s="25">
        <v>30748</v>
      </c>
    </row>
    <row r="495" spans="1:8" x14ac:dyDescent="0.3">
      <c r="A495" s="64">
        <v>20260210361668</v>
      </c>
      <c r="B495" t="s">
        <v>41</v>
      </c>
      <c r="C495" s="65">
        <f t="shared" si="7"/>
        <v>46063</v>
      </c>
      <c r="D495" s="3">
        <v>1</v>
      </c>
      <c r="E495" s="3">
        <v>119000</v>
      </c>
      <c r="F495" s="3">
        <v>119000</v>
      </c>
      <c r="G495" s="3">
        <v>80920</v>
      </c>
      <c r="H495" s="25">
        <v>61496</v>
      </c>
    </row>
    <row r="496" spans="1:8" x14ac:dyDescent="0.3">
      <c r="A496" s="64">
        <v>20260210361308</v>
      </c>
      <c r="B496" t="s">
        <v>41</v>
      </c>
      <c r="C496" s="65">
        <f t="shared" si="7"/>
        <v>46063</v>
      </c>
      <c r="D496" s="3">
        <v>1</v>
      </c>
      <c r="E496" s="3">
        <v>119000</v>
      </c>
      <c r="F496" s="3">
        <v>119000</v>
      </c>
      <c r="G496" s="3">
        <v>80920</v>
      </c>
      <c r="H496" s="25">
        <v>61496</v>
      </c>
    </row>
    <row r="497" spans="1:8" x14ac:dyDescent="0.3">
      <c r="A497" s="64">
        <v>20260210361311</v>
      </c>
      <c r="B497" t="s">
        <v>41</v>
      </c>
      <c r="C497" s="65">
        <f t="shared" si="7"/>
        <v>46063</v>
      </c>
      <c r="D497" s="3">
        <v>1</v>
      </c>
      <c r="E497" s="3">
        <v>119000</v>
      </c>
      <c r="F497" s="3">
        <v>119000</v>
      </c>
      <c r="G497" s="3">
        <v>80920</v>
      </c>
      <c r="H497" s="25">
        <v>61496</v>
      </c>
    </row>
    <row r="498" spans="1:8" x14ac:dyDescent="0.3">
      <c r="A498" s="64">
        <v>20260210361344</v>
      </c>
      <c r="B498" t="s">
        <v>41</v>
      </c>
      <c r="C498" s="65">
        <f t="shared" si="7"/>
        <v>46063</v>
      </c>
      <c r="D498" s="3">
        <v>1</v>
      </c>
      <c r="E498" s="3">
        <v>119000</v>
      </c>
      <c r="F498" s="3">
        <v>119000</v>
      </c>
      <c r="G498" s="3">
        <v>80920</v>
      </c>
      <c r="H498" s="25">
        <v>61496</v>
      </c>
    </row>
    <row r="499" spans="1:8" x14ac:dyDescent="0.3">
      <c r="A499" s="64">
        <v>20260210361574</v>
      </c>
      <c r="B499" t="s">
        <v>41</v>
      </c>
      <c r="C499" s="65">
        <f t="shared" si="7"/>
        <v>46063</v>
      </c>
      <c r="D499" s="3">
        <v>1</v>
      </c>
      <c r="E499" s="3">
        <v>119000</v>
      </c>
      <c r="F499" s="3">
        <v>119000</v>
      </c>
      <c r="G499" s="3">
        <v>80920</v>
      </c>
      <c r="H499" s="25">
        <v>61496</v>
      </c>
    </row>
    <row r="500" spans="1:8" x14ac:dyDescent="0.3">
      <c r="A500" s="64">
        <v>20260210361598</v>
      </c>
      <c r="B500" t="s">
        <v>41</v>
      </c>
      <c r="C500" s="65">
        <f t="shared" si="7"/>
        <v>46063</v>
      </c>
      <c r="D500" s="3">
        <v>1</v>
      </c>
      <c r="E500" s="3">
        <v>119000</v>
      </c>
      <c r="F500" s="3">
        <v>119000</v>
      </c>
      <c r="G500" s="3">
        <v>80920</v>
      </c>
      <c r="H500" s="25">
        <v>61496</v>
      </c>
    </row>
    <row r="501" spans="1:8" x14ac:dyDescent="0.3">
      <c r="A501" s="64">
        <v>20260210361706</v>
      </c>
      <c r="B501" t="s">
        <v>41</v>
      </c>
      <c r="C501" s="65">
        <f t="shared" si="7"/>
        <v>46063</v>
      </c>
      <c r="D501" s="3">
        <v>1</v>
      </c>
      <c r="E501" s="3">
        <v>119000</v>
      </c>
      <c r="F501" s="3">
        <v>119000</v>
      </c>
      <c r="G501" s="3">
        <v>80920</v>
      </c>
      <c r="H501" s="25">
        <v>61496</v>
      </c>
    </row>
    <row r="502" spans="1:8" x14ac:dyDescent="0.3">
      <c r="A502" s="64">
        <v>20260210361759</v>
      </c>
      <c r="B502" t="s">
        <v>41</v>
      </c>
      <c r="C502" s="65">
        <f t="shared" si="7"/>
        <v>46063</v>
      </c>
      <c r="D502" s="3">
        <v>1</v>
      </c>
      <c r="E502" s="3">
        <v>119000</v>
      </c>
      <c r="F502" s="3">
        <v>119000</v>
      </c>
      <c r="G502" s="3">
        <v>80920</v>
      </c>
      <c r="H502" s="25">
        <v>61496</v>
      </c>
    </row>
    <row r="503" spans="1:8" x14ac:dyDescent="0.3">
      <c r="A503" s="64">
        <v>20260210361684</v>
      </c>
      <c r="B503" t="s">
        <v>41</v>
      </c>
      <c r="C503" s="65">
        <f t="shared" si="7"/>
        <v>46063</v>
      </c>
      <c r="D503" s="3">
        <v>1</v>
      </c>
      <c r="E503" s="3">
        <v>119000</v>
      </c>
      <c r="F503" s="3">
        <v>119000</v>
      </c>
      <c r="G503" s="3">
        <v>80920</v>
      </c>
      <c r="H503" s="25">
        <v>61496</v>
      </c>
    </row>
    <row r="504" spans="1:8" x14ac:dyDescent="0.3">
      <c r="A504" s="64">
        <v>20260210361910</v>
      </c>
      <c r="B504" t="s">
        <v>41</v>
      </c>
      <c r="C504" s="65">
        <f t="shared" si="7"/>
        <v>46063</v>
      </c>
      <c r="D504" s="3">
        <v>1</v>
      </c>
      <c r="E504" s="3">
        <v>119000</v>
      </c>
      <c r="F504" s="3">
        <v>119000</v>
      </c>
      <c r="G504" s="3">
        <v>80920</v>
      </c>
      <c r="H504" s="25">
        <v>61496</v>
      </c>
    </row>
    <row r="505" spans="1:8" x14ac:dyDescent="0.3">
      <c r="A505" s="64">
        <v>20260210362507</v>
      </c>
      <c r="B505" t="s">
        <v>41</v>
      </c>
      <c r="C505" s="65">
        <f t="shared" si="7"/>
        <v>46063</v>
      </c>
      <c r="D505" s="3">
        <v>1</v>
      </c>
      <c r="E505" s="3">
        <v>119000</v>
      </c>
      <c r="F505" s="3">
        <v>119000</v>
      </c>
      <c r="G505" s="3">
        <v>80920</v>
      </c>
      <c r="H505" s="25">
        <v>61496</v>
      </c>
    </row>
    <row r="506" spans="1:8" x14ac:dyDescent="0.3">
      <c r="A506" s="64">
        <v>20260210360232</v>
      </c>
      <c r="B506" t="s">
        <v>41</v>
      </c>
      <c r="C506" s="65">
        <f t="shared" si="7"/>
        <v>46063</v>
      </c>
      <c r="D506" s="3">
        <v>1</v>
      </c>
      <c r="E506" s="3">
        <v>119000</v>
      </c>
      <c r="F506" s="3">
        <v>113050</v>
      </c>
      <c r="G506" s="3">
        <v>80920</v>
      </c>
      <c r="H506" s="25">
        <v>61496</v>
      </c>
    </row>
    <row r="507" spans="1:8" x14ac:dyDescent="0.3">
      <c r="A507" s="64">
        <v>20260210361309</v>
      </c>
      <c r="B507" t="s">
        <v>41</v>
      </c>
      <c r="C507" s="65">
        <f t="shared" si="7"/>
        <v>46063</v>
      </c>
      <c r="D507" s="3">
        <v>1</v>
      </c>
      <c r="E507" s="3">
        <v>119000</v>
      </c>
      <c r="F507" s="3">
        <v>119000</v>
      </c>
      <c r="G507" s="3">
        <v>80920</v>
      </c>
      <c r="H507" s="25">
        <v>61496</v>
      </c>
    </row>
    <row r="508" spans="1:8" x14ac:dyDescent="0.3">
      <c r="A508" s="64">
        <v>20260210361341</v>
      </c>
      <c r="B508" t="s">
        <v>41</v>
      </c>
      <c r="C508" s="65">
        <f t="shared" si="7"/>
        <v>46063</v>
      </c>
      <c r="D508" s="3">
        <v>1</v>
      </c>
      <c r="E508" s="3">
        <v>119000</v>
      </c>
      <c r="F508" s="3">
        <v>119000</v>
      </c>
      <c r="G508" s="3">
        <v>80920</v>
      </c>
      <c r="H508" s="25">
        <v>61496</v>
      </c>
    </row>
    <row r="509" spans="1:8" x14ac:dyDescent="0.3">
      <c r="A509" s="64">
        <v>20260210361405</v>
      </c>
      <c r="B509" t="s">
        <v>41</v>
      </c>
      <c r="C509" s="65">
        <f t="shared" si="7"/>
        <v>46063</v>
      </c>
      <c r="D509" s="3">
        <v>1</v>
      </c>
      <c r="E509" s="3">
        <v>119000</v>
      </c>
      <c r="F509" s="3">
        <v>119000</v>
      </c>
      <c r="G509" s="3">
        <v>80920</v>
      </c>
      <c r="H509" s="25">
        <v>61496</v>
      </c>
    </row>
    <row r="510" spans="1:8" x14ac:dyDescent="0.3">
      <c r="A510" s="64">
        <v>20260210361631</v>
      </c>
      <c r="B510" t="s">
        <v>41</v>
      </c>
      <c r="C510" s="65">
        <f t="shared" si="7"/>
        <v>46063</v>
      </c>
      <c r="D510" s="3">
        <v>1</v>
      </c>
      <c r="E510" s="3">
        <v>119000</v>
      </c>
      <c r="F510" s="3">
        <v>119000</v>
      </c>
      <c r="G510" s="3">
        <v>80920</v>
      </c>
      <c r="H510" s="25">
        <v>61496</v>
      </c>
    </row>
    <row r="511" spans="1:8" x14ac:dyDescent="0.3">
      <c r="A511" s="64">
        <v>20260210360257</v>
      </c>
      <c r="B511" t="s">
        <v>41</v>
      </c>
      <c r="C511" s="65">
        <f t="shared" si="7"/>
        <v>46063</v>
      </c>
      <c r="D511" s="3">
        <v>1</v>
      </c>
      <c r="E511" s="3">
        <v>119000</v>
      </c>
      <c r="F511" s="3">
        <v>119000</v>
      </c>
      <c r="G511" s="3">
        <v>80920</v>
      </c>
      <c r="H511" s="25">
        <v>61496</v>
      </c>
    </row>
    <row r="512" spans="1:8" x14ac:dyDescent="0.3">
      <c r="A512" s="64">
        <v>20260210361115</v>
      </c>
      <c r="B512" t="s">
        <v>41</v>
      </c>
      <c r="C512" s="65">
        <f t="shared" si="7"/>
        <v>46063</v>
      </c>
      <c r="D512" s="3">
        <v>1</v>
      </c>
      <c r="E512" s="3">
        <v>119000</v>
      </c>
      <c r="F512" s="3">
        <v>119000</v>
      </c>
      <c r="G512" s="3">
        <v>80920</v>
      </c>
      <c r="H512" s="25">
        <v>61496</v>
      </c>
    </row>
    <row r="513" spans="1:8" x14ac:dyDescent="0.3">
      <c r="A513" s="64">
        <v>20260210361265</v>
      </c>
      <c r="B513" t="s">
        <v>41</v>
      </c>
      <c r="C513" s="65">
        <f t="shared" si="7"/>
        <v>46063</v>
      </c>
      <c r="D513" s="3">
        <v>1</v>
      </c>
      <c r="E513" s="3">
        <v>119000</v>
      </c>
      <c r="F513" s="3">
        <v>119000</v>
      </c>
      <c r="G513" s="3">
        <v>80920</v>
      </c>
      <c r="H513" s="25">
        <v>61496</v>
      </c>
    </row>
    <row r="514" spans="1:8" x14ac:dyDescent="0.3">
      <c r="A514" s="64">
        <v>20260210360560</v>
      </c>
      <c r="B514" t="s">
        <v>41</v>
      </c>
      <c r="C514" s="65">
        <f t="shared" si="7"/>
        <v>46063</v>
      </c>
      <c r="D514" s="3">
        <v>1</v>
      </c>
      <c r="E514" s="3">
        <v>119000</v>
      </c>
      <c r="F514" s="3">
        <v>119000</v>
      </c>
      <c r="G514" s="3">
        <v>80920</v>
      </c>
      <c r="H514" s="25">
        <v>61496</v>
      </c>
    </row>
    <row r="515" spans="1:8" x14ac:dyDescent="0.3">
      <c r="A515" s="64">
        <v>20260210360583</v>
      </c>
      <c r="B515" t="s">
        <v>41</v>
      </c>
      <c r="C515" s="65">
        <f t="shared" ref="C515:C578" si="8">DATE(LEFT(TEXT(A515,"0"),4),MID(TEXT(A515,"0"),5,2),MID(TEXT(A515,"0"),7,2))</f>
        <v>46063</v>
      </c>
      <c r="D515" s="3">
        <v>1</v>
      </c>
      <c r="E515" s="3">
        <v>119000</v>
      </c>
      <c r="F515" s="3">
        <v>119000</v>
      </c>
      <c r="G515" s="3">
        <v>80920</v>
      </c>
      <c r="H515" s="25">
        <v>61496</v>
      </c>
    </row>
    <row r="516" spans="1:8" x14ac:dyDescent="0.3">
      <c r="A516" s="64">
        <v>20260210361670</v>
      </c>
      <c r="B516" t="s">
        <v>41</v>
      </c>
      <c r="C516" s="65">
        <f t="shared" si="8"/>
        <v>46063</v>
      </c>
      <c r="D516" s="3">
        <v>1</v>
      </c>
      <c r="E516" s="3">
        <v>119000</v>
      </c>
      <c r="F516" s="3">
        <v>119000</v>
      </c>
      <c r="G516" s="3">
        <v>80920</v>
      </c>
      <c r="H516" s="25">
        <v>61496</v>
      </c>
    </row>
    <row r="517" spans="1:8" x14ac:dyDescent="0.3">
      <c r="A517" s="64">
        <v>20260210361580</v>
      </c>
      <c r="B517" t="s">
        <v>41</v>
      </c>
      <c r="C517" s="65">
        <f t="shared" si="8"/>
        <v>46063</v>
      </c>
      <c r="D517" s="3">
        <v>1</v>
      </c>
      <c r="E517" s="3">
        <v>119000</v>
      </c>
      <c r="F517" s="3">
        <v>119000</v>
      </c>
      <c r="G517" s="3">
        <v>80920</v>
      </c>
      <c r="H517" s="25">
        <v>61496</v>
      </c>
    </row>
    <row r="518" spans="1:8" x14ac:dyDescent="0.3">
      <c r="A518" s="64">
        <v>20260210361782</v>
      </c>
      <c r="B518" t="s">
        <v>41</v>
      </c>
      <c r="C518" s="65">
        <f t="shared" si="8"/>
        <v>46063</v>
      </c>
      <c r="D518" s="3">
        <v>1</v>
      </c>
      <c r="E518" s="3">
        <v>119000</v>
      </c>
      <c r="F518" s="3">
        <v>119000</v>
      </c>
      <c r="G518" s="3">
        <v>80920</v>
      </c>
      <c r="H518" s="25">
        <v>61496</v>
      </c>
    </row>
    <row r="519" spans="1:8" x14ac:dyDescent="0.3">
      <c r="A519" s="64">
        <v>20260210360838</v>
      </c>
      <c r="B519" t="s">
        <v>41</v>
      </c>
      <c r="C519" s="65">
        <f t="shared" si="8"/>
        <v>46063</v>
      </c>
      <c r="D519" s="3">
        <v>1</v>
      </c>
      <c r="E519" s="3">
        <v>119000</v>
      </c>
      <c r="F519" s="3">
        <v>119000</v>
      </c>
      <c r="G519" s="3">
        <v>80920</v>
      </c>
      <c r="H519" s="25">
        <v>61496</v>
      </c>
    </row>
    <row r="520" spans="1:8" x14ac:dyDescent="0.3">
      <c r="A520" s="64">
        <v>20260210360168</v>
      </c>
      <c r="B520" t="s">
        <v>41</v>
      </c>
      <c r="C520" s="65">
        <f t="shared" si="8"/>
        <v>46063</v>
      </c>
      <c r="D520" s="3">
        <v>1</v>
      </c>
      <c r="E520" s="3">
        <v>119000</v>
      </c>
      <c r="F520" s="3">
        <v>119000</v>
      </c>
      <c r="G520" s="3">
        <v>80920</v>
      </c>
      <c r="H520" s="25">
        <v>61496</v>
      </c>
    </row>
    <row r="521" spans="1:8" x14ac:dyDescent="0.3">
      <c r="A521" s="64">
        <v>20260210360212</v>
      </c>
      <c r="B521" t="s">
        <v>41</v>
      </c>
      <c r="C521" s="65">
        <f t="shared" si="8"/>
        <v>46063</v>
      </c>
      <c r="D521" s="3">
        <v>1</v>
      </c>
      <c r="E521" s="3">
        <v>119000</v>
      </c>
      <c r="F521" s="3">
        <v>119000</v>
      </c>
      <c r="G521" s="3">
        <v>80920</v>
      </c>
      <c r="H521" s="25">
        <v>61496</v>
      </c>
    </row>
    <row r="522" spans="1:8" x14ac:dyDescent="0.3">
      <c r="A522" s="64">
        <v>20260210360219</v>
      </c>
      <c r="B522" t="s">
        <v>41</v>
      </c>
      <c r="C522" s="65">
        <f t="shared" si="8"/>
        <v>46063</v>
      </c>
      <c r="D522" s="3">
        <v>1</v>
      </c>
      <c r="E522" s="3">
        <v>119000</v>
      </c>
      <c r="F522" s="3">
        <v>119000</v>
      </c>
      <c r="G522" s="3">
        <v>80920</v>
      </c>
      <c r="H522" s="25">
        <v>61496</v>
      </c>
    </row>
    <row r="523" spans="1:8" x14ac:dyDescent="0.3">
      <c r="A523" s="64">
        <v>20260210361329</v>
      </c>
      <c r="B523" t="s">
        <v>41</v>
      </c>
      <c r="C523" s="65">
        <f t="shared" si="8"/>
        <v>46063</v>
      </c>
      <c r="D523" s="3">
        <v>1</v>
      </c>
      <c r="E523" s="3">
        <v>119000</v>
      </c>
      <c r="F523" s="3">
        <v>119000</v>
      </c>
      <c r="G523" s="3">
        <v>80920</v>
      </c>
      <c r="H523" s="25">
        <v>61496</v>
      </c>
    </row>
    <row r="524" spans="1:8" x14ac:dyDescent="0.3">
      <c r="A524" s="64">
        <v>20260210361022</v>
      </c>
      <c r="B524" t="s">
        <v>41</v>
      </c>
      <c r="C524" s="65">
        <f t="shared" si="8"/>
        <v>46063</v>
      </c>
      <c r="D524" s="3">
        <v>1</v>
      </c>
      <c r="E524" s="3">
        <v>119000</v>
      </c>
      <c r="F524" s="3">
        <v>119000</v>
      </c>
      <c r="G524" s="3">
        <v>80920</v>
      </c>
      <c r="H524" s="25">
        <v>61496</v>
      </c>
    </row>
    <row r="525" spans="1:8" x14ac:dyDescent="0.3">
      <c r="A525" s="64">
        <v>20260210361294</v>
      </c>
      <c r="B525" t="s">
        <v>41</v>
      </c>
      <c r="C525" s="65">
        <f t="shared" si="8"/>
        <v>46063</v>
      </c>
      <c r="D525" s="3">
        <v>1</v>
      </c>
      <c r="E525" s="3">
        <v>119000</v>
      </c>
      <c r="F525" s="3">
        <v>119000</v>
      </c>
      <c r="G525" s="3">
        <v>80920</v>
      </c>
      <c r="H525" s="25">
        <v>61496</v>
      </c>
    </row>
    <row r="526" spans="1:8" x14ac:dyDescent="0.3">
      <c r="A526" s="64">
        <v>20260210361453</v>
      </c>
      <c r="B526" t="s">
        <v>41</v>
      </c>
      <c r="C526" s="65">
        <f t="shared" si="8"/>
        <v>46063</v>
      </c>
      <c r="D526" s="3">
        <v>1</v>
      </c>
      <c r="E526" s="3">
        <v>119000</v>
      </c>
      <c r="F526" s="3">
        <v>119000</v>
      </c>
      <c r="G526" s="3">
        <v>80920</v>
      </c>
      <c r="H526" s="25">
        <v>61496</v>
      </c>
    </row>
    <row r="527" spans="1:8" x14ac:dyDescent="0.3">
      <c r="A527" s="64">
        <v>20260210361516</v>
      </c>
      <c r="B527" t="s">
        <v>41</v>
      </c>
      <c r="C527" s="65">
        <f t="shared" si="8"/>
        <v>46063</v>
      </c>
      <c r="D527" s="3">
        <v>1</v>
      </c>
      <c r="E527" s="3">
        <v>119000</v>
      </c>
      <c r="F527" s="3">
        <v>95200</v>
      </c>
      <c r="G527" s="3">
        <v>80920</v>
      </c>
      <c r="H527" s="25">
        <v>61496</v>
      </c>
    </row>
    <row r="528" spans="1:8" x14ac:dyDescent="0.3">
      <c r="A528" s="64">
        <v>20260210361966</v>
      </c>
      <c r="B528" t="s">
        <v>41</v>
      </c>
      <c r="C528" s="65">
        <f t="shared" si="8"/>
        <v>46063</v>
      </c>
      <c r="D528" s="3">
        <v>1</v>
      </c>
      <c r="E528" s="3">
        <v>119000</v>
      </c>
      <c r="F528" s="3">
        <v>119000</v>
      </c>
      <c r="G528" s="3">
        <v>80920</v>
      </c>
      <c r="H528" s="25">
        <v>61496</v>
      </c>
    </row>
    <row r="529" spans="1:8" x14ac:dyDescent="0.3">
      <c r="A529" s="64">
        <v>20260210362057</v>
      </c>
      <c r="B529" t="s">
        <v>41</v>
      </c>
      <c r="C529" s="65">
        <f t="shared" si="8"/>
        <v>46063</v>
      </c>
      <c r="D529" s="3">
        <v>1</v>
      </c>
      <c r="E529" s="3">
        <v>119000</v>
      </c>
      <c r="F529" s="3">
        <v>119000</v>
      </c>
      <c r="G529" s="3">
        <v>80920</v>
      </c>
      <c r="H529" s="25">
        <v>61496</v>
      </c>
    </row>
    <row r="530" spans="1:8" x14ac:dyDescent="0.3">
      <c r="A530" s="64">
        <v>20260210360761</v>
      </c>
      <c r="B530" t="s">
        <v>41</v>
      </c>
      <c r="C530" s="65">
        <f t="shared" si="8"/>
        <v>46063</v>
      </c>
      <c r="D530" s="3">
        <v>1</v>
      </c>
      <c r="E530" s="3">
        <v>119000</v>
      </c>
      <c r="F530" s="3">
        <v>119000</v>
      </c>
      <c r="G530" s="3">
        <v>80920</v>
      </c>
      <c r="H530" s="25">
        <v>61496</v>
      </c>
    </row>
    <row r="531" spans="1:8" x14ac:dyDescent="0.3">
      <c r="A531" s="64">
        <v>20260210361026</v>
      </c>
      <c r="B531" t="s">
        <v>41</v>
      </c>
      <c r="C531" s="65">
        <f t="shared" si="8"/>
        <v>46063</v>
      </c>
      <c r="D531" s="3">
        <v>1</v>
      </c>
      <c r="E531" s="3">
        <v>119000</v>
      </c>
      <c r="F531" s="3">
        <v>119000</v>
      </c>
      <c r="G531" s="3">
        <v>80920</v>
      </c>
      <c r="H531" s="25">
        <v>61496</v>
      </c>
    </row>
    <row r="532" spans="1:8" x14ac:dyDescent="0.3">
      <c r="A532" s="64">
        <v>20260210361068</v>
      </c>
      <c r="B532" t="s">
        <v>41</v>
      </c>
      <c r="C532" s="65">
        <f t="shared" si="8"/>
        <v>46063</v>
      </c>
      <c r="D532" s="3">
        <v>1</v>
      </c>
      <c r="E532" s="3">
        <v>119000</v>
      </c>
      <c r="F532" s="3">
        <v>119000</v>
      </c>
      <c r="G532" s="3">
        <v>80920</v>
      </c>
      <c r="H532" s="25">
        <v>61496</v>
      </c>
    </row>
    <row r="533" spans="1:8" x14ac:dyDescent="0.3">
      <c r="A533" s="64">
        <v>20260210361681</v>
      </c>
      <c r="B533" t="s">
        <v>41</v>
      </c>
      <c r="C533" s="65">
        <f t="shared" si="8"/>
        <v>46063</v>
      </c>
      <c r="D533" s="3">
        <v>1</v>
      </c>
      <c r="E533" s="3">
        <v>119000</v>
      </c>
      <c r="F533" s="3">
        <v>119000</v>
      </c>
      <c r="G533" s="3">
        <v>80920</v>
      </c>
      <c r="H533" s="25">
        <v>61496</v>
      </c>
    </row>
    <row r="534" spans="1:8" x14ac:dyDescent="0.3">
      <c r="A534" s="64">
        <v>20260210362071</v>
      </c>
      <c r="B534" t="s">
        <v>41</v>
      </c>
      <c r="C534" s="65">
        <f t="shared" si="8"/>
        <v>46063</v>
      </c>
      <c r="D534" s="3">
        <v>1</v>
      </c>
      <c r="E534" s="3">
        <v>119000</v>
      </c>
      <c r="F534" s="3">
        <v>114000</v>
      </c>
      <c r="G534" s="3">
        <v>80920</v>
      </c>
      <c r="H534" s="25">
        <v>61496</v>
      </c>
    </row>
    <row r="535" spans="1:8" x14ac:dyDescent="0.3">
      <c r="A535" s="64">
        <v>20260210360245</v>
      </c>
      <c r="B535" t="s">
        <v>41</v>
      </c>
      <c r="C535" s="65">
        <f t="shared" si="8"/>
        <v>46063</v>
      </c>
      <c r="D535" s="3">
        <v>1</v>
      </c>
      <c r="E535" s="3">
        <v>119000</v>
      </c>
      <c r="F535" s="3">
        <v>119000</v>
      </c>
      <c r="G535" s="3">
        <v>80920</v>
      </c>
      <c r="H535" s="25">
        <v>61496</v>
      </c>
    </row>
    <row r="536" spans="1:8" x14ac:dyDescent="0.3">
      <c r="A536" s="64">
        <v>20260210360461</v>
      </c>
      <c r="B536" t="s">
        <v>41</v>
      </c>
      <c r="C536" s="65">
        <f t="shared" si="8"/>
        <v>46063</v>
      </c>
      <c r="D536" s="3">
        <v>1</v>
      </c>
      <c r="E536" s="3">
        <v>119000</v>
      </c>
      <c r="F536" s="3">
        <v>113050</v>
      </c>
      <c r="G536" s="3">
        <v>80920</v>
      </c>
      <c r="H536" s="25">
        <v>61496</v>
      </c>
    </row>
    <row r="537" spans="1:8" x14ac:dyDescent="0.3">
      <c r="A537" s="64">
        <v>20260210360338</v>
      </c>
      <c r="B537" t="s">
        <v>41</v>
      </c>
      <c r="C537" s="65">
        <f t="shared" si="8"/>
        <v>46063</v>
      </c>
      <c r="D537" s="3">
        <v>1</v>
      </c>
      <c r="E537" s="3">
        <v>119000</v>
      </c>
      <c r="F537" s="3">
        <v>113050</v>
      </c>
      <c r="G537" s="3">
        <v>80920</v>
      </c>
      <c r="H537" s="25">
        <v>61496</v>
      </c>
    </row>
    <row r="538" spans="1:8" x14ac:dyDescent="0.3">
      <c r="A538" s="64">
        <v>20260210361293</v>
      </c>
      <c r="B538" t="s">
        <v>41</v>
      </c>
      <c r="C538" s="65">
        <f t="shared" si="8"/>
        <v>46063</v>
      </c>
      <c r="D538" s="3">
        <v>1</v>
      </c>
      <c r="E538" s="3">
        <v>119000</v>
      </c>
      <c r="F538" s="3">
        <v>119000</v>
      </c>
      <c r="G538" s="3">
        <v>80920</v>
      </c>
      <c r="H538" s="25">
        <v>61496</v>
      </c>
    </row>
    <row r="539" spans="1:8" x14ac:dyDescent="0.3">
      <c r="A539" s="64">
        <v>20260210361484</v>
      </c>
      <c r="B539" t="s">
        <v>41</v>
      </c>
      <c r="C539" s="65">
        <f t="shared" si="8"/>
        <v>46063</v>
      </c>
      <c r="D539" s="3">
        <v>1</v>
      </c>
      <c r="E539" s="3">
        <v>119000</v>
      </c>
      <c r="F539" s="3">
        <v>119000</v>
      </c>
      <c r="G539" s="3">
        <v>80920</v>
      </c>
      <c r="H539" s="25">
        <v>61496</v>
      </c>
    </row>
    <row r="540" spans="1:8" x14ac:dyDescent="0.3">
      <c r="A540" s="64">
        <v>20260210361723</v>
      </c>
      <c r="B540" t="s">
        <v>41</v>
      </c>
      <c r="C540" s="65">
        <f t="shared" si="8"/>
        <v>46063</v>
      </c>
      <c r="D540" s="3">
        <v>1</v>
      </c>
      <c r="E540" s="3">
        <v>119000</v>
      </c>
      <c r="F540" s="3">
        <v>119000</v>
      </c>
      <c r="G540" s="3">
        <v>80920</v>
      </c>
      <c r="H540" s="25">
        <v>61496</v>
      </c>
    </row>
    <row r="541" spans="1:8" x14ac:dyDescent="0.3">
      <c r="A541" s="64">
        <v>20260210361843</v>
      </c>
      <c r="B541" t="s">
        <v>41</v>
      </c>
      <c r="C541" s="65">
        <f t="shared" si="8"/>
        <v>46063</v>
      </c>
      <c r="D541" s="3">
        <v>1</v>
      </c>
      <c r="E541" s="3">
        <v>119000</v>
      </c>
      <c r="F541" s="3">
        <v>119000</v>
      </c>
      <c r="G541" s="3">
        <v>80920</v>
      </c>
      <c r="H541" s="25">
        <v>61496</v>
      </c>
    </row>
    <row r="542" spans="1:8" x14ac:dyDescent="0.3">
      <c r="A542" s="64">
        <v>20260210361131</v>
      </c>
      <c r="B542" t="s">
        <v>41</v>
      </c>
      <c r="C542" s="65">
        <f t="shared" si="8"/>
        <v>46063</v>
      </c>
      <c r="D542" s="3">
        <v>1</v>
      </c>
      <c r="E542" s="3">
        <v>119000</v>
      </c>
      <c r="F542" s="3">
        <v>119000</v>
      </c>
      <c r="G542" s="3">
        <v>80920</v>
      </c>
      <c r="H542" s="25">
        <v>61496</v>
      </c>
    </row>
    <row r="543" spans="1:8" x14ac:dyDescent="0.3">
      <c r="A543" s="64">
        <v>20260210361526</v>
      </c>
      <c r="B543" t="s">
        <v>41</v>
      </c>
      <c r="C543" s="65">
        <f t="shared" si="8"/>
        <v>46063</v>
      </c>
      <c r="D543" s="3">
        <v>1</v>
      </c>
      <c r="E543" s="3">
        <v>119000</v>
      </c>
      <c r="F543" s="3">
        <v>119000</v>
      </c>
      <c r="G543" s="3">
        <v>80920</v>
      </c>
      <c r="H543" s="25">
        <v>61496</v>
      </c>
    </row>
    <row r="544" spans="1:8" x14ac:dyDescent="0.3">
      <c r="A544" s="64">
        <v>20260210360438</v>
      </c>
      <c r="B544" t="s">
        <v>41</v>
      </c>
      <c r="C544" s="65">
        <f t="shared" si="8"/>
        <v>46063</v>
      </c>
      <c r="D544" s="3">
        <v>1</v>
      </c>
      <c r="E544" s="3">
        <v>119000</v>
      </c>
      <c r="F544" s="3">
        <v>119000</v>
      </c>
      <c r="G544" s="3">
        <v>80920</v>
      </c>
      <c r="H544" s="25">
        <v>61496</v>
      </c>
    </row>
    <row r="545" spans="1:8" x14ac:dyDescent="0.3">
      <c r="A545" s="64">
        <v>20260210361764</v>
      </c>
      <c r="B545" t="s">
        <v>41</v>
      </c>
      <c r="C545" s="65">
        <f t="shared" si="8"/>
        <v>46063</v>
      </c>
      <c r="D545" s="3">
        <v>1</v>
      </c>
      <c r="E545" s="3">
        <v>119000</v>
      </c>
      <c r="F545" s="3">
        <v>119000</v>
      </c>
      <c r="G545" s="3">
        <v>80920</v>
      </c>
      <c r="H545" s="25">
        <v>61496</v>
      </c>
    </row>
    <row r="546" spans="1:8" x14ac:dyDescent="0.3">
      <c r="A546" s="64">
        <v>20260210361158</v>
      </c>
      <c r="B546" t="s">
        <v>41</v>
      </c>
      <c r="C546" s="65">
        <f t="shared" si="8"/>
        <v>46063</v>
      </c>
      <c r="D546" s="3">
        <v>1</v>
      </c>
      <c r="E546" s="3">
        <v>119000</v>
      </c>
      <c r="F546" s="3">
        <v>113050</v>
      </c>
      <c r="G546" s="3">
        <v>80920</v>
      </c>
      <c r="H546" s="25">
        <v>61496</v>
      </c>
    </row>
    <row r="547" spans="1:8" x14ac:dyDescent="0.3">
      <c r="A547" s="64">
        <v>20260210360710</v>
      </c>
      <c r="B547" t="s">
        <v>41</v>
      </c>
      <c r="C547" s="65">
        <f t="shared" si="8"/>
        <v>46063</v>
      </c>
      <c r="D547" s="3">
        <v>1</v>
      </c>
      <c r="E547" s="3">
        <v>119000</v>
      </c>
      <c r="F547" s="3">
        <v>119000</v>
      </c>
      <c r="G547" s="3">
        <v>80920</v>
      </c>
      <c r="H547" s="25">
        <v>61496</v>
      </c>
    </row>
    <row r="548" spans="1:8" x14ac:dyDescent="0.3">
      <c r="A548" s="64">
        <v>20260210361717</v>
      </c>
      <c r="B548" t="s">
        <v>41</v>
      </c>
      <c r="C548" s="65">
        <f t="shared" si="8"/>
        <v>46063</v>
      </c>
      <c r="D548" s="3">
        <v>1</v>
      </c>
      <c r="E548" s="3">
        <v>119000</v>
      </c>
      <c r="F548" s="3">
        <v>119000</v>
      </c>
      <c r="G548" s="3">
        <v>80920</v>
      </c>
      <c r="H548" s="25">
        <v>61496</v>
      </c>
    </row>
    <row r="549" spans="1:8" x14ac:dyDescent="0.3">
      <c r="A549" s="64">
        <v>20260210362658</v>
      </c>
      <c r="B549" t="s">
        <v>41</v>
      </c>
      <c r="C549" s="65">
        <f t="shared" si="8"/>
        <v>46063</v>
      </c>
      <c r="D549" s="3">
        <v>1</v>
      </c>
      <c r="E549" s="3">
        <v>119000</v>
      </c>
      <c r="F549" s="3">
        <v>113050</v>
      </c>
      <c r="G549" s="3">
        <v>80920</v>
      </c>
      <c r="H549" s="25">
        <v>61496</v>
      </c>
    </row>
    <row r="550" spans="1:8" x14ac:dyDescent="0.3">
      <c r="A550" s="64">
        <v>20260210360971</v>
      </c>
      <c r="B550" t="s">
        <v>41</v>
      </c>
      <c r="C550" s="65">
        <f t="shared" si="8"/>
        <v>46063</v>
      </c>
      <c r="D550" s="3">
        <v>1</v>
      </c>
      <c r="E550" s="3">
        <v>119000</v>
      </c>
      <c r="F550" s="3">
        <v>119000</v>
      </c>
      <c r="G550" s="3">
        <v>80920</v>
      </c>
      <c r="H550" s="25">
        <v>61496</v>
      </c>
    </row>
    <row r="551" spans="1:8" x14ac:dyDescent="0.3">
      <c r="A551" s="64">
        <v>20260210360957</v>
      </c>
      <c r="B551" t="s">
        <v>41</v>
      </c>
      <c r="C551" s="65">
        <f t="shared" si="8"/>
        <v>46063</v>
      </c>
      <c r="D551" s="3">
        <v>1</v>
      </c>
      <c r="E551" s="3">
        <v>119000</v>
      </c>
      <c r="F551" s="3">
        <v>113050</v>
      </c>
      <c r="G551" s="3">
        <v>80920</v>
      </c>
      <c r="H551" s="25">
        <v>61496</v>
      </c>
    </row>
    <row r="552" spans="1:8" x14ac:dyDescent="0.3">
      <c r="A552" s="64">
        <v>20260210362164</v>
      </c>
      <c r="B552" t="s">
        <v>41</v>
      </c>
      <c r="C552" s="65">
        <f t="shared" si="8"/>
        <v>46063</v>
      </c>
      <c r="D552" s="3">
        <v>1</v>
      </c>
      <c r="E552" s="3">
        <v>119000</v>
      </c>
      <c r="F552" s="3">
        <v>119000</v>
      </c>
      <c r="G552" s="3">
        <v>80920</v>
      </c>
      <c r="H552" s="25">
        <v>61496</v>
      </c>
    </row>
    <row r="553" spans="1:8" x14ac:dyDescent="0.3">
      <c r="A553" s="64">
        <v>20260210362189</v>
      </c>
      <c r="B553" t="s">
        <v>41</v>
      </c>
      <c r="C553" s="65">
        <f t="shared" si="8"/>
        <v>46063</v>
      </c>
      <c r="D553" s="3">
        <v>1</v>
      </c>
      <c r="E553" s="3">
        <v>119000</v>
      </c>
      <c r="F553" s="3">
        <v>113050</v>
      </c>
      <c r="G553" s="3">
        <v>80920</v>
      </c>
      <c r="H553" s="25">
        <v>61496</v>
      </c>
    </row>
    <row r="554" spans="1:8" x14ac:dyDescent="0.3">
      <c r="A554" s="64">
        <v>20260210360419</v>
      </c>
      <c r="B554" t="s">
        <v>41</v>
      </c>
      <c r="C554" s="65">
        <f t="shared" si="8"/>
        <v>46063</v>
      </c>
      <c r="D554" s="3">
        <v>1</v>
      </c>
      <c r="E554" s="3">
        <v>119000</v>
      </c>
      <c r="F554" s="3">
        <v>119000</v>
      </c>
      <c r="G554" s="3">
        <v>80920</v>
      </c>
      <c r="H554" s="25">
        <v>61496</v>
      </c>
    </row>
    <row r="555" spans="1:8" x14ac:dyDescent="0.3">
      <c r="A555" s="64">
        <v>20260210361724</v>
      </c>
      <c r="B555" t="s">
        <v>41</v>
      </c>
      <c r="C555" s="65">
        <f t="shared" si="8"/>
        <v>46063</v>
      </c>
      <c r="D555" s="3">
        <v>1</v>
      </c>
      <c r="E555" s="3">
        <v>119000</v>
      </c>
      <c r="F555" s="3">
        <v>119000</v>
      </c>
      <c r="G555" s="3">
        <v>80920</v>
      </c>
      <c r="H555" s="25">
        <v>61496</v>
      </c>
    </row>
    <row r="556" spans="1:8" x14ac:dyDescent="0.3">
      <c r="A556" s="64">
        <v>20260210360288</v>
      </c>
      <c r="B556" t="s">
        <v>41</v>
      </c>
      <c r="C556" s="65">
        <f t="shared" si="8"/>
        <v>46063</v>
      </c>
      <c r="D556" s="3">
        <v>1</v>
      </c>
      <c r="E556" s="3">
        <v>119000</v>
      </c>
      <c r="F556" s="3">
        <v>119000</v>
      </c>
      <c r="G556" s="3">
        <v>80920</v>
      </c>
      <c r="H556" s="25">
        <v>61496</v>
      </c>
    </row>
    <row r="557" spans="1:8" x14ac:dyDescent="0.3">
      <c r="A557" s="64">
        <v>20260210361616</v>
      </c>
      <c r="B557" t="s">
        <v>41</v>
      </c>
      <c r="C557" s="65">
        <f t="shared" si="8"/>
        <v>46063</v>
      </c>
      <c r="D557" s="3">
        <v>1</v>
      </c>
      <c r="E557" s="3">
        <v>119000</v>
      </c>
      <c r="F557" s="3">
        <v>113050</v>
      </c>
      <c r="G557" s="3">
        <v>80920</v>
      </c>
      <c r="H557" s="25">
        <v>61496</v>
      </c>
    </row>
    <row r="558" spans="1:8" x14ac:dyDescent="0.3">
      <c r="A558" s="64">
        <v>20260210361828</v>
      </c>
      <c r="B558" t="s">
        <v>41</v>
      </c>
      <c r="C558" s="65">
        <f t="shared" si="8"/>
        <v>46063</v>
      </c>
      <c r="D558" s="3">
        <v>1</v>
      </c>
      <c r="E558" s="3">
        <v>119000</v>
      </c>
      <c r="F558" s="3">
        <v>119000</v>
      </c>
      <c r="G558" s="3">
        <v>80920</v>
      </c>
      <c r="H558" s="25">
        <v>61496</v>
      </c>
    </row>
    <row r="559" spans="1:8" x14ac:dyDescent="0.3">
      <c r="A559" s="64">
        <v>20260210361688</v>
      </c>
      <c r="B559" t="s">
        <v>41</v>
      </c>
      <c r="C559" s="65">
        <f t="shared" si="8"/>
        <v>46063</v>
      </c>
      <c r="D559" s="3">
        <v>1</v>
      </c>
      <c r="E559" s="3">
        <v>119000</v>
      </c>
      <c r="F559" s="3">
        <v>119000</v>
      </c>
      <c r="G559" s="3">
        <v>80920</v>
      </c>
      <c r="H559" s="25">
        <v>61496</v>
      </c>
    </row>
    <row r="560" spans="1:8" x14ac:dyDescent="0.3">
      <c r="A560" s="64">
        <v>20260210361789</v>
      </c>
      <c r="B560" t="s">
        <v>41</v>
      </c>
      <c r="C560" s="65">
        <f t="shared" si="8"/>
        <v>46063</v>
      </c>
      <c r="D560" s="3">
        <v>1</v>
      </c>
      <c r="E560" s="3">
        <v>119000</v>
      </c>
      <c r="F560" s="3">
        <v>119000</v>
      </c>
      <c r="G560" s="3">
        <v>80920</v>
      </c>
      <c r="H560" s="25">
        <v>61496</v>
      </c>
    </row>
    <row r="561" spans="1:8" x14ac:dyDescent="0.3">
      <c r="A561" s="64">
        <v>20260210360385</v>
      </c>
      <c r="B561" t="s">
        <v>41</v>
      </c>
      <c r="C561" s="65">
        <f t="shared" si="8"/>
        <v>46063</v>
      </c>
      <c r="D561" s="3">
        <v>1</v>
      </c>
      <c r="E561" s="3">
        <v>119000</v>
      </c>
      <c r="F561" s="3">
        <v>119000</v>
      </c>
      <c r="G561" s="3">
        <v>80920</v>
      </c>
      <c r="H561" s="25">
        <v>61496</v>
      </c>
    </row>
    <row r="562" spans="1:8" x14ac:dyDescent="0.3">
      <c r="A562" s="64">
        <v>20260210361225</v>
      </c>
      <c r="B562" t="s">
        <v>41</v>
      </c>
      <c r="C562" s="65">
        <f t="shared" si="8"/>
        <v>46063</v>
      </c>
      <c r="D562" s="3">
        <v>1</v>
      </c>
      <c r="E562" s="3">
        <v>119000</v>
      </c>
      <c r="F562" s="3">
        <v>113050</v>
      </c>
      <c r="G562" s="3">
        <v>80920</v>
      </c>
      <c r="H562" s="25">
        <v>61496</v>
      </c>
    </row>
    <row r="563" spans="1:8" x14ac:dyDescent="0.3">
      <c r="A563" s="64">
        <v>20260210360980</v>
      </c>
      <c r="B563" t="s">
        <v>41</v>
      </c>
      <c r="C563" s="65">
        <f t="shared" si="8"/>
        <v>46063</v>
      </c>
      <c r="D563" s="3">
        <v>1</v>
      </c>
      <c r="E563" s="3">
        <v>119000</v>
      </c>
      <c r="F563" s="3">
        <v>119000</v>
      </c>
      <c r="G563" s="3">
        <v>80920</v>
      </c>
      <c r="H563" s="25">
        <v>61496</v>
      </c>
    </row>
    <row r="564" spans="1:8" x14ac:dyDescent="0.3">
      <c r="A564" s="64">
        <v>20260210360551</v>
      </c>
      <c r="B564" t="s">
        <v>41</v>
      </c>
      <c r="C564" s="65">
        <f t="shared" si="8"/>
        <v>46063</v>
      </c>
      <c r="D564" s="3">
        <v>1</v>
      </c>
      <c r="E564" s="3">
        <v>119000</v>
      </c>
      <c r="F564" s="3">
        <v>119000</v>
      </c>
      <c r="G564" s="3">
        <v>80920</v>
      </c>
      <c r="H564" s="25">
        <v>61496</v>
      </c>
    </row>
    <row r="565" spans="1:8" x14ac:dyDescent="0.3">
      <c r="A565" s="64">
        <v>20260210361462</v>
      </c>
      <c r="B565" t="s">
        <v>41</v>
      </c>
      <c r="C565" s="65">
        <f t="shared" si="8"/>
        <v>46063</v>
      </c>
      <c r="D565" s="3">
        <v>1</v>
      </c>
      <c r="E565" s="3">
        <v>119000</v>
      </c>
      <c r="F565" s="3">
        <v>119000</v>
      </c>
      <c r="G565" s="3">
        <v>80920</v>
      </c>
      <c r="H565" s="25">
        <v>61496</v>
      </c>
    </row>
    <row r="566" spans="1:8" x14ac:dyDescent="0.3">
      <c r="A566" s="64">
        <v>20260210360692</v>
      </c>
      <c r="B566" t="s">
        <v>41</v>
      </c>
      <c r="C566" s="65">
        <f t="shared" si="8"/>
        <v>46063</v>
      </c>
      <c r="D566" s="3">
        <v>1</v>
      </c>
      <c r="E566" s="3">
        <v>119000</v>
      </c>
      <c r="F566" s="3">
        <v>119000</v>
      </c>
      <c r="G566" s="3">
        <v>80920</v>
      </c>
      <c r="H566" s="25">
        <v>61496</v>
      </c>
    </row>
    <row r="567" spans="1:8" x14ac:dyDescent="0.3">
      <c r="A567" s="64">
        <v>20260210361797</v>
      </c>
      <c r="B567" t="s">
        <v>41</v>
      </c>
      <c r="C567" s="65">
        <f t="shared" si="8"/>
        <v>46063</v>
      </c>
      <c r="D567" s="3">
        <v>1</v>
      </c>
      <c r="E567" s="3">
        <v>119000</v>
      </c>
      <c r="F567" s="3">
        <v>119000</v>
      </c>
      <c r="G567" s="3">
        <v>80920</v>
      </c>
      <c r="H567" s="25">
        <v>61496</v>
      </c>
    </row>
    <row r="568" spans="1:8" x14ac:dyDescent="0.3">
      <c r="A568" s="64">
        <v>20260210361781</v>
      </c>
      <c r="B568" t="s">
        <v>41</v>
      </c>
      <c r="C568" s="65">
        <f t="shared" si="8"/>
        <v>46063</v>
      </c>
      <c r="D568" s="3">
        <v>1</v>
      </c>
      <c r="E568" s="3">
        <v>119000</v>
      </c>
      <c r="F568" s="3">
        <v>119000</v>
      </c>
      <c r="G568" s="3">
        <v>80920</v>
      </c>
      <c r="H568" s="25">
        <v>61496</v>
      </c>
    </row>
    <row r="569" spans="1:8" x14ac:dyDescent="0.3">
      <c r="A569" s="64">
        <v>20260210361934</v>
      </c>
      <c r="B569" t="s">
        <v>41</v>
      </c>
      <c r="C569" s="65">
        <f t="shared" si="8"/>
        <v>46063</v>
      </c>
      <c r="D569" s="3">
        <v>1</v>
      </c>
      <c r="E569" s="3">
        <v>119000</v>
      </c>
      <c r="F569" s="3">
        <v>119000</v>
      </c>
      <c r="G569" s="3">
        <v>80920</v>
      </c>
      <c r="H569" s="25">
        <v>61496</v>
      </c>
    </row>
    <row r="570" spans="1:8" x14ac:dyDescent="0.3">
      <c r="A570" s="64">
        <v>20260210361402</v>
      </c>
      <c r="B570" t="s">
        <v>41</v>
      </c>
      <c r="C570" s="65">
        <f t="shared" si="8"/>
        <v>46063</v>
      </c>
      <c r="D570" s="3">
        <v>1</v>
      </c>
      <c r="E570" s="3">
        <v>119000</v>
      </c>
      <c r="F570" s="3">
        <v>119000</v>
      </c>
      <c r="G570" s="3">
        <v>80920</v>
      </c>
      <c r="H570" s="25">
        <v>61496</v>
      </c>
    </row>
    <row r="571" spans="1:8" x14ac:dyDescent="0.3">
      <c r="A571" s="64">
        <v>20260210360997</v>
      </c>
      <c r="B571" t="s">
        <v>41</v>
      </c>
      <c r="C571" s="65">
        <f t="shared" si="8"/>
        <v>46063</v>
      </c>
      <c r="D571" s="3">
        <v>1</v>
      </c>
      <c r="E571" s="3">
        <v>119000</v>
      </c>
      <c r="F571" s="3">
        <v>119000</v>
      </c>
      <c r="G571" s="3">
        <v>80920</v>
      </c>
      <c r="H571" s="25">
        <v>61496</v>
      </c>
    </row>
    <row r="572" spans="1:8" x14ac:dyDescent="0.3">
      <c r="A572" s="64">
        <v>20260210361134</v>
      </c>
      <c r="B572" t="s">
        <v>41</v>
      </c>
      <c r="C572" s="65">
        <f t="shared" si="8"/>
        <v>46063</v>
      </c>
      <c r="D572" s="3">
        <v>1</v>
      </c>
      <c r="E572" s="3">
        <v>119000</v>
      </c>
      <c r="F572" s="3">
        <v>119000</v>
      </c>
      <c r="G572" s="3">
        <v>80920</v>
      </c>
      <c r="H572" s="25">
        <v>61496</v>
      </c>
    </row>
    <row r="573" spans="1:8" x14ac:dyDescent="0.3">
      <c r="A573" s="64">
        <v>20260210362141</v>
      </c>
      <c r="B573" t="s">
        <v>41</v>
      </c>
      <c r="C573" s="65">
        <f t="shared" si="8"/>
        <v>46063</v>
      </c>
      <c r="D573" s="3">
        <v>1</v>
      </c>
      <c r="E573" s="3">
        <v>119000</v>
      </c>
      <c r="F573" s="3">
        <v>119000</v>
      </c>
      <c r="G573" s="3">
        <v>80920</v>
      </c>
      <c r="H573" s="25">
        <v>61496</v>
      </c>
    </row>
    <row r="574" spans="1:8" x14ac:dyDescent="0.3">
      <c r="A574" s="64">
        <v>20260210362293</v>
      </c>
      <c r="B574" t="s">
        <v>41</v>
      </c>
      <c r="C574" s="65">
        <f t="shared" si="8"/>
        <v>46063</v>
      </c>
      <c r="D574" s="3">
        <v>1</v>
      </c>
      <c r="E574" s="3">
        <v>119000</v>
      </c>
      <c r="F574" s="3">
        <v>108300</v>
      </c>
      <c r="G574" s="3">
        <v>80920</v>
      </c>
      <c r="H574" s="25">
        <v>61496</v>
      </c>
    </row>
    <row r="575" spans="1:8" x14ac:dyDescent="0.3">
      <c r="A575" s="64">
        <v>20260210360398</v>
      </c>
      <c r="B575" t="s">
        <v>41</v>
      </c>
      <c r="C575" s="65">
        <f t="shared" si="8"/>
        <v>46063</v>
      </c>
      <c r="D575" s="3">
        <v>1</v>
      </c>
      <c r="E575" s="3">
        <v>119000</v>
      </c>
      <c r="F575" s="3">
        <v>119000</v>
      </c>
      <c r="G575" s="3">
        <v>80920</v>
      </c>
      <c r="H575" s="25">
        <v>61496</v>
      </c>
    </row>
    <row r="576" spans="1:8" x14ac:dyDescent="0.3">
      <c r="A576" s="64">
        <v>20260210361270</v>
      </c>
      <c r="B576" t="s">
        <v>41</v>
      </c>
      <c r="C576" s="65">
        <f t="shared" si="8"/>
        <v>46063</v>
      </c>
      <c r="D576" s="3">
        <v>1</v>
      </c>
      <c r="E576" s="3">
        <v>119000</v>
      </c>
      <c r="F576" s="3">
        <v>119000</v>
      </c>
      <c r="G576" s="3">
        <v>80920</v>
      </c>
      <c r="H576" s="25">
        <v>61496</v>
      </c>
    </row>
    <row r="577" spans="1:8" x14ac:dyDescent="0.3">
      <c r="A577" s="64">
        <v>20260210361324</v>
      </c>
      <c r="B577" t="s">
        <v>41</v>
      </c>
      <c r="C577" s="65">
        <f t="shared" si="8"/>
        <v>46063</v>
      </c>
      <c r="D577" s="3">
        <v>1</v>
      </c>
      <c r="E577" s="3">
        <v>119000</v>
      </c>
      <c r="F577" s="3">
        <v>113050</v>
      </c>
      <c r="G577" s="3">
        <v>80920</v>
      </c>
      <c r="H577" s="25">
        <v>61496</v>
      </c>
    </row>
    <row r="578" spans="1:8" x14ac:dyDescent="0.3">
      <c r="A578" s="64">
        <v>20260210361350</v>
      </c>
      <c r="B578" t="s">
        <v>41</v>
      </c>
      <c r="C578" s="65">
        <f t="shared" si="8"/>
        <v>46063</v>
      </c>
      <c r="D578" s="3">
        <v>1</v>
      </c>
      <c r="E578" s="3">
        <v>119000</v>
      </c>
      <c r="F578" s="3">
        <v>119000</v>
      </c>
      <c r="G578" s="3">
        <v>80920</v>
      </c>
      <c r="H578" s="25">
        <v>61496</v>
      </c>
    </row>
    <row r="579" spans="1:8" x14ac:dyDescent="0.3">
      <c r="A579" s="64">
        <v>20260210360281</v>
      </c>
      <c r="B579" t="s">
        <v>41</v>
      </c>
      <c r="C579" s="65">
        <f t="shared" ref="C579:C642" si="9">DATE(LEFT(TEXT(A579,"0"),4),MID(TEXT(A579,"0"),5,2),MID(TEXT(A579,"0"),7,2))</f>
        <v>46063</v>
      </c>
      <c r="D579" s="3">
        <v>1</v>
      </c>
      <c r="E579" s="3">
        <v>119000</v>
      </c>
      <c r="F579" s="3">
        <v>119000</v>
      </c>
      <c r="G579" s="3">
        <v>80920</v>
      </c>
      <c r="H579" s="25">
        <v>61496</v>
      </c>
    </row>
    <row r="580" spans="1:8" x14ac:dyDescent="0.3">
      <c r="A580" s="64">
        <v>20260210361461</v>
      </c>
      <c r="B580" t="s">
        <v>41</v>
      </c>
      <c r="C580" s="65">
        <f t="shared" si="9"/>
        <v>46063</v>
      </c>
      <c r="D580" s="3">
        <v>1</v>
      </c>
      <c r="E580" s="3">
        <v>119000</v>
      </c>
      <c r="F580" s="3">
        <v>113050</v>
      </c>
      <c r="G580" s="3">
        <v>80920</v>
      </c>
      <c r="H580" s="25">
        <v>61496</v>
      </c>
    </row>
    <row r="581" spans="1:8" x14ac:dyDescent="0.3">
      <c r="A581" s="64">
        <v>20260210361504</v>
      </c>
      <c r="B581" t="s">
        <v>41</v>
      </c>
      <c r="C581" s="65">
        <f t="shared" si="9"/>
        <v>46063</v>
      </c>
      <c r="D581" s="3">
        <v>1</v>
      </c>
      <c r="E581" s="3">
        <v>119000</v>
      </c>
      <c r="F581" s="3">
        <v>98770</v>
      </c>
      <c r="G581" s="3">
        <v>80920</v>
      </c>
      <c r="H581" s="25">
        <v>61496</v>
      </c>
    </row>
    <row r="582" spans="1:8" x14ac:dyDescent="0.3">
      <c r="A582" s="64">
        <v>20260210361566</v>
      </c>
      <c r="B582" t="s">
        <v>41</v>
      </c>
      <c r="C582" s="65">
        <f t="shared" si="9"/>
        <v>46063</v>
      </c>
      <c r="D582" s="3">
        <v>1</v>
      </c>
      <c r="E582" s="3">
        <v>119000</v>
      </c>
      <c r="F582" s="3">
        <v>119000</v>
      </c>
      <c r="G582" s="3">
        <v>80920</v>
      </c>
      <c r="H582" s="25">
        <v>61496</v>
      </c>
    </row>
    <row r="583" spans="1:8" x14ac:dyDescent="0.3">
      <c r="A583" s="64">
        <v>20260210361903</v>
      </c>
      <c r="B583" t="s">
        <v>41</v>
      </c>
      <c r="C583" s="65">
        <f t="shared" si="9"/>
        <v>46063</v>
      </c>
      <c r="D583" s="3">
        <v>1</v>
      </c>
      <c r="E583" s="3">
        <v>119000</v>
      </c>
      <c r="F583" s="3">
        <v>119000</v>
      </c>
      <c r="G583" s="3">
        <v>80920</v>
      </c>
      <c r="H583" s="25">
        <v>61496</v>
      </c>
    </row>
    <row r="584" spans="1:8" x14ac:dyDescent="0.3">
      <c r="A584" s="64">
        <v>20260210361968</v>
      </c>
      <c r="B584" t="s">
        <v>41</v>
      </c>
      <c r="C584" s="65">
        <f t="shared" si="9"/>
        <v>46063</v>
      </c>
      <c r="D584" s="3">
        <v>1</v>
      </c>
      <c r="E584" s="3">
        <v>119000</v>
      </c>
      <c r="F584" s="3">
        <v>119000</v>
      </c>
      <c r="G584" s="3">
        <v>80920</v>
      </c>
      <c r="H584" s="25">
        <v>61496</v>
      </c>
    </row>
    <row r="585" spans="1:8" x14ac:dyDescent="0.3">
      <c r="A585" s="64">
        <v>20260210361727</v>
      </c>
      <c r="B585" t="s">
        <v>41</v>
      </c>
      <c r="C585" s="65">
        <f t="shared" si="9"/>
        <v>46063</v>
      </c>
      <c r="D585" s="3">
        <v>1</v>
      </c>
      <c r="E585" s="3">
        <v>119000</v>
      </c>
      <c r="F585" s="3">
        <v>95200</v>
      </c>
      <c r="G585" s="3">
        <v>80920</v>
      </c>
      <c r="H585" s="25">
        <v>61496</v>
      </c>
    </row>
    <row r="586" spans="1:8" x14ac:dyDescent="0.3">
      <c r="A586" s="64">
        <v>20260210362163</v>
      </c>
      <c r="B586" t="s">
        <v>41</v>
      </c>
      <c r="C586" s="65">
        <f t="shared" si="9"/>
        <v>46063</v>
      </c>
      <c r="D586" s="3">
        <v>1</v>
      </c>
      <c r="E586" s="3">
        <v>119000</v>
      </c>
      <c r="F586" s="3">
        <v>119000</v>
      </c>
      <c r="G586" s="3">
        <v>80920</v>
      </c>
      <c r="H586" s="25">
        <v>61496</v>
      </c>
    </row>
    <row r="587" spans="1:8" x14ac:dyDescent="0.3">
      <c r="A587" s="64">
        <v>20260210360760</v>
      </c>
      <c r="B587" t="s">
        <v>41</v>
      </c>
      <c r="C587" s="65">
        <f t="shared" si="9"/>
        <v>46063</v>
      </c>
      <c r="D587" s="3">
        <v>1</v>
      </c>
      <c r="E587" s="3">
        <v>119000</v>
      </c>
      <c r="F587" s="3">
        <v>119000</v>
      </c>
      <c r="G587" s="3">
        <v>80920</v>
      </c>
      <c r="H587" s="25">
        <v>61496</v>
      </c>
    </row>
    <row r="588" spans="1:8" x14ac:dyDescent="0.3">
      <c r="A588" s="64">
        <v>20260210361126</v>
      </c>
      <c r="B588" t="s">
        <v>41</v>
      </c>
      <c r="C588" s="65">
        <f t="shared" si="9"/>
        <v>46063</v>
      </c>
      <c r="D588" s="3">
        <v>1</v>
      </c>
      <c r="E588" s="3">
        <v>119000</v>
      </c>
      <c r="F588" s="3">
        <v>119000</v>
      </c>
      <c r="G588" s="3">
        <v>80920</v>
      </c>
      <c r="H588" s="25">
        <v>61496</v>
      </c>
    </row>
    <row r="589" spans="1:8" x14ac:dyDescent="0.3">
      <c r="A589" s="64">
        <v>20260210361312</v>
      </c>
      <c r="B589" t="s">
        <v>41</v>
      </c>
      <c r="C589" s="65">
        <f t="shared" si="9"/>
        <v>46063</v>
      </c>
      <c r="D589" s="3">
        <v>1</v>
      </c>
      <c r="E589" s="3">
        <v>119000</v>
      </c>
      <c r="F589" s="3">
        <v>119000</v>
      </c>
      <c r="G589" s="3">
        <v>80920</v>
      </c>
      <c r="H589" s="25">
        <v>61496</v>
      </c>
    </row>
    <row r="590" spans="1:8" x14ac:dyDescent="0.3">
      <c r="A590" s="64">
        <v>20260210361447</v>
      </c>
      <c r="B590" t="s">
        <v>41</v>
      </c>
      <c r="C590" s="65">
        <f t="shared" si="9"/>
        <v>46063</v>
      </c>
      <c r="D590" s="3">
        <v>1</v>
      </c>
      <c r="E590" s="3">
        <v>119000</v>
      </c>
      <c r="F590" s="3">
        <v>119000</v>
      </c>
      <c r="G590" s="3">
        <v>80920</v>
      </c>
      <c r="H590" s="25">
        <v>61496</v>
      </c>
    </row>
    <row r="591" spans="1:8" x14ac:dyDescent="0.3">
      <c r="A591" s="64">
        <v>20260210361487</v>
      </c>
      <c r="B591" t="s">
        <v>41</v>
      </c>
      <c r="C591" s="65">
        <f t="shared" si="9"/>
        <v>46063</v>
      </c>
      <c r="D591" s="3">
        <v>1</v>
      </c>
      <c r="E591" s="3">
        <v>119000</v>
      </c>
      <c r="F591" s="3">
        <v>119000</v>
      </c>
      <c r="G591" s="3">
        <v>80920</v>
      </c>
      <c r="H591" s="25">
        <v>61496</v>
      </c>
    </row>
    <row r="592" spans="1:8" x14ac:dyDescent="0.3">
      <c r="A592" s="64">
        <v>20260210361437</v>
      </c>
      <c r="B592" t="s">
        <v>41</v>
      </c>
      <c r="C592" s="65">
        <f t="shared" si="9"/>
        <v>46063</v>
      </c>
      <c r="D592" s="3">
        <v>1</v>
      </c>
      <c r="E592" s="3">
        <v>119000</v>
      </c>
      <c r="F592" s="3">
        <v>119000</v>
      </c>
      <c r="G592" s="3">
        <v>80920</v>
      </c>
      <c r="H592" s="25">
        <v>61496</v>
      </c>
    </row>
    <row r="593" spans="1:8" x14ac:dyDescent="0.3">
      <c r="A593" s="64">
        <v>20260210361980</v>
      </c>
      <c r="B593" t="s">
        <v>41</v>
      </c>
      <c r="C593" s="65">
        <f t="shared" si="9"/>
        <v>46063</v>
      </c>
      <c r="D593" s="3">
        <v>1</v>
      </c>
      <c r="E593" s="3">
        <v>119000</v>
      </c>
      <c r="F593" s="3">
        <v>119000</v>
      </c>
      <c r="G593" s="3">
        <v>80920</v>
      </c>
      <c r="H593" s="25">
        <v>61496</v>
      </c>
    </row>
    <row r="594" spans="1:8" x14ac:dyDescent="0.3">
      <c r="A594" s="64">
        <v>20260210361671</v>
      </c>
      <c r="B594" t="s">
        <v>41</v>
      </c>
      <c r="C594" s="65">
        <f t="shared" si="9"/>
        <v>46063</v>
      </c>
      <c r="D594" s="3">
        <v>1</v>
      </c>
      <c r="E594" s="3">
        <v>119000</v>
      </c>
      <c r="F594" s="3">
        <v>119000</v>
      </c>
      <c r="G594" s="3">
        <v>80920</v>
      </c>
      <c r="H594" s="25">
        <v>61496</v>
      </c>
    </row>
    <row r="595" spans="1:8" x14ac:dyDescent="0.3">
      <c r="A595" s="64">
        <v>20260210361805</v>
      </c>
      <c r="B595" t="s">
        <v>41</v>
      </c>
      <c r="C595" s="65">
        <f t="shared" si="9"/>
        <v>46063</v>
      </c>
      <c r="D595" s="3">
        <v>1</v>
      </c>
      <c r="E595" s="3">
        <v>119000</v>
      </c>
      <c r="F595" s="3">
        <v>119000</v>
      </c>
      <c r="G595" s="3">
        <v>80920</v>
      </c>
      <c r="H595" s="25">
        <v>61496</v>
      </c>
    </row>
    <row r="596" spans="1:8" x14ac:dyDescent="0.3">
      <c r="A596" s="64">
        <v>20260210361070</v>
      </c>
      <c r="B596" t="s">
        <v>41</v>
      </c>
      <c r="C596" s="65">
        <f t="shared" si="9"/>
        <v>46063</v>
      </c>
      <c r="D596" s="3">
        <v>1</v>
      </c>
      <c r="E596" s="3">
        <v>119000</v>
      </c>
      <c r="F596" s="3">
        <v>119000</v>
      </c>
      <c r="G596" s="3">
        <v>80920</v>
      </c>
      <c r="H596" s="25">
        <v>61496</v>
      </c>
    </row>
    <row r="597" spans="1:8" x14ac:dyDescent="0.3">
      <c r="A597" s="64">
        <v>20260210361609</v>
      </c>
      <c r="B597" t="s">
        <v>41</v>
      </c>
      <c r="C597" s="65">
        <f t="shared" si="9"/>
        <v>46063</v>
      </c>
      <c r="D597" s="3">
        <v>1</v>
      </c>
      <c r="E597" s="3">
        <v>119000</v>
      </c>
      <c r="F597" s="3">
        <v>109000</v>
      </c>
      <c r="G597" s="3">
        <v>80920</v>
      </c>
      <c r="H597" s="25">
        <v>61496</v>
      </c>
    </row>
    <row r="598" spans="1:8" x14ac:dyDescent="0.3">
      <c r="A598" s="64">
        <v>20260210361990</v>
      </c>
      <c r="B598" t="s">
        <v>41</v>
      </c>
      <c r="C598" s="65">
        <f t="shared" si="9"/>
        <v>46063</v>
      </c>
      <c r="D598" s="3">
        <v>1</v>
      </c>
      <c r="E598" s="3">
        <v>119000</v>
      </c>
      <c r="F598" s="3">
        <v>113050</v>
      </c>
      <c r="G598" s="3">
        <v>80920</v>
      </c>
      <c r="H598" s="25">
        <v>61496</v>
      </c>
    </row>
    <row r="599" spans="1:8" x14ac:dyDescent="0.3">
      <c r="A599" s="64">
        <v>20260210361401</v>
      </c>
      <c r="B599" t="s">
        <v>41</v>
      </c>
      <c r="C599" s="65">
        <f t="shared" si="9"/>
        <v>46063</v>
      </c>
      <c r="D599" s="3">
        <v>1</v>
      </c>
      <c r="E599" s="3">
        <v>119000</v>
      </c>
      <c r="F599" s="3">
        <v>119000</v>
      </c>
      <c r="G599" s="3">
        <v>80920</v>
      </c>
      <c r="H599" s="25">
        <v>61496</v>
      </c>
    </row>
    <row r="600" spans="1:8" x14ac:dyDescent="0.3">
      <c r="A600" s="64">
        <v>20260210360406</v>
      </c>
      <c r="B600" t="s">
        <v>41</v>
      </c>
      <c r="C600" s="65">
        <f t="shared" si="9"/>
        <v>46063</v>
      </c>
      <c r="D600" s="3">
        <v>1</v>
      </c>
      <c r="E600" s="3">
        <v>119000</v>
      </c>
      <c r="F600" s="3">
        <v>119000</v>
      </c>
      <c r="G600" s="3">
        <v>80920</v>
      </c>
      <c r="H600" s="25">
        <v>61496</v>
      </c>
    </row>
    <row r="601" spans="1:8" x14ac:dyDescent="0.3">
      <c r="A601" s="64">
        <v>20260210361356</v>
      </c>
      <c r="B601" t="s">
        <v>41</v>
      </c>
      <c r="C601" s="65">
        <f t="shared" si="9"/>
        <v>46063</v>
      </c>
      <c r="D601" s="3">
        <v>1</v>
      </c>
      <c r="E601" s="3">
        <v>119000</v>
      </c>
      <c r="F601" s="3">
        <v>119000</v>
      </c>
      <c r="G601" s="3">
        <v>80920</v>
      </c>
      <c r="H601" s="25">
        <v>61496</v>
      </c>
    </row>
    <row r="602" spans="1:8" x14ac:dyDescent="0.3">
      <c r="A602" s="64">
        <v>20260210360454</v>
      </c>
      <c r="B602" t="s">
        <v>41</v>
      </c>
      <c r="C602" s="65">
        <f t="shared" si="9"/>
        <v>46063</v>
      </c>
      <c r="D602" s="3">
        <v>1</v>
      </c>
      <c r="E602" s="3">
        <v>119000</v>
      </c>
      <c r="F602" s="3">
        <v>119000</v>
      </c>
      <c r="G602" s="3">
        <v>80920</v>
      </c>
      <c r="H602" s="25">
        <v>61496</v>
      </c>
    </row>
    <row r="603" spans="1:8" x14ac:dyDescent="0.3">
      <c r="A603" s="64">
        <v>20260210360688</v>
      </c>
      <c r="B603" t="s">
        <v>41</v>
      </c>
      <c r="C603" s="65">
        <f t="shared" si="9"/>
        <v>46063</v>
      </c>
      <c r="D603" s="3">
        <v>1</v>
      </c>
      <c r="E603" s="3">
        <v>119000</v>
      </c>
      <c r="F603" s="3">
        <v>119000</v>
      </c>
      <c r="G603" s="3">
        <v>80920</v>
      </c>
      <c r="H603" s="25">
        <v>61496</v>
      </c>
    </row>
    <row r="604" spans="1:8" x14ac:dyDescent="0.3">
      <c r="A604" s="64">
        <v>20260210361042</v>
      </c>
      <c r="B604" t="s">
        <v>41</v>
      </c>
      <c r="C604" s="65">
        <f t="shared" si="9"/>
        <v>46063</v>
      </c>
      <c r="D604" s="3">
        <v>1</v>
      </c>
      <c r="E604" s="3">
        <v>119000</v>
      </c>
      <c r="F604" s="3">
        <v>119000</v>
      </c>
      <c r="G604" s="3">
        <v>80920</v>
      </c>
      <c r="H604" s="25">
        <v>61496</v>
      </c>
    </row>
    <row r="605" spans="1:8" x14ac:dyDescent="0.3">
      <c r="A605" s="64">
        <v>20260210360204</v>
      </c>
      <c r="B605" t="s">
        <v>41</v>
      </c>
      <c r="C605" s="65">
        <f t="shared" si="9"/>
        <v>46063</v>
      </c>
      <c r="D605" s="3">
        <v>1</v>
      </c>
      <c r="E605" s="3">
        <v>119000</v>
      </c>
      <c r="F605" s="3">
        <v>119000</v>
      </c>
      <c r="G605" s="3">
        <v>80920</v>
      </c>
      <c r="H605" s="25">
        <v>61496</v>
      </c>
    </row>
    <row r="606" spans="1:8" x14ac:dyDescent="0.3">
      <c r="A606" s="64">
        <v>20260210360435</v>
      </c>
      <c r="B606" t="s">
        <v>41</v>
      </c>
      <c r="C606" s="65">
        <f t="shared" si="9"/>
        <v>46063</v>
      </c>
      <c r="D606" s="3">
        <v>1</v>
      </c>
      <c r="E606" s="3">
        <v>119000</v>
      </c>
      <c r="F606" s="3">
        <v>119000</v>
      </c>
      <c r="G606" s="3">
        <v>80920</v>
      </c>
      <c r="H606" s="25">
        <v>61496</v>
      </c>
    </row>
    <row r="607" spans="1:8" x14ac:dyDescent="0.3">
      <c r="A607" s="64">
        <v>20260210360324</v>
      </c>
      <c r="B607" t="s">
        <v>41</v>
      </c>
      <c r="C607" s="65">
        <f t="shared" si="9"/>
        <v>46063</v>
      </c>
      <c r="D607" s="3">
        <v>1</v>
      </c>
      <c r="E607" s="3">
        <v>119000</v>
      </c>
      <c r="F607" s="3">
        <v>119000</v>
      </c>
      <c r="G607" s="3">
        <v>80920</v>
      </c>
      <c r="H607" s="25">
        <v>61496</v>
      </c>
    </row>
    <row r="608" spans="1:8" x14ac:dyDescent="0.3">
      <c r="A608" s="64">
        <v>20260210361911</v>
      </c>
      <c r="B608" t="s">
        <v>41</v>
      </c>
      <c r="C608" s="65">
        <f t="shared" si="9"/>
        <v>46063</v>
      </c>
      <c r="D608" s="3">
        <v>1</v>
      </c>
      <c r="E608" s="3">
        <v>119000</v>
      </c>
      <c r="F608" s="3">
        <v>119000</v>
      </c>
      <c r="G608" s="3">
        <v>80920</v>
      </c>
      <c r="H608" s="25">
        <v>61496</v>
      </c>
    </row>
    <row r="609" spans="1:8" x14ac:dyDescent="0.3">
      <c r="A609" s="64">
        <v>20260210360246</v>
      </c>
      <c r="B609" t="s">
        <v>41</v>
      </c>
      <c r="C609" s="65">
        <f t="shared" si="9"/>
        <v>46063</v>
      </c>
      <c r="D609" s="3">
        <v>1</v>
      </c>
      <c r="E609" s="3">
        <v>119000</v>
      </c>
      <c r="F609" s="3">
        <v>119000</v>
      </c>
      <c r="G609" s="3">
        <v>80920</v>
      </c>
      <c r="H609" s="25">
        <v>61496</v>
      </c>
    </row>
    <row r="610" spans="1:8" x14ac:dyDescent="0.3">
      <c r="A610" s="64">
        <v>20260210361622</v>
      </c>
      <c r="B610" t="s">
        <v>41</v>
      </c>
      <c r="C610" s="65">
        <f t="shared" si="9"/>
        <v>46063</v>
      </c>
      <c r="D610" s="3">
        <v>1</v>
      </c>
      <c r="E610" s="3">
        <v>119000</v>
      </c>
      <c r="F610" s="3">
        <v>119000</v>
      </c>
      <c r="G610" s="3">
        <v>80920</v>
      </c>
      <c r="H610" s="25">
        <v>61496</v>
      </c>
    </row>
    <row r="611" spans="1:8" x14ac:dyDescent="0.3">
      <c r="A611" s="64">
        <v>20260210361123</v>
      </c>
      <c r="B611" t="s">
        <v>41</v>
      </c>
      <c r="C611" s="65">
        <f t="shared" si="9"/>
        <v>46063</v>
      </c>
      <c r="D611" s="3">
        <v>1</v>
      </c>
      <c r="E611" s="3">
        <v>119000</v>
      </c>
      <c r="F611" s="3">
        <v>119000</v>
      </c>
      <c r="G611" s="3">
        <v>80920</v>
      </c>
      <c r="H611" s="25">
        <v>61496</v>
      </c>
    </row>
    <row r="612" spans="1:8" x14ac:dyDescent="0.3">
      <c r="A612" s="64">
        <v>20260210361987</v>
      </c>
      <c r="B612" t="s">
        <v>41</v>
      </c>
      <c r="C612" s="65">
        <f t="shared" si="9"/>
        <v>46063</v>
      </c>
      <c r="D612" s="3">
        <v>1</v>
      </c>
      <c r="E612" s="3">
        <v>119000</v>
      </c>
      <c r="F612" s="3">
        <v>113050</v>
      </c>
      <c r="G612" s="3">
        <v>80920</v>
      </c>
      <c r="H612" s="25">
        <v>61496</v>
      </c>
    </row>
    <row r="613" spans="1:8" x14ac:dyDescent="0.3">
      <c r="A613" s="64">
        <v>20260210360357</v>
      </c>
      <c r="B613" t="s">
        <v>41</v>
      </c>
      <c r="C613" s="65">
        <f t="shared" si="9"/>
        <v>46063</v>
      </c>
      <c r="D613" s="3">
        <v>1</v>
      </c>
      <c r="E613" s="3">
        <v>119000</v>
      </c>
      <c r="F613" s="3">
        <v>113050</v>
      </c>
      <c r="G613" s="3">
        <v>80920</v>
      </c>
      <c r="H613" s="25">
        <v>61496</v>
      </c>
    </row>
    <row r="614" spans="1:8" x14ac:dyDescent="0.3">
      <c r="A614" s="64">
        <v>20260210361780</v>
      </c>
      <c r="B614" t="s">
        <v>41</v>
      </c>
      <c r="C614" s="65">
        <f t="shared" si="9"/>
        <v>46063</v>
      </c>
      <c r="D614" s="3">
        <v>1</v>
      </c>
      <c r="E614" s="3">
        <v>119000</v>
      </c>
      <c r="F614" s="3">
        <v>95200</v>
      </c>
      <c r="G614" s="3">
        <v>80920</v>
      </c>
      <c r="H614" s="25">
        <v>61496</v>
      </c>
    </row>
    <row r="615" spans="1:8" x14ac:dyDescent="0.3">
      <c r="A615" s="64">
        <v>20260210362100</v>
      </c>
      <c r="B615" t="s">
        <v>41</v>
      </c>
      <c r="C615" s="65">
        <f t="shared" si="9"/>
        <v>46063</v>
      </c>
      <c r="D615" s="3">
        <v>1</v>
      </c>
      <c r="E615" s="3">
        <v>119000</v>
      </c>
      <c r="F615" s="3">
        <v>109000</v>
      </c>
      <c r="G615" s="3">
        <v>80920</v>
      </c>
      <c r="H615" s="25">
        <v>61496</v>
      </c>
    </row>
    <row r="616" spans="1:8" x14ac:dyDescent="0.3">
      <c r="A616" s="64">
        <v>20260210362228</v>
      </c>
      <c r="B616" t="s">
        <v>41</v>
      </c>
      <c r="C616" s="65">
        <f t="shared" si="9"/>
        <v>46063</v>
      </c>
      <c r="D616" s="3">
        <v>1</v>
      </c>
      <c r="E616" s="3">
        <v>119000</v>
      </c>
      <c r="F616" s="3">
        <v>95200</v>
      </c>
      <c r="G616" s="3">
        <v>80920</v>
      </c>
      <c r="H616" s="25">
        <v>61496</v>
      </c>
    </row>
    <row r="617" spans="1:8" x14ac:dyDescent="0.3">
      <c r="A617" s="64">
        <v>20260210362212</v>
      </c>
      <c r="B617" t="s">
        <v>41</v>
      </c>
      <c r="C617" s="65">
        <f t="shared" si="9"/>
        <v>46063</v>
      </c>
      <c r="D617" s="3">
        <v>1</v>
      </c>
      <c r="E617" s="3">
        <v>119000</v>
      </c>
      <c r="F617" s="3">
        <v>113050</v>
      </c>
      <c r="G617" s="3">
        <v>80920</v>
      </c>
      <c r="H617" s="25">
        <v>61496</v>
      </c>
    </row>
    <row r="618" spans="1:8" x14ac:dyDescent="0.3">
      <c r="A618" s="64">
        <v>20260210360287</v>
      </c>
      <c r="B618" t="s">
        <v>41</v>
      </c>
      <c r="C618" s="65">
        <f t="shared" si="9"/>
        <v>46063</v>
      </c>
      <c r="D618" s="3">
        <v>1</v>
      </c>
      <c r="E618" s="3">
        <v>119000</v>
      </c>
      <c r="F618" s="3">
        <v>119000</v>
      </c>
      <c r="G618" s="3">
        <v>80920</v>
      </c>
      <c r="H618" s="25">
        <v>61496</v>
      </c>
    </row>
    <row r="619" spans="1:8" x14ac:dyDescent="0.3">
      <c r="A619" s="64">
        <v>20260210361930</v>
      </c>
      <c r="B619" t="s">
        <v>41</v>
      </c>
      <c r="C619" s="65">
        <f t="shared" si="9"/>
        <v>46063</v>
      </c>
      <c r="D619" s="3">
        <v>1</v>
      </c>
      <c r="E619" s="3">
        <v>119000</v>
      </c>
      <c r="F619" s="3">
        <v>119000</v>
      </c>
      <c r="G619" s="3">
        <v>80920</v>
      </c>
      <c r="H619" s="25">
        <v>61496</v>
      </c>
    </row>
    <row r="620" spans="1:8" x14ac:dyDescent="0.3">
      <c r="A620" s="64">
        <v>20260210360895</v>
      </c>
      <c r="B620" t="s">
        <v>41</v>
      </c>
      <c r="C620" s="65">
        <f t="shared" si="9"/>
        <v>46063</v>
      </c>
      <c r="D620" s="3">
        <v>1</v>
      </c>
      <c r="E620" s="3">
        <v>119000</v>
      </c>
      <c r="F620" s="3">
        <v>119000</v>
      </c>
      <c r="G620" s="3">
        <v>80920</v>
      </c>
      <c r="H620" s="25">
        <v>61496</v>
      </c>
    </row>
    <row r="621" spans="1:8" x14ac:dyDescent="0.3">
      <c r="A621" s="64">
        <v>20260210362231</v>
      </c>
      <c r="B621" t="s">
        <v>41</v>
      </c>
      <c r="C621" s="65">
        <f t="shared" si="9"/>
        <v>46063</v>
      </c>
      <c r="D621" s="3">
        <v>1</v>
      </c>
      <c r="E621" s="3">
        <v>119000</v>
      </c>
      <c r="F621" s="3">
        <v>119000</v>
      </c>
      <c r="G621" s="3">
        <v>80920</v>
      </c>
      <c r="H621" s="25">
        <v>61496</v>
      </c>
    </row>
    <row r="622" spans="1:8" x14ac:dyDescent="0.3">
      <c r="A622" s="64">
        <v>20260210360226</v>
      </c>
      <c r="B622" t="s">
        <v>41</v>
      </c>
      <c r="C622" s="65">
        <f t="shared" si="9"/>
        <v>46063</v>
      </c>
      <c r="D622" s="3">
        <v>1</v>
      </c>
      <c r="E622" s="3">
        <v>119000</v>
      </c>
      <c r="F622" s="3">
        <v>119000</v>
      </c>
      <c r="G622" s="3">
        <v>80920</v>
      </c>
      <c r="H622" s="25">
        <v>61496</v>
      </c>
    </row>
    <row r="623" spans="1:8" x14ac:dyDescent="0.3">
      <c r="A623" s="64">
        <v>20260210361153</v>
      </c>
      <c r="B623" t="s">
        <v>41</v>
      </c>
      <c r="C623" s="65">
        <f t="shared" si="9"/>
        <v>46063</v>
      </c>
      <c r="D623" s="3">
        <v>1</v>
      </c>
      <c r="E623" s="3">
        <v>119000</v>
      </c>
      <c r="F623" s="3">
        <v>119000</v>
      </c>
      <c r="G623" s="3">
        <v>80920</v>
      </c>
      <c r="H623" s="25">
        <v>61496</v>
      </c>
    </row>
    <row r="624" spans="1:8" x14ac:dyDescent="0.3">
      <c r="A624" s="64">
        <v>20260210360972</v>
      </c>
      <c r="B624" t="s">
        <v>41</v>
      </c>
      <c r="C624" s="65">
        <f t="shared" si="9"/>
        <v>46063</v>
      </c>
      <c r="D624" s="3">
        <v>1</v>
      </c>
      <c r="E624" s="3">
        <v>119000</v>
      </c>
      <c r="F624" s="3">
        <v>119000</v>
      </c>
      <c r="G624" s="3">
        <v>80920</v>
      </c>
      <c r="H624" s="25">
        <v>61496</v>
      </c>
    </row>
    <row r="625" spans="1:8" x14ac:dyDescent="0.3">
      <c r="A625" s="64">
        <v>20260210360094</v>
      </c>
      <c r="B625" t="s">
        <v>41</v>
      </c>
      <c r="C625" s="65">
        <f t="shared" si="9"/>
        <v>46063</v>
      </c>
      <c r="D625" s="3">
        <v>1</v>
      </c>
      <c r="E625" s="3">
        <v>119000</v>
      </c>
      <c r="F625" s="3">
        <v>119000</v>
      </c>
      <c r="G625" s="3">
        <v>80920</v>
      </c>
      <c r="H625" s="25">
        <v>61496</v>
      </c>
    </row>
    <row r="626" spans="1:8" x14ac:dyDescent="0.3">
      <c r="A626" s="64">
        <v>20260210360523</v>
      </c>
      <c r="B626" t="s">
        <v>41</v>
      </c>
      <c r="C626" s="65">
        <f t="shared" si="9"/>
        <v>46063</v>
      </c>
      <c r="D626" s="3">
        <v>1</v>
      </c>
      <c r="E626" s="3">
        <v>119000</v>
      </c>
      <c r="F626" s="3">
        <v>109000</v>
      </c>
      <c r="G626" s="3">
        <v>80920</v>
      </c>
      <c r="H626" s="25">
        <v>61496</v>
      </c>
    </row>
    <row r="627" spans="1:8" x14ac:dyDescent="0.3">
      <c r="A627" s="64">
        <v>20260210360229</v>
      </c>
      <c r="B627" t="s">
        <v>41</v>
      </c>
      <c r="C627" s="65">
        <f t="shared" si="9"/>
        <v>46063</v>
      </c>
      <c r="D627" s="3">
        <v>1</v>
      </c>
      <c r="E627" s="3">
        <v>119000</v>
      </c>
      <c r="F627" s="3">
        <v>119000</v>
      </c>
      <c r="G627" s="3">
        <v>80920</v>
      </c>
      <c r="H627" s="25">
        <v>61496</v>
      </c>
    </row>
    <row r="628" spans="1:8" x14ac:dyDescent="0.3">
      <c r="A628" s="64">
        <v>20260205993517</v>
      </c>
      <c r="B628" t="s">
        <v>41</v>
      </c>
      <c r="C628" s="65">
        <f t="shared" si="9"/>
        <v>46058</v>
      </c>
      <c r="D628" s="3">
        <v>1</v>
      </c>
      <c r="E628" s="3">
        <v>119000</v>
      </c>
      <c r="F628" s="3">
        <v>109000</v>
      </c>
      <c r="G628" s="3">
        <v>82110</v>
      </c>
      <c r="H628" s="25">
        <v>61496</v>
      </c>
    </row>
    <row r="629" spans="1:8" x14ac:dyDescent="0.3">
      <c r="A629" s="64">
        <v>20260210361686</v>
      </c>
      <c r="B629" t="s">
        <v>41</v>
      </c>
      <c r="C629" s="65">
        <f t="shared" si="9"/>
        <v>46063</v>
      </c>
      <c r="D629" s="3">
        <v>1</v>
      </c>
      <c r="E629" s="3">
        <v>119000</v>
      </c>
      <c r="F629" s="3">
        <v>119000</v>
      </c>
      <c r="G629" s="3">
        <v>80920</v>
      </c>
      <c r="H629" s="25">
        <v>61496</v>
      </c>
    </row>
    <row r="630" spans="1:8" x14ac:dyDescent="0.3">
      <c r="A630" s="64">
        <v>20260210362230</v>
      </c>
      <c r="B630" t="s">
        <v>41</v>
      </c>
      <c r="C630" s="65">
        <f t="shared" si="9"/>
        <v>46063</v>
      </c>
      <c r="D630" s="3">
        <v>1</v>
      </c>
      <c r="E630" s="3">
        <v>119000</v>
      </c>
      <c r="F630" s="3">
        <v>119000</v>
      </c>
      <c r="G630" s="3">
        <v>80920</v>
      </c>
      <c r="H630" s="25">
        <v>61496</v>
      </c>
    </row>
    <row r="631" spans="1:8" x14ac:dyDescent="0.3">
      <c r="A631" s="64">
        <v>20260210362386</v>
      </c>
      <c r="B631" t="s">
        <v>41</v>
      </c>
      <c r="C631" s="65">
        <f t="shared" si="9"/>
        <v>46063</v>
      </c>
      <c r="D631" s="3">
        <v>1</v>
      </c>
      <c r="E631" s="3">
        <v>119000</v>
      </c>
      <c r="F631" s="3">
        <v>119000</v>
      </c>
      <c r="G631" s="3">
        <v>80920</v>
      </c>
      <c r="H631" s="25">
        <v>61496</v>
      </c>
    </row>
    <row r="632" spans="1:8" x14ac:dyDescent="0.3">
      <c r="A632" s="64">
        <v>20260210360765</v>
      </c>
      <c r="B632" t="s">
        <v>41</v>
      </c>
      <c r="C632" s="65">
        <f t="shared" si="9"/>
        <v>46063</v>
      </c>
      <c r="D632" s="3">
        <v>1</v>
      </c>
      <c r="E632" s="3">
        <v>119000</v>
      </c>
      <c r="F632" s="3">
        <v>119000</v>
      </c>
      <c r="G632" s="3">
        <v>80920</v>
      </c>
      <c r="H632" s="25">
        <v>61496</v>
      </c>
    </row>
    <row r="633" spans="1:8" x14ac:dyDescent="0.3">
      <c r="A633" s="64">
        <v>20260210362168</v>
      </c>
      <c r="B633" t="s">
        <v>41</v>
      </c>
      <c r="C633" s="65">
        <f t="shared" si="9"/>
        <v>46063</v>
      </c>
      <c r="D633" s="3">
        <v>1</v>
      </c>
      <c r="E633" s="3">
        <v>119000</v>
      </c>
      <c r="F633" s="3">
        <v>119000</v>
      </c>
      <c r="G633" s="3">
        <v>80920</v>
      </c>
      <c r="H633" s="25">
        <v>61496</v>
      </c>
    </row>
    <row r="634" spans="1:8" x14ac:dyDescent="0.3">
      <c r="A634" s="64">
        <v>20260210362117</v>
      </c>
      <c r="B634" t="s">
        <v>41</v>
      </c>
      <c r="C634" s="65">
        <f t="shared" si="9"/>
        <v>46063</v>
      </c>
      <c r="D634" s="3">
        <v>1</v>
      </c>
      <c r="E634" s="3">
        <v>119000</v>
      </c>
      <c r="F634" s="3">
        <v>119000</v>
      </c>
      <c r="G634" s="3">
        <v>80920</v>
      </c>
      <c r="H634" s="25">
        <v>61496</v>
      </c>
    </row>
    <row r="635" spans="1:8" x14ac:dyDescent="0.3">
      <c r="A635" s="64">
        <v>20260210360966</v>
      </c>
      <c r="B635" t="s">
        <v>41</v>
      </c>
      <c r="C635" s="65">
        <f t="shared" si="9"/>
        <v>46063</v>
      </c>
      <c r="D635" s="3">
        <v>1</v>
      </c>
      <c r="E635" s="3">
        <v>119000</v>
      </c>
      <c r="F635" s="3">
        <v>119000</v>
      </c>
      <c r="G635" s="3">
        <v>80920</v>
      </c>
      <c r="H635" s="25">
        <v>61496</v>
      </c>
    </row>
    <row r="636" spans="1:8" x14ac:dyDescent="0.3">
      <c r="A636" s="64">
        <v>20260210360823</v>
      </c>
      <c r="B636" t="s">
        <v>41</v>
      </c>
      <c r="C636" s="65">
        <f t="shared" si="9"/>
        <v>46063</v>
      </c>
      <c r="D636" s="3">
        <v>1</v>
      </c>
      <c r="E636" s="3">
        <v>119000</v>
      </c>
      <c r="F636" s="3">
        <v>119000</v>
      </c>
      <c r="G636" s="3">
        <v>80920</v>
      </c>
      <c r="H636" s="25">
        <v>61496</v>
      </c>
    </row>
    <row r="637" spans="1:8" x14ac:dyDescent="0.3">
      <c r="A637" s="64">
        <v>20260210361576</v>
      </c>
      <c r="B637" t="s">
        <v>41</v>
      </c>
      <c r="C637" s="65">
        <f t="shared" si="9"/>
        <v>46063</v>
      </c>
      <c r="D637" s="3">
        <v>1</v>
      </c>
      <c r="E637" s="3">
        <v>119000</v>
      </c>
      <c r="F637" s="3">
        <v>119000</v>
      </c>
      <c r="G637" s="3">
        <v>80920</v>
      </c>
      <c r="H637" s="25">
        <v>61496</v>
      </c>
    </row>
    <row r="638" spans="1:8" x14ac:dyDescent="0.3">
      <c r="A638" s="64">
        <v>20260210360962</v>
      </c>
      <c r="B638" t="s">
        <v>41</v>
      </c>
      <c r="C638" s="65">
        <f t="shared" si="9"/>
        <v>46063</v>
      </c>
      <c r="D638" s="3">
        <v>1</v>
      </c>
      <c r="E638" s="3">
        <v>119000</v>
      </c>
      <c r="F638" s="3">
        <v>119000</v>
      </c>
      <c r="G638" s="3">
        <v>80920</v>
      </c>
      <c r="H638" s="25">
        <v>61496</v>
      </c>
    </row>
    <row r="639" spans="1:8" x14ac:dyDescent="0.3">
      <c r="A639" s="64">
        <v>20260210361691</v>
      </c>
      <c r="B639" t="s">
        <v>41</v>
      </c>
      <c r="C639" s="65">
        <f t="shared" si="9"/>
        <v>46063</v>
      </c>
      <c r="D639" s="3">
        <v>1</v>
      </c>
      <c r="E639" s="3">
        <v>119000</v>
      </c>
      <c r="F639" s="3">
        <v>119000</v>
      </c>
      <c r="G639" s="3">
        <v>80920</v>
      </c>
      <c r="H639" s="25">
        <v>61496</v>
      </c>
    </row>
    <row r="640" spans="1:8" x14ac:dyDescent="0.3">
      <c r="A640" s="64">
        <v>20260210362134</v>
      </c>
      <c r="B640" t="s">
        <v>41</v>
      </c>
      <c r="C640" s="65">
        <f t="shared" si="9"/>
        <v>46063</v>
      </c>
      <c r="D640" s="3">
        <v>1</v>
      </c>
      <c r="E640" s="3">
        <v>119000</v>
      </c>
      <c r="F640" s="3">
        <v>108300</v>
      </c>
      <c r="G640" s="3">
        <v>80920</v>
      </c>
      <c r="H640" s="25">
        <v>61496</v>
      </c>
    </row>
    <row r="641" spans="1:8" x14ac:dyDescent="0.3">
      <c r="A641" s="64">
        <v>20260210361690</v>
      </c>
      <c r="B641" t="s">
        <v>41</v>
      </c>
      <c r="C641" s="65">
        <f t="shared" si="9"/>
        <v>46063</v>
      </c>
      <c r="D641" s="3">
        <v>1</v>
      </c>
      <c r="E641" s="3">
        <v>119000</v>
      </c>
      <c r="F641" s="3">
        <v>119000</v>
      </c>
      <c r="G641" s="3">
        <v>80920</v>
      </c>
      <c r="H641" s="25">
        <v>61496</v>
      </c>
    </row>
    <row r="642" spans="1:8" x14ac:dyDescent="0.3">
      <c r="A642" s="64">
        <v>20260210361261</v>
      </c>
      <c r="B642" t="s">
        <v>41</v>
      </c>
      <c r="C642" s="65">
        <f t="shared" si="9"/>
        <v>46063</v>
      </c>
      <c r="D642" s="3">
        <v>1</v>
      </c>
      <c r="E642" s="3">
        <v>119000</v>
      </c>
      <c r="F642" s="3">
        <v>119000</v>
      </c>
      <c r="G642" s="3">
        <v>80920</v>
      </c>
      <c r="H642" s="25">
        <v>61496</v>
      </c>
    </row>
    <row r="643" spans="1:8" x14ac:dyDescent="0.3">
      <c r="A643" s="64">
        <v>20260210361855</v>
      </c>
      <c r="B643" t="s">
        <v>41</v>
      </c>
      <c r="C643" s="65">
        <f t="shared" ref="C643:C706" si="10">DATE(LEFT(TEXT(A643,"0"),4),MID(TEXT(A643,"0"),5,2),MID(TEXT(A643,"0"),7,2))</f>
        <v>46063</v>
      </c>
      <c r="D643" s="3">
        <v>1</v>
      </c>
      <c r="E643" s="3">
        <v>119000</v>
      </c>
      <c r="F643" s="3">
        <v>119000</v>
      </c>
      <c r="G643" s="3">
        <v>80920</v>
      </c>
      <c r="H643" s="25">
        <v>61496</v>
      </c>
    </row>
    <row r="644" spans="1:8" x14ac:dyDescent="0.3">
      <c r="A644" s="64">
        <v>20260210360736</v>
      </c>
      <c r="B644" t="s">
        <v>41</v>
      </c>
      <c r="C644" s="65">
        <f t="shared" si="10"/>
        <v>46063</v>
      </c>
      <c r="D644" s="3">
        <v>1</v>
      </c>
      <c r="E644" s="3">
        <v>119000</v>
      </c>
      <c r="F644" s="3">
        <v>113050</v>
      </c>
      <c r="G644" s="3">
        <v>80920</v>
      </c>
      <c r="H644" s="25">
        <v>61496</v>
      </c>
    </row>
    <row r="645" spans="1:8" x14ac:dyDescent="0.3">
      <c r="A645" s="64">
        <v>20260205994812</v>
      </c>
      <c r="B645" t="s">
        <v>41</v>
      </c>
      <c r="C645" s="65">
        <f t="shared" si="10"/>
        <v>46058</v>
      </c>
      <c r="D645" s="3">
        <v>1</v>
      </c>
      <c r="E645" s="3">
        <v>119000</v>
      </c>
      <c r="F645" s="3">
        <v>119000</v>
      </c>
      <c r="G645" s="3">
        <v>82110</v>
      </c>
      <c r="H645" s="25">
        <v>61496</v>
      </c>
    </row>
    <row r="646" spans="1:8" x14ac:dyDescent="0.3">
      <c r="A646" s="64">
        <v>20260210360424</v>
      </c>
      <c r="B646" t="s">
        <v>41</v>
      </c>
      <c r="C646" s="65">
        <f t="shared" si="10"/>
        <v>46063</v>
      </c>
      <c r="D646" s="3">
        <v>2</v>
      </c>
      <c r="E646" s="3">
        <v>119000</v>
      </c>
      <c r="F646" s="3">
        <v>238000</v>
      </c>
      <c r="G646" s="3">
        <v>161840</v>
      </c>
      <c r="H646" s="25">
        <v>122992</v>
      </c>
    </row>
    <row r="647" spans="1:8" x14ac:dyDescent="0.3">
      <c r="A647" s="64">
        <v>20260210361466</v>
      </c>
      <c r="B647" t="s">
        <v>41</v>
      </c>
      <c r="C647" s="65">
        <f t="shared" si="10"/>
        <v>46063</v>
      </c>
      <c r="D647" s="3">
        <v>1</v>
      </c>
      <c r="E647" s="3">
        <v>119000</v>
      </c>
      <c r="F647" s="3">
        <v>113050</v>
      </c>
      <c r="G647" s="3">
        <v>80920</v>
      </c>
      <c r="H647" s="25">
        <v>61496</v>
      </c>
    </row>
    <row r="648" spans="1:8" x14ac:dyDescent="0.3">
      <c r="A648" s="64">
        <v>20260210360877</v>
      </c>
      <c r="B648" t="s">
        <v>41</v>
      </c>
      <c r="C648" s="65">
        <f t="shared" si="10"/>
        <v>46063</v>
      </c>
      <c r="D648" s="3">
        <v>1</v>
      </c>
      <c r="E648" s="3">
        <v>119000</v>
      </c>
      <c r="F648" s="3">
        <v>119000</v>
      </c>
      <c r="G648" s="3">
        <v>80920</v>
      </c>
      <c r="H648" s="25">
        <v>61496</v>
      </c>
    </row>
    <row r="649" spans="1:8" x14ac:dyDescent="0.3">
      <c r="A649" s="64">
        <v>20260210361967</v>
      </c>
      <c r="B649" t="s">
        <v>41</v>
      </c>
      <c r="C649" s="65">
        <f t="shared" si="10"/>
        <v>46063</v>
      </c>
      <c r="D649" s="3">
        <v>1</v>
      </c>
      <c r="E649" s="3">
        <v>119000</v>
      </c>
      <c r="F649" s="3">
        <v>119000</v>
      </c>
      <c r="G649" s="3">
        <v>80920</v>
      </c>
      <c r="H649" s="25">
        <v>61496</v>
      </c>
    </row>
    <row r="650" spans="1:8" x14ac:dyDescent="0.3">
      <c r="A650" s="64">
        <v>20260210361778</v>
      </c>
      <c r="B650" t="s">
        <v>41</v>
      </c>
      <c r="C650" s="65">
        <f t="shared" si="10"/>
        <v>46063</v>
      </c>
      <c r="D650" s="3">
        <v>1</v>
      </c>
      <c r="E650" s="3">
        <v>119000</v>
      </c>
      <c r="F650" s="3">
        <v>119000</v>
      </c>
      <c r="G650" s="3">
        <v>80920</v>
      </c>
      <c r="H650" s="25">
        <v>61496</v>
      </c>
    </row>
    <row r="651" spans="1:8" x14ac:dyDescent="0.3">
      <c r="A651" s="64">
        <v>20260210360506</v>
      </c>
      <c r="B651" t="s">
        <v>41</v>
      </c>
      <c r="C651" s="65">
        <f t="shared" si="10"/>
        <v>46063</v>
      </c>
      <c r="D651" s="3">
        <v>1</v>
      </c>
      <c r="E651" s="3">
        <v>119000</v>
      </c>
      <c r="F651" s="3">
        <v>113050</v>
      </c>
      <c r="G651" s="3">
        <v>80920</v>
      </c>
      <c r="H651" s="25">
        <v>61496</v>
      </c>
    </row>
    <row r="652" spans="1:8" x14ac:dyDescent="0.3">
      <c r="A652" s="64">
        <v>20260210361822</v>
      </c>
      <c r="B652" t="s">
        <v>41</v>
      </c>
      <c r="C652" s="65">
        <f t="shared" si="10"/>
        <v>46063</v>
      </c>
      <c r="D652" s="3">
        <v>1</v>
      </c>
      <c r="E652" s="3">
        <v>119000</v>
      </c>
      <c r="F652" s="3">
        <v>119000</v>
      </c>
      <c r="G652" s="3">
        <v>80920</v>
      </c>
      <c r="H652" s="25">
        <v>61496</v>
      </c>
    </row>
    <row r="653" spans="1:8" x14ac:dyDescent="0.3">
      <c r="A653" s="64">
        <v>20260211862060</v>
      </c>
      <c r="B653" t="s">
        <v>41</v>
      </c>
      <c r="C653" s="65">
        <f t="shared" si="10"/>
        <v>46064</v>
      </c>
      <c r="D653" s="3">
        <v>1</v>
      </c>
      <c r="E653" s="3">
        <v>119000</v>
      </c>
      <c r="F653" s="3">
        <v>113050</v>
      </c>
      <c r="G653" s="3">
        <v>80920</v>
      </c>
      <c r="H653" s="25">
        <v>61496</v>
      </c>
    </row>
    <row r="654" spans="1:8" x14ac:dyDescent="0.3">
      <c r="A654" s="64">
        <v>20260210361524</v>
      </c>
      <c r="B654" t="s">
        <v>41</v>
      </c>
      <c r="C654" s="65">
        <f t="shared" si="10"/>
        <v>46063</v>
      </c>
      <c r="D654" s="3">
        <v>1</v>
      </c>
      <c r="E654" s="3">
        <v>119000</v>
      </c>
      <c r="F654" s="3">
        <v>119000</v>
      </c>
      <c r="G654" s="3">
        <v>80920</v>
      </c>
      <c r="H654" s="25">
        <v>61496</v>
      </c>
    </row>
    <row r="655" spans="1:8" x14ac:dyDescent="0.3">
      <c r="A655" s="64">
        <v>20260210361369</v>
      </c>
      <c r="B655" t="s">
        <v>41</v>
      </c>
      <c r="C655" s="65">
        <f t="shared" si="10"/>
        <v>46063</v>
      </c>
      <c r="D655" s="3">
        <v>1</v>
      </c>
      <c r="E655" s="3">
        <v>119000</v>
      </c>
      <c r="F655" s="3">
        <v>119000</v>
      </c>
      <c r="G655" s="3">
        <v>80920</v>
      </c>
      <c r="H655" s="25">
        <v>61496</v>
      </c>
    </row>
    <row r="656" spans="1:8" x14ac:dyDescent="0.3">
      <c r="A656" s="64">
        <v>20260210361570</v>
      </c>
      <c r="B656" t="s">
        <v>41</v>
      </c>
      <c r="C656" s="65">
        <f t="shared" si="10"/>
        <v>46063</v>
      </c>
      <c r="D656" s="3">
        <v>1</v>
      </c>
      <c r="E656" s="3">
        <v>119000</v>
      </c>
      <c r="F656" s="3">
        <v>119000</v>
      </c>
      <c r="G656" s="3">
        <v>80920</v>
      </c>
      <c r="H656" s="25">
        <v>61496</v>
      </c>
    </row>
    <row r="657" spans="1:8" x14ac:dyDescent="0.3">
      <c r="A657" s="64">
        <v>20260210361915</v>
      </c>
      <c r="B657" t="s">
        <v>41</v>
      </c>
      <c r="C657" s="65">
        <f t="shared" si="10"/>
        <v>46063</v>
      </c>
      <c r="D657" s="3">
        <v>1</v>
      </c>
      <c r="E657" s="3">
        <v>119000</v>
      </c>
      <c r="F657" s="3">
        <v>119000</v>
      </c>
      <c r="G657" s="3">
        <v>80920</v>
      </c>
      <c r="H657" s="25">
        <v>61496</v>
      </c>
    </row>
    <row r="658" spans="1:8" x14ac:dyDescent="0.3">
      <c r="A658" s="64">
        <v>20260210362058</v>
      </c>
      <c r="B658" t="s">
        <v>41</v>
      </c>
      <c r="C658" s="65">
        <f t="shared" si="10"/>
        <v>46063</v>
      </c>
      <c r="D658" s="3">
        <v>1</v>
      </c>
      <c r="E658" s="3">
        <v>119000</v>
      </c>
      <c r="F658" s="3">
        <v>109000</v>
      </c>
      <c r="G658" s="3">
        <v>80920</v>
      </c>
      <c r="H658" s="25">
        <v>61496</v>
      </c>
    </row>
    <row r="659" spans="1:8" x14ac:dyDescent="0.3">
      <c r="A659" s="64">
        <v>20260210364113</v>
      </c>
      <c r="B659" t="s">
        <v>41</v>
      </c>
      <c r="C659" s="65">
        <f t="shared" si="10"/>
        <v>46063</v>
      </c>
      <c r="D659" s="3">
        <v>1</v>
      </c>
      <c r="E659" s="3">
        <v>119000</v>
      </c>
      <c r="F659" s="3">
        <v>119000</v>
      </c>
      <c r="G659" s="3">
        <v>80920</v>
      </c>
      <c r="H659" s="25">
        <v>61496</v>
      </c>
    </row>
    <row r="660" spans="1:8" x14ac:dyDescent="0.3">
      <c r="A660" s="64">
        <v>20260210366124</v>
      </c>
      <c r="B660" t="s">
        <v>41</v>
      </c>
      <c r="C660" s="65">
        <f t="shared" si="10"/>
        <v>46063</v>
      </c>
      <c r="D660" s="3">
        <v>1</v>
      </c>
      <c r="E660" s="3">
        <v>119000</v>
      </c>
      <c r="F660" s="3">
        <v>119000</v>
      </c>
      <c r="G660" s="3">
        <v>80920</v>
      </c>
      <c r="H660" s="25">
        <v>61496</v>
      </c>
    </row>
    <row r="661" spans="1:8" x14ac:dyDescent="0.3">
      <c r="A661" s="64">
        <v>20260210360947</v>
      </c>
      <c r="B661" t="s">
        <v>41</v>
      </c>
      <c r="C661" s="65">
        <f t="shared" si="10"/>
        <v>46063</v>
      </c>
      <c r="D661" s="3">
        <v>1</v>
      </c>
      <c r="E661" s="3">
        <v>119000</v>
      </c>
      <c r="F661" s="3">
        <v>113050</v>
      </c>
      <c r="G661" s="3">
        <v>80920</v>
      </c>
      <c r="H661" s="25">
        <v>61496</v>
      </c>
    </row>
    <row r="662" spans="1:8" x14ac:dyDescent="0.3">
      <c r="A662" s="64">
        <v>20260210360328</v>
      </c>
      <c r="B662" t="s">
        <v>41</v>
      </c>
      <c r="C662" s="65">
        <f t="shared" si="10"/>
        <v>46063</v>
      </c>
      <c r="D662" s="3">
        <v>1</v>
      </c>
      <c r="E662" s="3">
        <v>119000</v>
      </c>
      <c r="F662" s="3">
        <v>119000</v>
      </c>
      <c r="G662" s="3">
        <v>80920</v>
      </c>
      <c r="H662" s="25">
        <v>61496</v>
      </c>
    </row>
    <row r="663" spans="1:8" x14ac:dyDescent="0.3">
      <c r="A663" s="64">
        <v>20260210360456</v>
      </c>
      <c r="B663" t="s">
        <v>41</v>
      </c>
      <c r="C663" s="65">
        <f t="shared" si="10"/>
        <v>46063</v>
      </c>
      <c r="D663" s="3">
        <v>1</v>
      </c>
      <c r="E663" s="3">
        <v>119000</v>
      </c>
      <c r="F663" s="3">
        <v>98800</v>
      </c>
      <c r="G663" s="3">
        <v>80920</v>
      </c>
      <c r="H663" s="25">
        <v>61496</v>
      </c>
    </row>
    <row r="664" spans="1:8" x14ac:dyDescent="0.3">
      <c r="A664" s="64">
        <v>20260210362454</v>
      </c>
      <c r="B664" t="s">
        <v>41</v>
      </c>
      <c r="C664" s="65">
        <f t="shared" si="10"/>
        <v>46063</v>
      </c>
      <c r="D664" s="3">
        <v>1</v>
      </c>
      <c r="E664" s="3">
        <v>119000</v>
      </c>
      <c r="F664" s="3">
        <v>113050</v>
      </c>
      <c r="G664" s="3">
        <v>80920</v>
      </c>
      <c r="H664" s="25">
        <v>61496</v>
      </c>
    </row>
    <row r="665" spans="1:8" x14ac:dyDescent="0.3">
      <c r="A665" s="64">
        <v>20260210360934</v>
      </c>
      <c r="B665" t="s">
        <v>41</v>
      </c>
      <c r="C665" s="65">
        <f t="shared" si="10"/>
        <v>46063</v>
      </c>
      <c r="D665" s="3">
        <v>1</v>
      </c>
      <c r="E665" s="3">
        <v>119000</v>
      </c>
      <c r="F665" s="3">
        <v>119000</v>
      </c>
      <c r="G665" s="3">
        <v>80920</v>
      </c>
      <c r="H665" s="25">
        <v>61496</v>
      </c>
    </row>
    <row r="666" spans="1:8" x14ac:dyDescent="0.3">
      <c r="A666" s="64">
        <v>20260210360296</v>
      </c>
      <c r="B666" t="s">
        <v>41</v>
      </c>
      <c r="C666" s="65">
        <f t="shared" si="10"/>
        <v>46063</v>
      </c>
      <c r="D666" s="3">
        <v>1</v>
      </c>
      <c r="E666" s="3">
        <v>119000</v>
      </c>
      <c r="F666" s="3">
        <v>119000</v>
      </c>
      <c r="G666" s="3">
        <v>80920</v>
      </c>
      <c r="H666" s="25">
        <v>61496</v>
      </c>
    </row>
    <row r="667" spans="1:8" x14ac:dyDescent="0.3">
      <c r="A667" s="64">
        <v>20260210362146</v>
      </c>
      <c r="B667" t="s">
        <v>41</v>
      </c>
      <c r="C667" s="65">
        <f t="shared" si="10"/>
        <v>46063</v>
      </c>
      <c r="D667" s="3">
        <v>1</v>
      </c>
      <c r="E667" s="3">
        <v>119000</v>
      </c>
      <c r="F667" s="3">
        <v>119000</v>
      </c>
      <c r="G667" s="3">
        <v>80920</v>
      </c>
      <c r="H667" s="25">
        <v>61496</v>
      </c>
    </row>
    <row r="668" spans="1:8" x14ac:dyDescent="0.3">
      <c r="A668" s="64">
        <v>20260210360233</v>
      </c>
      <c r="B668" t="s">
        <v>41</v>
      </c>
      <c r="C668" s="65">
        <f t="shared" si="10"/>
        <v>46063</v>
      </c>
      <c r="D668" s="3">
        <v>1</v>
      </c>
      <c r="E668" s="3">
        <v>119000</v>
      </c>
      <c r="F668" s="3">
        <v>95200</v>
      </c>
      <c r="G668" s="3">
        <v>80920</v>
      </c>
      <c r="H668" s="25">
        <v>61496</v>
      </c>
    </row>
    <row r="669" spans="1:8" x14ac:dyDescent="0.3">
      <c r="A669" s="64">
        <v>20260210361754</v>
      </c>
      <c r="B669" t="s">
        <v>41</v>
      </c>
      <c r="C669" s="65">
        <f t="shared" si="10"/>
        <v>46063</v>
      </c>
      <c r="D669" s="3">
        <v>1</v>
      </c>
      <c r="E669" s="3">
        <v>119000</v>
      </c>
      <c r="F669" s="3">
        <v>119000</v>
      </c>
      <c r="G669" s="3">
        <v>80920</v>
      </c>
      <c r="H669" s="25">
        <v>61496</v>
      </c>
    </row>
    <row r="670" spans="1:8" x14ac:dyDescent="0.3">
      <c r="A670" s="64">
        <v>20260210361587</v>
      </c>
      <c r="B670" t="s">
        <v>41</v>
      </c>
      <c r="C670" s="65">
        <f t="shared" si="10"/>
        <v>46063</v>
      </c>
      <c r="D670" s="3">
        <v>1</v>
      </c>
      <c r="E670" s="3">
        <v>119000</v>
      </c>
      <c r="F670" s="3">
        <v>119000</v>
      </c>
      <c r="G670" s="3">
        <v>80920</v>
      </c>
      <c r="H670" s="25">
        <v>61496</v>
      </c>
    </row>
    <row r="671" spans="1:8" x14ac:dyDescent="0.3">
      <c r="A671" s="64">
        <v>20260210361077</v>
      </c>
      <c r="B671" t="s">
        <v>41</v>
      </c>
      <c r="C671" s="65">
        <f t="shared" si="10"/>
        <v>46063</v>
      </c>
      <c r="D671" s="3">
        <v>1</v>
      </c>
      <c r="E671" s="3">
        <v>119000</v>
      </c>
      <c r="F671" s="3">
        <v>119000</v>
      </c>
      <c r="G671" s="3">
        <v>80920</v>
      </c>
      <c r="H671" s="25">
        <v>61496</v>
      </c>
    </row>
    <row r="672" spans="1:8" x14ac:dyDescent="0.3">
      <c r="A672" s="64">
        <v>20260210360396</v>
      </c>
      <c r="B672" t="s">
        <v>41</v>
      </c>
      <c r="C672" s="65">
        <f t="shared" si="10"/>
        <v>46063</v>
      </c>
      <c r="D672" s="3">
        <v>1</v>
      </c>
      <c r="E672" s="3">
        <v>119000</v>
      </c>
      <c r="F672" s="3">
        <v>119000</v>
      </c>
      <c r="G672" s="3">
        <v>80920</v>
      </c>
      <c r="H672" s="25">
        <v>61496</v>
      </c>
    </row>
    <row r="673" spans="1:8" x14ac:dyDescent="0.3">
      <c r="A673" s="64">
        <v>20260210360400</v>
      </c>
      <c r="B673" t="s">
        <v>41</v>
      </c>
      <c r="C673" s="65">
        <f t="shared" si="10"/>
        <v>46063</v>
      </c>
      <c r="D673" s="3">
        <v>1</v>
      </c>
      <c r="E673" s="3">
        <v>119000</v>
      </c>
      <c r="F673" s="3">
        <v>119000</v>
      </c>
      <c r="G673" s="3">
        <v>80920</v>
      </c>
      <c r="H673" s="25">
        <v>61496</v>
      </c>
    </row>
    <row r="674" spans="1:8" x14ac:dyDescent="0.3">
      <c r="A674" s="64">
        <v>20260210360481</v>
      </c>
      <c r="B674" t="s">
        <v>41</v>
      </c>
      <c r="C674" s="65">
        <f t="shared" si="10"/>
        <v>46063</v>
      </c>
      <c r="D674" s="3">
        <v>1</v>
      </c>
      <c r="E674" s="3">
        <v>119000</v>
      </c>
      <c r="F674" s="3">
        <v>119000</v>
      </c>
      <c r="G674" s="3">
        <v>80920</v>
      </c>
      <c r="H674" s="25">
        <v>61496</v>
      </c>
    </row>
    <row r="675" spans="1:8" x14ac:dyDescent="0.3">
      <c r="A675" s="64">
        <v>20260210360563</v>
      </c>
      <c r="B675" t="s">
        <v>41</v>
      </c>
      <c r="C675" s="65">
        <f t="shared" si="10"/>
        <v>46063</v>
      </c>
      <c r="D675" s="3">
        <v>1</v>
      </c>
      <c r="E675" s="3">
        <v>119000</v>
      </c>
      <c r="F675" s="3">
        <v>119000</v>
      </c>
      <c r="G675" s="3">
        <v>80920</v>
      </c>
      <c r="H675" s="25">
        <v>61496</v>
      </c>
    </row>
    <row r="676" spans="1:8" x14ac:dyDescent="0.3">
      <c r="A676" s="64">
        <v>20260210360427</v>
      </c>
      <c r="B676" t="s">
        <v>41</v>
      </c>
      <c r="C676" s="65">
        <f t="shared" si="10"/>
        <v>46063</v>
      </c>
      <c r="D676" s="3">
        <v>1</v>
      </c>
      <c r="E676" s="3">
        <v>119000</v>
      </c>
      <c r="F676" s="3">
        <v>119000</v>
      </c>
      <c r="G676" s="3">
        <v>80920</v>
      </c>
      <c r="H676" s="25">
        <v>61496</v>
      </c>
    </row>
    <row r="677" spans="1:8" x14ac:dyDescent="0.3">
      <c r="A677" s="64">
        <v>20260210361451</v>
      </c>
      <c r="B677" t="s">
        <v>41</v>
      </c>
      <c r="C677" s="65">
        <f t="shared" si="10"/>
        <v>46063</v>
      </c>
      <c r="D677" s="3">
        <v>1</v>
      </c>
      <c r="E677" s="3">
        <v>119000</v>
      </c>
      <c r="F677" s="3">
        <v>119000</v>
      </c>
      <c r="G677" s="3">
        <v>80920</v>
      </c>
      <c r="H677" s="25">
        <v>61496</v>
      </c>
    </row>
    <row r="678" spans="1:8" x14ac:dyDescent="0.3">
      <c r="A678" s="64">
        <v>20260210361038</v>
      </c>
      <c r="B678" t="s">
        <v>41</v>
      </c>
      <c r="C678" s="65">
        <f t="shared" si="10"/>
        <v>46063</v>
      </c>
      <c r="D678" s="3">
        <v>1</v>
      </c>
      <c r="E678" s="3">
        <v>119000</v>
      </c>
      <c r="F678" s="3">
        <v>119000</v>
      </c>
      <c r="G678" s="3">
        <v>80920</v>
      </c>
      <c r="H678" s="25">
        <v>61496</v>
      </c>
    </row>
    <row r="679" spans="1:8" x14ac:dyDescent="0.3">
      <c r="A679" s="64">
        <v>20260210360291</v>
      </c>
      <c r="B679" t="s">
        <v>41</v>
      </c>
      <c r="C679" s="65">
        <f t="shared" si="10"/>
        <v>46063</v>
      </c>
      <c r="D679" s="3">
        <v>1</v>
      </c>
      <c r="E679" s="3">
        <v>119000</v>
      </c>
      <c r="F679" s="3">
        <v>119000</v>
      </c>
      <c r="G679" s="3">
        <v>80920</v>
      </c>
      <c r="H679" s="25">
        <v>61496</v>
      </c>
    </row>
    <row r="680" spans="1:8" x14ac:dyDescent="0.3">
      <c r="A680" s="64">
        <v>20260210361335</v>
      </c>
      <c r="B680" t="s">
        <v>41</v>
      </c>
      <c r="C680" s="65">
        <f t="shared" si="10"/>
        <v>46063</v>
      </c>
      <c r="D680" s="3">
        <v>1</v>
      </c>
      <c r="E680" s="3">
        <v>119000</v>
      </c>
      <c r="F680" s="3">
        <v>119000</v>
      </c>
      <c r="G680" s="3">
        <v>80920</v>
      </c>
      <c r="H680" s="25">
        <v>61496</v>
      </c>
    </row>
    <row r="681" spans="1:8" x14ac:dyDescent="0.3">
      <c r="A681" s="64">
        <v>20260210361495</v>
      </c>
      <c r="B681" t="s">
        <v>41</v>
      </c>
      <c r="C681" s="65">
        <f t="shared" si="10"/>
        <v>46063</v>
      </c>
      <c r="D681" s="3">
        <v>1</v>
      </c>
      <c r="E681" s="3">
        <v>119000</v>
      </c>
      <c r="F681" s="3">
        <v>119000</v>
      </c>
      <c r="G681" s="3">
        <v>80920</v>
      </c>
      <c r="H681" s="25">
        <v>61496</v>
      </c>
    </row>
    <row r="682" spans="1:8" x14ac:dyDescent="0.3">
      <c r="A682" s="64">
        <v>20260210361579</v>
      </c>
      <c r="B682" t="s">
        <v>41</v>
      </c>
      <c r="C682" s="65">
        <f t="shared" si="10"/>
        <v>46063</v>
      </c>
      <c r="D682" s="3">
        <v>1</v>
      </c>
      <c r="E682" s="3">
        <v>119000</v>
      </c>
      <c r="F682" s="3">
        <v>119000</v>
      </c>
      <c r="G682" s="3">
        <v>80920</v>
      </c>
      <c r="H682" s="25">
        <v>61496</v>
      </c>
    </row>
    <row r="683" spans="1:8" x14ac:dyDescent="0.3">
      <c r="A683" s="64">
        <v>20260210362044</v>
      </c>
      <c r="B683" t="s">
        <v>41</v>
      </c>
      <c r="C683" s="65">
        <f t="shared" si="10"/>
        <v>46063</v>
      </c>
      <c r="D683" s="3">
        <v>1</v>
      </c>
      <c r="E683" s="3">
        <v>119000</v>
      </c>
      <c r="F683" s="3">
        <v>119000</v>
      </c>
      <c r="G683" s="3">
        <v>80920</v>
      </c>
      <c r="H683" s="25">
        <v>61496</v>
      </c>
    </row>
    <row r="684" spans="1:8" x14ac:dyDescent="0.3">
      <c r="A684" s="64">
        <v>20260210360670</v>
      </c>
      <c r="B684" t="s">
        <v>41</v>
      </c>
      <c r="C684" s="65">
        <f t="shared" si="10"/>
        <v>46063</v>
      </c>
      <c r="D684" s="3">
        <v>1</v>
      </c>
      <c r="E684" s="3">
        <v>119000</v>
      </c>
      <c r="F684" s="3">
        <v>119000</v>
      </c>
      <c r="G684" s="3">
        <v>80920</v>
      </c>
      <c r="H684" s="25">
        <v>61496</v>
      </c>
    </row>
    <row r="685" spans="1:8" x14ac:dyDescent="0.3">
      <c r="A685" s="64">
        <v>20260210360241</v>
      </c>
      <c r="B685" t="s">
        <v>41</v>
      </c>
      <c r="C685" s="65">
        <f t="shared" si="10"/>
        <v>46063</v>
      </c>
      <c r="D685" s="3">
        <v>1</v>
      </c>
      <c r="E685" s="3">
        <v>119000</v>
      </c>
      <c r="F685" s="3">
        <v>119000</v>
      </c>
      <c r="G685" s="3">
        <v>80920</v>
      </c>
      <c r="H685" s="25">
        <v>61496</v>
      </c>
    </row>
    <row r="686" spans="1:8" x14ac:dyDescent="0.3">
      <c r="A686" s="64">
        <v>20260210361564</v>
      </c>
      <c r="B686" t="s">
        <v>41</v>
      </c>
      <c r="C686" s="65">
        <f t="shared" si="10"/>
        <v>46063</v>
      </c>
      <c r="D686" s="3">
        <v>1</v>
      </c>
      <c r="E686" s="3">
        <v>119000</v>
      </c>
      <c r="F686" s="3">
        <v>119000</v>
      </c>
      <c r="G686" s="3">
        <v>80920</v>
      </c>
      <c r="H686" s="25">
        <v>61496</v>
      </c>
    </row>
    <row r="687" spans="1:8" x14ac:dyDescent="0.3">
      <c r="A687" s="64">
        <v>20260210361948</v>
      </c>
      <c r="B687" t="s">
        <v>41</v>
      </c>
      <c r="C687" s="65">
        <f t="shared" si="10"/>
        <v>46063</v>
      </c>
      <c r="D687" s="3">
        <v>1</v>
      </c>
      <c r="E687" s="3">
        <v>119000</v>
      </c>
      <c r="F687" s="3">
        <v>113050</v>
      </c>
      <c r="G687" s="3">
        <v>80920</v>
      </c>
      <c r="H687" s="25">
        <v>61496</v>
      </c>
    </row>
    <row r="688" spans="1:8" x14ac:dyDescent="0.3">
      <c r="A688" s="64">
        <v>20260210361019</v>
      </c>
      <c r="B688" t="s">
        <v>41</v>
      </c>
      <c r="C688" s="65">
        <f t="shared" si="10"/>
        <v>46063</v>
      </c>
      <c r="D688" s="3">
        <v>1</v>
      </c>
      <c r="E688" s="3">
        <v>119000</v>
      </c>
      <c r="F688" s="3">
        <v>119000</v>
      </c>
      <c r="G688" s="3">
        <v>80920</v>
      </c>
      <c r="H688" s="25">
        <v>61496</v>
      </c>
    </row>
    <row r="689" spans="1:8" x14ac:dyDescent="0.3">
      <c r="A689" s="64">
        <v>20260210361847</v>
      </c>
      <c r="B689" t="s">
        <v>41</v>
      </c>
      <c r="C689" s="65">
        <f t="shared" si="10"/>
        <v>46063</v>
      </c>
      <c r="D689" s="3">
        <v>1</v>
      </c>
      <c r="E689" s="3">
        <v>119000</v>
      </c>
      <c r="F689" s="3">
        <v>119000</v>
      </c>
      <c r="G689" s="3">
        <v>80920</v>
      </c>
      <c r="H689" s="25">
        <v>61496</v>
      </c>
    </row>
    <row r="690" spans="1:8" x14ac:dyDescent="0.3">
      <c r="A690" s="64">
        <v>20260210362019</v>
      </c>
      <c r="B690" t="s">
        <v>41</v>
      </c>
      <c r="C690" s="65">
        <f t="shared" si="10"/>
        <v>46063</v>
      </c>
      <c r="D690" s="3">
        <v>1</v>
      </c>
      <c r="E690" s="3">
        <v>119000</v>
      </c>
      <c r="F690" s="3">
        <v>113050</v>
      </c>
      <c r="G690" s="3">
        <v>80920</v>
      </c>
      <c r="H690" s="25">
        <v>61496</v>
      </c>
    </row>
    <row r="691" spans="1:8" x14ac:dyDescent="0.3">
      <c r="A691" s="64">
        <v>20260210362206</v>
      </c>
      <c r="B691" t="s">
        <v>41</v>
      </c>
      <c r="C691" s="65">
        <f t="shared" si="10"/>
        <v>46063</v>
      </c>
      <c r="D691" s="3">
        <v>1</v>
      </c>
      <c r="E691" s="3">
        <v>119000</v>
      </c>
      <c r="F691" s="3">
        <v>113050</v>
      </c>
      <c r="G691" s="3">
        <v>80920</v>
      </c>
      <c r="H691" s="25">
        <v>61496</v>
      </c>
    </row>
    <row r="692" spans="1:8" x14ac:dyDescent="0.3">
      <c r="A692" s="64">
        <v>20260210361041</v>
      </c>
      <c r="B692" t="s">
        <v>41</v>
      </c>
      <c r="C692" s="65">
        <f t="shared" si="10"/>
        <v>46063</v>
      </c>
      <c r="D692" s="3">
        <v>1</v>
      </c>
      <c r="E692" s="3">
        <v>119000</v>
      </c>
      <c r="F692" s="3">
        <v>113050</v>
      </c>
      <c r="G692" s="3">
        <v>80920</v>
      </c>
      <c r="H692" s="25">
        <v>61496</v>
      </c>
    </row>
    <row r="693" spans="1:8" x14ac:dyDescent="0.3">
      <c r="A693" s="64">
        <v>20260210361683</v>
      </c>
      <c r="B693" t="s">
        <v>41</v>
      </c>
      <c r="C693" s="65">
        <f t="shared" si="10"/>
        <v>46063</v>
      </c>
      <c r="D693" s="3">
        <v>1</v>
      </c>
      <c r="E693" s="3">
        <v>119000</v>
      </c>
      <c r="F693" s="3">
        <v>119000</v>
      </c>
      <c r="G693" s="3">
        <v>80920</v>
      </c>
      <c r="H693" s="25">
        <v>61496</v>
      </c>
    </row>
    <row r="694" spans="1:8" x14ac:dyDescent="0.3">
      <c r="A694" s="64">
        <v>20260210361352</v>
      </c>
      <c r="B694" t="s">
        <v>41</v>
      </c>
      <c r="C694" s="65">
        <f t="shared" si="10"/>
        <v>46063</v>
      </c>
      <c r="D694" s="3">
        <v>1</v>
      </c>
      <c r="E694" s="3">
        <v>119000</v>
      </c>
      <c r="F694" s="3">
        <v>119000</v>
      </c>
      <c r="G694" s="3">
        <v>80920</v>
      </c>
      <c r="H694" s="25">
        <v>61496</v>
      </c>
    </row>
    <row r="695" spans="1:8" x14ac:dyDescent="0.3">
      <c r="A695" s="64">
        <v>20260210361525</v>
      </c>
      <c r="B695" t="s">
        <v>41</v>
      </c>
      <c r="C695" s="65">
        <f t="shared" si="10"/>
        <v>46063</v>
      </c>
      <c r="D695" s="3">
        <v>1</v>
      </c>
      <c r="E695" s="3">
        <v>119000</v>
      </c>
      <c r="F695" s="3">
        <v>119000</v>
      </c>
      <c r="G695" s="3">
        <v>80920</v>
      </c>
      <c r="H695" s="25">
        <v>61496</v>
      </c>
    </row>
    <row r="696" spans="1:8" x14ac:dyDescent="0.3">
      <c r="A696" s="64">
        <v>20260210361011</v>
      </c>
      <c r="B696" t="s">
        <v>41</v>
      </c>
      <c r="C696" s="65">
        <f t="shared" si="10"/>
        <v>46063</v>
      </c>
      <c r="D696" s="3">
        <v>1</v>
      </c>
      <c r="E696" s="3">
        <v>119000</v>
      </c>
      <c r="F696" s="3">
        <v>119000</v>
      </c>
      <c r="G696" s="3">
        <v>80920</v>
      </c>
      <c r="H696" s="25">
        <v>61496</v>
      </c>
    </row>
    <row r="697" spans="1:8" x14ac:dyDescent="0.3">
      <c r="A697" s="64">
        <v>20260210361551</v>
      </c>
      <c r="B697" t="s">
        <v>41</v>
      </c>
      <c r="C697" s="65">
        <f t="shared" si="10"/>
        <v>46063</v>
      </c>
      <c r="D697" s="3">
        <v>1</v>
      </c>
      <c r="E697" s="3">
        <v>119000</v>
      </c>
      <c r="F697" s="3">
        <v>119000</v>
      </c>
      <c r="G697" s="3">
        <v>80920</v>
      </c>
      <c r="H697" s="25">
        <v>61496</v>
      </c>
    </row>
    <row r="698" spans="1:8" x14ac:dyDescent="0.3">
      <c r="A698" s="64">
        <v>20260210361861</v>
      </c>
      <c r="B698" t="s">
        <v>41</v>
      </c>
      <c r="C698" s="65">
        <f t="shared" si="10"/>
        <v>46063</v>
      </c>
      <c r="D698" s="3">
        <v>1</v>
      </c>
      <c r="E698" s="3">
        <v>119000</v>
      </c>
      <c r="F698" s="3">
        <v>119000</v>
      </c>
      <c r="G698" s="3">
        <v>80920</v>
      </c>
      <c r="H698" s="25">
        <v>61496</v>
      </c>
    </row>
    <row r="699" spans="1:8" x14ac:dyDescent="0.3">
      <c r="A699" s="64">
        <v>20260210361346</v>
      </c>
      <c r="B699" t="s">
        <v>41</v>
      </c>
      <c r="C699" s="65">
        <f t="shared" si="10"/>
        <v>46063</v>
      </c>
      <c r="D699" s="3">
        <v>1</v>
      </c>
      <c r="E699" s="3">
        <v>119000</v>
      </c>
      <c r="F699" s="3">
        <v>119000</v>
      </c>
      <c r="G699" s="3">
        <v>80920</v>
      </c>
      <c r="H699" s="25">
        <v>61496</v>
      </c>
    </row>
    <row r="700" spans="1:8" x14ac:dyDescent="0.3">
      <c r="A700" s="64">
        <v>20260210361491</v>
      </c>
      <c r="B700" t="s">
        <v>41</v>
      </c>
      <c r="C700" s="65">
        <f t="shared" si="10"/>
        <v>46063</v>
      </c>
      <c r="D700" s="3">
        <v>1</v>
      </c>
      <c r="E700" s="3">
        <v>119000</v>
      </c>
      <c r="F700" s="3">
        <v>119000</v>
      </c>
      <c r="G700" s="3">
        <v>80920</v>
      </c>
      <c r="H700" s="25">
        <v>61496</v>
      </c>
    </row>
    <row r="701" spans="1:8" x14ac:dyDescent="0.3">
      <c r="A701" s="64">
        <v>20260210362075</v>
      </c>
      <c r="B701" t="s">
        <v>41</v>
      </c>
      <c r="C701" s="65">
        <f t="shared" si="10"/>
        <v>46063</v>
      </c>
      <c r="D701" s="3">
        <v>1</v>
      </c>
      <c r="E701" s="3">
        <v>119000</v>
      </c>
      <c r="F701" s="3">
        <v>119000</v>
      </c>
      <c r="G701" s="3">
        <v>80920</v>
      </c>
      <c r="H701" s="25">
        <v>61496</v>
      </c>
    </row>
    <row r="702" spans="1:8" x14ac:dyDescent="0.3">
      <c r="A702" s="64">
        <v>20260210362158</v>
      </c>
      <c r="B702" t="s">
        <v>41</v>
      </c>
      <c r="C702" s="65">
        <f t="shared" si="10"/>
        <v>46063</v>
      </c>
      <c r="D702" s="3">
        <v>1</v>
      </c>
      <c r="E702" s="3">
        <v>119000</v>
      </c>
      <c r="F702" s="3">
        <v>119000</v>
      </c>
      <c r="G702" s="3">
        <v>80920</v>
      </c>
      <c r="H702" s="25">
        <v>61496</v>
      </c>
    </row>
    <row r="703" spans="1:8" x14ac:dyDescent="0.3">
      <c r="A703" s="64">
        <v>20260210360596</v>
      </c>
      <c r="B703" t="s">
        <v>41</v>
      </c>
      <c r="C703" s="65">
        <f t="shared" si="10"/>
        <v>46063</v>
      </c>
      <c r="D703" s="3">
        <v>1</v>
      </c>
      <c r="E703" s="3">
        <v>119000</v>
      </c>
      <c r="F703" s="3">
        <v>119000</v>
      </c>
      <c r="G703" s="3">
        <v>80920</v>
      </c>
      <c r="H703" s="25">
        <v>61496</v>
      </c>
    </row>
    <row r="704" spans="1:8" x14ac:dyDescent="0.3">
      <c r="A704" s="64">
        <v>20260210360302</v>
      </c>
      <c r="B704" t="s">
        <v>41</v>
      </c>
      <c r="C704" s="65">
        <f t="shared" si="10"/>
        <v>46063</v>
      </c>
      <c r="D704" s="3">
        <v>1</v>
      </c>
      <c r="E704" s="3">
        <v>119000</v>
      </c>
      <c r="F704" s="3">
        <v>119000</v>
      </c>
      <c r="G704" s="3">
        <v>80920</v>
      </c>
      <c r="H704" s="25">
        <v>61496</v>
      </c>
    </row>
    <row r="705" spans="1:8" x14ac:dyDescent="0.3">
      <c r="A705" s="64">
        <v>20260210360928</v>
      </c>
      <c r="B705" t="s">
        <v>41</v>
      </c>
      <c r="C705" s="65">
        <f t="shared" si="10"/>
        <v>46063</v>
      </c>
      <c r="D705" s="3">
        <v>1</v>
      </c>
      <c r="E705" s="3">
        <v>119000</v>
      </c>
      <c r="F705" s="3">
        <v>119000</v>
      </c>
      <c r="G705" s="3">
        <v>80920</v>
      </c>
      <c r="H705" s="25">
        <v>61496</v>
      </c>
    </row>
    <row r="706" spans="1:8" x14ac:dyDescent="0.3">
      <c r="A706" s="64">
        <v>20260210360937</v>
      </c>
      <c r="B706" t="s">
        <v>41</v>
      </c>
      <c r="C706" s="65">
        <f t="shared" si="10"/>
        <v>46063</v>
      </c>
      <c r="D706" s="3">
        <v>1</v>
      </c>
      <c r="E706" s="3">
        <v>119000</v>
      </c>
      <c r="F706" s="3">
        <v>119000</v>
      </c>
      <c r="G706" s="3">
        <v>80920</v>
      </c>
      <c r="H706" s="25">
        <v>61496</v>
      </c>
    </row>
    <row r="707" spans="1:8" x14ac:dyDescent="0.3">
      <c r="A707" s="64">
        <v>20260210360976</v>
      </c>
      <c r="B707" t="s">
        <v>41</v>
      </c>
      <c r="C707" s="65">
        <f t="shared" ref="C707:C770" si="11">DATE(LEFT(TEXT(A707,"0"),4),MID(TEXT(A707,"0"),5,2),MID(TEXT(A707,"0"),7,2))</f>
        <v>46063</v>
      </c>
      <c r="D707" s="3">
        <v>1</v>
      </c>
      <c r="E707" s="3">
        <v>119000</v>
      </c>
      <c r="F707" s="3">
        <v>119000</v>
      </c>
      <c r="G707" s="3">
        <v>80920</v>
      </c>
      <c r="H707" s="25">
        <v>61496</v>
      </c>
    </row>
    <row r="708" spans="1:8" x14ac:dyDescent="0.3">
      <c r="A708" s="64">
        <v>20260210360392</v>
      </c>
      <c r="B708" t="s">
        <v>41</v>
      </c>
      <c r="C708" s="65">
        <f t="shared" si="11"/>
        <v>46063</v>
      </c>
      <c r="D708" s="3">
        <v>1</v>
      </c>
      <c r="E708" s="3">
        <v>119000</v>
      </c>
      <c r="F708" s="3">
        <v>119000</v>
      </c>
      <c r="G708" s="3">
        <v>80920</v>
      </c>
      <c r="H708" s="25">
        <v>61496</v>
      </c>
    </row>
    <row r="709" spans="1:8" x14ac:dyDescent="0.3">
      <c r="A709" s="64">
        <v>20260210361319</v>
      </c>
      <c r="B709" t="s">
        <v>41</v>
      </c>
      <c r="C709" s="65">
        <f t="shared" si="11"/>
        <v>46063</v>
      </c>
      <c r="D709" s="3">
        <v>1</v>
      </c>
      <c r="E709" s="3">
        <v>119000</v>
      </c>
      <c r="F709" s="3">
        <v>119000</v>
      </c>
      <c r="G709" s="3">
        <v>80920</v>
      </c>
      <c r="H709" s="25">
        <v>61496</v>
      </c>
    </row>
    <row r="710" spans="1:8" x14ac:dyDescent="0.3">
      <c r="A710" s="64">
        <v>20260210361317</v>
      </c>
      <c r="B710" t="s">
        <v>41</v>
      </c>
      <c r="C710" s="65">
        <f t="shared" si="11"/>
        <v>46063</v>
      </c>
      <c r="D710" s="3">
        <v>1</v>
      </c>
      <c r="E710" s="3">
        <v>119000</v>
      </c>
      <c r="F710" s="3">
        <v>119000</v>
      </c>
      <c r="G710" s="3">
        <v>80920</v>
      </c>
      <c r="H710" s="25">
        <v>61496</v>
      </c>
    </row>
    <row r="711" spans="1:8" x14ac:dyDescent="0.3">
      <c r="A711" s="64">
        <v>20260210361357</v>
      </c>
      <c r="B711" t="s">
        <v>41</v>
      </c>
      <c r="C711" s="65">
        <f t="shared" si="11"/>
        <v>46063</v>
      </c>
      <c r="D711" s="3">
        <v>1</v>
      </c>
      <c r="E711" s="3">
        <v>119000</v>
      </c>
      <c r="F711" s="3">
        <v>119000</v>
      </c>
      <c r="G711" s="3">
        <v>80920</v>
      </c>
      <c r="H711" s="25">
        <v>61496</v>
      </c>
    </row>
    <row r="712" spans="1:8" x14ac:dyDescent="0.3">
      <c r="A712" s="64">
        <v>20260210360557</v>
      </c>
      <c r="B712" t="s">
        <v>41</v>
      </c>
      <c r="C712" s="65">
        <f t="shared" si="11"/>
        <v>46063</v>
      </c>
      <c r="D712" s="3">
        <v>1</v>
      </c>
      <c r="E712" s="3">
        <v>119000</v>
      </c>
      <c r="F712" s="3">
        <v>119000</v>
      </c>
      <c r="G712" s="3">
        <v>80920</v>
      </c>
      <c r="H712" s="25">
        <v>61496</v>
      </c>
    </row>
    <row r="713" spans="1:8" x14ac:dyDescent="0.3">
      <c r="A713" s="64">
        <v>20260210361392</v>
      </c>
      <c r="B713" t="s">
        <v>41</v>
      </c>
      <c r="C713" s="65">
        <f t="shared" si="11"/>
        <v>46063</v>
      </c>
      <c r="D713" s="3">
        <v>1</v>
      </c>
      <c r="E713" s="3">
        <v>119000</v>
      </c>
      <c r="F713" s="3">
        <v>119000</v>
      </c>
      <c r="G713" s="3">
        <v>80920</v>
      </c>
      <c r="H713" s="25">
        <v>61496</v>
      </c>
    </row>
    <row r="714" spans="1:8" x14ac:dyDescent="0.3">
      <c r="A714" s="64">
        <v>20260210361499</v>
      </c>
      <c r="B714" t="s">
        <v>41</v>
      </c>
      <c r="C714" s="65">
        <f t="shared" si="11"/>
        <v>46063</v>
      </c>
      <c r="D714" s="3">
        <v>1</v>
      </c>
      <c r="E714" s="3">
        <v>119000</v>
      </c>
      <c r="F714" s="3">
        <v>119000</v>
      </c>
      <c r="G714" s="3">
        <v>80920</v>
      </c>
      <c r="H714" s="25">
        <v>61496</v>
      </c>
    </row>
    <row r="715" spans="1:8" x14ac:dyDescent="0.3">
      <c r="A715" s="64">
        <v>20260210360664</v>
      </c>
      <c r="B715" t="s">
        <v>41</v>
      </c>
      <c r="C715" s="65">
        <f t="shared" si="11"/>
        <v>46063</v>
      </c>
      <c r="D715" s="3">
        <v>1</v>
      </c>
      <c r="E715" s="3">
        <v>119000</v>
      </c>
      <c r="F715" s="3">
        <v>119000</v>
      </c>
      <c r="G715" s="3">
        <v>80920</v>
      </c>
      <c r="H715" s="25">
        <v>61496</v>
      </c>
    </row>
    <row r="716" spans="1:8" x14ac:dyDescent="0.3">
      <c r="A716" s="64">
        <v>20260210361611</v>
      </c>
      <c r="B716" t="s">
        <v>41</v>
      </c>
      <c r="C716" s="65">
        <f t="shared" si="11"/>
        <v>46063</v>
      </c>
      <c r="D716" s="3">
        <v>1</v>
      </c>
      <c r="E716" s="3">
        <v>119000</v>
      </c>
      <c r="F716" s="3">
        <v>119000</v>
      </c>
      <c r="G716" s="3">
        <v>80920</v>
      </c>
      <c r="H716" s="25">
        <v>61496</v>
      </c>
    </row>
    <row r="717" spans="1:8" x14ac:dyDescent="0.3">
      <c r="A717" s="64">
        <v>20260210361659</v>
      </c>
      <c r="B717" t="s">
        <v>41</v>
      </c>
      <c r="C717" s="65">
        <f t="shared" si="11"/>
        <v>46063</v>
      </c>
      <c r="D717" s="3">
        <v>1</v>
      </c>
      <c r="E717" s="3">
        <v>119000</v>
      </c>
      <c r="F717" s="3">
        <v>119000</v>
      </c>
      <c r="G717" s="3">
        <v>80920</v>
      </c>
      <c r="H717" s="25">
        <v>61496</v>
      </c>
    </row>
    <row r="718" spans="1:8" x14ac:dyDescent="0.3">
      <c r="A718" s="64">
        <v>20260210361936</v>
      </c>
      <c r="B718" t="s">
        <v>41</v>
      </c>
      <c r="C718" s="65">
        <f t="shared" si="11"/>
        <v>46063</v>
      </c>
      <c r="D718" s="3">
        <v>1</v>
      </c>
      <c r="E718" s="3">
        <v>119000</v>
      </c>
      <c r="F718" s="3">
        <v>119000</v>
      </c>
      <c r="G718" s="3">
        <v>80920</v>
      </c>
      <c r="H718" s="25">
        <v>61496</v>
      </c>
    </row>
    <row r="719" spans="1:8" x14ac:dyDescent="0.3">
      <c r="A719" s="64">
        <v>20260210362041</v>
      </c>
      <c r="B719" t="s">
        <v>41</v>
      </c>
      <c r="C719" s="65">
        <f t="shared" si="11"/>
        <v>46063</v>
      </c>
      <c r="D719" s="3">
        <v>1</v>
      </c>
      <c r="E719" s="3">
        <v>119000</v>
      </c>
      <c r="F719" s="3">
        <v>119000</v>
      </c>
      <c r="G719" s="3">
        <v>80920</v>
      </c>
      <c r="H719" s="25">
        <v>61496</v>
      </c>
    </row>
    <row r="720" spans="1:8" x14ac:dyDescent="0.3">
      <c r="A720" s="64">
        <v>20260210362161</v>
      </c>
      <c r="B720" t="s">
        <v>41</v>
      </c>
      <c r="C720" s="65">
        <f t="shared" si="11"/>
        <v>46063</v>
      </c>
      <c r="D720" s="3">
        <v>1</v>
      </c>
      <c r="E720" s="3">
        <v>119000</v>
      </c>
      <c r="F720" s="3">
        <v>119000</v>
      </c>
      <c r="G720" s="3">
        <v>80920</v>
      </c>
      <c r="H720" s="25">
        <v>61496</v>
      </c>
    </row>
    <row r="721" spans="1:8" x14ac:dyDescent="0.3">
      <c r="A721" s="64">
        <v>20260210360981</v>
      </c>
      <c r="B721" t="s">
        <v>41</v>
      </c>
      <c r="C721" s="65">
        <f t="shared" si="11"/>
        <v>46063</v>
      </c>
      <c r="D721" s="3">
        <v>1</v>
      </c>
      <c r="E721" s="3">
        <v>119000</v>
      </c>
      <c r="F721" s="3">
        <v>109000</v>
      </c>
      <c r="G721" s="3">
        <v>80920</v>
      </c>
      <c r="H721" s="25">
        <v>61496</v>
      </c>
    </row>
    <row r="722" spans="1:8" x14ac:dyDescent="0.3">
      <c r="A722" s="64">
        <v>20260210360090</v>
      </c>
      <c r="B722" t="s">
        <v>41</v>
      </c>
      <c r="C722" s="65">
        <f t="shared" si="11"/>
        <v>46063</v>
      </c>
      <c r="D722" s="3">
        <v>1</v>
      </c>
      <c r="E722" s="3">
        <v>119000</v>
      </c>
      <c r="F722" s="3">
        <v>119000</v>
      </c>
      <c r="G722" s="3">
        <v>80920</v>
      </c>
      <c r="H722" s="25">
        <v>61496</v>
      </c>
    </row>
    <row r="723" spans="1:8" x14ac:dyDescent="0.3">
      <c r="A723" s="64">
        <v>20260210360250</v>
      </c>
      <c r="B723" t="s">
        <v>41</v>
      </c>
      <c r="C723" s="65">
        <f t="shared" si="11"/>
        <v>46063</v>
      </c>
      <c r="D723" s="3">
        <v>1</v>
      </c>
      <c r="E723" s="3">
        <v>119000</v>
      </c>
      <c r="F723" s="3">
        <v>119000</v>
      </c>
      <c r="G723" s="3">
        <v>80920</v>
      </c>
      <c r="H723" s="25">
        <v>61496</v>
      </c>
    </row>
    <row r="724" spans="1:8" x14ac:dyDescent="0.3">
      <c r="A724" s="64">
        <v>20260210360422</v>
      </c>
      <c r="B724" t="s">
        <v>41</v>
      </c>
      <c r="C724" s="65">
        <f t="shared" si="11"/>
        <v>46063</v>
      </c>
      <c r="D724" s="3">
        <v>1</v>
      </c>
      <c r="E724" s="3">
        <v>119000</v>
      </c>
      <c r="F724" s="3">
        <v>119000</v>
      </c>
      <c r="G724" s="3">
        <v>80920</v>
      </c>
      <c r="H724" s="25">
        <v>61496</v>
      </c>
    </row>
    <row r="725" spans="1:8" x14ac:dyDescent="0.3">
      <c r="A725" s="64">
        <v>20260210360428</v>
      </c>
      <c r="B725" t="s">
        <v>41</v>
      </c>
      <c r="C725" s="65">
        <f t="shared" si="11"/>
        <v>46063</v>
      </c>
      <c r="D725" s="3">
        <v>1</v>
      </c>
      <c r="E725" s="3">
        <v>119000</v>
      </c>
      <c r="F725" s="3">
        <v>119000</v>
      </c>
      <c r="G725" s="3">
        <v>80920</v>
      </c>
      <c r="H725" s="25">
        <v>61496</v>
      </c>
    </row>
    <row r="726" spans="1:8" x14ac:dyDescent="0.3">
      <c r="A726" s="64">
        <v>20260210361274</v>
      </c>
      <c r="B726" t="s">
        <v>41</v>
      </c>
      <c r="C726" s="65">
        <f t="shared" si="11"/>
        <v>46063</v>
      </c>
      <c r="D726" s="3">
        <v>1</v>
      </c>
      <c r="E726" s="3">
        <v>119000</v>
      </c>
      <c r="F726" s="3">
        <v>119000</v>
      </c>
      <c r="G726" s="3">
        <v>80920</v>
      </c>
      <c r="H726" s="25">
        <v>61496</v>
      </c>
    </row>
    <row r="727" spans="1:8" x14ac:dyDescent="0.3">
      <c r="A727" s="64">
        <v>20260210361271</v>
      </c>
      <c r="B727" t="s">
        <v>41</v>
      </c>
      <c r="C727" s="65">
        <f t="shared" si="11"/>
        <v>46063</v>
      </c>
      <c r="D727" s="3">
        <v>1</v>
      </c>
      <c r="E727" s="3">
        <v>119000</v>
      </c>
      <c r="F727" s="3">
        <v>119000</v>
      </c>
      <c r="G727" s="3">
        <v>80920</v>
      </c>
      <c r="H727" s="25">
        <v>61496</v>
      </c>
    </row>
    <row r="728" spans="1:8" x14ac:dyDescent="0.3">
      <c r="A728" s="64">
        <v>20260210360545</v>
      </c>
      <c r="B728" t="s">
        <v>41</v>
      </c>
      <c r="C728" s="65">
        <f t="shared" si="11"/>
        <v>46063</v>
      </c>
      <c r="D728" s="3">
        <v>1</v>
      </c>
      <c r="E728" s="3">
        <v>119000</v>
      </c>
      <c r="F728" s="3">
        <v>119000</v>
      </c>
      <c r="G728" s="3">
        <v>80920</v>
      </c>
      <c r="H728" s="25">
        <v>61496</v>
      </c>
    </row>
    <row r="729" spans="1:8" x14ac:dyDescent="0.3">
      <c r="A729" s="64">
        <v>20260210360564</v>
      </c>
      <c r="B729" t="s">
        <v>41</v>
      </c>
      <c r="C729" s="65">
        <f t="shared" si="11"/>
        <v>46063</v>
      </c>
      <c r="D729" s="3">
        <v>1</v>
      </c>
      <c r="E729" s="3">
        <v>119000</v>
      </c>
      <c r="F729" s="3">
        <v>113050</v>
      </c>
      <c r="G729" s="3">
        <v>80920</v>
      </c>
      <c r="H729" s="25">
        <v>61496</v>
      </c>
    </row>
    <row r="730" spans="1:8" x14ac:dyDescent="0.3">
      <c r="A730" s="64">
        <v>20260210360718</v>
      </c>
      <c r="B730" t="s">
        <v>41</v>
      </c>
      <c r="C730" s="65">
        <f t="shared" si="11"/>
        <v>46063</v>
      </c>
      <c r="D730" s="3">
        <v>1</v>
      </c>
      <c r="E730" s="3">
        <v>119000</v>
      </c>
      <c r="F730" s="3">
        <v>119000</v>
      </c>
      <c r="G730" s="3">
        <v>80920</v>
      </c>
      <c r="H730" s="25">
        <v>61496</v>
      </c>
    </row>
    <row r="731" spans="1:8" x14ac:dyDescent="0.3">
      <c r="A731" s="64">
        <v>20260210361907</v>
      </c>
      <c r="B731" t="s">
        <v>41</v>
      </c>
      <c r="C731" s="65">
        <f t="shared" si="11"/>
        <v>46063</v>
      </c>
      <c r="D731" s="3">
        <v>1</v>
      </c>
      <c r="E731" s="3">
        <v>119000</v>
      </c>
      <c r="F731" s="3">
        <v>119000</v>
      </c>
      <c r="G731" s="3">
        <v>80920</v>
      </c>
      <c r="H731" s="25">
        <v>61496</v>
      </c>
    </row>
    <row r="732" spans="1:8" x14ac:dyDescent="0.3">
      <c r="A732" s="64">
        <v>20260210361763</v>
      </c>
      <c r="B732" t="s">
        <v>41</v>
      </c>
      <c r="C732" s="65">
        <f t="shared" si="11"/>
        <v>46063</v>
      </c>
      <c r="D732" s="3">
        <v>1</v>
      </c>
      <c r="E732" s="3">
        <v>119000</v>
      </c>
      <c r="F732" s="3">
        <v>104720</v>
      </c>
      <c r="G732" s="3">
        <v>80920</v>
      </c>
      <c r="H732" s="25">
        <v>61496</v>
      </c>
    </row>
    <row r="733" spans="1:8" x14ac:dyDescent="0.3">
      <c r="A733" s="64">
        <v>20260210361537</v>
      </c>
      <c r="B733" t="s">
        <v>41</v>
      </c>
      <c r="C733" s="65">
        <f t="shared" si="11"/>
        <v>46063</v>
      </c>
      <c r="D733" s="3">
        <v>1</v>
      </c>
      <c r="E733" s="3">
        <v>119000</v>
      </c>
      <c r="F733" s="3">
        <v>119000</v>
      </c>
      <c r="G733" s="3">
        <v>80920</v>
      </c>
      <c r="H733" s="25">
        <v>61496</v>
      </c>
    </row>
    <row r="734" spans="1:8" x14ac:dyDescent="0.3">
      <c r="A734" s="64">
        <v>20260210362086</v>
      </c>
      <c r="B734" t="s">
        <v>41</v>
      </c>
      <c r="C734" s="65">
        <f t="shared" si="11"/>
        <v>46063</v>
      </c>
      <c r="D734" s="3">
        <v>1</v>
      </c>
      <c r="E734" s="3">
        <v>119000</v>
      </c>
      <c r="F734" s="3">
        <v>119000</v>
      </c>
      <c r="G734" s="3">
        <v>80920</v>
      </c>
      <c r="H734" s="25">
        <v>61496</v>
      </c>
    </row>
    <row r="735" spans="1:8" x14ac:dyDescent="0.3">
      <c r="A735" s="64">
        <v>20260210360468</v>
      </c>
      <c r="B735" t="s">
        <v>41</v>
      </c>
      <c r="C735" s="65">
        <f t="shared" si="11"/>
        <v>46063</v>
      </c>
      <c r="D735" s="3">
        <v>1</v>
      </c>
      <c r="E735" s="3">
        <v>119000</v>
      </c>
      <c r="F735" s="3">
        <v>119000</v>
      </c>
      <c r="G735" s="3">
        <v>80920</v>
      </c>
      <c r="H735" s="25">
        <v>61496</v>
      </c>
    </row>
    <row r="736" spans="1:8" x14ac:dyDescent="0.3">
      <c r="A736" s="64">
        <v>20260210360549</v>
      </c>
      <c r="B736" t="s">
        <v>41</v>
      </c>
      <c r="C736" s="65">
        <f t="shared" si="11"/>
        <v>46063</v>
      </c>
      <c r="D736" s="3">
        <v>1</v>
      </c>
      <c r="E736" s="3">
        <v>119000</v>
      </c>
      <c r="F736" s="3">
        <v>119000</v>
      </c>
      <c r="G736" s="3">
        <v>80920</v>
      </c>
      <c r="H736" s="25">
        <v>61496</v>
      </c>
    </row>
    <row r="737" spans="1:8" x14ac:dyDescent="0.3">
      <c r="A737" s="64">
        <v>20260210360555</v>
      </c>
      <c r="B737" t="s">
        <v>41</v>
      </c>
      <c r="C737" s="65">
        <f t="shared" si="11"/>
        <v>46063</v>
      </c>
      <c r="D737" s="3">
        <v>1</v>
      </c>
      <c r="E737" s="3">
        <v>119000</v>
      </c>
      <c r="F737" s="3">
        <v>119000</v>
      </c>
      <c r="G737" s="3">
        <v>80920</v>
      </c>
      <c r="H737" s="25">
        <v>61496</v>
      </c>
    </row>
    <row r="738" spans="1:8" x14ac:dyDescent="0.3">
      <c r="A738" s="64">
        <v>20260210361541</v>
      </c>
      <c r="B738" t="s">
        <v>41</v>
      </c>
      <c r="C738" s="65">
        <f t="shared" si="11"/>
        <v>46063</v>
      </c>
      <c r="D738" s="3">
        <v>1</v>
      </c>
      <c r="E738" s="3">
        <v>119000</v>
      </c>
      <c r="F738" s="3">
        <v>119000</v>
      </c>
      <c r="G738" s="3">
        <v>80920</v>
      </c>
      <c r="H738" s="25">
        <v>61496</v>
      </c>
    </row>
    <row r="739" spans="1:8" x14ac:dyDescent="0.3">
      <c r="A739" s="64">
        <v>20260210361534</v>
      </c>
      <c r="B739" t="s">
        <v>41</v>
      </c>
      <c r="C739" s="65">
        <f t="shared" si="11"/>
        <v>46063</v>
      </c>
      <c r="D739" s="3">
        <v>1</v>
      </c>
      <c r="E739" s="3">
        <v>119000</v>
      </c>
      <c r="F739" s="3">
        <v>119000</v>
      </c>
      <c r="G739" s="3">
        <v>80920</v>
      </c>
      <c r="H739" s="25">
        <v>61496</v>
      </c>
    </row>
    <row r="740" spans="1:8" x14ac:dyDescent="0.3">
      <c r="A740" s="64">
        <v>20260210360682</v>
      </c>
      <c r="B740" t="s">
        <v>41</v>
      </c>
      <c r="C740" s="65">
        <f t="shared" si="11"/>
        <v>46063</v>
      </c>
      <c r="D740" s="3">
        <v>1</v>
      </c>
      <c r="E740" s="3">
        <v>119000</v>
      </c>
      <c r="F740" s="3">
        <v>119000</v>
      </c>
      <c r="G740" s="3">
        <v>80920</v>
      </c>
      <c r="H740" s="25">
        <v>61496</v>
      </c>
    </row>
    <row r="741" spans="1:8" x14ac:dyDescent="0.3">
      <c r="A741" s="64">
        <v>20260210361794</v>
      </c>
      <c r="B741" t="s">
        <v>41</v>
      </c>
      <c r="C741" s="65">
        <f t="shared" si="11"/>
        <v>46063</v>
      </c>
      <c r="D741" s="3">
        <v>1</v>
      </c>
      <c r="E741" s="3">
        <v>119000</v>
      </c>
      <c r="F741" s="3">
        <v>119000</v>
      </c>
      <c r="G741" s="3">
        <v>80920</v>
      </c>
      <c r="H741" s="25">
        <v>61496</v>
      </c>
    </row>
    <row r="742" spans="1:8" x14ac:dyDescent="0.3">
      <c r="A742" s="64">
        <v>20260210361965</v>
      </c>
      <c r="B742" t="s">
        <v>41</v>
      </c>
      <c r="C742" s="65">
        <f t="shared" si="11"/>
        <v>46063</v>
      </c>
      <c r="D742" s="3">
        <v>1</v>
      </c>
      <c r="E742" s="3">
        <v>119000</v>
      </c>
      <c r="F742" s="3">
        <v>119000</v>
      </c>
      <c r="G742" s="3">
        <v>80920</v>
      </c>
      <c r="H742" s="25">
        <v>61496</v>
      </c>
    </row>
    <row r="743" spans="1:8" x14ac:dyDescent="0.3">
      <c r="A743" s="64">
        <v>20260210362013</v>
      </c>
      <c r="B743" t="s">
        <v>41</v>
      </c>
      <c r="C743" s="65">
        <f t="shared" si="11"/>
        <v>46063</v>
      </c>
      <c r="D743" s="3">
        <v>1</v>
      </c>
      <c r="E743" s="3">
        <v>119000</v>
      </c>
      <c r="F743" s="3">
        <v>119000</v>
      </c>
      <c r="G743" s="3">
        <v>80920</v>
      </c>
      <c r="H743" s="25">
        <v>61496</v>
      </c>
    </row>
    <row r="744" spans="1:8" x14ac:dyDescent="0.3">
      <c r="A744" s="64">
        <v>20260210360694</v>
      </c>
      <c r="B744" t="s">
        <v>41</v>
      </c>
      <c r="C744" s="65">
        <f t="shared" si="11"/>
        <v>46063</v>
      </c>
      <c r="D744" s="3">
        <v>1</v>
      </c>
      <c r="E744" s="3">
        <v>119000</v>
      </c>
      <c r="F744" s="3">
        <v>119000</v>
      </c>
      <c r="G744" s="3">
        <v>80920</v>
      </c>
      <c r="H744" s="25">
        <v>61496</v>
      </c>
    </row>
    <row r="745" spans="1:8" x14ac:dyDescent="0.3">
      <c r="A745" s="64">
        <v>20260210361989</v>
      </c>
      <c r="B745" t="s">
        <v>41</v>
      </c>
      <c r="C745" s="65">
        <f t="shared" si="11"/>
        <v>46063</v>
      </c>
      <c r="D745" s="3">
        <v>1</v>
      </c>
      <c r="E745" s="3">
        <v>119000</v>
      </c>
      <c r="F745" s="3">
        <v>119000</v>
      </c>
      <c r="G745" s="3">
        <v>80920</v>
      </c>
      <c r="H745" s="25">
        <v>61496</v>
      </c>
    </row>
    <row r="746" spans="1:8" x14ac:dyDescent="0.3">
      <c r="A746" s="64">
        <v>20260210362685</v>
      </c>
      <c r="B746" t="s">
        <v>41</v>
      </c>
      <c r="C746" s="65">
        <f t="shared" si="11"/>
        <v>46063</v>
      </c>
      <c r="D746" s="3">
        <v>1</v>
      </c>
      <c r="E746" s="3">
        <v>119000</v>
      </c>
      <c r="F746" s="3">
        <v>119000</v>
      </c>
      <c r="G746" s="3">
        <v>80920</v>
      </c>
      <c r="H746" s="25">
        <v>61496</v>
      </c>
    </row>
    <row r="747" spans="1:8" x14ac:dyDescent="0.3">
      <c r="A747" s="64">
        <v>20260210369877</v>
      </c>
      <c r="B747" t="s">
        <v>41</v>
      </c>
      <c r="C747" s="65">
        <f t="shared" si="11"/>
        <v>46063</v>
      </c>
      <c r="D747" s="3">
        <v>1</v>
      </c>
      <c r="E747" s="3">
        <v>119000</v>
      </c>
      <c r="F747" s="3">
        <v>119000</v>
      </c>
      <c r="G747" s="3">
        <v>80920</v>
      </c>
      <c r="H747" s="25">
        <v>61496</v>
      </c>
    </row>
    <row r="748" spans="1:8" x14ac:dyDescent="0.3">
      <c r="A748" s="64">
        <v>20260210364014</v>
      </c>
      <c r="B748" t="s">
        <v>41</v>
      </c>
      <c r="C748" s="65">
        <f t="shared" si="11"/>
        <v>46063</v>
      </c>
      <c r="D748" s="3">
        <v>1</v>
      </c>
      <c r="E748" s="3">
        <v>119000</v>
      </c>
      <c r="F748" s="3">
        <v>119000</v>
      </c>
      <c r="G748" s="3">
        <v>80920</v>
      </c>
      <c r="H748" s="25">
        <v>61496</v>
      </c>
    </row>
    <row r="749" spans="1:8" x14ac:dyDescent="0.3">
      <c r="A749" s="64">
        <v>20260210361013</v>
      </c>
      <c r="B749" t="s">
        <v>41</v>
      </c>
      <c r="C749" s="65">
        <f t="shared" si="11"/>
        <v>46063</v>
      </c>
      <c r="D749" s="3">
        <v>1</v>
      </c>
      <c r="E749" s="3">
        <v>119000</v>
      </c>
      <c r="F749" s="3">
        <v>119000</v>
      </c>
      <c r="G749" s="3">
        <v>80920</v>
      </c>
      <c r="H749" s="25">
        <v>61496</v>
      </c>
    </row>
    <row r="750" spans="1:8" x14ac:dyDescent="0.3">
      <c r="A750" s="64">
        <v>20260210360886</v>
      </c>
      <c r="B750" t="s">
        <v>41</v>
      </c>
      <c r="C750" s="65">
        <f t="shared" si="11"/>
        <v>46063</v>
      </c>
      <c r="D750" s="3">
        <v>1</v>
      </c>
      <c r="E750" s="3">
        <v>119000</v>
      </c>
      <c r="F750" s="3">
        <v>119000</v>
      </c>
      <c r="G750" s="3">
        <v>80920</v>
      </c>
      <c r="H750" s="25">
        <v>61496</v>
      </c>
    </row>
    <row r="751" spans="1:8" x14ac:dyDescent="0.3">
      <c r="A751" s="64">
        <v>20260210360902</v>
      </c>
      <c r="B751" t="s">
        <v>41</v>
      </c>
      <c r="C751" s="65">
        <f t="shared" si="11"/>
        <v>46063</v>
      </c>
      <c r="D751" s="3">
        <v>1</v>
      </c>
      <c r="E751" s="3">
        <v>119000</v>
      </c>
      <c r="F751" s="3">
        <v>95200</v>
      </c>
      <c r="G751" s="3">
        <v>80920</v>
      </c>
      <c r="H751" s="25">
        <v>61496</v>
      </c>
    </row>
    <row r="752" spans="1:8" x14ac:dyDescent="0.3">
      <c r="A752" s="64">
        <v>20260210361527</v>
      </c>
      <c r="B752" t="s">
        <v>41</v>
      </c>
      <c r="C752" s="65">
        <f t="shared" si="11"/>
        <v>46063</v>
      </c>
      <c r="D752" s="3">
        <v>1</v>
      </c>
      <c r="E752" s="3">
        <v>119000</v>
      </c>
      <c r="F752" s="3">
        <v>119000</v>
      </c>
      <c r="G752" s="3">
        <v>80920</v>
      </c>
      <c r="H752" s="25">
        <v>61496</v>
      </c>
    </row>
    <row r="753" spans="1:8" x14ac:dyDescent="0.3">
      <c r="A753" s="64">
        <v>20260210360785</v>
      </c>
      <c r="B753" t="s">
        <v>41</v>
      </c>
      <c r="C753" s="65">
        <f t="shared" si="11"/>
        <v>46063</v>
      </c>
      <c r="D753" s="3">
        <v>1</v>
      </c>
      <c r="E753" s="3">
        <v>119000</v>
      </c>
      <c r="F753" s="3">
        <v>119000</v>
      </c>
      <c r="G753" s="3">
        <v>80920</v>
      </c>
      <c r="H753" s="25">
        <v>61496</v>
      </c>
    </row>
    <row r="754" spans="1:8" x14ac:dyDescent="0.3">
      <c r="A754" s="64">
        <v>20260210360903</v>
      </c>
      <c r="B754" t="s">
        <v>41</v>
      </c>
      <c r="C754" s="65">
        <f t="shared" si="11"/>
        <v>46063</v>
      </c>
      <c r="D754" s="3">
        <v>1</v>
      </c>
      <c r="E754" s="3">
        <v>119000</v>
      </c>
      <c r="F754" s="3">
        <v>113050</v>
      </c>
      <c r="G754" s="3">
        <v>80920</v>
      </c>
      <c r="H754" s="25">
        <v>61496</v>
      </c>
    </row>
    <row r="755" spans="1:8" x14ac:dyDescent="0.3">
      <c r="A755" s="64">
        <v>20260210360818</v>
      </c>
      <c r="B755" t="s">
        <v>41</v>
      </c>
      <c r="C755" s="65">
        <f t="shared" si="11"/>
        <v>46063</v>
      </c>
      <c r="D755" s="3">
        <v>1</v>
      </c>
      <c r="E755" s="3">
        <v>119000</v>
      </c>
      <c r="F755" s="3">
        <v>119000</v>
      </c>
      <c r="G755" s="3">
        <v>80920</v>
      </c>
      <c r="H755" s="25">
        <v>61496</v>
      </c>
    </row>
    <row r="756" spans="1:8" x14ac:dyDescent="0.3">
      <c r="A756" s="64">
        <v>20260210361184</v>
      </c>
      <c r="B756" t="s">
        <v>41</v>
      </c>
      <c r="C756" s="65">
        <f t="shared" si="11"/>
        <v>46063</v>
      </c>
      <c r="D756" s="3">
        <v>1</v>
      </c>
      <c r="E756" s="3">
        <v>119000</v>
      </c>
      <c r="F756" s="3">
        <v>114000</v>
      </c>
      <c r="G756" s="3">
        <v>80920</v>
      </c>
      <c r="H756" s="25">
        <v>61496</v>
      </c>
    </row>
    <row r="757" spans="1:8" x14ac:dyDescent="0.3">
      <c r="A757" s="64">
        <v>20260210360436</v>
      </c>
      <c r="B757" t="s">
        <v>41</v>
      </c>
      <c r="C757" s="65">
        <f t="shared" si="11"/>
        <v>46063</v>
      </c>
      <c r="D757" s="3">
        <v>1</v>
      </c>
      <c r="E757" s="3">
        <v>119000</v>
      </c>
      <c r="F757" s="3">
        <v>119000</v>
      </c>
      <c r="G757" s="3">
        <v>80920</v>
      </c>
      <c r="H757" s="25">
        <v>61496</v>
      </c>
    </row>
    <row r="758" spans="1:8" x14ac:dyDescent="0.3">
      <c r="A758" s="64">
        <v>20260210361793</v>
      </c>
      <c r="B758" t="s">
        <v>41</v>
      </c>
      <c r="C758" s="65">
        <f t="shared" si="11"/>
        <v>46063</v>
      </c>
      <c r="D758" s="3">
        <v>1</v>
      </c>
      <c r="E758" s="3">
        <v>119000</v>
      </c>
      <c r="F758" s="3">
        <v>119000</v>
      </c>
      <c r="G758" s="3">
        <v>80920</v>
      </c>
      <c r="H758" s="25">
        <v>61496</v>
      </c>
    </row>
    <row r="759" spans="1:8" x14ac:dyDescent="0.3">
      <c r="A759" s="64">
        <v>20260210361964</v>
      </c>
      <c r="B759" t="s">
        <v>41</v>
      </c>
      <c r="C759" s="65">
        <f t="shared" si="11"/>
        <v>46063</v>
      </c>
      <c r="D759" s="3">
        <v>1</v>
      </c>
      <c r="E759" s="3">
        <v>119000</v>
      </c>
      <c r="F759" s="3">
        <v>119000</v>
      </c>
      <c r="G759" s="3">
        <v>80920</v>
      </c>
      <c r="H759" s="25">
        <v>61496</v>
      </c>
    </row>
    <row r="760" spans="1:8" x14ac:dyDescent="0.3">
      <c r="A760" s="64">
        <v>20260210361971</v>
      </c>
      <c r="B760" t="s">
        <v>41</v>
      </c>
      <c r="C760" s="65">
        <f t="shared" si="11"/>
        <v>46063</v>
      </c>
      <c r="D760" s="3">
        <v>1</v>
      </c>
      <c r="E760" s="3">
        <v>119000</v>
      </c>
      <c r="F760" s="3">
        <v>119000</v>
      </c>
      <c r="G760" s="3">
        <v>80920</v>
      </c>
      <c r="H760" s="25">
        <v>61496</v>
      </c>
    </row>
    <row r="761" spans="1:8" x14ac:dyDescent="0.3">
      <c r="A761" s="64">
        <v>20260210360781</v>
      </c>
      <c r="B761" t="s">
        <v>41</v>
      </c>
      <c r="C761" s="65">
        <f t="shared" si="11"/>
        <v>46063</v>
      </c>
      <c r="D761" s="3">
        <v>1</v>
      </c>
      <c r="E761" s="3">
        <v>119000</v>
      </c>
      <c r="F761" s="3">
        <v>119000</v>
      </c>
      <c r="G761" s="3">
        <v>80920</v>
      </c>
      <c r="H761" s="25">
        <v>61496</v>
      </c>
    </row>
    <row r="762" spans="1:8" x14ac:dyDescent="0.3">
      <c r="A762" s="64">
        <v>20260210361080</v>
      </c>
      <c r="B762" t="s">
        <v>41</v>
      </c>
      <c r="C762" s="65">
        <f t="shared" si="11"/>
        <v>46063</v>
      </c>
      <c r="D762" s="3">
        <v>1</v>
      </c>
      <c r="E762" s="3">
        <v>119000</v>
      </c>
      <c r="F762" s="3">
        <v>119000</v>
      </c>
      <c r="G762" s="3">
        <v>80920</v>
      </c>
      <c r="H762" s="25">
        <v>61496</v>
      </c>
    </row>
    <row r="763" spans="1:8" x14ac:dyDescent="0.3">
      <c r="A763" s="64">
        <v>20260210361198</v>
      </c>
      <c r="B763" t="s">
        <v>41</v>
      </c>
      <c r="C763" s="65">
        <f t="shared" si="11"/>
        <v>46063</v>
      </c>
      <c r="D763" s="3">
        <v>1</v>
      </c>
      <c r="E763" s="3">
        <v>119000</v>
      </c>
      <c r="F763" s="3">
        <v>113050</v>
      </c>
      <c r="G763" s="3">
        <v>80920</v>
      </c>
      <c r="H763" s="25">
        <v>61496</v>
      </c>
    </row>
    <row r="764" spans="1:8" x14ac:dyDescent="0.3">
      <c r="A764" s="64">
        <v>20260210361300</v>
      </c>
      <c r="B764" t="s">
        <v>41</v>
      </c>
      <c r="C764" s="65">
        <f t="shared" si="11"/>
        <v>46063</v>
      </c>
      <c r="D764" s="3">
        <v>1</v>
      </c>
      <c r="E764" s="3">
        <v>119000</v>
      </c>
      <c r="F764" s="3">
        <v>113050</v>
      </c>
      <c r="G764" s="3">
        <v>80920</v>
      </c>
      <c r="H764" s="25">
        <v>61496</v>
      </c>
    </row>
    <row r="765" spans="1:8" x14ac:dyDescent="0.3">
      <c r="A765" s="64">
        <v>20260210360466</v>
      </c>
      <c r="B765" t="s">
        <v>41</v>
      </c>
      <c r="C765" s="65">
        <f t="shared" si="11"/>
        <v>46063</v>
      </c>
      <c r="D765" s="3">
        <v>1</v>
      </c>
      <c r="E765" s="3">
        <v>119000</v>
      </c>
      <c r="F765" s="3">
        <v>119000</v>
      </c>
      <c r="G765" s="3">
        <v>80920</v>
      </c>
      <c r="H765" s="25">
        <v>61496</v>
      </c>
    </row>
    <row r="766" spans="1:8" x14ac:dyDescent="0.3">
      <c r="A766" s="64">
        <v>20260210360681</v>
      </c>
      <c r="B766" t="s">
        <v>41</v>
      </c>
      <c r="C766" s="65">
        <f t="shared" si="11"/>
        <v>46063</v>
      </c>
      <c r="D766" s="3">
        <v>1</v>
      </c>
      <c r="E766" s="3">
        <v>119000</v>
      </c>
      <c r="F766" s="3">
        <v>113050</v>
      </c>
      <c r="G766" s="3">
        <v>80920</v>
      </c>
      <c r="H766" s="25">
        <v>61496</v>
      </c>
    </row>
    <row r="767" spans="1:8" x14ac:dyDescent="0.3">
      <c r="A767" s="64">
        <v>20260210361731</v>
      </c>
      <c r="B767" t="s">
        <v>41</v>
      </c>
      <c r="C767" s="65">
        <f t="shared" si="11"/>
        <v>46063</v>
      </c>
      <c r="D767" s="3">
        <v>1</v>
      </c>
      <c r="E767" s="3">
        <v>119000</v>
      </c>
      <c r="F767" s="3">
        <v>119000</v>
      </c>
      <c r="G767" s="3">
        <v>80920</v>
      </c>
      <c r="H767" s="25">
        <v>61496</v>
      </c>
    </row>
    <row r="768" spans="1:8" x14ac:dyDescent="0.3">
      <c r="A768" s="64">
        <v>20260210361854</v>
      </c>
      <c r="B768" t="s">
        <v>41</v>
      </c>
      <c r="C768" s="65">
        <f t="shared" si="11"/>
        <v>46063</v>
      </c>
      <c r="D768" s="3">
        <v>1</v>
      </c>
      <c r="E768" s="3">
        <v>119000</v>
      </c>
      <c r="F768" s="3">
        <v>119000</v>
      </c>
      <c r="G768" s="3">
        <v>80920</v>
      </c>
      <c r="H768" s="25">
        <v>61496</v>
      </c>
    </row>
    <row r="769" spans="1:8" x14ac:dyDescent="0.3">
      <c r="A769" s="64">
        <v>20260210362118</v>
      </c>
      <c r="B769" t="s">
        <v>41</v>
      </c>
      <c r="C769" s="65">
        <f t="shared" si="11"/>
        <v>46063</v>
      </c>
      <c r="D769" s="3">
        <v>1</v>
      </c>
      <c r="E769" s="3">
        <v>119000</v>
      </c>
      <c r="F769" s="3">
        <v>119000</v>
      </c>
      <c r="G769" s="3">
        <v>80920</v>
      </c>
      <c r="H769" s="25">
        <v>61496</v>
      </c>
    </row>
    <row r="770" spans="1:8" x14ac:dyDescent="0.3">
      <c r="A770" s="64">
        <v>20260210360847</v>
      </c>
      <c r="B770" t="s">
        <v>41</v>
      </c>
      <c r="C770" s="65">
        <f t="shared" si="11"/>
        <v>46063</v>
      </c>
      <c r="D770" s="3">
        <v>1</v>
      </c>
      <c r="E770" s="3">
        <v>119000</v>
      </c>
      <c r="F770" s="3">
        <v>119000</v>
      </c>
      <c r="G770" s="3">
        <v>80920</v>
      </c>
      <c r="H770" s="25">
        <v>61496</v>
      </c>
    </row>
    <row r="771" spans="1:8" x14ac:dyDescent="0.3">
      <c r="A771" s="64">
        <v>20260210360648</v>
      </c>
      <c r="B771" t="s">
        <v>41</v>
      </c>
      <c r="C771" s="65">
        <f t="shared" ref="C771:C834" si="12">DATE(LEFT(TEXT(A771,"0"),4),MID(TEXT(A771,"0"),5,2),MID(TEXT(A771,"0"),7,2))</f>
        <v>46063</v>
      </c>
      <c r="D771" s="3">
        <v>1</v>
      </c>
      <c r="E771" s="3">
        <v>119000</v>
      </c>
      <c r="F771" s="3">
        <v>119000</v>
      </c>
      <c r="G771" s="3">
        <v>80920</v>
      </c>
      <c r="H771" s="25">
        <v>61496</v>
      </c>
    </row>
    <row r="772" spans="1:8" x14ac:dyDescent="0.3">
      <c r="A772" s="64">
        <v>20260210360890</v>
      </c>
      <c r="B772" t="s">
        <v>41</v>
      </c>
      <c r="C772" s="65">
        <f t="shared" si="12"/>
        <v>46063</v>
      </c>
      <c r="D772" s="3">
        <v>1</v>
      </c>
      <c r="E772" s="3">
        <v>119000</v>
      </c>
      <c r="F772" s="3">
        <v>119000</v>
      </c>
      <c r="G772" s="3">
        <v>80920</v>
      </c>
      <c r="H772" s="25">
        <v>61496</v>
      </c>
    </row>
    <row r="773" spans="1:8" x14ac:dyDescent="0.3">
      <c r="A773" s="64">
        <v>20260210360922</v>
      </c>
      <c r="B773" t="s">
        <v>41</v>
      </c>
      <c r="C773" s="65">
        <f t="shared" si="12"/>
        <v>46063</v>
      </c>
      <c r="D773" s="3">
        <v>1</v>
      </c>
      <c r="E773" s="3">
        <v>119000</v>
      </c>
      <c r="F773" s="3">
        <v>119000</v>
      </c>
      <c r="G773" s="3">
        <v>80920</v>
      </c>
      <c r="H773" s="25">
        <v>61496</v>
      </c>
    </row>
    <row r="774" spans="1:8" x14ac:dyDescent="0.3">
      <c r="A774" s="64">
        <v>20260210361100</v>
      </c>
      <c r="B774" t="s">
        <v>41</v>
      </c>
      <c r="C774" s="65">
        <f t="shared" si="12"/>
        <v>46063</v>
      </c>
      <c r="D774" s="3">
        <v>1</v>
      </c>
      <c r="E774" s="3">
        <v>119000</v>
      </c>
      <c r="F774" s="3">
        <v>119000</v>
      </c>
      <c r="G774" s="3">
        <v>80920</v>
      </c>
      <c r="H774" s="25">
        <v>61496</v>
      </c>
    </row>
    <row r="775" spans="1:8" x14ac:dyDescent="0.3">
      <c r="A775" s="64">
        <v>20260210361163</v>
      </c>
      <c r="B775" t="s">
        <v>41</v>
      </c>
      <c r="C775" s="65">
        <f t="shared" si="12"/>
        <v>46063</v>
      </c>
      <c r="D775" s="3">
        <v>1</v>
      </c>
      <c r="E775" s="3">
        <v>119000</v>
      </c>
      <c r="F775" s="3">
        <v>119000</v>
      </c>
      <c r="G775" s="3">
        <v>80920</v>
      </c>
      <c r="H775" s="25">
        <v>61496</v>
      </c>
    </row>
    <row r="776" spans="1:8" x14ac:dyDescent="0.3">
      <c r="A776" s="64">
        <v>20260210360249</v>
      </c>
      <c r="B776" t="s">
        <v>41</v>
      </c>
      <c r="C776" s="65">
        <f t="shared" si="12"/>
        <v>46063</v>
      </c>
      <c r="D776" s="3">
        <v>1</v>
      </c>
      <c r="E776" s="3">
        <v>119000</v>
      </c>
      <c r="F776" s="3">
        <v>119000</v>
      </c>
      <c r="G776" s="3">
        <v>80920</v>
      </c>
      <c r="H776" s="25">
        <v>61496</v>
      </c>
    </row>
    <row r="777" spans="1:8" x14ac:dyDescent="0.3">
      <c r="A777" s="64">
        <v>20260210360429</v>
      </c>
      <c r="B777" t="s">
        <v>41</v>
      </c>
      <c r="C777" s="65">
        <f t="shared" si="12"/>
        <v>46063</v>
      </c>
      <c r="D777" s="3">
        <v>1</v>
      </c>
      <c r="E777" s="3">
        <v>119000</v>
      </c>
      <c r="F777" s="3">
        <v>119000</v>
      </c>
      <c r="G777" s="3">
        <v>80920</v>
      </c>
      <c r="H777" s="25">
        <v>61496</v>
      </c>
    </row>
    <row r="778" spans="1:8" x14ac:dyDescent="0.3">
      <c r="A778" s="64">
        <v>20260210361277</v>
      </c>
      <c r="B778" t="s">
        <v>41</v>
      </c>
      <c r="C778" s="65">
        <f t="shared" si="12"/>
        <v>46063</v>
      </c>
      <c r="D778" s="3">
        <v>1</v>
      </c>
      <c r="E778" s="3">
        <v>119000</v>
      </c>
      <c r="F778" s="3">
        <v>119000</v>
      </c>
      <c r="G778" s="3">
        <v>80920</v>
      </c>
      <c r="H778" s="25">
        <v>61496</v>
      </c>
    </row>
    <row r="779" spans="1:8" x14ac:dyDescent="0.3">
      <c r="A779" s="64">
        <v>20260210361301</v>
      </c>
      <c r="B779" t="s">
        <v>41</v>
      </c>
      <c r="C779" s="65">
        <f t="shared" si="12"/>
        <v>46063</v>
      </c>
      <c r="D779" s="3">
        <v>1</v>
      </c>
      <c r="E779" s="3">
        <v>119000</v>
      </c>
      <c r="F779" s="3">
        <v>119000</v>
      </c>
      <c r="G779" s="3">
        <v>80920</v>
      </c>
      <c r="H779" s="25">
        <v>61496</v>
      </c>
    </row>
    <row r="780" spans="1:8" x14ac:dyDescent="0.3">
      <c r="A780" s="64">
        <v>20260210360542</v>
      </c>
      <c r="B780" t="s">
        <v>41</v>
      </c>
      <c r="C780" s="65">
        <f t="shared" si="12"/>
        <v>46063</v>
      </c>
      <c r="D780" s="3">
        <v>1</v>
      </c>
      <c r="E780" s="3">
        <v>119000</v>
      </c>
      <c r="F780" s="3">
        <v>119000</v>
      </c>
      <c r="G780" s="3">
        <v>80920</v>
      </c>
      <c r="H780" s="25">
        <v>61496</v>
      </c>
    </row>
    <row r="781" spans="1:8" x14ac:dyDescent="0.3">
      <c r="A781" s="64">
        <v>20260210361360</v>
      </c>
      <c r="B781" t="s">
        <v>41</v>
      </c>
      <c r="C781" s="65">
        <f t="shared" si="12"/>
        <v>46063</v>
      </c>
      <c r="D781" s="3">
        <v>1</v>
      </c>
      <c r="E781" s="3">
        <v>119000</v>
      </c>
      <c r="F781" s="3">
        <v>119000</v>
      </c>
      <c r="G781" s="3">
        <v>80920</v>
      </c>
      <c r="H781" s="25">
        <v>61496</v>
      </c>
    </row>
    <row r="782" spans="1:8" x14ac:dyDescent="0.3">
      <c r="A782" s="64">
        <v>20260210361536</v>
      </c>
      <c r="B782" t="s">
        <v>41</v>
      </c>
      <c r="C782" s="65">
        <f t="shared" si="12"/>
        <v>46063</v>
      </c>
      <c r="D782" s="3">
        <v>1</v>
      </c>
      <c r="E782" s="3">
        <v>119000</v>
      </c>
      <c r="F782" s="3">
        <v>119000</v>
      </c>
      <c r="G782" s="3">
        <v>80920</v>
      </c>
      <c r="H782" s="25">
        <v>61496</v>
      </c>
    </row>
    <row r="783" spans="1:8" x14ac:dyDescent="0.3">
      <c r="A783" s="64">
        <v>20260210361726</v>
      </c>
      <c r="B783" t="s">
        <v>41</v>
      </c>
      <c r="C783" s="65">
        <f t="shared" si="12"/>
        <v>46063</v>
      </c>
      <c r="D783" s="3">
        <v>1</v>
      </c>
      <c r="E783" s="3">
        <v>119000</v>
      </c>
      <c r="F783" s="3">
        <v>119000</v>
      </c>
      <c r="G783" s="3">
        <v>80920</v>
      </c>
      <c r="H783" s="25">
        <v>61496</v>
      </c>
    </row>
    <row r="784" spans="1:8" x14ac:dyDescent="0.3">
      <c r="A784" s="64">
        <v>20260210361322</v>
      </c>
      <c r="B784" t="s">
        <v>41</v>
      </c>
      <c r="C784" s="65">
        <f t="shared" si="12"/>
        <v>46063</v>
      </c>
      <c r="D784" s="3">
        <v>1</v>
      </c>
      <c r="E784" s="3">
        <v>119000</v>
      </c>
      <c r="F784" s="3">
        <v>119000</v>
      </c>
      <c r="G784" s="3">
        <v>80920</v>
      </c>
      <c r="H784" s="25">
        <v>61496</v>
      </c>
    </row>
    <row r="785" spans="1:8" x14ac:dyDescent="0.3">
      <c r="A785" s="64">
        <v>20260210361734</v>
      </c>
      <c r="B785" t="s">
        <v>41</v>
      </c>
      <c r="C785" s="65">
        <f t="shared" si="12"/>
        <v>46063</v>
      </c>
      <c r="D785" s="3">
        <v>1</v>
      </c>
      <c r="E785" s="3">
        <v>119000</v>
      </c>
      <c r="F785" s="3">
        <v>119000</v>
      </c>
      <c r="G785" s="3">
        <v>80920</v>
      </c>
      <c r="H785" s="25">
        <v>61496</v>
      </c>
    </row>
    <row r="786" spans="1:8" x14ac:dyDescent="0.3">
      <c r="A786" s="64">
        <v>20260210361697</v>
      </c>
      <c r="B786" t="s">
        <v>41</v>
      </c>
      <c r="C786" s="65">
        <f t="shared" si="12"/>
        <v>46063</v>
      </c>
      <c r="D786" s="3">
        <v>1</v>
      </c>
      <c r="E786" s="3">
        <v>119000</v>
      </c>
      <c r="F786" s="3">
        <v>119000</v>
      </c>
      <c r="G786" s="3">
        <v>80920</v>
      </c>
      <c r="H786" s="25">
        <v>61496</v>
      </c>
    </row>
    <row r="787" spans="1:8" x14ac:dyDescent="0.3">
      <c r="A787" s="64">
        <v>20260210361959</v>
      </c>
      <c r="B787" t="s">
        <v>41</v>
      </c>
      <c r="C787" s="65">
        <f t="shared" si="12"/>
        <v>46063</v>
      </c>
      <c r="D787" s="3">
        <v>1</v>
      </c>
      <c r="E787" s="3">
        <v>119000</v>
      </c>
      <c r="F787" s="3">
        <v>119000</v>
      </c>
      <c r="G787" s="3">
        <v>80920</v>
      </c>
      <c r="H787" s="25">
        <v>61496</v>
      </c>
    </row>
    <row r="788" spans="1:8" x14ac:dyDescent="0.3">
      <c r="A788" s="64">
        <v>20260210361974</v>
      </c>
      <c r="B788" t="s">
        <v>41</v>
      </c>
      <c r="C788" s="65">
        <f t="shared" si="12"/>
        <v>46063</v>
      </c>
      <c r="D788" s="3">
        <v>1</v>
      </c>
      <c r="E788" s="3">
        <v>119000</v>
      </c>
      <c r="F788" s="3">
        <v>119000</v>
      </c>
      <c r="G788" s="3">
        <v>80920</v>
      </c>
      <c r="H788" s="25">
        <v>61496</v>
      </c>
    </row>
    <row r="789" spans="1:8" x14ac:dyDescent="0.3">
      <c r="A789" s="64">
        <v>20260210362007</v>
      </c>
      <c r="B789" t="s">
        <v>41</v>
      </c>
      <c r="C789" s="65">
        <f t="shared" si="12"/>
        <v>46063</v>
      </c>
      <c r="D789" s="3">
        <v>1</v>
      </c>
      <c r="E789" s="3">
        <v>119000</v>
      </c>
      <c r="F789" s="3">
        <v>119000</v>
      </c>
      <c r="G789" s="3">
        <v>80920</v>
      </c>
      <c r="H789" s="25">
        <v>61496</v>
      </c>
    </row>
    <row r="790" spans="1:8" x14ac:dyDescent="0.3">
      <c r="A790" s="64">
        <v>20260210360828</v>
      </c>
      <c r="B790" t="s">
        <v>41</v>
      </c>
      <c r="C790" s="65">
        <f t="shared" si="12"/>
        <v>46063</v>
      </c>
      <c r="D790" s="3">
        <v>1</v>
      </c>
      <c r="E790" s="3">
        <v>119000</v>
      </c>
      <c r="F790" s="3">
        <v>113050</v>
      </c>
      <c r="G790" s="3">
        <v>80920</v>
      </c>
      <c r="H790" s="25">
        <v>61496</v>
      </c>
    </row>
    <row r="791" spans="1:8" x14ac:dyDescent="0.3">
      <c r="A791" s="64">
        <v>20260210360893</v>
      </c>
      <c r="B791" t="s">
        <v>41</v>
      </c>
      <c r="C791" s="65">
        <f t="shared" si="12"/>
        <v>46063</v>
      </c>
      <c r="D791" s="3">
        <v>1</v>
      </c>
      <c r="E791" s="3">
        <v>119000</v>
      </c>
      <c r="F791" s="3">
        <v>119000</v>
      </c>
      <c r="G791" s="3">
        <v>80920</v>
      </c>
      <c r="H791" s="25">
        <v>61496</v>
      </c>
    </row>
    <row r="792" spans="1:8" x14ac:dyDescent="0.3">
      <c r="A792" s="64">
        <v>20260210360092</v>
      </c>
      <c r="B792" t="s">
        <v>41</v>
      </c>
      <c r="C792" s="65">
        <f t="shared" si="12"/>
        <v>46063</v>
      </c>
      <c r="D792" s="3">
        <v>1</v>
      </c>
      <c r="E792" s="3">
        <v>119000</v>
      </c>
      <c r="F792" s="3">
        <v>119000</v>
      </c>
      <c r="G792" s="3">
        <v>80920</v>
      </c>
      <c r="H792" s="25">
        <v>61496</v>
      </c>
    </row>
    <row r="793" spans="1:8" x14ac:dyDescent="0.3">
      <c r="A793" s="64">
        <v>20260210360272</v>
      </c>
      <c r="B793" t="s">
        <v>41</v>
      </c>
      <c r="C793" s="65">
        <f t="shared" si="12"/>
        <v>46063</v>
      </c>
      <c r="D793" s="3">
        <v>1</v>
      </c>
      <c r="E793" s="3">
        <v>119000</v>
      </c>
      <c r="F793" s="3">
        <v>119000</v>
      </c>
      <c r="G793" s="3">
        <v>80920</v>
      </c>
      <c r="H793" s="25">
        <v>61496</v>
      </c>
    </row>
    <row r="794" spans="1:8" x14ac:dyDescent="0.3">
      <c r="A794" s="64">
        <v>20260210361097</v>
      </c>
      <c r="B794" t="s">
        <v>41</v>
      </c>
      <c r="C794" s="65">
        <f t="shared" si="12"/>
        <v>46063</v>
      </c>
      <c r="D794" s="3">
        <v>1</v>
      </c>
      <c r="E794" s="3">
        <v>119000</v>
      </c>
      <c r="F794" s="3">
        <v>113050</v>
      </c>
      <c r="G794" s="3">
        <v>80920</v>
      </c>
      <c r="H794" s="25">
        <v>61496</v>
      </c>
    </row>
    <row r="795" spans="1:8" x14ac:dyDescent="0.3">
      <c r="A795" s="64">
        <v>20260210360282</v>
      </c>
      <c r="B795" t="s">
        <v>41</v>
      </c>
      <c r="C795" s="65">
        <f t="shared" si="12"/>
        <v>46063</v>
      </c>
      <c r="D795" s="3">
        <v>1</v>
      </c>
      <c r="E795" s="3">
        <v>119000</v>
      </c>
      <c r="F795" s="3">
        <v>119000</v>
      </c>
      <c r="G795" s="3">
        <v>80920</v>
      </c>
      <c r="H795" s="25">
        <v>61496</v>
      </c>
    </row>
    <row r="796" spans="1:8" x14ac:dyDescent="0.3">
      <c r="A796" s="64">
        <v>20260210361403</v>
      </c>
      <c r="B796" t="s">
        <v>41</v>
      </c>
      <c r="C796" s="65">
        <f t="shared" si="12"/>
        <v>46063</v>
      </c>
      <c r="D796" s="3">
        <v>1</v>
      </c>
      <c r="E796" s="3">
        <v>119000</v>
      </c>
      <c r="F796" s="3">
        <v>119000</v>
      </c>
      <c r="G796" s="3">
        <v>80920</v>
      </c>
      <c r="H796" s="25">
        <v>61496</v>
      </c>
    </row>
    <row r="797" spans="1:8" x14ac:dyDescent="0.3">
      <c r="A797" s="64">
        <v>20260210360433</v>
      </c>
      <c r="B797" t="s">
        <v>41</v>
      </c>
      <c r="C797" s="65">
        <f t="shared" si="12"/>
        <v>46063</v>
      </c>
      <c r="D797" s="3">
        <v>1</v>
      </c>
      <c r="E797" s="3">
        <v>119000</v>
      </c>
      <c r="F797" s="3">
        <v>119000</v>
      </c>
      <c r="G797" s="3">
        <v>80920</v>
      </c>
      <c r="H797" s="25">
        <v>61496</v>
      </c>
    </row>
    <row r="798" spans="1:8" x14ac:dyDescent="0.3">
      <c r="A798" s="64">
        <v>20260210361474</v>
      </c>
      <c r="B798" t="s">
        <v>41</v>
      </c>
      <c r="C798" s="65">
        <f t="shared" si="12"/>
        <v>46063</v>
      </c>
      <c r="D798" s="3">
        <v>1</v>
      </c>
      <c r="E798" s="3">
        <v>119000</v>
      </c>
      <c r="F798" s="3">
        <v>119000</v>
      </c>
      <c r="G798" s="3">
        <v>80920</v>
      </c>
      <c r="H798" s="25">
        <v>61496</v>
      </c>
    </row>
    <row r="799" spans="1:8" x14ac:dyDescent="0.3">
      <c r="A799" s="64">
        <v>20260210360656</v>
      </c>
      <c r="B799" t="s">
        <v>41</v>
      </c>
      <c r="C799" s="65">
        <f t="shared" si="12"/>
        <v>46063</v>
      </c>
      <c r="D799" s="3">
        <v>1</v>
      </c>
      <c r="E799" s="3">
        <v>119000</v>
      </c>
      <c r="F799" s="3">
        <v>98770</v>
      </c>
      <c r="G799" s="3">
        <v>80920</v>
      </c>
      <c r="H799" s="25">
        <v>61496</v>
      </c>
    </row>
    <row r="800" spans="1:8" x14ac:dyDescent="0.3">
      <c r="A800" s="64">
        <v>20260210361500</v>
      </c>
      <c r="B800" t="s">
        <v>41</v>
      </c>
      <c r="C800" s="65">
        <f t="shared" si="12"/>
        <v>46063</v>
      </c>
      <c r="D800" s="3">
        <v>1</v>
      </c>
      <c r="E800" s="3">
        <v>119000</v>
      </c>
      <c r="F800" s="3">
        <v>119000</v>
      </c>
      <c r="G800" s="3">
        <v>80920</v>
      </c>
      <c r="H800" s="25">
        <v>61496</v>
      </c>
    </row>
    <row r="801" spans="1:8" x14ac:dyDescent="0.3">
      <c r="A801" s="64">
        <v>20260210360722</v>
      </c>
      <c r="B801" t="s">
        <v>41</v>
      </c>
      <c r="C801" s="65">
        <f t="shared" si="12"/>
        <v>46063</v>
      </c>
      <c r="D801" s="3">
        <v>1</v>
      </c>
      <c r="E801" s="3">
        <v>119000</v>
      </c>
      <c r="F801" s="3">
        <v>113050</v>
      </c>
      <c r="G801" s="3">
        <v>80920</v>
      </c>
      <c r="H801" s="25">
        <v>61496</v>
      </c>
    </row>
    <row r="802" spans="1:8" x14ac:dyDescent="0.3">
      <c r="A802" s="64">
        <v>20260210361757</v>
      </c>
      <c r="B802" t="s">
        <v>41</v>
      </c>
      <c r="C802" s="65">
        <f t="shared" si="12"/>
        <v>46063</v>
      </c>
      <c r="D802" s="3">
        <v>1</v>
      </c>
      <c r="E802" s="3">
        <v>119000</v>
      </c>
      <c r="F802" s="3">
        <v>119000</v>
      </c>
      <c r="G802" s="3">
        <v>80920</v>
      </c>
      <c r="H802" s="25">
        <v>61496</v>
      </c>
    </row>
    <row r="803" spans="1:8" x14ac:dyDescent="0.3">
      <c r="A803" s="64">
        <v>20260210360526</v>
      </c>
      <c r="B803" t="s">
        <v>41</v>
      </c>
      <c r="C803" s="65">
        <f t="shared" si="12"/>
        <v>46063</v>
      </c>
      <c r="D803" s="3">
        <v>1</v>
      </c>
      <c r="E803" s="3">
        <v>119000</v>
      </c>
      <c r="F803" s="3">
        <v>119000</v>
      </c>
      <c r="G803" s="3">
        <v>80920</v>
      </c>
      <c r="H803" s="25">
        <v>61496</v>
      </c>
    </row>
    <row r="804" spans="1:8" x14ac:dyDescent="0.3">
      <c r="A804" s="64">
        <v>20260210361758</v>
      </c>
      <c r="B804" t="s">
        <v>41</v>
      </c>
      <c r="C804" s="65">
        <f t="shared" si="12"/>
        <v>46063</v>
      </c>
      <c r="D804" s="3">
        <v>1</v>
      </c>
      <c r="E804" s="3">
        <v>119000</v>
      </c>
      <c r="F804" s="3">
        <v>119000</v>
      </c>
      <c r="G804" s="3">
        <v>80920</v>
      </c>
      <c r="H804" s="25">
        <v>61496</v>
      </c>
    </row>
    <row r="805" spans="1:8" x14ac:dyDescent="0.3">
      <c r="A805" s="64">
        <v>20260210361268</v>
      </c>
      <c r="B805" t="s">
        <v>41</v>
      </c>
      <c r="C805" s="65">
        <f t="shared" si="12"/>
        <v>46063</v>
      </c>
      <c r="D805" s="3">
        <v>1</v>
      </c>
      <c r="E805" s="3">
        <v>119000</v>
      </c>
      <c r="F805" s="3">
        <v>119000</v>
      </c>
      <c r="G805" s="3">
        <v>80920</v>
      </c>
      <c r="H805" s="25">
        <v>61496</v>
      </c>
    </row>
    <row r="806" spans="1:8" x14ac:dyDescent="0.3">
      <c r="A806" s="64">
        <v>20260210361522</v>
      </c>
      <c r="B806" t="s">
        <v>41</v>
      </c>
      <c r="C806" s="65">
        <f t="shared" si="12"/>
        <v>46063</v>
      </c>
      <c r="D806" s="3">
        <v>1</v>
      </c>
      <c r="E806" s="3">
        <v>119000</v>
      </c>
      <c r="F806" s="3">
        <v>119000</v>
      </c>
      <c r="G806" s="3">
        <v>80920</v>
      </c>
      <c r="H806" s="25">
        <v>61496</v>
      </c>
    </row>
    <row r="807" spans="1:8" x14ac:dyDescent="0.3">
      <c r="A807" s="64">
        <v>20260210362264</v>
      </c>
      <c r="B807" t="s">
        <v>41</v>
      </c>
      <c r="C807" s="65">
        <f t="shared" si="12"/>
        <v>46063</v>
      </c>
      <c r="D807" s="3">
        <v>1</v>
      </c>
      <c r="E807" s="3">
        <v>119000</v>
      </c>
      <c r="F807" s="3">
        <v>113050</v>
      </c>
      <c r="G807" s="3">
        <v>80920</v>
      </c>
      <c r="H807" s="25">
        <v>61496</v>
      </c>
    </row>
    <row r="808" spans="1:8" x14ac:dyDescent="0.3">
      <c r="A808" s="64">
        <v>20260210360898</v>
      </c>
      <c r="B808" t="s">
        <v>41</v>
      </c>
      <c r="C808" s="65">
        <f t="shared" si="12"/>
        <v>46063</v>
      </c>
      <c r="D808" s="3">
        <v>1</v>
      </c>
      <c r="E808" s="3">
        <v>119000</v>
      </c>
      <c r="F808" s="3">
        <v>119000</v>
      </c>
      <c r="G808" s="3">
        <v>80920</v>
      </c>
      <c r="H808" s="25">
        <v>61496</v>
      </c>
    </row>
    <row r="809" spans="1:8" x14ac:dyDescent="0.3">
      <c r="A809" s="64">
        <v>20260210360968</v>
      </c>
      <c r="B809" t="s">
        <v>41</v>
      </c>
      <c r="C809" s="65">
        <f t="shared" si="12"/>
        <v>46063</v>
      </c>
      <c r="D809" s="3">
        <v>1</v>
      </c>
      <c r="E809" s="3">
        <v>119000</v>
      </c>
      <c r="F809" s="3">
        <v>119000</v>
      </c>
      <c r="G809" s="3">
        <v>80920</v>
      </c>
      <c r="H809" s="25">
        <v>61496</v>
      </c>
    </row>
    <row r="810" spans="1:8" x14ac:dyDescent="0.3">
      <c r="A810" s="64">
        <v>20260210361315</v>
      </c>
      <c r="B810" t="s">
        <v>41</v>
      </c>
      <c r="C810" s="65">
        <f t="shared" si="12"/>
        <v>46063</v>
      </c>
      <c r="D810" s="3">
        <v>1</v>
      </c>
      <c r="E810" s="3">
        <v>119000</v>
      </c>
      <c r="F810" s="3">
        <v>119000</v>
      </c>
      <c r="G810" s="3">
        <v>80920</v>
      </c>
      <c r="H810" s="25">
        <v>61496</v>
      </c>
    </row>
    <row r="811" spans="1:8" x14ac:dyDescent="0.3">
      <c r="A811" s="64">
        <v>20260210364732</v>
      </c>
      <c r="B811" t="s">
        <v>41</v>
      </c>
      <c r="C811" s="65">
        <f t="shared" si="12"/>
        <v>46063</v>
      </c>
      <c r="D811" s="3">
        <v>1</v>
      </c>
      <c r="E811" s="3">
        <v>119000</v>
      </c>
      <c r="F811" s="3">
        <v>113050</v>
      </c>
      <c r="G811" s="3">
        <v>80920</v>
      </c>
      <c r="H811" s="25">
        <v>61496</v>
      </c>
    </row>
    <row r="812" spans="1:8" x14ac:dyDescent="0.3">
      <c r="A812" s="64">
        <v>20260210361752</v>
      </c>
      <c r="B812" t="s">
        <v>41</v>
      </c>
      <c r="C812" s="65">
        <f t="shared" si="12"/>
        <v>46063</v>
      </c>
      <c r="D812" s="3">
        <v>1</v>
      </c>
      <c r="E812" s="3">
        <v>119000</v>
      </c>
      <c r="F812" s="3">
        <v>119000</v>
      </c>
      <c r="G812" s="3">
        <v>80920</v>
      </c>
      <c r="H812" s="25">
        <v>61496</v>
      </c>
    </row>
    <row r="813" spans="1:8" x14ac:dyDescent="0.3">
      <c r="A813" s="64">
        <v>20260210361404</v>
      </c>
      <c r="B813" t="s">
        <v>41</v>
      </c>
      <c r="C813" s="65">
        <f t="shared" si="12"/>
        <v>46063</v>
      </c>
      <c r="D813" s="3">
        <v>1</v>
      </c>
      <c r="E813" s="3">
        <v>119000</v>
      </c>
      <c r="F813" s="3">
        <v>119000</v>
      </c>
      <c r="G813" s="3">
        <v>80920</v>
      </c>
      <c r="H813" s="25">
        <v>61496</v>
      </c>
    </row>
    <row r="814" spans="1:8" x14ac:dyDescent="0.3">
      <c r="A814" s="64">
        <v>20260210361750</v>
      </c>
      <c r="B814" t="s">
        <v>41</v>
      </c>
      <c r="C814" s="65">
        <f t="shared" si="12"/>
        <v>46063</v>
      </c>
      <c r="D814" s="3">
        <v>1</v>
      </c>
      <c r="E814" s="3">
        <v>119000</v>
      </c>
      <c r="F814" s="3">
        <v>119000</v>
      </c>
      <c r="G814" s="3">
        <v>80920</v>
      </c>
      <c r="H814" s="25">
        <v>61496</v>
      </c>
    </row>
    <row r="815" spans="1:8" x14ac:dyDescent="0.3">
      <c r="A815" s="64">
        <v>20260210361384</v>
      </c>
      <c r="B815" t="s">
        <v>41</v>
      </c>
      <c r="C815" s="65">
        <f t="shared" si="12"/>
        <v>46063</v>
      </c>
      <c r="D815" s="3">
        <v>1</v>
      </c>
      <c r="E815" s="3">
        <v>119000</v>
      </c>
      <c r="F815" s="3">
        <v>113050</v>
      </c>
      <c r="G815" s="3">
        <v>80920</v>
      </c>
      <c r="H815" s="25">
        <v>61496</v>
      </c>
    </row>
    <row r="816" spans="1:8" x14ac:dyDescent="0.3">
      <c r="A816" s="64">
        <v>20260210360934</v>
      </c>
      <c r="B816" t="s">
        <v>41</v>
      </c>
      <c r="C816" s="65">
        <f t="shared" si="12"/>
        <v>46063</v>
      </c>
      <c r="D816" s="3">
        <v>1</v>
      </c>
      <c r="E816" s="3">
        <v>119000</v>
      </c>
      <c r="F816" s="3">
        <v>119000</v>
      </c>
      <c r="G816" s="3">
        <v>80920</v>
      </c>
      <c r="H816" s="25">
        <v>61496</v>
      </c>
    </row>
    <row r="817" spans="1:8" x14ac:dyDescent="0.3">
      <c r="A817" s="64">
        <v>20260210360899</v>
      </c>
      <c r="B817" t="s">
        <v>41</v>
      </c>
      <c r="C817" s="65">
        <f t="shared" si="12"/>
        <v>46063</v>
      </c>
      <c r="D817" s="3">
        <v>1</v>
      </c>
      <c r="E817" s="3">
        <v>119000</v>
      </c>
      <c r="F817" s="3">
        <v>119000</v>
      </c>
      <c r="G817" s="3">
        <v>80920</v>
      </c>
      <c r="H817" s="25">
        <v>61496</v>
      </c>
    </row>
    <row r="818" spans="1:8" x14ac:dyDescent="0.3">
      <c r="A818" s="64">
        <v>20260210360206</v>
      </c>
      <c r="B818" t="s">
        <v>41</v>
      </c>
      <c r="C818" s="65">
        <f t="shared" si="12"/>
        <v>46063</v>
      </c>
      <c r="D818" s="3">
        <v>1</v>
      </c>
      <c r="E818" s="3">
        <v>119000</v>
      </c>
      <c r="F818" s="3">
        <v>119000</v>
      </c>
      <c r="G818" s="3">
        <v>80920</v>
      </c>
      <c r="H818" s="25">
        <v>61496</v>
      </c>
    </row>
    <row r="819" spans="1:8" x14ac:dyDescent="0.3">
      <c r="A819" s="64">
        <v>20260210360674</v>
      </c>
      <c r="B819" t="s">
        <v>41</v>
      </c>
      <c r="C819" s="65">
        <f t="shared" si="12"/>
        <v>46063</v>
      </c>
      <c r="D819" s="3">
        <v>1</v>
      </c>
      <c r="E819" s="3">
        <v>119000</v>
      </c>
      <c r="F819" s="3">
        <v>119000</v>
      </c>
      <c r="G819" s="3">
        <v>80920</v>
      </c>
      <c r="H819" s="25">
        <v>61496</v>
      </c>
    </row>
    <row r="820" spans="1:8" x14ac:dyDescent="0.3">
      <c r="A820" s="64">
        <v>20260210361998</v>
      </c>
      <c r="B820" t="s">
        <v>41</v>
      </c>
      <c r="C820" s="65">
        <f t="shared" si="12"/>
        <v>46063</v>
      </c>
      <c r="D820" s="3">
        <v>1</v>
      </c>
      <c r="E820" s="3">
        <v>119000</v>
      </c>
      <c r="F820" s="3">
        <v>109000</v>
      </c>
      <c r="G820" s="3">
        <v>80920</v>
      </c>
      <c r="H820" s="25">
        <v>61496</v>
      </c>
    </row>
    <row r="821" spans="1:8" x14ac:dyDescent="0.3">
      <c r="A821" s="64">
        <v>20260210362210</v>
      </c>
      <c r="B821" t="s">
        <v>41</v>
      </c>
      <c r="C821" s="65">
        <f t="shared" si="12"/>
        <v>46063</v>
      </c>
      <c r="D821" s="3">
        <v>1</v>
      </c>
      <c r="E821" s="3">
        <v>119000</v>
      </c>
      <c r="F821" s="3">
        <v>113050</v>
      </c>
      <c r="G821" s="3">
        <v>80920</v>
      </c>
      <c r="H821" s="25">
        <v>61496</v>
      </c>
    </row>
    <row r="822" spans="1:8" x14ac:dyDescent="0.3">
      <c r="A822" s="64">
        <v>20260210361648</v>
      </c>
      <c r="B822" t="s">
        <v>41</v>
      </c>
      <c r="C822" s="65">
        <f t="shared" si="12"/>
        <v>46063</v>
      </c>
      <c r="D822" s="3">
        <v>1</v>
      </c>
      <c r="E822" s="3">
        <v>119000</v>
      </c>
      <c r="F822" s="3">
        <v>113050</v>
      </c>
      <c r="G822" s="3">
        <v>80920</v>
      </c>
      <c r="H822" s="25">
        <v>61496</v>
      </c>
    </row>
    <row r="823" spans="1:8" x14ac:dyDescent="0.3">
      <c r="A823" s="64">
        <v>20260210361577</v>
      </c>
      <c r="B823" t="s">
        <v>41</v>
      </c>
      <c r="C823" s="65">
        <f t="shared" si="12"/>
        <v>46063</v>
      </c>
      <c r="D823" s="3">
        <v>1</v>
      </c>
      <c r="E823" s="3">
        <v>119000</v>
      </c>
      <c r="F823" s="3">
        <v>119000</v>
      </c>
      <c r="G823" s="3">
        <v>80920</v>
      </c>
      <c r="H823" s="25">
        <v>61496</v>
      </c>
    </row>
    <row r="824" spans="1:8" x14ac:dyDescent="0.3">
      <c r="A824" s="64">
        <v>20260210361256</v>
      </c>
      <c r="B824" t="s">
        <v>41</v>
      </c>
      <c r="C824" s="65">
        <f t="shared" si="12"/>
        <v>46063</v>
      </c>
      <c r="D824" s="3">
        <v>1</v>
      </c>
      <c r="E824" s="3">
        <v>119000</v>
      </c>
      <c r="F824" s="3">
        <v>113050</v>
      </c>
      <c r="G824" s="3">
        <v>80920</v>
      </c>
      <c r="H824" s="25">
        <v>61496</v>
      </c>
    </row>
    <row r="825" spans="1:8" x14ac:dyDescent="0.3">
      <c r="A825" s="64">
        <v>20260210361264</v>
      </c>
      <c r="B825" t="s">
        <v>41</v>
      </c>
      <c r="C825" s="65">
        <f t="shared" si="12"/>
        <v>46063</v>
      </c>
      <c r="D825" s="3">
        <v>1</v>
      </c>
      <c r="E825" s="3">
        <v>119000</v>
      </c>
      <c r="F825" s="3">
        <v>119000</v>
      </c>
      <c r="G825" s="3">
        <v>80920</v>
      </c>
      <c r="H825" s="25">
        <v>61496</v>
      </c>
    </row>
    <row r="826" spans="1:8" x14ac:dyDescent="0.3">
      <c r="A826" s="64">
        <v>20260210360518</v>
      </c>
      <c r="B826" t="s">
        <v>41</v>
      </c>
      <c r="C826" s="65">
        <f t="shared" si="12"/>
        <v>46063</v>
      </c>
      <c r="D826" s="3">
        <v>1</v>
      </c>
      <c r="E826" s="3">
        <v>119000</v>
      </c>
      <c r="F826" s="3">
        <v>119000</v>
      </c>
      <c r="G826" s="3">
        <v>80920</v>
      </c>
      <c r="H826" s="25">
        <v>61496</v>
      </c>
    </row>
    <row r="827" spans="1:8" x14ac:dyDescent="0.3">
      <c r="A827" s="64">
        <v>20260210361362</v>
      </c>
      <c r="B827" t="s">
        <v>41</v>
      </c>
      <c r="C827" s="65">
        <f t="shared" si="12"/>
        <v>46063</v>
      </c>
      <c r="D827" s="3">
        <v>1</v>
      </c>
      <c r="E827" s="3">
        <v>119000</v>
      </c>
      <c r="F827" s="3">
        <v>98770</v>
      </c>
      <c r="G827" s="3">
        <v>80920</v>
      </c>
      <c r="H827" s="25">
        <v>61496</v>
      </c>
    </row>
    <row r="828" spans="1:8" x14ac:dyDescent="0.3">
      <c r="A828" s="64">
        <v>20260210361601</v>
      </c>
      <c r="B828" t="s">
        <v>41</v>
      </c>
      <c r="C828" s="65">
        <f t="shared" si="12"/>
        <v>46063</v>
      </c>
      <c r="D828" s="3">
        <v>1</v>
      </c>
      <c r="E828" s="3">
        <v>119000</v>
      </c>
      <c r="F828" s="3">
        <v>109000</v>
      </c>
      <c r="G828" s="3">
        <v>80920</v>
      </c>
      <c r="H828" s="25">
        <v>61496</v>
      </c>
    </row>
    <row r="829" spans="1:8" x14ac:dyDescent="0.3">
      <c r="A829" s="64">
        <v>20260210361654</v>
      </c>
      <c r="B829" t="s">
        <v>41</v>
      </c>
      <c r="C829" s="65">
        <f t="shared" si="12"/>
        <v>46063</v>
      </c>
      <c r="D829" s="3">
        <v>1</v>
      </c>
      <c r="E829" s="3">
        <v>119000</v>
      </c>
      <c r="F829" s="3">
        <v>113050</v>
      </c>
      <c r="G829" s="3">
        <v>80920</v>
      </c>
      <c r="H829" s="25">
        <v>61496</v>
      </c>
    </row>
    <row r="830" spans="1:8" x14ac:dyDescent="0.3">
      <c r="A830" s="64">
        <v>20260210360588</v>
      </c>
      <c r="B830" t="s">
        <v>41</v>
      </c>
      <c r="C830" s="65">
        <f t="shared" si="12"/>
        <v>46063</v>
      </c>
      <c r="D830" s="3">
        <v>1</v>
      </c>
      <c r="E830" s="3">
        <v>119000</v>
      </c>
      <c r="F830" s="3">
        <v>119000</v>
      </c>
      <c r="G830" s="3">
        <v>80920</v>
      </c>
      <c r="H830" s="25">
        <v>61496</v>
      </c>
    </row>
    <row r="831" spans="1:8" x14ac:dyDescent="0.3">
      <c r="A831" s="64">
        <v>20260210361176</v>
      </c>
      <c r="B831" t="s">
        <v>41</v>
      </c>
      <c r="C831" s="65">
        <f t="shared" si="12"/>
        <v>46063</v>
      </c>
      <c r="D831" s="3">
        <v>1</v>
      </c>
      <c r="E831" s="3">
        <v>119000</v>
      </c>
      <c r="F831" s="3">
        <v>119000</v>
      </c>
      <c r="G831" s="3">
        <v>80920</v>
      </c>
      <c r="H831" s="25">
        <v>61496</v>
      </c>
    </row>
    <row r="832" spans="1:8" x14ac:dyDescent="0.3">
      <c r="A832" s="64">
        <v>20260210362003</v>
      </c>
      <c r="B832" t="s">
        <v>41</v>
      </c>
      <c r="C832" s="65">
        <f t="shared" si="12"/>
        <v>46063</v>
      </c>
      <c r="D832" s="3">
        <v>1</v>
      </c>
      <c r="E832" s="3">
        <v>119000</v>
      </c>
      <c r="F832" s="3">
        <v>119000</v>
      </c>
      <c r="G832" s="3">
        <v>80920</v>
      </c>
      <c r="H832" s="25">
        <v>61496</v>
      </c>
    </row>
    <row r="833" spans="1:8" x14ac:dyDescent="0.3">
      <c r="A833" s="64">
        <v>20260210360969</v>
      </c>
      <c r="B833" t="s">
        <v>41</v>
      </c>
      <c r="C833" s="65">
        <f t="shared" si="12"/>
        <v>46063</v>
      </c>
      <c r="D833" s="3">
        <v>1</v>
      </c>
      <c r="E833" s="3">
        <v>119000</v>
      </c>
      <c r="F833" s="3">
        <v>119000</v>
      </c>
      <c r="G833" s="3">
        <v>80920</v>
      </c>
      <c r="H833" s="25">
        <v>61496</v>
      </c>
    </row>
    <row r="834" spans="1:8" x14ac:dyDescent="0.3">
      <c r="A834" s="64">
        <v>20260210361596</v>
      </c>
      <c r="B834" t="s">
        <v>41</v>
      </c>
      <c r="C834" s="65">
        <f t="shared" si="12"/>
        <v>46063</v>
      </c>
      <c r="D834" s="3">
        <v>2</v>
      </c>
      <c r="E834" s="3">
        <v>119000</v>
      </c>
      <c r="F834" s="3">
        <v>238000</v>
      </c>
      <c r="G834" s="3">
        <v>161840</v>
      </c>
      <c r="H834" s="25">
        <v>122992</v>
      </c>
    </row>
    <row r="835" spans="1:8" x14ac:dyDescent="0.3">
      <c r="A835" s="64">
        <v>20260210361138</v>
      </c>
      <c r="B835" t="s">
        <v>41</v>
      </c>
      <c r="C835" s="65">
        <f t="shared" ref="C835:C898" si="13">DATE(LEFT(TEXT(A835,"0"),4),MID(TEXT(A835,"0"),5,2),MID(TEXT(A835,"0"),7,2))</f>
        <v>46063</v>
      </c>
      <c r="D835" s="3">
        <v>1</v>
      </c>
      <c r="E835" s="3">
        <v>119000</v>
      </c>
      <c r="F835" s="3">
        <v>119000</v>
      </c>
      <c r="G835" s="3">
        <v>80920</v>
      </c>
      <c r="H835" s="25">
        <v>61496</v>
      </c>
    </row>
    <row r="836" spans="1:8" x14ac:dyDescent="0.3">
      <c r="A836" s="64">
        <v>20260210361906</v>
      </c>
      <c r="B836" t="s">
        <v>41</v>
      </c>
      <c r="C836" s="65">
        <f t="shared" si="13"/>
        <v>46063</v>
      </c>
      <c r="D836" s="3">
        <v>1</v>
      </c>
      <c r="E836" s="3">
        <v>119000</v>
      </c>
      <c r="F836" s="3">
        <v>119000</v>
      </c>
      <c r="G836" s="3">
        <v>80920</v>
      </c>
      <c r="H836" s="25">
        <v>61496</v>
      </c>
    </row>
    <row r="837" spans="1:8" x14ac:dyDescent="0.3">
      <c r="A837" s="64">
        <v>20260210360875</v>
      </c>
      <c r="B837" t="s">
        <v>41</v>
      </c>
      <c r="C837" s="65">
        <f t="shared" si="13"/>
        <v>46063</v>
      </c>
      <c r="D837" s="3">
        <v>1</v>
      </c>
      <c r="E837" s="3">
        <v>119000</v>
      </c>
      <c r="F837" s="3">
        <v>119000</v>
      </c>
      <c r="G837" s="3">
        <v>80920</v>
      </c>
      <c r="H837" s="25">
        <v>61496</v>
      </c>
    </row>
    <row r="838" spans="1:8" x14ac:dyDescent="0.3">
      <c r="A838" s="64">
        <v>20260210360271</v>
      </c>
      <c r="B838" t="s">
        <v>41</v>
      </c>
      <c r="C838" s="65">
        <f t="shared" si="13"/>
        <v>46063</v>
      </c>
      <c r="D838" s="3">
        <v>2</v>
      </c>
      <c r="E838" s="3">
        <v>119000</v>
      </c>
      <c r="F838" s="3">
        <v>238000</v>
      </c>
      <c r="G838" s="3">
        <v>161840</v>
      </c>
      <c r="H838" s="25">
        <v>122992</v>
      </c>
    </row>
    <row r="839" spans="1:8" x14ac:dyDescent="0.3">
      <c r="A839" s="64">
        <v>20260210360371</v>
      </c>
      <c r="B839" t="s">
        <v>41</v>
      </c>
      <c r="C839" s="65">
        <f t="shared" si="13"/>
        <v>46063</v>
      </c>
      <c r="D839" s="3">
        <v>1</v>
      </c>
      <c r="E839" s="3">
        <v>119000</v>
      </c>
      <c r="F839" s="3">
        <v>113050</v>
      </c>
      <c r="G839" s="3">
        <v>80920</v>
      </c>
      <c r="H839" s="25">
        <v>61496</v>
      </c>
    </row>
    <row r="840" spans="1:8" x14ac:dyDescent="0.3">
      <c r="A840" s="64">
        <v>20260210361908</v>
      </c>
      <c r="B840" t="s">
        <v>41</v>
      </c>
      <c r="C840" s="65">
        <f t="shared" si="13"/>
        <v>46063</v>
      </c>
      <c r="D840" s="3">
        <v>1</v>
      </c>
      <c r="E840" s="3">
        <v>119000</v>
      </c>
      <c r="F840" s="3">
        <v>119000</v>
      </c>
      <c r="G840" s="3">
        <v>80920</v>
      </c>
      <c r="H840" s="25">
        <v>61496</v>
      </c>
    </row>
    <row r="841" spans="1:8" x14ac:dyDescent="0.3">
      <c r="A841" s="64">
        <v>20260210360177</v>
      </c>
      <c r="B841" t="s">
        <v>41</v>
      </c>
      <c r="C841" s="65">
        <f t="shared" si="13"/>
        <v>46063</v>
      </c>
      <c r="D841" s="3">
        <v>1</v>
      </c>
      <c r="E841" s="3">
        <v>119000</v>
      </c>
      <c r="F841" s="3">
        <v>119000</v>
      </c>
      <c r="G841" s="3">
        <v>80920</v>
      </c>
      <c r="H841" s="25">
        <v>61496</v>
      </c>
    </row>
    <row r="842" spans="1:8" x14ac:dyDescent="0.3">
      <c r="A842" s="64">
        <v>20260210360979</v>
      </c>
      <c r="B842" t="s">
        <v>41</v>
      </c>
      <c r="C842" s="65">
        <f t="shared" si="13"/>
        <v>46063</v>
      </c>
      <c r="D842" s="3">
        <v>1</v>
      </c>
      <c r="E842" s="3">
        <v>119000</v>
      </c>
      <c r="F842" s="3">
        <v>119000</v>
      </c>
      <c r="G842" s="3">
        <v>80920</v>
      </c>
      <c r="H842" s="25">
        <v>61496</v>
      </c>
    </row>
    <row r="843" spans="1:8" x14ac:dyDescent="0.3">
      <c r="A843" s="64">
        <v>20260210361530</v>
      </c>
      <c r="B843" t="s">
        <v>41</v>
      </c>
      <c r="C843" s="65">
        <f t="shared" si="13"/>
        <v>46063</v>
      </c>
      <c r="D843" s="3">
        <v>1</v>
      </c>
      <c r="E843" s="3">
        <v>119000</v>
      </c>
      <c r="F843" s="3">
        <v>119000</v>
      </c>
      <c r="G843" s="3">
        <v>80920</v>
      </c>
      <c r="H843" s="25">
        <v>61496</v>
      </c>
    </row>
    <row r="844" spans="1:8" x14ac:dyDescent="0.3">
      <c r="A844" s="64">
        <v>20260210361628</v>
      </c>
      <c r="B844" t="s">
        <v>41</v>
      </c>
      <c r="C844" s="65">
        <f t="shared" si="13"/>
        <v>46063</v>
      </c>
      <c r="D844" s="3">
        <v>1</v>
      </c>
      <c r="E844" s="3">
        <v>119000</v>
      </c>
      <c r="F844" s="3">
        <v>119000</v>
      </c>
      <c r="G844" s="3">
        <v>80920</v>
      </c>
      <c r="H844" s="25">
        <v>61496</v>
      </c>
    </row>
    <row r="845" spans="1:8" x14ac:dyDescent="0.3">
      <c r="A845" s="64">
        <v>20260210360293</v>
      </c>
      <c r="B845" t="s">
        <v>41</v>
      </c>
      <c r="C845" s="65">
        <f t="shared" si="13"/>
        <v>46063</v>
      </c>
      <c r="D845" s="3">
        <v>1</v>
      </c>
      <c r="E845" s="3">
        <v>119000</v>
      </c>
      <c r="F845" s="3">
        <v>119000</v>
      </c>
      <c r="G845" s="3">
        <v>80920</v>
      </c>
      <c r="H845" s="25">
        <v>61496</v>
      </c>
    </row>
    <row r="846" spans="1:8" x14ac:dyDescent="0.3">
      <c r="A846" s="64">
        <v>20260210361554</v>
      </c>
      <c r="B846" t="s">
        <v>41</v>
      </c>
      <c r="C846" s="65">
        <f t="shared" si="13"/>
        <v>46063</v>
      </c>
      <c r="D846" s="3">
        <v>1</v>
      </c>
      <c r="E846" s="3">
        <v>119000</v>
      </c>
      <c r="F846" s="3">
        <v>95200</v>
      </c>
      <c r="G846" s="3">
        <v>80920</v>
      </c>
      <c r="H846" s="25">
        <v>61496</v>
      </c>
    </row>
    <row r="847" spans="1:8" x14ac:dyDescent="0.3">
      <c r="A847" s="64">
        <v>20260210360720</v>
      </c>
      <c r="B847" t="s">
        <v>41</v>
      </c>
      <c r="C847" s="65">
        <f t="shared" si="13"/>
        <v>46063</v>
      </c>
      <c r="D847" s="3">
        <v>1</v>
      </c>
      <c r="E847" s="3">
        <v>119000</v>
      </c>
      <c r="F847" s="3">
        <v>119000</v>
      </c>
      <c r="G847" s="3">
        <v>80920</v>
      </c>
      <c r="H847" s="25">
        <v>61496</v>
      </c>
    </row>
    <row r="848" spans="1:8" x14ac:dyDescent="0.3">
      <c r="A848" s="64">
        <v>20260210360283</v>
      </c>
      <c r="B848" t="s">
        <v>41</v>
      </c>
      <c r="C848" s="65">
        <f t="shared" si="13"/>
        <v>46063</v>
      </c>
      <c r="D848" s="3">
        <v>2</v>
      </c>
      <c r="E848" s="3">
        <v>119000</v>
      </c>
      <c r="F848" s="3">
        <v>238000</v>
      </c>
      <c r="G848" s="3">
        <v>161840</v>
      </c>
      <c r="H848" s="25">
        <v>122992</v>
      </c>
    </row>
    <row r="849" spans="1:8" x14ac:dyDescent="0.3">
      <c r="A849" s="64">
        <v>20260210361227</v>
      </c>
      <c r="B849" t="s">
        <v>41</v>
      </c>
      <c r="C849" s="65">
        <f t="shared" si="13"/>
        <v>46063</v>
      </c>
      <c r="D849" s="3">
        <v>2</v>
      </c>
      <c r="E849" s="3">
        <v>119000</v>
      </c>
      <c r="F849" s="3">
        <v>238000</v>
      </c>
      <c r="G849" s="3">
        <v>161840</v>
      </c>
      <c r="H849" s="25">
        <v>122992</v>
      </c>
    </row>
    <row r="850" spans="1:8" x14ac:dyDescent="0.3">
      <c r="A850" s="64">
        <v>20260210367975</v>
      </c>
      <c r="B850" t="s">
        <v>41</v>
      </c>
      <c r="C850" s="65">
        <f t="shared" si="13"/>
        <v>46063</v>
      </c>
      <c r="D850" s="3">
        <v>1</v>
      </c>
      <c r="E850" s="3">
        <v>119000</v>
      </c>
      <c r="F850" s="3">
        <v>113050</v>
      </c>
      <c r="G850" s="3">
        <v>80920</v>
      </c>
      <c r="H850" s="25">
        <v>61496</v>
      </c>
    </row>
    <row r="851" spans="1:8" x14ac:dyDescent="0.3">
      <c r="A851" s="64">
        <v>20260205994463</v>
      </c>
      <c r="B851" t="s">
        <v>41</v>
      </c>
      <c r="C851" s="65">
        <f t="shared" si="13"/>
        <v>46058</v>
      </c>
      <c r="D851" s="3">
        <v>1</v>
      </c>
      <c r="E851" s="3">
        <v>119000</v>
      </c>
      <c r="F851" s="3">
        <v>119000</v>
      </c>
      <c r="G851" s="3">
        <v>82110</v>
      </c>
      <c r="H851" s="25">
        <v>61496</v>
      </c>
    </row>
    <row r="852" spans="1:8" x14ac:dyDescent="0.3">
      <c r="A852" s="64">
        <v>20260210360499</v>
      </c>
      <c r="B852" t="s">
        <v>41</v>
      </c>
      <c r="C852" s="65">
        <f t="shared" si="13"/>
        <v>46063</v>
      </c>
      <c r="D852" s="3">
        <v>1</v>
      </c>
      <c r="E852" s="3">
        <v>119000</v>
      </c>
      <c r="F852" s="3">
        <v>113050</v>
      </c>
      <c r="G852" s="3">
        <v>80920</v>
      </c>
      <c r="H852" s="25">
        <v>61496</v>
      </c>
    </row>
    <row r="853" spans="1:8" x14ac:dyDescent="0.3">
      <c r="A853" s="64">
        <v>20260210361304</v>
      </c>
      <c r="B853" t="s">
        <v>41</v>
      </c>
      <c r="C853" s="65">
        <f t="shared" si="13"/>
        <v>46063</v>
      </c>
      <c r="D853" s="3">
        <v>1</v>
      </c>
      <c r="E853" s="3">
        <v>119000</v>
      </c>
      <c r="F853" s="3">
        <v>119000</v>
      </c>
      <c r="G853" s="3">
        <v>80920</v>
      </c>
      <c r="H853" s="25">
        <v>61496</v>
      </c>
    </row>
    <row r="854" spans="1:8" x14ac:dyDescent="0.3">
      <c r="A854" s="64">
        <v>20260210361296</v>
      </c>
      <c r="B854" t="s">
        <v>41</v>
      </c>
      <c r="C854" s="65">
        <f t="shared" si="13"/>
        <v>46063</v>
      </c>
      <c r="D854" s="3">
        <v>1</v>
      </c>
      <c r="E854" s="3">
        <v>119000</v>
      </c>
      <c r="F854" s="3">
        <v>109000</v>
      </c>
      <c r="G854" s="3">
        <v>80920</v>
      </c>
      <c r="H854" s="25">
        <v>61496</v>
      </c>
    </row>
    <row r="855" spans="1:8" x14ac:dyDescent="0.3">
      <c r="A855" s="64">
        <v>20260210361578</v>
      </c>
      <c r="B855" t="s">
        <v>41</v>
      </c>
      <c r="C855" s="65">
        <f t="shared" si="13"/>
        <v>46063</v>
      </c>
      <c r="D855" s="3">
        <v>1</v>
      </c>
      <c r="E855" s="3">
        <v>119000</v>
      </c>
      <c r="F855" s="3">
        <v>119000</v>
      </c>
      <c r="G855" s="3">
        <v>80920</v>
      </c>
      <c r="H855" s="25">
        <v>61496</v>
      </c>
    </row>
    <row r="856" spans="1:8" x14ac:dyDescent="0.3">
      <c r="A856" s="64">
        <v>20260210360604</v>
      </c>
      <c r="B856" t="s">
        <v>41</v>
      </c>
      <c r="C856" s="65">
        <f t="shared" si="13"/>
        <v>46063</v>
      </c>
      <c r="D856" s="3">
        <v>1</v>
      </c>
      <c r="E856" s="3">
        <v>119000</v>
      </c>
      <c r="F856" s="3">
        <v>119000</v>
      </c>
      <c r="G856" s="3">
        <v>80920</v>
      </c>
      <c r="H856" s="25">
        <v>61496</v>
      </c>
    </row>
    <row r="857" spans="1:8" x14ac:dyDescent="0.3">
      <c r="A857" s="64">
        <v>20260210361837</v>
      </c>
      <c r="B857" t="s">
        <v>41</v>
      </c>
      <c r="C857" s="65">
        <f t="shared" si="13"/>
        <v>46063</v>
      </c>
      <c r="D857" s="3">
        <v>1</v>
      </c>
      <c r="E857" s="3">
        <v>119000</v>
      </c>
      <c r="F857" s="3">
        <v>113050</v>
      </c>
      <c r="G857" s="3">
        <v>80920</v>
      </c>
      <c r="H857" s="25">
        <v>61496</v>
      </c>
    </row>
    <row r="858" spans="1:8" x14ac:dyDescent="0.3">
      <c r="A858" s="64">
        <v>20260210361837</v>
      </c>
      <c r="B858" t="s">
        <v>41</v>
      </c>
      <c r="C858" s="65">
        <f t="shared" si="13"/>
        <v>46063</v>
      </c>
      <c r="D858" s="3">
        <v>1</v>
      </c>
      <c r="E858" s="3">
        <v>119000</v>
      </c>
      <c r="F858" s="3">
        <v>113050</v>
      </c>
      <c r="G858" s="3">
        <v>80920</v>
      </c>
      <c r="H858" s="25">
        <v>61496</v>
      </c>
    </row>
    <row r="859" spans="1:8" x14ac:dyDescent="0.3">
      <c r="A859" s="64">
        <v>20260210360558</v>
      </c>
      <c r="B859" t="s">
        <v>41</v>
      </c>
      <c r="C859" s="65">
        <f t="shared" si="13"/>
        <v>46063</v>
      </c>
      <c r="D859" s="3">
        <v>1</v>
      </c>
      <c r="E859" s="3">
        <v>119000</v>
      </c>
      <c r="F859" s="3">
        <v>119000</v>
      </c>
      <c r="G859" s="3">
        <v>80920</v>
      </c>
      <c r="H859" s="25">
        <v>61496</v>
      </c>
    </row>
    <row r="860" spans="1:8" x14ac:dyDescent="0.3">
      <c r="A860" s="64">
        <v>20260210360940</v>
      </c>
      <c r="B860" t="s">
        <v>41</v>
      </c>
      <c r="C860" s="65">
        <f t="shared" si="13"/>
        <v>46063</v>
      </c>
      <c r="D860" s="3">
        <v>1</v>
      </c>
      <c r="E860" s="3">
        <v>119000</v>
      </c>
      <c r="F860" s="3">
        <v>119000</v>
      </c>
      <c r="G860" s="3">
        <v>80920</v>
      </c>
      <c r="H860" s="25">
        <v>61496</v>
      </c>
    </row>
    <row r="861" spans="1:8" x14ac:dyDescent="0.3">
      <c r="A861" s="64">
        <v>20260210360934</v>
      </c>
      <c r="B861" t="s">
        <v>41</v>
      </c>
      <c r="C861" s="65">
        <f t="shared" si="13"/>
        <v>46063</v>
      </c>
      <c r="D861" s="3">
        <v>1</v>
      </c>
      <c r="E861" s="3">
        <v>119000</v>
      </c>
      <c r="F861" s="3">
        <v>119000</v>
      </c>
      <c r="G861" s="3">
        <v>80920</v>
      </c>
      <c r="H861" s="25">
        <v>61496</v>
      </c>
    </row>
    <row r="862" spans="1:8" x14ac:dyDescent="0.3">
      <c r="A862" s="64">
        <v>20260210360612</v>
      </c>
      <c r="B862" t="s">
        <v>41</v>
      </c>
      <c r="C862" s="65">
        <f t="shared" si="13"/>
        <v>46063</v>
      </c>
      <c r="D862" s="3">
        <v>1</v>
      </c>
      <c r="E862" s="3">
        <v>119000</v>
      </c>
      <c r="F862" s="3">
        <v>113050</v>
      </c>
      <c r="G862" s="3">
        <v>80920</v>
      </c>
      <c r="H862" s="25">
        <v>61496</v>
      </c>
    </row>
    <row r="863" spans="1:8" x14ac:dyDescent="0.3">
      <c r="A863" s="64">
        <v>20260210361645</v>
      </c>
      <c r="B863" t="s">
        <v>41</v>
      </c>
      <c r="C863" s="65">
        <f t="shared" si="13"/>
        <v>46063</v>
      </c>
      <c r="D863" s="3">
        <v>1</v>
      </c>
      <c r="E863" s="3">
        <v>119000</v>
      </c>
      <c r="F863" s="3">
        <v>119000</v>
      </c>
      <c r="G863" s="3">
        <v>80920</v>
      </c>
      <c r="H863" s="25">
        <v>61496</v>
      </c>
    </row>
    <row r="864" spans="1:8" x14ac:dyDescent="0.3">
      <c r="A864" s="64">
        <v>20260210362008</v>
      </c>
      <c r="B864" t="s">
        <v>41</v>
      </c>
      <c r="C864" s="65">
        <f t="shared" si="13"/>
        <v>46063</v>
      </c>
      <c r="D864" s="3">
        <v>1</v>
      </c>
      <c r="E864" s="3">
        <v>119000</v>
      </c>
      <c r="F864" s="3">
        <v>119000</v>
      </c>
      <c r="G864" s="3">
        <v>80920</v>
      </c>
      <c r="H864" s="25">
        <v>61496</v>
      </c>
    </row>
    <row r="865" spans="1:8" x14ac:dyDescent="0.3">
      <c r="A865" s="64">
        <v>20260210360697</v>
      </c>
      <c r="B865" t="s">
        <v>41</v>
      </c>
      <c r="C865" s="65">
        <f t="shared" si="13"/>
        <v>46063</v>
      </c>
      <c r="D865" s="3">
        <v>1</v>
      </c>
      <c r="E865" s="3">
        <v>119000</v>
      </c>
      <c r="F865" s="3">
        <v>101150</v>
      </c>
      <c r="G865" s="3">
        <v>80920</v>
      </c>
      <c r="H865" s="25">
        <v>61496</v>
      </c>
    </row>
    <row r="866" spans="1:8" x14ac:dyDescent="0.3">
      <c r="A866" s="64">
        <v>20260210362079</v>
      </c>
      <c r="B866" t="s">
        <v>41</v>
      </c>
      <c r="C866" s="65">
        <f t="shared" si="13"/>
        <v>46063</v>
      </c>
      <c r="D866" s="3">
        <v>1</v>
      </c>
      <c r="E866" s="3">
        <v>119000</v>
      </c>
      <c r="F866" s="3">
        <v>119000</v>
      </c>
      <c r="G866" s="3">
        <v>80920</v>
      </c>
      <c r="H866" s="25">
        <v>61496</v>
      </c>
    </row>
    <row r="867" spans="1:8" x14ac:dyDescent="0.3">
      <c r="A867" s="64">
        <v>20260210361307</v>
      </c>
      <c r="B867" t="s">
        <v>41</v>
      </c>
      <c r="C867" s="65">
        <f t="shared" si="13"/>
        <v>46063</v>
      </c>
      <c r="D867" s="3">
        <v>1</v>
      </c>
      <c r="E867" s="3">
        <v>119000</v>
      </c>
      <c r="F867" s="3">
        <v>119000</v>
      </c>
      <c r="G867" s="3">
        <v>80920</v>
      </c>
      <c r="H867" s="25">
        <v>61496</v>
      </c>
    </row>
    <row r="868" spans="1:8" x14ac:dyDescent="0.3">
      <c r="A868" s="64">
        <v>20260210360709</v>
      </c>
      <c r="B868" t="s">
        <v>41</v>
      </c>
      <c r="C868" s="65">
        <f t="shared" si="13"/>
        <v>46063</v>
      </c>
      <c r="D868" s="3">
        <v>1</v>
      </c>
      <c r="E868" s="3">
        <v>119000</v>
      </c>
      <c r="F868" s="3">
        <v>119000</v>
      </c>
      <c r="G868" s="3">
        <v>80920</v>
      </c>
      <c r="H868" s="25">
        <v>61496</v>
      </c>
    </row>
    <row r="869" spans="1:8" x14ac:dyDescent="0.3">
      <c r="A869" s="64">
        <v>20260210361913</v>
      </c>
      <c r="B869" t="s">
        <v>41</v>
      </c>
      <c r="C869" s="65">
        <f t="shared" si="13"/>
        <v>46063</v>
      </c>
      <c r="D869" s="3">
        <v>1</v>
      </c>
      <c r="E869" s="3">
        <v>119000</v>
      </c>
      <c r="F869" s="3">
        <v>119000</v>
      </c>
      <c r="G869" s="3">
        <v>80920</v>
      </c>
      <c r="H869" s="25">
        <v>61496</v>
      </c>
    </row>
    <row r="870" spans="1:8" x14ac:dyDescent="0.3">
      <c r="A870" s="64">
        <v>20260210360756</v>
      </c>
      <c r="B870" t="s">
        <v>41</v>
      </c>
      <c r="C870" s="65">
        <f t="shared" si="13"/>
        <v>46063</v>
      </c>
      <c r="D870" s="3">
        <v>1</v>
      </c>
      <c r="E870" s="3">
        <v>119000</v>
      </c>
      <c r="F870" s="3">
        <v>119000</v>
      </c>
      <c r="G870" s="3">
        <v>80920</v>
      </c>
      <c r="H870" s="25">
        <v>61496</v>
      </c>
    </row>
    <row r="871" spans="1:8" x14ac:dyDescent="0.3">
      <c r="A871" s="64">
        <v>20260210361263</v>
      </c>
      <c r="B871" t="s">
        <v>41</v>
      </c>
      <c r="C871" s="65">
        <f t="shared" si="13"/>
        <v>46063</v>
      </c>
      <c r="D871" s="3">
        <v>1</v>
      </c>
      <c r="E871" s="3">
        <v>119000</v>
      </c>
      <c r="F871" s="3">
        <v>119000</v>
      </c>
      <c r="G871" s="3">
        <v>80920</v>
      </c>
      <c r="H871" s="25">
        <v>61496</v>
      </c>
    </row>
    <row r="872" spans="1:8" x14ac:dyDescent="0.3">
      <c r="A872" s="64">
        <v>20260210361539</v>
      </c>
      <c r="B872" t="s">
        <v>41</v>
      </c>
      <c r="C872" s="65">
        <f t="shared" si="13"/>
        <v>46063</v>
      </c>
      <c r="D872" s="3">
        <v>1</v>
      </c>
      <c r="E872" s="3">
        <v>119000</v>
      </c>
      <c r="F872" s="3">
        <v>119000</v>
      </c>
      <c r="G872" s="3">
        <v>80920</v>
      </c>
      <c r="H872" s="25">
        <v>61496</v>
      </c>
    </row>
    <row r="873" spans="1:8" x14ac:dyDescent="0.3">
      <c r="A873" s="64">
        <v>20260210361940</v>
      </c>
      <c r="B873" t="s">
        <v>41</v>
      </c>
      <c r="C873" s="65">
        <f t="shared" si="13"/>
        <v>46063</v>
      </c>
      <c r="D873" s="3">
        <v>1</v>
      </c>
      <c r="E873" s="3">
        <v>119000</v>
      </c>
      <c r="F873" s="3">
        <v>119000</v>
      </c>
      <c r="G873" s="3">
        <v>80920</v>
      </c>
      <c r="H873" s="25">
        <v>61496</v>
      </c>
    </row>
    <row r="874" spans="1:8" x14ac:dyDescent="0.3">
      <c r="A874" s="64">
        <v>20260210362078</v>
      </c>
      <c r="B874" t="s">
        <v>41</v>
      </c>
      <c r="C874" s="65">
        <f t="shared" si="13"/>
        <v>46063</v>
      </c>
      <c r="D874" s="3">
        <v>1</v>
      </c>
      <c r="E874" s="3">
        <v>119000</v>
      </c>
      <c r="F874" s="3">
        <v>119000</v>
      </c>
      <c r="G874" s="3">
        <v>80920</v>
      </c>
      <c r="H874" s="25">
        <v>61496</v>
      </c>
    </row>
    <row r="875" spans="1:8" x14ac:dyDescent="0.3">
      <c r="A875" s="64">
        <v>20260210361721</v>
      </c>
      <c r="B875" t="s">
        <v>41</v>
      </c>
      <c r="C875" s="65">
        <f t="shared" si="13"/>
        <v>46063</v>
      </c>
      <c r="D875" s="3">
        <v>1</v>
      </c>
      <c r="E875" s="3">
        <v>119000</v>
      </c>
      <c r="F875" s="3">
        <v>119000</v>
      </c>
      <c r="G875" s="3">
        <v>80920</v>
      </c>
      <c r="H875" s="25">
        <v>61496</v>
      </c>
    </row>
    <row r="876" spans="1:8" x14ac:dyDescent="0.3">
      <c r="A876" s="64">
        <v>20260210361178</v>
      </c>
      <c r="B876" t="s">
        <v>41</v>
      </c>
      <c r="C876" s="65">
        <f t="shared" si="13"/>
        <v>46063</v>
      </c>
      <c r="D876" s="3">
        <v>1</v>
      </c>
      <c r="E876" s="3">
        <v>119000</v>
      </c>
      <c r="F876" s="3">
        <v>119000</v>
      </c>
      <c r="G876" s="3">
        <v>80920</v>
      </c>
      <c r="H876" s="25">
        <v>61496</v>
      </c>
    </row>
    <row r="877" spans="1:8" x14ac:dyDescent="0.3">
      <c r="A877" s="64">
        <v>20260210360216</v>
      </c>
      <c r="B877" t="s">
        <v>41</v>
      </c>
      <c r="C877" s="65">
        <f t="shared" si="13"/>
        <v>46063</v>
      </c>
      <c r="D877" s="3">
        <v>1</v>
      </c>
      <c r="E877" s="3">
        <v>119000</v>
      </c>
      <c r="F877" s="3">
        <v>119000</v>
      </c>
      <c r="G877" s="3">
        <v>80920</v>
      </c>
      <c r="H877" s="25">
        <v>61496</v>
      </c>
    </row>
    <row r="878" spans="1:8" x14ac:dyDescent="0.3">
      <c r="A878" s="64">
        <v>20260210360543</v>
      </c>
      <c r="B878" t="s">
        <v>41</v>
      </c>
      <c r="C878" s="65">
        <f t="shared" si="13"/>
        <v>46063</v>
      </c>
      <c r="D878" s="3">
        <v>1</v>
      </c>
      <c r="E878" s="3">
        <v>119000</v>
      </c>
      <c r="F878" s="3">
        <v>119000</v>
      </c>
      <c r="G878" s="3">
        <v>80920</v>
      </c>
      <c r="H878" s="25">
        <v>61496</v>
      </c>
    </row>
    <row r="879" spans="1:8" x14ac:dyDescent="0.3">
      <c r="A879" s="64">
        <v>20260210361735</v>
      </c>
      <c r="B879" t="s">
        <v>41</v>
      </c>
      <c r="C879" s="65">
        <f t="shared" si="13"/>
        <v>46063</v>
      </c>
      <c r="D879" s="3">
        <v>1</v>
      </c>
      <c r="E879" s="3">
        <v>119000</v>
      </c>
      <c r="F879" s="3">
        <v>113050</v>
      </c>
      <c r="G879" s="3">
        <v>80920</v>
      </c>
      <c r="H879" s="25">
        <v>61496</v>
      </c>
    </row>
    <row r="880" spans="1:8" x14ac:dyDescent="0.3">
      <c r="A880" s="64">
        <v>20260210360908</v>
      </c>
      <c r="B880" t="s">
        <v>41</v>
      </c>
      <c r="C880" s="65">
        <f t="shared" si="13"/>
        <v>46063</v>
      </c>
      <c r="D880" s="3">
        <v>1</v>
      </c>
      <c r="E880" s="3">
        <v>119000</v>
      </c>
      <c r="F880" s="3">
        <v>113050</v>
      </c>
      <c r="G880" s="3">
        <v>80920</v>
      </c>
      <c r="H880" s="25">
        <v>61496</v>
      </c>
    </row>
    <row r="881" spans="1:8" x14ac:dyDescent="0.3">
      <c r="A881" s="64">
        <v>20260210342835</v>
      </c>
      <c r="B881" t="s">
        <v>41</v>
      </c>
      <c r="C881" s="65">
        <f t="shared" si="13"/>
        <v>46063</v>
      </c>
      <c r="D881" s="3">
        <v>1</v>
      </c>
      <c r="E881" s="3">
        <v>119000</v>
      </c>
      <c r="F881" s="3">
        <v>119000</v>
      </c>
      <c r="G881" s="3">
        <v>80920</v>
      </c>
      <c r="H881" s="25">
        <v>61496</v>
      </c>
    </row>
    <row r="882" spans="1:8" x14ac:dyDescent="0.3">
      <c r="A882" s="64">
        <v>12100169248866</v>
      </c>
      <c r="B882" t="s">
        <v>1673</v>
      </c>
      <c r="C882" s="65">
        <f t="shared" si="13"/>
        <v>442013</v>
      </c>
      <c r="D882" s="3">
        <v>1</v>
      </c>
      <c r="E882" s="3">
        <v>20900</v>
      </c>
      <c r="F882" s="3">
        <v>20900</v>
      </c>
      <c r="G882" s="3">
        <v>18183</v>
      </c>
      <c r="H882" s="25">
        <v>7687</v>
      </c>
    </row>
    <row r="883" spans="1:8" x14ac:dyDescent="0.3">
      <c r="A883" s="64">
        <v>28100169339326</v>
      </c>
      <c r="B883" t="s">
        <v>1673</v>
      </c>
      <c r="C883" s="65">
        <f t="shared" si="13"/>
        <v>332441</v>
      </c>
      <c r="D883" s="3">
        <v>1</v>
      </c>
      <c r="E883" s="3">
        <v>20900</v>
      </c>
      <c r="F883" s="3">
        <v>20900</v>
      </c>
      <c r="G883" s="3">
        <v>18183</v>
      </c>
      <c r="H883" s="25">
        <v>7687</v>
      </c>
    </row>
    <row r="884" spans="1:8" x14ac:dyDescent="0.3">
      <c r="A884" s="64">
        <v>30100169868577</v>
      </c>
      <c r="B884" t="s">
        <v>1673</v>
      </c>
      <c r="C884" s="65">
        <f t="shared" si="13"/>
        <v>405489</v>
      </c>
      <c r="D884" s="3">
        <v>3</v>
      </c>
      <c r="E884" s="3">
        <v>20900</v>
      </c>
      <c r="F884" s="3">
        <v>62700</v>
      </c>
      <c r="G884" s="3">
        <v>54549</v>
      </c>
      <c r="H884" s="25">
        <v>23061</v>
      </c>
    </row>
    <row r="885" spans="1:8" x14ac:dyDescent="0.3">
      <c r="A885" s="64">
        <v>19100169693948</v>
      </c>
      <c r="B885" t="s">
        <v>1673</v>
      </c>
      <c r="C885" s="65">
        <f t="shared" si="13"/>
        <v>3722</v>
      </c>
      <c r="D885" s="3">
        <v>1</v>
      </c>
      <c r="E885" s="3">
        <v>20900</v>
      </c>
      <c r="F885" s="3">
        <v>20900</v>
      </c>
      <c r="G885" s="3">
        <v>18183</v>
      </c>
      <c r="H885" s="25">
        <v>7687</v>
      </c>
    </row>
    <row r="886" spans="1:8" x14ac:dyDescent="0.3">
      <c r="A886" s="64">
        <v>26100169614931</v>
      </c>
      <c r="B886" t="s">
        <v>1673</v>
      </c>
      <c r="C886" s="65">
        <f t="shared" si="13"/>
        <v>259392</v>
      </c>
      <c r="D886" s="3">
        <v>1</v>
      </c>
      <c r="E886" s="3">
        <v>40000</v>
      </c>
      <c r="F886" s="3">
        <v>40000</v>
      </c>
      <c r="G886" s="3">
        <v>34800</v>
      </c>
      <c r="H886" s="25">
        <v>7687</v>
      </c>
    </row>
    <row r="887" spans="1:8" x14ac:dyDescent="0.3">
      <c r="A887" s="64">
        <v>7100170513612</v>
      </c>
      <c r="B887" t="s">
        <v>1673</v>
      </c>
      <c r="C887" s="65">
        <f t="shared" si="13"/>
        <v>1899752</v>
      </c>
      <c r="D887" s="3">
        <v>1</v>
      </c>
      <c r="E887" s="3">
        <v>78000</v>
      </c>
      <c r="F887" s="3">
        <v>78000</v>
      </c>
      <c r="G887" s="3">
        <v>67860</v>
      </c>
      <c r="H887" s="25">
        <v>7687</v>
      </c>
    </row>
    <row r="888" spans="1:8" x14ac:dyDescent="0.3">
      <c r="A888" s="64">
        <v>32100170207333</v>
      </c>
      <c r="B888" t="s">
        <v>1673</v>
      </c>
      <c r="C888" s="65">
        <f t="shared" si="13"/>
        <v>478539</v>
      </c>
      <c r="D888" s="3">
        <v>1</v>
      </c>
      <c r="E888" s="3">
        <v>78000</v>
      </c>
      <c r="F888" s="3">
        <v>78000</v>
      </c>
      <c r="G888" s="3">
        <v>67860</v>
      </c>
      <c r="H888" s="25">
        <v>7687</v>
      </c>
    </row>
    <row r="889" spans="1:8" x14ac:dyDescent="0.3">
      <c r="A889" s="64">
        <v>18100170248996</v>
      </c>
      <c r="B889" t="s">
        <v>1673</v>
      </c>
      <c r="C889" s="65">
        <f t="shared" si="13"/>
        <v>661160</v>
      </c>
      <c r="D889" s="3">
        <v>1</v>
      </c>
      <c r="E889" s="3">
        <v>40000</v>
      </c>
      <c r="F889" s="3">
        <v>40000</v>
      </c>
      <c r="G889" s="3">
        <v>34800</v>
      </c>
      <c r="H889" s="25">
        <v>7687</v>
      </c>
    </row>
    <row r="890" spans="1:8" x14ac:dyDescent="0.3">
      <c r="A890" s="64">
        <v>9100170443201</v>
      </c>
      <c r="B890" t="s">
        <v>1673</v>
      </c>
      <c r="C890" s="65">
        <f t="shared" si="13"/>
        <v>2630236</v>
      </c>
      <c r="D890" s="3">
        <v>1</v>
      </c>
      <c r="E890" s="3">
        <v>78000</v>
      </c>
      <c r="F890" s="3">
        <v>78000</v>
      </c>
      <c r="G890" s="3">
        <v>67860</v>
      </c>
      <c r="H890" s="25">
        <v>7687</v>
      </c>
    </row>
    <row r="891" spans="1:8" x14ac:dyDescent="0.3">
      <c r="A891" s="64">
        <v>9100170453124</v>
      </c>
      <c r="B891" t="s">
        <v>1673</v>
      </c>
      <c r="C891" s="65">
        <f t="shared" si="13"/>
        <v>2630236</v>
      </c>
      <c r="D891" s="3">
        <v>1</v>
      </c>
      <c r="E891" s="3">
        <v>78000</v>
      </c>
      <c r="F891" s="3">
        <v>78000</v>
      </c>
      <c r="G891" s="3">
        <v>67860</v>
      </c>
      <c r="H891" s="25">
        <v>7687</v>
      </c>
    </row>
    <row r="892" spans="1:8" x14ac:dyDescent="0.3">
      <c r="A892" s="64">
        <v>16100171241527</v>
      </c>
      <c r="B892" t="s">
        <v>1673</v>
      </c>
      <c r="C892" s="65">
        <f t="shared" si="13"/>
        <v>588112</v>
      </c>
      <c r="D892" s="3">
        <v>1</v>
      </c>
      <c r="E892" s="3">
        <v>40000</v>
      </c>
      <c r="F892" s="3">
        <v>40000</v>
      </c>
      <c r="G892" s="3">
        <v>34800</v>
      </c>
      <c r="H892" s="25">
        <v>7687</v>
      </c>
    </row>
    <row r="893" spans="1:8" x14ac:dyDescent="0.3">
      <c r="A893" s="64">
        <v>32100170791524</v>
      </c>
      <c r="B893" t="s">
        <v>1673</v>
      </c>
      <c r="C893" s="65">
        <f t="shared" si="13"/>
        <v>478539</v>
      </c>
      <c r="D893" s="3">
        <v>1</v>
      </c>
      <c r="E893" s="3">
        <v>78000</v>
      </c>
      <c r="F893" s="3">
        <v>78000</v>
      </c>
      <c r="G893" s="3">
        <v>67860</v>
      </c>
      <c r="H893" s="25">
        <v>7687</v>
      </c>
    </row>
    <row r="894" spans="1:8" x14ac:dyDescent="0.3">
      <c r="A894" s="64">
        <v>6100170728171</v>
      </c>
      <c r="B894" t="s">
        <v>1673</v>
      </c>
      <c r="C894" s="65">
        <f t="shared" si="13"/>
        <v>1534512</v>
      </c>
      <c r="D894" s="3">
        <v>1</v>
      </c>
      <c r="E894" s="3">
        <v>40000</v>
      </c>
      <c r="F894" s="3">
        <v>40000</v>
      </c>
      <c r="G894" s="3">
        <v>34800</v>
      </c>
      <c r="H894" s="25">
        <v>7687</v>
      </c>
    </row>
    <row r="895" spans="1:8" x14ac:dyDescent="0.3">
      <c r="A895" s="64">
        <v>17100170827220</v>
      </c>
      <c r="B895" t="s">
        <v>1673</v>
      </c>
      <c r="C895" s="65">
        <f t="shared" si="13"/>
        <v>624636</v>
      </c>
      <c r="D895" s="3">
        <v>2</v>
      </c>
      <c r="E895" s="3">
        <v>40000</v>
      </c>
      <c r="F895" s="3">
        <v>80000</v>
      </c>
      <c r="G895" s="3">
        <v>69600</v>
      </c>
      <c r="H895" s="25">
        <v>15374</v>
      </c>
    </row>
    <row r="896" spans="1:8" x14ac:dyDescent="0.3">
      <c r="A896" s="64">
        <v>20100171016693</v>
      </c>
      <c r="B896" t="s">
        <v>1673</v>
      </c>
      <c r="C896" s="65">
        <f t="shared" si="13"/>
        <v>40249</v>
      </c>
      <c r="D896" s="3">
        <v>1</v>
      </c>
      <c r="E896" s="3">
        <v>20900</v>
      </c>
      <c r="F896" s="3">
        <v>20900</v>
      </c>
      <c r="G896" s="3">
        <v>18183</v>
      </c>
      <c r="H896" s="25">
        <v>7687</v>
      </c>
    </row>
    <row r="897" spans="1:8" x14ac:dyDescent="0.3">
      <c r="A897" s="64">
        <v>2026020586548500</v>
      </c>
      <c r="B897" t="s">
        <v>1672</v>
      </c>
      <c r="C897" s="65">
        <f t="shared" si="13"/>
        <v>46058</v>
      </c>
      <c r="D897" s="3">
        <v>1</v>
      </c>
      <c r="E897" s="3">
        <v>45800</v>
      </c>
      <c r="F897" s="3">
        <v>33900</v>
      </c>
      <c r="G897" s="3">
        <v>32205</v>
      </c>
      <c r="H897" s="25">
        <v>15374</v>
      </c>
    </row>
    <row r="898" spans="1:8" x14ac:dyDescent="0.3">
      <c r="A898" s="64">
        <v>2026020586295070</v>
      </c>
      <c r="B898" t="s">
        <v>1672</v>
      </c>
      <c r="C898" s="65">
        <f t="shared" si="13"/>
        <v>46058</v>
      </c>
      <c r="D898" s="3">
        <v>1</v>
      </c>
      <c r="E898" s="3">
        <v>22900</v>
      </c>
      <c r="F898" s="3">
        <v>17800</v>
      </c>
      <c r="G898" s="3">
        <v>16910</v>
      </c>
      <c r="H898" s="25">
        <v>7687</v>
      </c>
    </row>
    <row r="899" spans="1:8" x14ac:dyDescent="0.3">
      <c r="A899" s="64">
        <v>2026020480361830</v>
      </c>
      <c r="B899" t="s">
        <v>1672</v>
      </c>
      <c r="C899" s="65">
        <f t="shared" ref="C899:C962" si="14">DATE(LEFT(TEXT(A899,"0"),4),MID(TEXT(A899,"0"),5,2),MID(TEXT(A899,"0"),7,2))</f>
        <v>46057</v>
      </c>
      <c r="D899" s="3">
        <v>1</v>
      </c>
      <c r="E899" s="3">
        <v>22900</v>
      </c>
      <c r="F899" s="3">
        <v>17800</v>
      </c>
      <c r="G899" s="3">
        <v>16910</v>
      </c>
      <c r="H899" s="25">
        <v>7687</v>
      </c>
    </row>
    <row r="900" spans="1:8" x14ac:dyDescent="0.3">
      <c r="A900" s="64">
        <v>2026020641602910</v>
      </c>
      <c r="B900" t="s">
        <v>1672</v>
      </c>
      <c r="C900" s="65">
        <f t="shared" si="14"/>
        <v>46059</v>
      </c>
      <c r="D900" s="3">
        <v>1</v>
      </c>
      <c r="E900" s="3">
        <v>45800</v>
      </c>
      <c r="F900" s="3">
        <v>33900</v>
      </c>
      <c r="G900" s="3">
        <v>32205</v>
      </c>
      <c r="H900" s="25">
        <v>15374</v>
      </c>
    </row>
    <row r="901" spans="1:8" x14ac:dyDescent="0.3">
      <c r="A901" s="64">
        <v>3242789909</v>
      </c>
      <c r="B901" t="s">
        <v>5596</v>
      </c>
      <c r="C901" s="65">
        <f t="shared" si="14"/>
        <v>492599</v>
      </c>
      <c r="D901" s="3">
        <v>1</v>
      </c>
      <c r="E901" s="3">
        <v>22900</v>
      </c>
      <c r="F901" s="3">
        <v>22900</v>
      </c>
      <c r="G901" s="3">
        <v>21297</v>
      </c>
      <c r="H901" s="25">
        <v>7687</v>
      </c>
    </row>
    <row r="902" spans="1:8" x14ac:dyDescent="0.3">
      <c r="A902" s="64">
        <v>3242866950</v>
      </c>
      <c r="B902" t="s">
        <v>5596</v>
      </c>
      <c r="C902" s="65">
        <f t="shared" si="14"/>
        <v>492814</v>
      </c>
      <c r="D902" s="3">
        <v>2</v>
      </c>
      <c r="E902" s="3">
        <v>45800</v>
      </c>
      <c r="F902" s="3">
        <v>91600</v>
      </c>
      <c r="G902" s="3">
        <v>85188</v>
      </c>
      <c r="H902" s="25">
        <v>15374</v>
      </c>
    </row>
    <row r="903" spans="1:8" x14ac:dyDescent="0.3">
      <c r="A903" s="64">
        <v>3242952358</v>
      </c>
      <c r="B903" t="s">
        <v>5596</v>
      </c>
      <c r="C903" s="65">
        <f t="shared" si="14"/>
        <v>493041</v>
      </c>
      <c r="D903" s="3">
        <v>1</v>
      </c>
      <c r="E903" s="3">
        <v>22900</v>
      </c>
      <c r="F903" s="3">
        <v>22900</v>
      </c>
      <c r="G903" s="3">
        <v>21297</v>
      </c>
      <c r="H903" s="25">
        <v>7687</v>
      </c>
    </row>
    <row r="904" spans="1:8" x14ac:dyDescent="0.3">
      <c r="A904" s="64">
        <v>3242962470</v>
      </c>
      <c r="B904" t="s">
        <v>5596</v>
      </c>
      <c r="C904" s="65">
        <f t="shared" si="14"/>
        <v>493072</v>
      </c>
      <c r="D904" s="3">
        <v>2</v>
      </c>
      <c r="E904" s="3">
        <v>45800</v>
      </c>
      <c r="F904" s="3">
        <v>91600</v>
      </c>
      <c r="G904" s="3">
        <v>85188</v>
      </c>
      <c r="H904" s="25">
        <v>15374</v>
      </c>
    </row>
    <row r="905" spans="1:8" x14ac:dyDescent="0.3">
      <c r="A905" s="64">
        <v>3242973875</v>
      </c>
      <c r="B905" t="s">
        <v>5596</v>
      </c>
      <c r="C905" s="65">
        <f t="shared" si="14"/>
        <v>493117</v>
      </c>
      <c r="D905" s="3">
        <v>2</v>
      </c>
      <c r="E905" s="3">
        <v>45800</v>
      </c>
      <c r="F905" s="3">
        <v>91600</v>
      </c>
      <c r="G905" s="3">
        <v>85188</v>
      </c>
      <c r="H905" s="25">
        <v>15374</v>
      </c>
    </row>
    <row r="906" spans="1:8" x14ac:dyDescent="0.3">
      <c r="A906" s="64">
        <v>2.0260205105831501E+18</v>
      </c>
      <c r="B906" t="s">
        <v>5594</v>
      </c>
      <c r="C906" s="65">
        <f t="shared" si="14"/>
        <v>46058</v>
      </c>
      <c r="D906" s="3">
        <v>1</v>
      </c>
      <c r="E906" s="3">
        <v>41363.636363636302</v>
      </c>
      <c r="F906" s="3">
        <v>45499.999999999935</v>
      </c>
      <c r="G906" s="3">
        <v>45500</v>
      </c>
      <c r="H906" s="25">
        <v>30748</v>
      </c>
    </row>
    <row r="907" spans="1:8" x14ac:dyDescent="0.3">
      <c r="A907" s="64">
        <v>2.02602051039395E+18</v>
      </c>
      <c r="B907" t="s">
        <v>5594</v>
      </c>
      <c r="C907" s="65">
        <f t="shared" si="14"/>
        <v>46058</v>
      </c>
      <c r="D907" s="3">
        <v>1</v>
      </c>
      <c r="E907" s="3">
        <v>41363.636363636302</v>
      </c>
      <c r="F907" s="3">
        <v>45499.999999999935</v>
      </c>
      <c r="G907" s="3">
        <v>45500</v>
      </c>
      <c r="H907" s="25">
        <v>30748</v>
      </c>
    </row>
    <row r="908" spans="1:8" x14ac:dyDescent="0.3">
      <c r="A908" s="64">
        <v>2.0260205103855301E+18</v>
      </c>
      <c r="B908" t="s">
        <v>5594</v>
      </c>
      <c r="C908" s="65">
        <f t="shared" si="14"/>
        <v>46058</v>
      </c>
      <c r="D908" s="3">
        <v>1</v>
      </c>
      <c r="E908" s="3">
        <v>41363.636363636302</v>
      </c>
      <c r="F908" s="3">
        <v>45499.999999999935</v>
      </c>
      <c r="G908" s="3">
        <v>45500</v>
      </c>
      <c r="H908" s="25">
        <v>30748</v>
      </c>
    </row>
    <row r="909" spans="1:8" x14ac:dyDescent="0.3">
      <c r="A909" s="64">
        <v>2.0260205102430001E+18</v>
      </c>
      <c r="B909" t="s">
        <v>5594</v>
      </c>
      <c r="C909" s="65">
        <f t="shared" si="14"/>
        <v>46058</v>
      </c>
      <c r="D909" s="3">
        <v>1</v>
      </c>
      <c r="E909" s="3">
        <v>41363.636363636302</v>
      </c>
      <c r="F909" s="3">
        <v>45499.999999999935</v>
      </c>
      <c r="G909" s="3">
        <v>45500</v>
      </c>
      <c r="H909" s="25">
        <v>30748</v>
      </c>
    </row>
    <row r="910" spans="1:8" x14ac:dyDescent="0.3">
      <c r="A910" s="64">
        <v>2.0260205102414999E+18</v>
      </c>
      <c r="B910" t="s">
        <v>5594</v>
      </c>
      <c r="C910" s="65">
        <f t="shared" si="14"/>
        <v>46058</v>
      </c>
      <c r="D910" s="3">
        <v>1</v>
      </c>
      <c r="E910" s="3">
        <v>41363.636363636302</v>
      </c>
      <c r="F910" s="3">
        <v>45499.999999999935</v>
      </c>
      <c r="G910" s="3">
        <v>45500</v>
      </c>
      <c r="H910" s="25">
        <v>30748</v>
      </c>
    </row>
    <row r="911" spans="1:8" x14ac:dyDescent="0.3">
      <c r="A911" s="64">
        <v>2.02602051023325E+18</v>
      </c>
      <c r="B911" t="s">
        <v>5594</v>
      </c>
      <c r="C911" s="65">
        <f t="shared" si="14"/>
        <v>46058</v>
      </c>
      <c r="D911" s="3">
        <v>1</v>
      </c>
      <c r="E911" s="3">
        <v>41363.636363636302</v>
      </c>
      <c r="F911" s="3">
        <v>45499.999999999935</v>
      </c>
      <c r="G911" s="3">
        <v>45500</v>
      </c>
      <c r="H911" s="25">
        <v>30748</v>
      </c>
    </row>
    <row r="912" spans="1:8" x14ac:dyDescent="0.3">
      <c r="A912" s="64">
        <v>2.0260205101943401E+18</v>
      </c>
      <c r="B912" t="s">
        <v>5594</v>
      </c>
      <c r="C912" s="65">
        <f t="shared" si="14"/>
        <v>46058</v>
      </c>
      <c r="D912" s="3">
        <v>2</v>
      </c>
      <c r="E912" s="3">
        <v>41363.636363636353</v>
      </c>
      <c r="F912" s="3">
        <v>91000</v>
      </c>
      <c r="G912" s="3">
        <v>91000</v>
      </c>
      <c r="H912" s="25">
        <v>61496</v>
      </c>
    </row>
    <row r="913" spans="1:8" x14ac:dyDescent="0.3">
      <c r="A913" s="64">
        <v>2.02602051008162E+18</v>
      </c>
      <c r="B913" t="s">
        <v>5594</v>
      </c>
      <c r="C913" s="65">
        <f t="shared" si="14"/>
        <v>46058</v>
      </c>
      <c r="D913" s="3">
        <v>1</v>
      </c>
      <c r="E913" s="3">
        <v>41363.636363636302</v>
      </c>
      <c r="F913" s="3">
        <v>45499.999999999935</v>
      </c>
      <c r="G913" s="3">
        <v>45500</v>
      </c>
      <c r="H913" s="25">
        <v>30748</v>
      </c>
    </row>
    <row r="914" spans="1:8" x14ac:dyDescent="0.3">
      <c r="A914" s="64">
        <v>2.0260205100247401E+18</v>
      </c>
      <c r="B914" t="s">
        <v>5594</v>
      </c>
      <c r="C914" s="65">
        <f t="shared" si="14"/>
        <v>46058</v>
      </c>
      <c r="D914" s="3">
        <v>1</v>
      </c>
      <c r="E914" s="3">
        <v>41363.636363636302</v>
      </c>
      <c r="F914" s="3">
        <v>45499.999999999935</v>
      </c>
      <c r="G914" s="3">
        <v>45500</v>
      </c>
      <c r="H914" s="25">
        <v>30748</v>
      </c>
    </row>
    <row r="915" spans="1:8" x14ac:dyDescent="0.3">
      <c r="A915" s="64">
        <v>2.0260205095056499E+18</v>
      </c>
      <c r="B915" t="s">
        <v>5594</v>
      </c>
      <c r="C915" s="65">
        <f t="shared" si="14"/>
        <v>46058</v>
      </c>
      <c r="D915" s="3">
        <v>1</v>
      </c>
      <c r="E915" s="3">
        <v>41363.636363636302</v>
      </c>
      <c r="F915" s="3">
        <v>45499.999999999935</v>
      </c>
      <c r="G915" s="3">
        <v>45500</v>
      </c>
      <c r="H915" s="25">
        <v>30748</v>
      </c>
    </row>
    <row r="916" spans="1:8" x14ac:dyDescent="0.3">
      <c r="A916" s="64">
        <v>2.0260205094735601E+18</v>
      </c>
      <c r="B916" t="s">
        <v>5594</v>
      </c>
      <c r="C916" s="65">
        <f t="shared" si="14"/>
        <v>46058</v>
      </c>
      <c r="D916" s="3">
        <v>1</v>
      </c>
      <c r="E916" s="3">
        <v>41363.636363636302</v>
      </c>
      <c r="F916" s="3">
        <v>45499.999999999935</v>
      </c>
      <c r="G916" s="3">
        <v>45500</v>
      </c>
      <c r="H916" s="25">
        <v>30748</v>
      </c>
    </row>
    <row r="917" spans="1:8" x14ac:dyDescent="0.3">
      <c r="A917" s="64">
        <v>2.0260205094305999E+18</v>
      </c>
      <c r="B917" t="s">
        <v>5594</v>
      </c>
      <c r="C917" s="65">
        <f t="shared" si="14"/>
        <v>46058</v>
      </c>
      <c r="D917" s="3">
        <v>1</v>
      </c>
      <c r="E917" s="3">
        <v>41363.636363636302</v>
      </c>
      <c r="F917" s="3">
        <v>45499.999999999935</v>
      </c>
      <c r="G917" s="3">
        <v>45500</v>
      </c>
      <c r="H917" s="25">
        <v>30748</v>
      </c>
    </row>
    <row r="918" spans="1:8" x14ac:dyDescent="0.3">
      <c r="A918" s="64">
        <v>2.0260205094337001E+18</v>
      </c>
      <c r="B918" t="s">
        <v>5594</v>
      </c>
      <c r="C918" s="65">
        <f t="shared" si="14"/>
        <v>46058</v>
      </c>
      <c r="D918" s="3">
        <v>1</v>
      </c>
      <c r="E918" s="3">
        <v>41363.636363636302</v>
      </c>
      <c r="F918" s="3">
        <v>45499.999999999935</v>
      </c>
      <c r="G918" s="3">
        <v>45500</v>
      </c>
      <c r="H918" s="25">
        <v>30748</v>
      </c>
    </row>
    <row r="919" spans="1:8" x14ac:dyDescent="0.3">
      <c r="A919" s="64">
        <v>2.0260205094230899E+18</v>
      </c>
      <c r="B919" t="s">
        <v>5594</v>
      </c>
      <c r="C919" s="65">
        <f t="shared" si="14"/>
        <v>46058</v>
      </c>
      <c r="D919" s="3">
        <v>1</v>
      </c>
      <c r="E919" s="3">
        <v>41363.636363636302</v>
      </c>
      <c r="F919" s="3">
        <v>45499.999999999935</v>
      </c>
      <c r="G919" s="3">
        <v>45500</v>
      </c>
      <c r="H919" s="25">
        <v>30748</v>
      </c>
    </row>
    <row r="920" spans="1:8" x14ac:dyDescent="0.3">
      <c r="A920" s="64">
        <v>2.0260205093831501E+18</v>
      </c>
      <c r="B920" t="s">
        <v>5594</v>
      </c>
      <c r="C920" s="65">
        <f t="shared" si="14"/>
        <v>46058</v>
      </c>
      <c r="D920" s="3">
        <v>2</v>
      </c>
      <c r="E920" s="3">
        <v>41363.636363636353</v>
      </c>
      <c r="F920" s="3">
        <v>91000</v>
      </c>
      <c r="G920" s="3">
        <v>91000</v>
      </c>
      <c r="H920" s="25">
        <v>61496</v>
      </c>
    </row>
    <row r="921" spans="1:8" x14ac:dyDescent="0.3">
      <c r="A921" s="64">
        <v>2.0260205093328599E+18</v>
      </c>
      <c r="B921" t="s">
        <v>5594</v>
      </c>
      <c r="C921" s="65">
        <f t="shared" si="14"/>
        <v>46058</v>
      </c>
      <c r="D921" s="3">
        <v>1</v>
      </c>
      <c r="E921" s="3">
        <v>41363.636363636302</v>
      </c>
      <c r="F921" s="3">
        <v>45499.999999999935</v>
      </c>
      <c r="G921" s="3">
        <v>45500</v>
      </c>
      <c r="H921" s="25">
        <v>30748</v>
      </c>
    </row>
    <row r="922" spans="1:8" x14ac:dyDescent="0.3">
      <c r="A922" s="64">
        <v>2.0260205093010601E+18</v>
      </c>
      <c r="B922" t="s">
        <v>5594</v>
      </c>
      <c r="C922" s="65">
        <f t="shared" si="14"/>
        <v>46058</v>
      </c>
      <c r="D922" s="3">
        <v>1</v>
      </c>
      <c r="E922" s="3">
        <v>41363.636363636302</v>
      </c>
      <c r="F922" s="3">
        <v>45499.999999999935</v>
      </c>
      <c r="G922" s="3">
        <v>45500</v>
      </c>
      <c r="H922" s="25">
        <v>30748</v>
      </c>
    </row>
    <row r="923" spans="1:8" x14ac:dyDescent="0.3">
      <c r="A923" s="64">
        <v>2.02602050925264E+18</v>
      </c>
      <c r="B923" t="s">
        <v>5594</v>
      </c>
      <c r="C923" s="65">
        <f t="shared" si="14"/>
        <v>46058</v>
      </c>
      <c r="D923" s="3">
        <v>1</v>
      </c>
      <c r="E923" s="3">
        <v>41363.636363636302</v>
      </c>
      <c r="F923" s="3">
        <v>45499.999999999935</v>
      </c>
      <c r="G923" s="3">
        <v>45500</v>
      </c>
      <c r="H923" s="25">
        <v>30748</v>
      </c>
    </row>
    <row r="924" spans="1:8" x14ac:dyDescent="0.3">
      <c r="A924" s="64">
        <v>2.02602050919327E+18</v>
      </c>
      <c r="B924" t="s">
        <v>5594</v>
      </c>
      <c r="C924" s="65">
        <f t="shared" si="14"/>
        <v>46058</v>
      </c>
      <c r="D924" s="3">
        <v>1</v>
      </c>
      <c r="E924" s="3">
        <v>41363.636363636302</v>
      </c>
      <c r="F924" s="3">
        <v>45499.999999999935</v>
      </c>
      <c r="G924" s="3">
        <v>45500</v>
      </c>
      <c r="H924" s="25">
        <v>30748</v>
      </c>
    </row>
    <row r="925" spans="1:8" x14ac:dyDescent="0.3">
      <c r="A925" s="64">
        <v>2.0260205091626299E+18</v>
      </c>
      <c r="B925" t="s">
        <v>5594</v>
      </c>
      <c r="C925" s="65">
        <f t="shared" si="14"/>
        <v>46058</v>
      </c>
      <c r="D925" s="3">
        <v>1</v>
      </c>
      <c r="E925" s="3">
        <v>41363.636363636302</v>
      </c>
      <c r="F925" s="3">
        <v>45499.999999999935</v>
      </c>
      <c r="G925" s="3">
        <v>45500</v>
      </c>
      <c r="H925" s="25">
        <v>30748</v>
      </c>
    </row>
    <row r="926" spans="1:8" x14ac:dyDescent="0.3">
      <c r="A926" s="64">
        <v>2.0260205091303199E+18</v>
      </c>
      <c r="B926" t="s">
        <v>5594</v>
      </c>
      <c r="C926" s="65">
        <f t="shared" si="14"/>
        <v>46058</v>
      </c>
      <c r="D926" s="3">
        <v>1</v>
      </c>
      <c r="E926" s="3">
        <v>41363.636363636302</v>
      </c>
      <c r="F926" s="3">
        <v>45499.999999999935</v>
      </c>
      <c r="G926" s="3">
        <v>45500</v>
      </c>
      <c r="H926" s="25">
        <v>30748</v>
      </c>
    </row>
    <row r="927" spans="1:8" x14ac:dyDescent="0.3">
      <c r="A927" s="64">
        <v>2.0260205091251999E+18</v>
      </c>
      <c r="B927" t="s">
        <v>5594</v>
      </c>
      <c r="C927" s="65">
        <f t="shared" si="14"/>
        <v>46058</v>
      </c>
      <c r="D927" s="3">
        <v>1</v>
      </c>
      <c r="E927" s="3">
        <v>41363.636363636302</v>
      </c>
      <c r="F927" s="3">
        <v>45499.999999999935</v>
      </c>
      <c r="G927" s="3">
        <v>45500</v>
      </c>
      <c r="H927" s="25">
        <v>30748</v>
      </c>
    </row>
    <row r="928" spans="1:8" x14ac:dyDescent="0.3">
      <c r="A928" s="64">
        <v>2.0260205090842701E+18</v>
      </c>
      <c r="B928" t="s">
        <v>5594</v>
      </c>
      <c r="C928" s="65">
        <f t="shared" si="14"/>
        <v>46058</v>
      </c>
      <c r="D928" s="3">
        <v>1</v>
      </c>
      <c r="E928" s="3">
        <v>41363.636363636302</v>
      </c>
      <c r="F928" s="3">
        <v>45499.999999999935</v>
      </c>
      <c r="G928" s="3">
        <v>45500</v>
      </c>
      <c r="H928" s="25">
        <v>30748</v>
      </c>
    </row>
    <row r="929" spans="1:8" x14ac:dyDescent="0.3">
      <c r="A929" s="64">
        <v>2.0260205090740301E+18</v>
      </c>
      <c r="B929" t="s">
        <v>5594</v>
      </c>
      <c r="C929" s="65">
        <f t="shared" si="14"/>
        <v>46058</v>
      </c>
      <c r="D929" s="3">
        <v>1</v>
      </c>
      <c r="E929" s="3">
        <v>41363.636363636302</v>
      </c>
      <c r="F929" s="3">
        <v>45499.999999999935</v>
      </c>
      <c r="G929" s="3">
        <v>45500</v>
      </c>
      <c r="H929" s="25">
        <v>30748</v>
      </c>
    </row>
    <row r="930" spans="1:8" x14ac:dyDescent="0.3">
      <c r="A930" s="64">
        <v>2.0260205090347699E+18</v>
      </c>
      <c r="B930" t="s">
        <v>5594</v>
      </c>
      <c r="C930" s="65">
        <f t="shared" si="14"/>
        <v>46058</v>
      </c>
      <c r="D930" s="3">
        <v>1</v>
      </c>
      <c r="E930" s="3">
        <v>41363.636363636302</v>
      </c>
      <c r="F930" s="3">
        <v>45499.999999999935</v>
      </c>
      <c r="G930" s="3">
        <v>45500</v>
      </c>
      <c r="H930" s="25">
        <v>30748</v>
      </c>
    </row>
    <row r="931" spans="1:8" x14ac:dyDescent="0.3">
      <c r="A931" s="64">
        <v>2.02602050900546E+18</v>
      </c>
      <c r="B931" t="s">
        <v>5594</v>
      </c>
      <c r="C931" s="65">
        <f t="shared" si="14"/>
        <v>46058</v>
      </c>
      <c r="D931" s="3">
        <v>2</v>
      </c>
      <c r="E931" s="3">
        <v>41363.636363636353</v>
      </c>
      <c r="F931" s="3">
        <v>91000</v>
      </c>
      <c r="G931" s="3">
        <v>91000</v>
      </c>
      <c r="H931" s="25">
        <v>61496</v>
      </c>
    </row>
    <row r="932" spans="1:8" x14ac:dyDescent="0.3">
      <c r="A932" s="64">
        <v>2.0260205090016499E+18</v>
      </c>
      <c r="B932" t="s">
        <v>5594</v>
      </c>
      <c r="C932" s="65">
        <f t="shared" si="14"/>
        <v>46058</v>
      </c>
      <c r="D932" s="3">
        <v>1</v>
      </c>
      <c r="E932" s="3">
        <v>41363.636363636302</v>
      </c>
      <c r="F932" s="3">
        <v>45499.999999999935</v>
      </c>
      <c r="G932" s="3">
        <v>45500</v>
      </c>
      <c r="H932" s="25">
        <v>30748</v>
      </c>
    </row>
    <row r="933" spans="1:8" x14ac:dyDescent="0.3">
      <c r="A933" s="64">
        <v>2.02602050837278E+18</v>
      </c>
      <c r="B933" t="s">
        <v>5594</v>
      </c>
      <c r="C933" s="65">
        <f t="shared" si="14"/>
        <v>46058</v>
      </c>
      <c r="D933" s="3">
        <v>3</v>
      </c>
      <c r="E933" s="3">
        <v>41363.636363636331</v>
      </c>
      <c r="F933" s="3">
        <v>136499.99999999991</v>
      </c>
      <c r="G933" s="3">
        <v>136500</v>
      </c>
      <c r="H933" s="25">
        <v>92244</v>
      </c>
    </row>
    <row r="934" spans="1:8" x14ac:dyDescent="0.3">
      <c r="A934" s="64">
        <v>2.02602050854272E+18</v>
      </c>
      <c r="B934" t="s">
        <v>5594</v>
      </c>
      <c r="C934" s="65">
        <f t="shared" si="14"/>
        <v>46058</v>
      </c>
      <c r="D934" s="3">
        <v>1</v>
      </c>
      <c r="E934" s="3">
        <v>41363.636363636302</v>
      </c>
      <c r="F934" s="3">
        <v>45499.999999999935</v>
      </c>
      <c r="G934" s="3">
        <v>45500</v>
      </c>
      <c r="H934" s="25">
        <v>30748</v>
      </c>
    </row>
    <row r="935" spans="1:8" x14ac:dyDescent="0.3">
      <c r="A935" s="64">
        <v>2.0260205085447501E+18</v>
      </c>
      <c r="B935" t="s">
        <v>5594</v>
      </c>
      <c r="C935" s="65">
        <f t="shared" si="14"/>
        <v>46058</v>
      </c>
      <c r="D935" s="3">
        <v>1</v>
      </c>
      <c r="E935" s="3">
        <v>41363.636363636302</v>
      </c>
      <c r="F935" s="3">
        <v>45499.999999999935</v>
      </c>
      <c r="G935" s="3">
        <v>45500</v>
      </c>
      <c r="H935" s="25">
        <v>30748</v>
      </c>
    </row>
    <row r="936" spans="1:8" x14ac:dyDescent="0.3">
      <c r="A936" s="64">
        <v>2.02602050847137E+18</v>
      </c>
      <c r="B936" t="s">
        <v>5594</v>
      </c>
      <c r="C936" s="65">
        <f t="shared" si="14"/>
        <v>46058</v>
      </c>
      <c r="D936" s="3">
        <v>1</v>
      </c>
      <c r="E936" s="3">
        <v>41363.636363636302</v>
      </c>
      <c r="F936" s="3">
        <v>45499.999999999935</v>
      </c>
      <c r="G936" s="3">
        <v>45500</v>
      </c>
      <c r="H936" s="25">
        <v>30748</v>
      </c>
    </row>
    <row r="937" spans="1:8" x14ac:dyDescent="0.3">
      <c r="A937" s="64">
        <v>2.02602050849389E+18</v>
      </c>
      <c r="B937" t="s">
        <v>5594</v>
      </c>
      <c r="C937" s="65">
        <f t="shared" si="14"/>
        <v>46058</v>
      </c>
      <c r="D937" s="3">
        <v>1</v>
      </c>
      <c r="E937" s="3">
        <v>41363.636363636302</v>
      </c>
      <c r="F937" s="3">
        <v>45499.999999999935</v>
      </c>
      <c r="G937" s="3">
        <v>45500</v>
      </c>
      <c r="H937" s="25">
        <v>30748</v>
      </c>
    </row>
    <row r="938" spans="1:8" x14ac:dyDescent="0.3">
      <c r="A938" s="64">
        <v>2.02602050848349E+18</v>
      </c>
      <c r="B938" t="s">
        <v>5594</v>
      </c>
      <c r="C938" s="65">
        <f t="shared" si="14"/>
        <v>46058</v>
      </c>
      <c r="D938" s="3">
        <v>1</v>
      </c>
      <c r="E938" s="3">
        <v>41363.636363636302</v>
      </c>
      <c r="F938" s="3">
        <v>45499.999999999935</v>
      </c>
      <c r="G938" s="3">
        <v>45500</v>
      </c>
      <c r="H938" s="25">
        <v>30748</v>
      </c>
    </row>
    <row r="939" spans="1:8" x14ac:dyDescent="0.3">
      <c r="A939" s="64">
        <v>2.0260205084509901E+18</v>
      </c>
      <c r="B939" t="s">
        <v>5594</v>
      </c>
      <c r="C939" s="65">
        <f t="shared" si="14"/>
        <v>46058</v>
      </c>
      <c r="D939" s="3">
        <v>1</v>
      </c>
      <c r="E939" s="3">
        <v>41363.636363636302</v>
      </c>
      <c r="F939" s="3">
        <v>45499.999999999935</v>
      </c>
      <c r="G939" s="3">
        <v>45500</v>
      </c>
      <c r="H939" s="25">
        <v>30748</v>
      </c>
    </row>
    <row r="940" spans="1:8" x14ac:dyDescent="0.3">
      <c r="A940" s="64">
        <v>2.02602050842125E+18</v>
      </c>
      <c r="B940" t="s">
        <v>5594</v>
      </c>
      <c r="C940" s="65">
        <f t="shared" si="14"/>
        <v>46058</v>
      </c>
      <c r="D940" s="3">
        <v>1</v>
      </c>
      <c r="E940" s="3">
        <v>41363.636363636302</v>
      </c>
      <c r="F940" s="3">
        <v>45499.999999999935</v>
      </c>
      <c r="G940" s="3">
        <v>45500</v>
      </c>
      <c r="H940" s="25">
        <v>30748</v>
      </c>
    </row>
    <row r="941" spans="1:8" x14ac:dyDescent="0.3">
      <c r="A941" s="64">
        <v>2.02602050843263E+18</v>
      </c>
      <c r="B941" t="s">
        <v>5594</v>
      </c>
      <c r="C941" s="65">
        <f t="shared" si="14"/>
        <v>46058</v>
      </c>
      <c r="D941" s="3">
        <v>1</v>
      </c>
      <c r="E941" s="3">
        <v>41363.636363636302</v>
      </c>
      <c r="F941" s="3">
        <v>45499.999999999935</v>
      </c>
      <c r="G941" s="3">
        <v>45500</v>
      </c>
      <c r="H941" s="25">
        <v>30748</v>
      </c>
    </row>
    <row r="942" spans="1:8" x14ac:dyDescent="0.3">
      <c r="A942" s="64">
        <v>2.0260205083347999E+18</v>
      </c>
      <c r="B942" t="s">
        <v>5594</v>
      </c>
      <c r="C942" s="65">
        <f t="shared" si="14"/>
        <v>46058</v>
      </c>
      <c r="D942" s="3">
        <v>1</v>
      </c>
      <c r="E942" s="3">
        <v>41363.636363636302</v>
      </c>
      <c r="F942" s="3">
        <v>45499.999999999935</v>
      </c>
      <c r="G942" s="3">
        <v>45500</v>
      </c>
      <c r="H942" s="25">
        <v>30748</v>
      </c>
    </row>
    <row r="943" spans="1:8" x14ac:dyDescent="0.3">
      <c r="A943" s="64">
        <v>2.0260205083925499E+18</v>
      </c>
      <c r="B943" t="s">
        <v>5594</v>
      </c>
      <c r="C943" s="65">
        <f t="shared" si="14"/>
        <v>46058</v>
      </c>
      <c r="D943" s="3">
        <v>1</v>
      </c>
      <c r="E943" s="3">
        <v>41363.636363636302</v>
      </c>
      <c r="F943" s="3">
        <v>45499.999999999935</v>
      </c>
      <c r="G943" s="3">
        <v>45500</v>
      </c>
      <c r="H943" s="25">
        <v>30748</v>
      </c>
    </row>
    <row r="944" spans="1:8" x14ac:dyDescent="0.3">
      <c r="A944" s="64">
        <v>2.02602050835165E+18</v>
      </c>
      <c r="B944" t="s">
        <v>5594</v>
      </c>
      <c r="C944" s="65">
        <f t="shared" si="14"/>
        <v>46058</v>
      </c>
      <c r="D944" s="3">
        <v>2</v>
      </c>
      <c r="E944" s="3">
        <v>41363.636363636353</v>
      </c>
      <c r="F944" s="3">
        <v>91000</v>
      </c>
      <c r="G944" s="3">
        <v>91000</v>
      </c>
      <c r="H944" s="25">
        <v>61496</v>
      </c>
    </row>
    <row r="945" spans="1:8" x14ac:dyDescent="0.3">
      <c r="A945" s="64">
        <v>2.02602050836337E+18</v>
      </c>
      <c r="B945" t="s">
        <v>5594</v>
      </c>
      <c r="C945" s="65">
        <f t="shared" si="14"/>
        <v>46058</v>
      </c>
      <c r="D945" s="3">
        <v>1</v>
      </c>
      <c r="E945" s="3">
        <v>41363.636363636302</v>
      </c>
      <c r="F945" s="3">
        <v>45499.999999999935</v>
      </c>
      <c r="G945" s="3">
        <v>45500</v>
      </c>
      <c r="H945" s="25">
        <v>30748</v>
      </c>
    </row>
    <row r="946" spans="1:8" x14ac:dyDescent="0.3">
      <c r="A946" s="64">
        <v>2.02602050833106E+18</v>
      </c>
      <c r="B946" t="s">
        <v>5594</v>
      </c>
      <c r="C946" s="65">
        <f t="shared" si="14"/>
        <v>46058</v>
      </c>
      <c r="D946" s="3">
        <v>1</v>
      </c>
      <c r="E946" s="3">
        <v>41363.636363636302</v>
      </c>
      <c r="F946" s="3">
        <v>45499.999999999935</v>
      </c>
      <c r="G946" s="3">
        <v>45500</v>
      </c>
      <c r="H946" s="25">
        <v>30748</v>
      </c>
    </row>
    <row r="947" spans="1:8" x14ac:dyDescent="0.3">
      <c r="A947" s="64">
        <v>2.0260205083219E+18</v>
      </c>
      <c r="B947" t="s">
        <v>5594</v>
      </c>
      <c r="C947" s="65">
        <f t="shared" si="14"/>
        <v>46058</v>
      </c>
      <c r="D947" s="3">
        <v>1</v>
      </c>
      <c r="E947" s="3">
        <v>41363.636363636302</v>
      </c>
      <c r="F947" s="3">
        <v>45499.999999999935</v>
      </c>
      <c r="G947" s="3">
        <v>45500</v>
      </c>
      <c r="H947" s="25">
        <v>30748</v>
      </c>
    </row>
    <row r="948" spans="1:8" x14ac:dyDescent="0.3">
      <c r="A948" s="64">
        <v>2.02602050833026E+18</v>
      </c>
      <c r="B948" t="s">
        <v>5594</v>
      </c>
      <c r="C948" s="65">
        <f t="shared" si="14"/>
        <v>46058</v>
      </c>
      <c r="D948" s="3">
        <v>1</v>
      </c>
      <c r="E948" s="3">
        <v>41363.636363636302</v>
      </c>
      <c r="F948" s="3">
        <v>45499.999999999935</v>
      </c>
      <c r="G948" s="3">
        <v>45500</v>
      </c>
      <c r="H948" s="25">
        <v>30748</v>
      </c>
    </row>
    <row r="949" spans="1:8" x14ac:dyDescent="0.3">
      <c r="A949" s="64">
        <v>2.02602050830125E+18</v>
      </c>
      <c r="B949" t="s">
        <v>5594</v>
      </c>
      <c r="C949" s="65">
        <f t="shared" si="14"/>
        <v>46058</v>
      </c>
      <c r="D949" s="3">
        <v>1</v>
      </c>
      <c r="E949" s="3">
        <v>41363.636363636302</v>
      </c>
      <c r="F949" s="3">
        <v>45499.999999999935</v>
      </c>
      <c r="G949" s="3">
        <v>45500</v>
      </c>
      <c r="H949" s="25">
        <v>30748</v>
      </c>
    </row>
    <row r="950" spans="1:8" x14ac:dyDescent="0.3">
      <c r="A950" s="64">
        <v>2.0260205082946701E+18</v>
      </c>
      <c r="B950" t="s">
        <v>5594</v>
      </c>
      <c r="C950" s="65">
        <f t="shared" si="14"/>
        <v>46058</v>
      </c>
      <c r="D950" s="3">
        <v>1</v>
      </c>
      <c r="E950" s="3">
        <v>41363.636363636302</v>
      </c>
      <c r="F950" s="3">
        <v>45499.999999999935</v>
      </c>
      <c r="G950" s="3">
        <v>45500</v>
      </c>
      <c r="H950" s="25">
        <v>30748</v>
      </c>
    </row>
    <row r="951" spans="1:8" x14ac:dyDescent="0.3">
      <c r="A951" s="64">
        <v>2.0260205082545001E+18</v>
      </c>
      <c r="B951" t="s">
        <v>5594</v>
      </c>
      <c r="C951" s="65">
        <f t="shared" si="14"/>
        <v>46058</v>
      </c>
      <c r="D951" s="3">
        <v>1</v>
      </c>
      <c r="E951" s="3">
        <v>41363.636363636302</v>
      </c>
      <c r="F951" s="3">
        <v>45499.999999999935</v>
      </c>
      <c r="G951" s="3">
        <v>45500</v>
      </c>
      <c r="H951" s="25">
        <v>30748</v>
      </c>
    </row>
    <row r="952" spans="1:8" x14ac:dyDescent="0.3">
      <c r="A952" s="64">
        <v>2.02602050828414E+18</v>
      </c>
      <c r="B952" t="s">
        <v>5594</v>
      </c>
      <c r="C952" s="65">
        <f t="shared" si="14"/>
        <v>46058</v>
      </c>
      <c r="D952" s="3">
        <v>1</v>
      </c>
      <c r="E952" s="3">
        <v>41363.636363636302</v>
      </c>
      <c r="F952" s="3">
        <v>45499.999999999935</v>
      </c>
      <c r="G952" s="3">
        <v>45500</v>
      </c>
      <c r="H952" s="25">
        <v>30748</v>
      </c>
    </row>
    <row r="953" spans="1:8" x14ac:dyDescent="0.3">
      <c r="A953" s="64">
        <v>2.02602050823519E+18</v>
      </c>
      <c r="B953" t="s">
        <v>5594</v>
      </c>
      <c r="C953" s="65">
        <f t="shared" si="14"/>
        <v>46058</v>
      </c>
      <c r="D953" s="3">
        <v>1</v>
      </c>
      <c r="E953" s="3">
        <v>41363.636363636302</v>
      </c>
      <c r="F953" s="3">
        <v>45499.999999999935</v>
      </c>
      <c r="G953" s="3">
        <v>45500</v>
      </c>
      <c r="H953" s="25">
        <v>30748</v>
      </c>
    </row>
    <row r="954" spans="1:8" x14ac:dyDescent="0.3">
      <c r="A954" s="64">
        <v>2.0260205081959099E+18</v>
      </c>
      <c r="B954" t="s">
        <v>5594</v>
      </c>
      <c r="C954" s="65">
        <f t="shared" si="14"/>
        <v>46058</v>
      </c>
      <c r="D954" s="3">
        <v>1</v>
      </c>
      <c r="E954" s="3">
        <v>41363.636363636302</v>
      </c>
      <c r="F954" s="3">
        <v>45499.999999999935</v>
      </c>
      <c r="G954" s="3">
        <v>45500</v>
      </c>
      <c r="H954" s="25">
        <v>30748</v>
      </c>
    </row>
    <row r="955" spans="1:8" x14ac:dyDescent="0.3">
      <c r="A955" s="64">
        <v>2.0260205081955999E+18</v>
      </c>
      <c r="B955" t="s">
        <v>5594</v>
      </c>
      <c r="C955" s="65">
        <f t="shared" si="14"/>
        <v>46058</v>
      </c>
      <c r="D955" s="3">
        <v>1</v>
      </c>
      <c r="E955" s="3">
        <v>41363.636363636302</v>
      </c>
      <c r="F955" s="3">
        <v>45499.999999999935</v>
      </c>
      <c r="G955" s="3">
        <v>45500</v>
      </c>
      <c r="H955" s="25">
        <v>30748</v>
      </c>
    </row>
    <row r="956" spans="1:8" x14ac:dyDescent="0.3">
      <c r="A956" s="64">
        <v>2.0260205082016E+18</v>
      </c>
      <c r="B956" t="s">
        <v>5594</v>
      </c>
      <c r="C956" s="65">
        <f t="shared" si="14"/>
        <v>46058</v>
      </c>
      <c r="D956" s="3">
        <v>2</v>
      </c>
      <c r="E956" s="3">
        <v>41363.636363636353</v>
      </c>
      <c r="F956" s="3">
        <v>91000</v>
      </c>
      <c r="G956" s="3">
        <v>91000</v>
      </c>
      <c r="H956" s="25">
        <v>61496</v>
      </c>
    </row>
    <row r="957" spans="1:8" x14ac:dyDescent="0.3">
      <c r="A957" s="64">
        <v>2.0260205081637901E+18</v>
      </c>
      <c r="B957" t="s">
        <v>5594</v>
      </c>
      <c r="C957" s="65">
        <f t="shared" si="14"/>
        <v>46058</v>
      </c>
      <c r="D957" s="3">
        <v>1</v>
      </c>
      <c r="E957" s="3">
        <v>41363.636363636302</v>
      </c>
      <c r="F957" s="3">
        <v>45499.999999999935</v>
      </c>
      <c r="G957" s="3">
        <v>45500</v>
      </c>
      <c r="H957" s="25">
        <v>30748</v>
      </c>
    </row>
    <row r="958" spans="1:8" x14ac:dyDescent="0.3">
      <c r="A958" s="64">
        <v>2.02602050817439E+18</v>
      </c>
      <c r="B958" t="s">
        <v>5594</v>
      </c>
      <c r="C958" s="65">
        <f t="shared" si="14"/>
        <v>46058</v>
      </c>
      <c r="D958" s="3">
        <v>1</v>
      </c>
      <c r="E958" s="3">
        <v>41363.636363636302</v>
      </c>
      <c r="F958" s="3">
        <v>45499.999999999935</v>
      </c>
      <c r="G958" s="3">
        <v>45500</v>
      </c>
      <c r="H958" s="25">
        <v>30748</v>
      </c>
    </row>
    <row r="959" spans="1:8" x14ac:dyDescent="0.3">
      <c r="A959" s="64">
        <v>2.0260205081316201E+18</v>
      </c>
      <c r="B959" t="s">
        <v>5594</v>
      </c>
      <c r="C959" s="65">
        <f t="shared" si="14"/>
        <v>46058</v>
      </c>
      <c r="D959" s="3">
        <v>1</v>
      </c>
      <c r="E959" s="3">
        <v>41363.636363636302</v>
      </c>
      <c r="F959" s="3">
        <v>45499.999999999935</v>
      </c>
      <c r="G959" s="3">
        <v>45500</v>
      </c>
      <c r="H959" s="25">
        <v>30748</v>
      </c>
    </row>
    <row r="960" spans="1:8" x14ac:dyDescent="0.3">
      <c r="A960" s="64">
        <v>2.0260205081550899E+18</v>
      </c>
      <c r="B960" t="s">
        <v>5594</v>
      </c>
      <c r="C960" s="65">
        <f t="shared" si="14"/>
        <v>46058</v>
      </c>
      <c r="D960" s="3">
        <v>1</v>
      </c>
      <c r="E960" s="3">
        <v>41363.636363636302</v>
      </c>
      <c r="F960" s="3">
        <v>45499.999999999935</v>
      </c>
      <c r="G960" s="3">
        <v>45500</v>
      </c>
      <c r="H960" s="25">
        <v>30748</v>
      </c>
    </row>
    <row r="961" spans="1:8" x14ac:dyDescent="0.3">
      <c r="A961" s="64">
        <v>2.02602050814254E+18</v>
      </c>
      <c r="B961" t="s">
        <v>5594</v>
      </c>
      <c r="C961" s="65">
        <f t="shared" si="14"/>
        <v>46058</v>
      </c>
      <c r="D961" s="3">
        <v>1</v>
      </c>
      <c r="E961" s="3">
        <v>41363.636363636302</v>
      </c>
      <c r="F961" s="3">
        <v>45499.999999999935</v>
      </c>
      <c r="G961" s="3">
        <v>45500</v>
      </c>
      <c r="H961" s="25">
        <v>30748</v>
      </c>
    </row>
    <row r="962" spans="1:8" x14ac:dyDescent="0.3">
      <c r="A962" s="64">
        <v>2.02602050814271E+18</v>
      </c>
      <c r="B962" t="s">
        <v>5594</v>
      </c>
      <c r="C962" s="65">
        <f t="shared" si="14"/>
        <v>46058</v>
      </c>
      <c r="D962" s="3">
        <v>1</v>
      </c>
      <c r="E962" s="3">
        <v>41363.636363636302</v>
      </c>
      <c r="F962" s="3">
        <v>45499.999999999935</v>
      </c>
      <c r="G962" s="3">
        <v>45500</v>
      </c>
      <c r="H962" s="25">
        <v>30748</v>
      </c>
    </row>
    <row r="963" spans="1:8" x14ac:dyDescent="0.3">
      <c r="A963" s="64">
        <v>2.0260205081336499E+18</v>
      </c>
      <c r="B963" t="s">
        <v>5594</v>
      </c>
      <c r="C963" s="65">
        <f t="shared" ref="C963:C1026" si="15">DATE(LEFT(TEXT(A963,"0"),4),MID(TEXT(A963,"0"),5,2),MID(TEXT(A963,"0"),7,2))</f>
        <v>46058</v>
      </c>
      <c r="D963" s="3">
        <v>1</v>
      </c>
      <c r="E963" s="3">
        <v>41363.636363636302</v>
      </c>
      <c r="F963" s="3">
        <v>45499.999999999935</v>
      </c>
      <c r="G963" s="3">
        <v>45500</v>
      </c>
      <c r="H963" s="25">
        <v>30748</v>
      </c>
    </row>
    <row r="964" spans="1:8" x14ac:dyDescent="0.3">
      <c r="A964" s="64">
        <v>2.02602050813342E+18</v>
      </c>
      <c r="B964" t="s">
        <v>5594</v>
      </c>
      <c r="C964" s="65">
        <f t="shared" si="15"/>
        <v>46058</v>
      </c>
      <c r="D964" s="3">
        <v>1</v>
      </c>
      <c r="E964" s="3">
        <v>41363.636363636302</v>
      </c>
      <c r="F964" s="3">
        <v>45499.999999999935</v>
      </c>
      <c r="G964" s="3">
        <v>45500</v>
      </c>
      <c r="H964" s="25">
        <v>30748</v>
      </c>
    </row>
    <row r="965" spans="1:8" x14ac:dyDescent="0.3">
      <c r="A965" s="64">
        <v>2.02602050809534E+18</v>
      </c>
      <c r="B965" t="s">
        <v>5594</v>
      </c>
      <c r="C965" s="65">
        <f t="shared" si="15"/>
        <v>46058</v>
      </c>
      <c r="D965" s="3">
        <v>1</v>
      </c>
      <c r="E965" s="3">
        <v>41363.636363636302</v>
      </c>
      <c r="F965" s="3">
        <v>45499.999999999935</v>
      </c>
      <c r="G965" s="3">
        <v>45500</v>
      </c>
      <c r="H965" s="25">
        <v>30748</v>
      </c>
    </row>
    <row r="966" spans="1:8" x14ac:dyDescent="0.3">
      <c r="A966" s="64">
        <v>2.02602050811037E+18</v>
      </c>
      <c r="B966" t="s">
        <v>5594</v>
      </c>
      <c r="C966" s="65">
        <f t="shared" si="15"/>
        <v>46058</v>
      </c>
      <c r="D966" s="3">
        <v>1</v>
      </c>
      <c r="E966" s="3">
        <v>41363.636363636302</v>
      </c>
      <c r="F966" s="3">
        <v>45499.999999999935</v>
      </c>
      <c r="G966" s="3">
        <v>45500</v>
      </c>
      <c r="H966" s="25">
        <v>30748</v>
      </c>
    </row>
    <row r="967" spans="1:8" x14ac:dyDescent="0.3">
      <c r="A967" s="64">
        <v>2.02602050811315E+18</v>
      </c>
      <c r="B967" t="s">
        <v>5594</v>
      </c>
      <c r="C967" s="65">
        <f t="shared" si="15"/>
        <v>46058</v>
      </c>
      <c r="D967" s="3">
        <v>1</v>
      </c>
      <c r="E967" s="3">
        <v>41363.636363636302</v>
      </c>
      <c r="F967" s="3">
        <v>45499.999999999935</v>
      </c>
      <c r="G967" s="3">
        <v>45500</v>
      </c>
      <c r="H967" s="25">
        <v>30748</v>
      </c>
    </row>
    <row r="968" spans="1:8" x14ac:dyDescent="0.3">
      <c r="A968" s="64">
        <v>2.0260205080940301E+18</v>
      </c>
      <c r="B968" t="s">
        <v>5594</v>
      </c>
      <c r="C968" s="65">
        <f t="shared" si="15"/>
        <v>46058</v>
      </c>
      <c r="D968" s="3">
        <v>1</v>
      </c>
      <c r="E968" s="3">
        <v>41363.636363636302</v>
      </c>
      <c r="F968" s="3">
        <v>45499.999999999935</v>
      </c>
      <c r="G968" s="3">
        <v>45500</v>
      </c>
      <c r="H968" s="25">
        <v>30748</v>
      </c>
    </row>
    <row r="969" spans="1:8" x14ac:dyDescent="0.3">
      <c r="A969" s="64">
        <v>2.0260205075842801E+18</v>
      </c>
      <c r="B969" t="s">
        <v>5594</v>
      </c>
      <c r="C969" s="65">
        <f t="shared" si="15"/>
        <v>46058</v>
      </c>
      <c r="D969" s="3">
        <v>1</v>
      </c>
      <c r="E969" s="3">
        <v>41363.636363636302</v>
      </c>
      <c r="F969" s="3">
        <v>45499.999999999935</v>
      </c>
      <c r="G969" s="3">
        <v>45500</v>
      </c>
      <c r="H969" s="25">
        <v>30748</v>
      </c>
    </row>
    <row r="970" spans="1:8" x14ac:dyDescent="0.3">
      <c r="A970" s="64">
        <v>2.02602050806224E+18</v>
      </c>
      <c r="B970" t="s">
        <v>5594</v>
      </c>
      <c r="C970" s="65">
        <f t="shared" si="15"/>
        <v>46058</v>
      </c>
      <c r="D970" s="3">
        <v>1</v>
      </c>
      <c r="E970" s="3">
        <v>41363.636363636302</v>
      </c>
      <c r="F970" s="3">
        <v>45499.999999999935</v>
      </c>
      <c r="G970" s="3">
        <v>45500</v>
      </c>
      <c r="H970" s="25">
        <v>30748</v>
      </c>
    </row>
    <row r="971" spans="1:8" x14ac:dyDescent="0.3">
      <c r="A971" s="64">
        <v>2.0260205080821601E+18</v>
      </c>
      <c r="B971" t="s">
        <v>5594</v>
      </c>
      <c r="C971" s="65">
        <f t="shared" si="15"/>
        <v>46058</v>
      </c>
      <c r="D971" s="3">
        <v>1</v>
      </c>
      <c r="E971" s="3">
        <v>41363.636363636302</v>
      </c>
      <c r="F971" s="3">
        <v>45499.999999999935</v>
      </c>
      <c r="G971" s="3">
        <v>45500</v>
      </c>
      <c r="H971" s="25">
        <v>30748</v>
      </c>
    </row>
    <row r="972" spans="1:8" x14ac:dyDescent="0.3">
      <c r="A972" s="64">
        <v>2.0260205080858801E+18</v>
      </c>
      <c r="B972" t="s">
        <v>5594</v>
      </c>
      <c r="C972" s="65">
        <f t="shared" si="15"/>
        <v>46058</v>
      </c>
      <c r="D972" s="3">
        <v>1</v>
      </c>
      <c r="E972" s="3">
        <v>41363.636363636302</v>
      </c>
      <c r="F972" s="3">
        <v>45499.999999999935</v>
      </c>
      <c r="G972" s="3">
        <v>45500</v>
      </c>
      <c r="H972" s="25">
        <v>30748</v>
      </c>
    </row>
    <row r="973" spans="1:8" x14ac:dyDescent="0.3">
      <c r="A973" s="64">
        <v>2.0260205080038899E+18</v>
      </c>
      <c r="B973" t="s">
        <v>5594</v>
      </c>
      <c r="C973" s="65">
        <f t="shared" si="15"/>
        <v>46058</v>
      </c>
      <c r="D973" s="3">
        <v>1</v>
      </c>
      <c r="E973" s="3">
        <v>41363.636363636302</v>
      </c>
      <c r="F973" s="3">
        <v>45499.999999999935</v>
      </c>
      <c r="G973" s="3">
        <v>45500</v>
      </c>
      <c r="H973" s="25">
        <v>30748</v>
      </c>
    </row>
    <row r="974" spans="1:8" x14ac:dyDescent="0.3">
      <c r="A974" s="64">
        <v>2.02602050808482E+18</v>
      </c>
      <c r="B974" t="s">
        <v>5594</v>
      </c>
      <c r="C974" s="65">
        <f t="shared" si="15"/>
        <v>46058</v>
      </c>
      <c r="D974" s="3">
        <v>1</v>
      </c>
      <c r="E974" s="3">
        <v>41363.636363636302</v>
      </c>
      <c r="F974" s="3">
        <v>45499.999999999935</v>
      </c>
      <c r="G974" s="3">
        <v>45500</v>
      </c>
      <c r="H974" s="25">
        <v>30748</v>
      </c>
    </row>
    <row r="975" spans="1:8" x14ac:dyDescent="0.3">
      <c r="A975" s="64">
        <v>2.0260205075952E+18</v>
      </c>
      <c r="B975" t="s">
        <v>5594</v>
      </c>
      <c r="C975" s="65">
        <f t="shared" si="15"/>
        <v>46058</v>
      </c>
      <c r="D975" s="3">
        <v>1</v>
      </c>
      <c r="E975" s="3">
        <v>41363.636363636302</v>
      </c>
      <c r="F975" s="3">
        <v>45499.999999999935</v>
      </c>
      <c r="G975" s="3">
        <v>45500</v>
      </c>
      <c r="H975" s="25">
        <v>30748</v>
      </c>
    </row>
    <row r="976" spans="1:8" x14ac:dyDescent="0.3">
      <c r="A976" s="64">
        <v>2.0260205080814899E+18</v>
      </c>
      <c r="B976" t="s">
        <v>5594</v>
      </c>
      <c r="C976" s="65">
        <f t="shared" si="15"/>
        <v>46058</v>
      </c>
      <c r="D976" s="3">
        <v>1</v>
      </c>
      <c r="E976" s="3">
        <v>41363.636363636302</v>
      </c>
      <c r="F976" s="3">
        <v>45499.999999999935</v>
      </c>
      <c r="G976" s="3">
        <v>45500</v>
      </c>
      <c r="H976" s="25">
        <v>30748</v>
      </c>
    </row>
    <row r="977" spans="1:8" x14ac:dyDescent="0.3">
      <c r="A977" s="64">
        <v>2.02602050807247E+18</v>
      </c>
      <c r="B977" t="s">
        <v>5594</v>
      </c>
      <c r="C977" s="65">
        <f t="shared" si="15"/>
        <v>46058</v>
      </c>
      <c r="D977" s="3">
        <v>1</v>
      </c>
      <c r="E977" s="3">
        <v>41363.636363636302</v>
      </c>
      <c r="F977" s="3">
        <v>45499.999999999935</v>
      </c>
      <c r="G977" s="3">
        <v>45500</v>
      </c>
      <c r="H977" s="25">
        <v>30748</v>
      </c>
    </row>
    <row r="978" spans="1:8" x14ac:dyDescent="0.3">
      <c r="A978" s="64">
        <v>2.02602050805293E+18</v>
      </c>
      <c r="B978" t="s">
        <v>5594</v>
      </c>
      <c r="C978" s="65">
        <f t="shared" si="15"/>
        <v>46058</v>
      </c>
      <c r="D978" s="3">
        <v>1</v>
      </c>
      <c r="E978" s="3">
        <v>41363.636363636302</v>
      </c>
      <c r="F978" s="3">
        <v>45499.999999999935</v>
      </c>
      <c r="G978" s="3">
        <v>45500</v>
      </c>
      <c r="H978" s="25">
        <v>30748</v>
      </c>
    </row>
    <row r="979" spans="1:8" x14ac:dyDescent="0.3">
      <c r="A979" s="64">
        <v>2.0260205080437801E+18</v>
      </c>
      <c r="B979" t="s">
        <v>5594</v>
      </c>
      <c r="C979" s="65">
        <f t="shared" si="15"/>
        <v>46058</v>
      </c>
      <c r="D979" s="3">
        <v>1</v>
      </c>
      <c r="E979" s="3">
        <v>41363.636363636302</v>
      </c>
      <c r="F979" s="3">
        <v>45499.999999999935</v>
      </c>
      <c r="G979" s="3">
        <v>45500</v>
      </c>
      <c r="H979" s="25">
        <v>30748</v>
      </c>
    </row>
    <row r="980" spans="1:8" x14ac:dyDescent="0.3">
      <c r="A980" s="64">
        <v>2.02602050803357E+18</v>
      </c>
      <c r="B980" t="s">
        <v>5594</v>
      </c>
      <c r="C980" s="65">
        <f t="shared" si="15"/>
        <v>46058</v>
      </c>
      <c r="D980" s="3">
        <v>1</v>
      </c>
      <c r="E980" s="3">
        <v>41363.636363636302</v>
      </c>
      <c r="F980" s="3">
        <v>45499.999999999935</v>
      </c>
      <c r="G980" s="3">
        <v>45500</v>
      </c>
      <c r="H980" s="25">
        <v>30748</v>
      </c>
    </row>
    <row r="981" spans="1:8" x14ac:dyDescent="0.3">
      <c r="A981" s="64">
        <v>2.0260205080325601E+18</v>
      </c>
      <c r="B981" t="s">
        <v>5594</v>
      </c>
      <c r="C981" s="65">
        <f t="shared" si="15"/>
        <v>46058</v>
      </c>
      <c r="D981" s="3">
        <v>1</v>
      </c>
      <c r="E981" s="3">
        <v>41363.636363636302</v>
      </c>
      <c r="F981" s="3">
        <v>45499.999999999935</v>
      </c>
      <c r="G981" s="3">
        <v>45500</v>
      </c>
      <c r="H981" s="25">
        <v>30748</v>
      </c>
    </row>
    <row r="982" spans="1:8" x14ac:dyDescent="0.3">
      <c r="A982" s="64">
        <v>2.0260205080509599E+18</v>
      </c>
      <c r="B982" t="s">
        <v>5594</v>
      </c>
      <c r="C982" s="65">
        <f t="shared" si="15"/>
        <v>46058</v>
      </c>
      <c r="D982" s="3">
        <v>1</v>
      </c>
      <c r="E982" s="3">
        <v>41363.636363636302</v>
      </c>
      <c r="F982" s="3">
        <v>45499.999999999935</v>
      </c>
      <c r="G982" s="3">
        <v>45500</v>
      </c>
      <c r="H982" s="25">
        <v>30748</v>
      </c>
    </row>
    <row r="983" spans="1:8" x14ac:dyDescent="0.3">
      <c r="A983" s="64">
        <v>2.02602050759391E+18</v>
      </c>
      <c r="B983" t="s">
        <v>5594</v>
      </c>
      <c r="C983" s="65">
        <f t="shared" si="15"/>
        <v>46058</v>
      </c>
      <c r="D983" s="3">
        <v>1</v>
      </c>
      <c r="E983" s="3">
        <v>41363.636363636302</v>
      </c>
      <c r="F983" s="3">
        <v>45499.999999999935</v>
      </c>
      <c r="G983" s="3">
        <v>45500</v>
      </c>
      <c r="H983" s="25">
        <v>30748</v>
      </c>
    </row>
    <row r="984" spans="1:8" x14ac:dyDescent="0.3">
      <c r="A984" s="64">
        <v>2.02602050805121E+18</v>
      </c>
      <c r="B984" t="s">
        <v>5594</v>
      </c>
      <c r="C984" s="65">
        <f t="shared" si="15"/>
        <v>46058</v>
      </c>
      <c r="D984" s="3">
        <v>2</v>
      </c>
      <c r="E984" s="3">
        <v>41363.636363636353</v>
      </c>
      <c r="F984" s="3">
        <v>91000</v>
      </c>
      <c r="G984" s="3">
        <v>91000</v>
      </c>
      <c r="H984" s="25">
        <v>61496</v>
      </c>
    </row>
    <row r="985" spans="1:8" x14ac:dyDescent="0.3">
      <c r="A985" s="64">
        <v>2.02602050804273E+18</v>
      </c>
      <c r="B985" t="s">
        <v>5594</v>
      </c>
      <c r="C985" s="65">
        <f t="shared" si="15"/>
        <v>46058</v>
      </c>
      <c r="D985" s="3">
        <v>1</v>
      </c>
      <c r="E985" s="3">
        <v>41363.636363636302</v>
      </c>
      <c r="F985" s="3">
        <v>45499.999999999935</v>
      </c>
      <c r="G985" s="3">
        <v>45500</v>
      </c>
      <c r="H985" s="25">
        <v>30748</v>
      </c>
    </row>
    <row r="986" spans="1:8" x14ac:dyDescent="0.3">
      <c r="A986" s="64">
        <v>2.0260205080136599E+18</v>
      </c>
      <c r="B986" t="s">
        <v>5594</v>
      </c>
      <c r="C986" s="65">
        <f t="shared" si="15"/>
        <v>46058</v>
      </c>
      <c r="D986" s="3">
        <v>1</v>
      </c>
      <c r="E986" s="3">
        <v>41363.636363636302</v>
      </c>
      <c r="F986" s="3">
        <v>45499.999999999935</v>
      </c>
      <c r="G986" s="3">
        <v>45500</v>
      </c>
      <c r="H986" s="25">
        <v>30748</v>
      </c>
    </row>
    <row r="987" spans="1:8" x14ac:dyDescent="0.3">
      <c r="A987" s="64">
        <v>2.0260205075619599E+18</v>
      </c>
      <c r="B987" t="s">
        <v>5594</v>
      </c>
      <c r="C987" s="65">
        <f t="shared" si="15"/>
        <v>46058</v>
      </c>
      <c r="D987" s="3">
        <v>1</v>
      </c>
      <c r="E987" s="3">
        <v>41363.636363636302</v>
      </c>
      <c r="F987" s="3">
        <v>45499.999999999935</v>
      </c>
      <c r="G987" s="3">
        <v>45500</v>
      </c>
      <c r="H987" s="25">
        <v>30748</v>
      </c>
    </row>
    <row r="988" spans="1:8" x14ac:dyDescent="0.3">
      <c r="A988" s="64">
        <v>2.02602050802594E+18</v>
      </c>
      <c r="B988" t="s">
        <v>5594</v>
      </c>
      <c r="C988" s="65">
        <f t="shared" si="15"/>
        <v>46058</v>
      </c>
      <c r="D988" s="3">
        <v>1</v>
      </c>
      <c r="E988" s="3">
        <v>41363.636363636302</v>
      </c>
      <c r="F988" s="3">
        <v>45499.999999999935</v>
      </c>
      <c r="G988" s="3">
        <v>45500</v>
      </c>
      <c r="H988" s="25">
        <v>30748</v>
      </c>
    </row>
    <row r="989" spans="1:8" x14ac:dyDescent="0.3">
      <c r="A989" s="64">
        <v>2.0260205080005499E+18</v>
      </c>
      <c r="B989" t="s">
        <v>5594</v>
      </c>
      <c r="C989" s="65">
        <f t="shared" si="15"/>
        <v>46058</v>
      </c>
      <c r="D989" s="3">
        <v>1</v>
      </c>
      <c r="E989" s="3">
        <v>41363.636363636302</v>
      </c>
      <c r="F989" s="3">
        <v>45499.999999999935</v>
      </c>
      <c r="G989" s="3">
        <v>45500</v>
      </c>
      <c r="H989" s="25">
        <v>30748</v>
      </c>
    </row>
    <row r="990" spans="1:8" x14ac:dyDescent="0.3">
      <c r="A990" s="64">
        <v>2.0260205080255099E+18</v>
      </c>
      <c r="B990" t="s">
        <v>5594</v>
      </c>
      <c r="C990" s="65">
        <f t="shared" si="15"/>
        <v>46058</v>
      </c>
      <c r="D990" s="3">
        <v>1</v>
      </c>
      <c r="E990" s="3">
        <v>41363.636363636302</v>
      </c>
      <c r="F990" s="3">
        <v>45499.999999999935</v>
      </c>
      <c r="G990" s="3">
        <v>45500</v>
      </c>
      <c r="H990" s="25">
        <v>30748</v>
      </c>
    </row>
    <row r="991" spans="1:8" x14ac:dyDescent="0.3">
      <c r="A991" s="64">
        <v>2.0260205080119601E+18</v>
      </c>
      <c r="B991" t="s">
        <v>5594</v>
      </c>
      <c r="C991" s="65">
        <f t="shared" si="15"/>
        <v>46058</v>
      </c>
      <c r="D991" s="3">
        <v>1</v>
      </c>
      <c r="E991" s="3">
        <v>41363.636363636302</v>
      </c>
      <c r="F991" s="3">
        <v>45499.999999999935</v>
      </c>
      <c r="G991" s="3">
        <v>45500</v>
      </c>
      <c r="H991" s="25">
        <v>30748</v>
      </c>
    </row>
    <row r="992" spans="1:8" x14ac:dyDescent="0.3">
      <c r="A992" s="64">
        <v>2.02602050801263E+18</v>
      </c>
      <c r="B992" t="s">
        <v>5594</v>
      </c>
      <c r="C992" s="65">
        <f t="shared" si="15"/>
        <v>46058</v>
      </c>
      <c r="D992" s="3">
        <v>1</v>
      </c>
      <c r="E992" s="3">
        <v>41363.636363636302</v>
      </c>
      <c r="F992" s="3">
        <v>45499.999999999935</v>
      </c>
      <c r="G992" s="3">
        <v>45500</v>
      </c>
      <c r="H992" s="25">
        <v>30748</v>
      </c>
    </row>
    <row r="993" spans="1:8" x14ac:dyDescent="0.3">
      <c r="A993" s="64">
        <v>2.0260205075728E+18</v>
      </c>
      <c r="B993" t="s">
        <v>5594</v>
      </c>
      <c r="C993" s="65">
        <f t="shared" si="15"/>
        <v>46058</v>
      </c>
      <c r="D993" s="3">
        <v>1</v>
      </c>
      <c r="E993" s="3">
        <v>41363.636363636302</v>
      </c>
      <c r="F993" s="3">
        <v>45499.999999999935</v>
      </c>
      <c r="G993" s="3">
        <v>45500</v>
      </c>
      <c r="H993" s="25">
        <v>30748</v>
      </c>
    </row>
    <row r="994" spans="1:8" x14ac:dyDescent="0.3">
      <c r="A994" s="64">
        <v>2.02602050801231E+18</v>
      </c>
      <c r="B994" t="s">
        <v>5594</v>
      </c>
      <c r="C994" s="65">
        <f t="shared" si="15"/>
        <v>46058</v>
      </c>
      <c r="D994" s="3">
        <v>1</v>
      </c>
      <c r="E994" s="3">
        <v>41363.636363636302</v>
      </c>
      <c r="F994" s="3">
        <v>45499.999999999935</v>
      </c>
      <c r="G994" s="3">
        <v>45500</v>
      </c>
      <c r="H994" s="25">
        <v>30748</v>
      </c>
    </row>
    <row r="995" spans="1:8" x14ac:dyDescent="0.3">
      <c r="A995" s="64">
        <v>2.0260205080028401E+18</v>
      </c>
      <c r="B995" t="s">
        <v>5594</v>
      </c>
      <c r="C995" s="65">
        <f t="shared" si="15"/>
        <v>46058</v>
      </c>
      <c r="D995" s="3">
        <v>1</v>
      </c>
      <c r="E995" s="3">
        <v>41363.636363636302</v>
      </c>
      <c r="F995" s="3">
        <v>45499.999999999935</v>
      </c>
      <c r="G995" s="3">
        <v>45500</v>
      </c>
      <c r="H995" s="25">
        <v>30748</v>
      </c>
    </row>
    <row r="996" spans="1:8" x14ac:dyDescent="0.3">
      <c r="A996" s="64">
        <v>2.02602050759584E+18</v>
      </c>
      <c r="B996" t="s">
        <v>5594</v>
      </c>
      <c r="C996" s="65">
        <f t="shared" si="15"/>
        <v>46058</v>
      </c>
      <c r="D996" s="3">
        <v>1</v>
      </c>
      <c r="E996" s="3">
        <v>41363.636363636302</v>
      </c>
      <c r="F996" s="3">
        <v>45499.999999999935</v>
      </c>
      <c r="G996" s="3">
        <v>45500</v>
      </c>
      <c r="H996" s="25">
        <v>30748</v>
      </c>
    </row>
    <row r="997" spans="1:8" x14ac:dyDescent="0.3">
      <c r="A997" s="64">
        <v>2.0260205080057001E+18</v>
      </c>
      <c r="B997" t="s">
        <v>5594</v>
      </c>
      <c r="C997" s="65">
        <f t="shared" si="15"/>
        <v>46058</v>
      </c>
      <c r="D997" s="3">
        <v>1</v>
      </c>
      <c r="E997" s="3">
        <v>41363.636363636302</v>
      </c>
      <c r="F997" s="3">
        <v>45499.999999999935</v>
      </c>
      <c r="G997" s="3">
        <v>45500</v>
      </c>
      <c r="H997" s="25">
        <v>30748</v>
      </c>
    </row>
    <row r="998" spans="1:8" x14ac:dyDescent="0.3">
      <c r="A998" s="64">
        <v>2.02602050757519E+18</v>
      </c>
      <c r="B998" t="s">
        <v>5594</v>
      </c>
      <c r="C998" s="65">
        <f t="shared" si="15"/>
        <v>46058</v>
      </c>
      <c r="D998" s="3">
        <v>1</v>
      </c>
      <c r="E998" s="3">
        <v>41363.636363636302</v>
      </c>
      <c r="F998" s="3">
        <v>45499.999999999935</v>
      </c>
      <c r="G998" s="3">
        <v>45500</v>
      </c>
      <c r="H998" s="25">
        <v>30748</v>
      </c>
    </row>
    <row r="999" spans="1:8" x14ac:dyDescent="0.3">
      <c r="A999" s="64">
        <v>2.0260205080053901E+18</v>
      </c>
      <c r="B999" t="s">
        <v>5594</v>
      </c>
      <c r="C999" s="65">
        <f t="shared" si="15"/>
        <v>46058</v>
      </c>
      <c r="D999" s="3">
        <v>1</v>
      </c>
      <c r="E999" s="3">
        <v>41363.636363636302</v>
      </c>
      <c r="F999" s="3">
        <v>45499.999999999935</v>
      </c>
      <c r="G999" s="3">
        <v>45500</v>
      </c>
      <c r="H999" s="25">
        <v>30748</v>
      </c>
    </row>
    <row r="1000" spans="1:8" x14ac:dyDescent="0.3">
      <c r="A1000" s="64">
        <v>2.02602050759005E+18</v>
      </c>
      <c r="B1000" t="s">
        <v>5594</v>
      </c>
      <c r="C1000" s="65">
        <f t="shared" si="15"/>
        <v>46058</v>
      </c>
      <c r="D1000" s="3">
        <v>1</v>
      </c>
      <c r="E1000" s="3">
        <v>41363.636363636302</v>
      </c>
      <c r="F1000" s="3">
        <v>45499.999999999935</v>
      </c>
      <c r="G1000" s="3">
        <v>45500</v>
      </c>
      <c r="H1000" s="25">
        <v>30748</v>
      </c>
    </row>
    <row r="1001" spans="1:8" x14ac:dyDescent="0.3">
      <c r="A1001" s="64">
        <v>2.0260205075738099E+18</v>
      </c>
      <c r="B1001" t="s">
        <v>5594</v>
      </c>
      <c r="C1001" s="65">
        <f t="shared" si="15"/>
        <v>46058</v>
      </c>
      <c r="D1001" s="3">
        <v>1</v>
      </c>
      <c r="E1001" s="3">
        <v>41363.636363636302</v>
      </c>
      <c r="F1001" s="3">
        <v>45499.999999999935</v>
      </c>
      <c r="G1001" s="3">
        <v>45500</v>
      </c>
      <c r="H1001" s="25">
        <v>30748</v>
      </c>
    </row>
    <row r="1002" spans="1:8" x14ac:dyDescent="0.3">
      <c r="A1002" s="64">
        <v>2.0260205080035599E+18</v>
      </c>
      <c r="B1002" t="s">
        <v>5594</v>
      </c>
      <c r="C1002" s="65">
        <f t="shared" si="15"/>
        <v>46058</v>
      </c>
      <c r="D1002" s="3">
        <v>1</v>
      </c>
      <c r="E1002" s="3">
        <v>41363.636363636302</v>
      </c>
      <c r="F1002" s="3">
        <v>45499.999999999935</v>
      </c>
      <c r="G1002" s="3">
        <v>45500</v>
      </c>
      <c r="H1002" s="25">
        <v>30748</v>
      </c>
    </row>
    <row r="1003" spans="1:8" x14ac:dyDescent="0.3">
      <c r="A1003" s="64">
        <v>2.0260205075910001E+18</v>
      </c>
      <c r="B1003" t="s">
        <v>5594</v>
      </c>
      <c r="C1003" s="65">
        <f t="shared" si="15"/>
        <v>46058</v>
      </c>
      <c r="D1003" s="3">
        <v>1</v>
      </c>
      <c r="E1003" s="3">
        <v>41363.636363636302</v>
      </c>
      <c r="F1003" s="3">
        <v>45499.999999999935</v>
      </c>
      <c r="G1003" s="3">
        <v>45500</v>
      </c>
      <c r="H1003" s="25">
        <v>30748</v>
      </c>
    </row>
    <row r="1004" spans="1:8" x14ac:dyDescent="0.3">
      <c r="A1004" s="64">
        <v>2.02602050759598E+18</v>
      </c>
      <c r="B1004" t="s">
        <v>5594</v>
      </c>
      <c r="C1004" s="65">
        <f t="shared" si="15"/>
        <v>46058</v>
      </c>
      <c r="D1004" s="3">
        <v>1</v>
      </c>
      <c r="E1004" s="3">
        <v>41363.636363636302</v>
      </c>
      <c r="F1004" s="3">
        <v>45499.999999999935</v>
      </c>
      <c r="G1004" s="3">
        <v>45500</v>
      </c>
      <c r="H1004" s="25">
        <v>30748</v>
      </c>
    </row>
    <row r="1005" spans="1:8" x14ac:dyDescent="0.3">
      <c r="A1005" s="64">
        <v>2.0260205075814899E+18</v>
      </c>
      <c r="B1005" t="s">
        <v>5594</v>
      </c>
      <c r="C1005" s="65">
        <f t="shared" si="15"/>
        <v>46058</v>
      </c>
      <c r="D1005" s="3">
        <v>1</v>
      </c>
      <c r="E1005" s="3">
        <v>41363.636363636302</v>
      </c>
      <c r="F1005" s="3">
        <v>45499.999999999935</v>
      </c>
      <c r="G1005" s="3">
        <v>45500</v>
      </c>
      <c r="H1005" s="25">
        <v>30748</v>
      </c>
    </row>
    <row r="1006" spans="1:8" x14ac:dyDescent="0.3">
      <c r="A1006" s="64">
        <v>2.0260205075848E+18</v>
      </c>
      <c r="B1006" t="s">
        <v>5594</v>
      </c>
      <c r="C1006" s="65">
        <f t="shared" si="15"/>
        <v>46058</v>
      </c>
      <c r="D1006" s="3">
        <v>1</v>
      </c>
      <c r="E1006" s="3">
        <v>41363.636363636302</v>
      </c>
      <c r="F1006" s="3">
        <v>45499.999999999935</v>
      </c>
      <c r="G1006" s="3">
        <v>45500</v>
      </c>
      <c r="H1006" s="25">
        <v>30748</v>
      </c>
    </row>
    <row r="1007" spans="1:8" x14ac:dyDescent="0.3">
      <c r="A1007" s="64">
        <v>2.0260205075729001E+18</v>
      </c>
      <c r="B1007" t="s">
        <v>5594</v>
      </c>
      <c r="C1007" s="65">
        <f t="shared" si="15"/>
        <v>46058</v>
      </c>
      <c r="D1007" s="3">
        <v>1</v>
      </c>
      <c r="E1007" s="3">
        <v>41363.636363636302</v>
      </c>
      <c r="F1007" s="3">
        <v>45499.999999999935</v>
      </c>
      <c r="G1007" s="3">
        <v>45500</v>
      </c>
      <c r="H1007" s="25">
        <v>30748</v>
      </c>
    </row>
    <row r="1008" spans="1:8" x14ac:dyDescent="0.3">
      <c r="A1008" s="64">
        <v>2.02602050758032E+18</v>
      </c>
      <c r="B1008" t="s">
        <v>5594</v>
      </c>
      <c r="C1008" s="65">
        <f t="shared" si="15"/>
        <v>46058</v>
      </c>
      <c r="D1008" s="3">
        <v>1</v>
      </c>
      <c r="E1008" s="3">
        <v>41363.636363636302</v>
      </c>
      <c r="F1008" s="3">
        <v>45499.999999999935</v>
      </c>
      <c r="G1008" s="3">
        <v>45500</v>
      </c>
      <c r="H1008" s="25">
        <v>30748</v>
      </c>
    </row>
    <row r="1009" spans="1:8" x14ac:dyDescent="0.3">
      <c r="A1009" s="64">
        <v>2.0260205075856E+18</v>
      </c>
      <c r="B1009" t="s">
        <v>5594</v>
      </c>
      <c r="C1009" s="65">
        <f t="shared" si="15"/>
        <v>46058</v>
      </c>
      <c r="D1009" s="3">
        <v>1</v>
      </c>
      <c r="E1009" s="3">
        <v>41363.636363636302</v>
      </c>
      <c r="F1009" s="3">
        <v>45499.999999999935</v>
      </c>
      <c r="G1009" s="3">
        <v>45500</v>
      </c>
      <c r="H1009" s="25">
        <v>30748</v>
      </c>
    </row>
    <row r="1010" spans="1:8" x14ac:dyDescent="0.3">
      <c r="A1010" s="64">
        <v>2.0260205075712499E+18</v>
      </c>
      <c r="B1010" t="s">
        <v>5594</v>
      </c>
      <c r="C1010" s="65">
        <f t="shared" si="15"/>
        <v>46058</v>
      </c>
      <c r="D1010" s="3">
        <v>2</v>
      </c>
      <c r="E1010" s="3">
        <v>41363.636363636353</v>
      </c>
      <c r="F1010" s="3">
        <v>91000</v>
      </c>
      <c r="G1010" s="3">
        <v>91000</v>
      </c>
      <c r="H1010" s="25">
        <v>61496</v>
      </c>
    </row>
    <row r="1011" spans="1:8" x14ac:dyDescent="0.3">
      <c r="A1011" s="64">
        <v>2.0260205075755E+18</v>
      </c>
      <c r="B1011" t="s">
        <v>5594</v>
      </c>
      <c r="C1011" s="65">
        <f t="shared" si="15"/>
        <v>46058</v>
      </c>
      <c r="D1011" s="3">
        <v>1</v>
      </c>
      <c r="E1011" s="3">
        <v>41363.636363636302</v>
      </c>
      <c r="F1011" s="3">
        <v>45499.999999999935</v>
      </c>
      <c r="G1011" s="3">
        <v>45500</v>
      </c>
      <c r="H1011" s="25">
        <v>30748</v>
      </c>
    </row>
    <row r="1012" spans="1:8" x14ac:dyDescent="0.3">
      <c r="A1012" s="64">
        <v>2.02602050759135E+18</v>
      </c>
      <c r="B1012" t="s">
        <v>5594</v>
      </c>
      <c r="C1012" s="65">
        <f t="shared" si="15"/>
        <v>46058</v>
      </c>
      <c r="D1012" s="3">
        <v>1</v>
      </c>
      <c r="E1012" s="3">
        <v>41363.636363636302</v>
      </c>
      <c r="F1012" s="3">
        <v>45499.999999999935</v>
      </c>
      <c r="G1012" s="3">
        <v>45500</v>
      </c>
      <c r="H1012" s="25">
        <v>30748</v>
      </c>
    </row>
    <row r="1013" spans="1:8" x14ac:dyDescent="0.3">
      <c r="A1013" s="64">
        <v>2.02602050756174E+18</v>
      </c>
      <c r="B1013" t="s">
        <v>5594</v>
      </c>
      <c r="C1013" s="65">
        <f t="shared" si="15"/>
        <v>46058</v>
      </c>
      <c r="D1013" s="3">
        <v>2</v>
      </c>
      <c r="E1013" s="3">
        <v>41363.636363636353</v>
      </c>
      <c r="F1013" s="3">
        <v>91000</v>
      </c>
      <c r="G1013" s="3">
        <v>91000</v>
      </c>
      <c r="H1013" s="25">
        <v>61496</v>
      </c>
    </row>
    <row r="1014" spans="1:8" x14ac:dyDescent="0.3">
      <c r="A1014" s="64">
        <v>2.02602050758461E+18</v>
      </c>
      <c r="B1014" t="s">
        <v>5594</v>
      </c>
      <c r="C1014" s="65">
        <f t="shared" si="15"/>
        <v>46058</v>
      </c>
      <c r="D1014" s="3">
        <v>1</v>
      </c>
      <c r="E1014" s="3">
        <v>41363.636363636302</v>
      </c>
      <c r="F1014" s="3">
        <v>45499.999999999935</v>
      </c>
      <c r="G1014" s="3">
        <v>45500</v>
      </c>
      <c r="H1014" s="25">
        <v>30748</v>
      </c>
    </row>
    <row r="1015" spans="1:8" x14ac:dyDescent="0.3">
      <c r="A1015" s="64">
        <v>2.0260205075730099E+18</v>
      </c>
      <c r="B1015" t="s">
        <v>5594</v>
      </c>
      <c r="C1015" s="65">
        <f t="shared" si="15"/>
        <v>46058</v>
      </c>
      <c r="D1015" s="3">
        <v>1</v>
      </c>
      <c r="E1015" s="3">
        <v>41363.636363636302</v>
      </c>
      <c r="F1015" s="3">
        <v>45499.999999999935</v>
      </c>
      <c r="G1015" s="3">
        <v>45500</v>
      </c>
      <c r="H1015" s="25">
        <v>30748</v>
      </c>
    </row>
    <row r="1016" spans="1:8" x14ac:dyDescent="0.3">
      <c r="A1016" s="64">
        <v>2.02602050759039E+18</v>
      </c>
      <c r="B1016" t="s">
        <v>5594</v>
      </c>
      <c r="C1016" s="65">
        <f t="shared" si="15"/>
        <v>46058</v>
      </c>
      <c r="D1016" s="3">
        <v>1</v>
      </c>
      <c r="E1016" s="3">
        <v>41363.636363636302</v>
      </c>
      <c r="F1016" s="3">
        <v>45499.999999999935</v>
      </c>
      <c r="G1016" s="3">
        <v>45500</v>
      </c>
      <c r="H1016" s="25">
        <v>30748</v>
      </c>
    </row>
    <row r="1017" spans="1:8" x14ac:dyDescent="0.3">
      <c r="A1017" s="64">
        <v>2.0260205075718001E+18</v>
      </c>
      <c r="B1017" t="s">
        <v>5594</v>
      </c>
      <c r="C1017" s="65">
        <f t="shared" si="15"/>
        <v>46058</v>
      </c>
      <c r="D1017" s="3">
        <v>1</v>
      </c>
      <c r="E1017" s="3">
        <v>41363.636363636302</v>
      </c>
      <c r="F1017" s="3">
        <v>45499.999999999935</v>
      </c>
      <c r="G1017" s="3">
        <v>45500</v>
      </c>
      <c r="H1017" s="25">
        <v>30748</v>
      </c>
    </row>
    <row r="1018" spans="1:8" x14ac:dyDescent="0.3">
      <c r="A1018" s="64">
        <v>2.0260205075754801E+18</v>
      </c>
      <c r="B1018" t="s">
        <v>5594</v>
      </c>
      <c r="C1018" s="65">
        <f t="shared" si="15"/>
        <v>46058</v>
      </c>
      <c r="D1018" s="3">
        <v>1</v>
      </c>
      <c r="E1018" s="3">
        <v>41363.636363636302</v>
      </c>
      <c r="F1018" s="3">
        <v>45499.999999999935</v>
      </c>
      <c r="G1018" s="3">
        <v>45500</v>
      </c>
      <c r="H1018" s="25">
        <v>30748</v>
      </c>
    </row>
    <row r="1019" spans="1:8" x14ac:dyDescent="0.3">
      <c r="A1019" s="64">
        <v>2.0260205075726999E+18</v>
      </c>
      <c r="B1019" t="s">
        <v>5594</v>
      </c>
      <c r="C1019" s="65">
        <f t="shared" si="15"/>
        <v>46058</v>
      </c>
      <c r="D1019" s="3">
        <v>2</v>
      </c>
      <c r="E1019" s="3">
        <v>41363.636363636353</v>
      </c>
      <c r="F1019" s="3">
        <v>91000</v>
      </c>
      <c r="G1019" s="3">
        <v>91000</v>
      </c>
      <c r="H1019" s="25">
        <v>61496</v>
      </c>
    </row>
    <row r="1020" spans="1:8" x14ac:dyDescent="0.3">
      <c r="A1020" s="64">
        <v>2.02602050756099E+18</v>
      </c>
      <c r="B1020" t="s">
        <v>5594</v>
      </c>
      <c r="C1020" s="65">
        <f t="shared" si="15"/>
        <v>46058</v>
      </c>
      <c r="D1020" s="3">
        <v>2</v>
      </c>
      <c r="E1020" s="3">
        <v>41363.636363636353</v>
      </c>
      <c r="F1020" s="3">
        <v>91000</v>
      </c>
      <c r="G1020" s="3">
        <v>91000</v>
      </c>
      <c r="H1020" s="25">
        <v>61496</v>
      </c>
    </row>
    <row r="1021" spans="1:8" x14ac:dyDescent="0.3">
      <c r="A1021" s="64">
        <v>2.02602050757472E+18</v>
      </c>
      <c r="B1021" t="s">
        <v>5594</v>
      </c>
      <c r="C1021" s="65">
        <f t="shared" si="15"/>
        <v>46058</v>
      </c>
      <c r="D1021" s="3">
        <v>1</v>
      </c>
      <c r="E1021" s="3">
        <v>41363.636363636302</v>
      </c>
      <c r="F1021" s="3">
        <v>45499.999999999935</v>
      </c>
      <c r="G1021" s="3">
        <v>45500</v>
      </c>
      <c r="H1021" s="25">
        <v>30748</v>
      </c>
    </row>
    <row r="1022" spans="1:8" x14ac:dyDescent="0.3">
      <c r="A1022" s="64">
        <v>2.0260205075434601E+18</v>
      </c>
      <c r="B1022" t="s">
        <v>5594</v>
      </c>
      <c r="C1022" s="65">
        <f t="shared" si="15"/>
        <v>46058</v>
      </c>
      <c r="D1022" s="3">
        <v>1</v>
      </c>
      <c r="E1022" s="3">
        <v>41363.636363636302</v>
      </c>
      <c r="F1022" s="3">
        <v>45499.999999999935</v>
      </c>
      <c r="G1022" s="3">
        <v>45500</v>
      </c>
      <c r="H1022" s="25">
        <v>30748</v>
      </c>
    </row>
    <row r="1023" spans="1:8" x14ac:dyDescent="0.3">
      <c r="A1023" s="64">
        <v>2.0260205075836301E+18</v>
      </c>
      <c r="B1023" t="s">
        <v>5594</v>
      </c>
      <c r="C1023" s="65">
        <f t="shared" si="15"/>
        <v>46058</v>
      </c>
      <c r="D1023" s="3">
        <v>1</v>
      </c>
      <c r="E1023" s="3">
        <v>41363.636363636302</v>
      </c>
      <c r="F1023" s="3">
        <v>45499.999999999935</v>
      </c>
      <c r="G1023" s="3">
        <v>45500</v>
      </c>
      <c r="H1023" s="25">
        <v>30748</v>
      </c>
    </row>
    <row r="1024" spans="1:8" x14ac:dyDescent="0.3">
      <c r="A1024" s="64">
        <v>2.0260205075533399E+18</v>
      </c>
      <c r="B1024" t="s">
        <v>5594</v>
      </c>
      <c r="C1024" s="65">
        <f t="shared" si="15"/>
        <v>46058</v>
      </c>
      <c r="D1024" s="3">
        <v>1</v>
      </c>
      <c r="E1024" s="3">
        <v>41363.636363636302</v>
      </c>
      <c r="F1024" s="3">
        <v>45499.999999999935</v>
      </c>
      <c r="G1024" s="3">
        <v>45500</v>
      </c>
      <c r="H1024" s="25">
        <v>30748</v>
      </c>
    </row>
    <row r="1025" spans="1:8" x14ac:dyDescent="0.3">
      <c r="A1025" s="64">
        <v>2.02602050757283E+18</v>
      </c>
      <c r="B1025" t="s">
        <v>5594</v>
      </c>
      <c r="C1025" s="65">
        <f t="shared" si="15"/>
        <v>46058</v>
      </c>
      <c r="D1025" s="3">
        <v>1</v>
      </c>
      <c r="E1025" s="3">
        <v>41363.636363636302</v>
      </c>
      <c r="F1025" s="3">
        <v>45499.999999999935</v>
      </c>
      <c r="G1025" s="3">
        <v>45500</v>
      </c>
      <c r="H1025" s="25">
        <v>30748</v>
      </c>
    </row>
    <row r="1026" spans="1:8" x14ac:dyDescent="0.3">
      <c r="A1026" s="64">
        <v>2.0260205075816801E+18</v>
      </c>
      <c r="B1026" t="s">
        <v>5594</v>
      </c>
      <c r="C1026" s="65">
        <f t="shared" si="15"/>
        <v>46058</v>
      </c>
      <c r="D1026" s="3">
        <v>1</v>
      </c>
      <c r="E1026" s="3">
        <v>41363.636363636302</v>
      </c>
      <c r="F1026" s="3">
        <v>45499.999999999935</v>
      </c>
      <c r="G1026" s="3">
        <v>45500</v>
      </c>
      <c r="H1026" s="25">
        <v>30748</v>
      </c>
    </row>
    <row r="1027" spans="1:8" x14ac:dyDescent="0.3">
      <c r="A1027" s="64">
        <v>2.0260205075549701E+18</v>
      </c>
      <c r="B1027" t="s">
        <v>5594</v>
      </c>
      <c r="C1027" s="65">
        <f t="shared" ref="C1027:C1090" si="16">DATE(LEFT(TEXT(A1027,"0"),4),MID(TEXT(A1027,"0"),5,2),MID(TEXT(A1027,"0"),7,2))</f>
        <v>46058</v>
      </c>
      <c r="D1027" s="3">
        <v>1</v>
      </c>
      <c r="E1027" s="3">
        <v>41363.636363636302</v>
      </c>
      <c r="F1027" s="3">
        <v>45499.999999999935</v>
      </c>
      <c r="G1027" s="3">
        <v>45500</v>
      </c>
      <c r="H1027" s="25">
        <v>30748</v>
      </c>
    </row>
    <row r="1028" spans="1:8" x14ac:dyDescent="0.3">
      <c r="A1028" s="64">
        <v>2.0260205075636401E+18</v>
      </c>
      <c r="B1028" t="s">
        <v>5594</v>
      </c>
      <c r="C1028" s="65">
        <f t="shared" si="16"/>
        <v>46058</v>
      </c>
      <c r="D1028" s="3">
        <v>1</v>
      </c>
      <c r="E1028" s="3">
        <v>41363.636363636302</v>
      </c>
      <c r="F1028" s="3">
        <v>45499.999999999935</v>
      </c>
      <c r="G1028" s="3">
        <v>45500</v>
      </c>
      <c r="H1028" s="25">
        <v>30748</v>
      </c>
    </row>
    <row r="1029" spans="1:8" x14ac:dyDescent="0.3">
      <c r="A1029" s="64">
        <v>2.02602050756433E+18</v>
      </c>
      <c r="B1029" t="s">
        <v>5594</v>
      </c>
      <c r="C1029" s="65">
        <f t="shared" si="16"/>
        <v>46058</v>
      </c>
      <c r="D1029" s="3">
        <v>1</v>
      </c>
      <c r="E1029" s="3">
        <v>41363.636363636302</v>
      </c>
      <c r="F1029" s="3">
        <v>45499.999999999935</v>
      </c>
      <c r="G1029" s="3">
        <v>45500</v>
      </c>
      <c r="H1029" s="25">
        <v>30748</v>
      </c>
    </row>
    <row r="1030" spans="1:8" x14ac:dyDescent="0.3">
      <c r="A1030" s="64">
        <v>2.0260205075626099E+18</v>
      </c>
      <c r="B1030" t="s">
        <v>5594</v>
      </c>
      <c r="C1030" s="65">
        <f t="shared" si="16"/>
        <v>46058</v>
      </c>
      <c r="D1030" s="3">
        <v>1</v>
      </c>
      <c r="E1030" s="3">
        <v>41363.636363636302</v>
      </c>
      <c r="F1030" s="3">
        <v>45499.999999999935</v>
      </c>
      <c r="G1030" s="3">
        <v>45500</v>
      </c>
      <c r="H1030" s="25">
        <v>30748</v>
      </c>
    </row>
    <row r="1031" spans="1:8" x14ac:dyDescent="0.3">
      <c r="A1031" s="64">
        <v>2.02602050757437E+18</v>
      </c>
      <c r="B1031" t="s">
        <v>5594</v>
      </c>
      <c r="C1031" s="65">
        <f t="shared" si="16"/>
        <v>46058</v>
      </c>
      <c r="D1031" s="3">
        <v>2</v>
      </c>
      <c r="E1031" s="3">
        <v>41363.636363636353</v>
      </c>
      <c r="F1031" s="3">
        <v>91000</v>
      </c>
      <c r="G1031" s="3">
        <v>91000</v>
      </c>
      <c r="H1031" s="25">
        <v>61496</v>
      </c>
    </row>
    <row r="1032" spans="1:8" x14ac:dyDescent="0.3">
      <c r="A1032" s="64">
        <v>2.0260205075616399E+18</v>
      </c>
      <c r="B1032" t="s">
        <v>5594</v>
      </c>
      <c r="C1032" s="65">
        <f t="shared" si="16"/>
        <v>46058</v>
      </c>
      <c r="D1032" s="3">
        <v>1</v>
      </c>
      <c r="E1032" s="3">
        <v>41363.636363636302</v>
      </c>
      <c r="F1032" s="3">
        <v>45499.999999999935</v>
      </c>
      <c r="G1032" s="3">
        <v>45500</v>
      </c>
      <c r="H1032" s="25">
        <v>30748</v>
      </c>
    </row>
    <row r="1033" spans="1:8" x14ac:dyDescent="0.3">
      <c r="A1033" s="64">
        <v>2.0260205075559199E+18</v>
      </c>
      <c r="B1033" t="s">
        <v>5594</v>
      </c>
      <c r="C1033" s="65">
        <f t="shared" si="16"/>
        <v>46058</v>
      </c>
      <c r="D1033" s="3">
        <v>1</v>
      </c>
      <c r="E1033" s="3">
        <v>41363.636363636302</v>
      </c>
      <c r="F1033" s="3">
        <v>45499.999999999935</v>
      </c>
      <c r="G1033" s="3">
        <v>45500</v>
      </c>
      <c r="H1033" s="25">
        <v>30748</v>
      </c>
    </row>
    <row r="1034" spans="1:8" x14ac:dyDescent="0.3">
      <c r="A1034" s="64">
        <v>2.02602050757123E+18</v>
      </c>
      <c r="B1034" t="s">
        <v>5594</v>
      </c>
      <c r="C1034" s="65">
        <f t="shared" si="16"/>
        <v>46058</v>
      </c>
      <c r="D1034" s="3">
        <v>1</v>
      </c>
      <c r="E1034" s="3">
        <v>41363.636363636302</v>
      </c>
      <c r="F1034" s="3">
        <v>45499.999999999935</v>
      </c>
      <c r="G1034" s="3">
        <v>45500</v>
      </c>
      <c r="H1034" s="25">
        <v>30748</v>
      </c>
    </row>
    <row r="1035" spans="1:8" x14ac:dyDescent="0.3">
      <c r="A1035" s="64">
        <v>2.02602050756355E+18</v>
      </c>
      <c r="B1035" t="s">
        <v>5594</v>
      </c>
      <c r="C1035" s="65">
        <f t="shared" si="16"/>
        <v>46058</v>
      </c>
      <c r="D1035" s="3">
        <v>1</v>
      </c>
      <c r="E1035" s="3">
        <v>41363.636363636302</v>
      </c>
      <c r="F1035" s="3">
        <v>45499.999999999935</v>
      </c>
      <c r="G1035" s="3">
        <v>45500</v>
      </c>
      <c r="H1035" s="25">
        <v>30748</v>
      </c>
    </row>
    <row r="1036" spans="1:8" x14ac:dyDescent="0.3">
      <c r="A1036" s="64">
        <v>2.0260205075546701E+18</v>
      </c>
      <c r="B1036" t="s">
        <v>5594</v>
      </c>
      <c r="C1036" s="65">
        <f t="shared" si="16"/>
        <v>46058</v>
      </c>
      <c r="D1036" s="3">
        <v>1</v>
      </c>
      <c r="E1036" s="3">
        <v>41363.636363636302</v>
      </c>
      <c r="F1036" s="3">
        <v>45499.999999999935</v>
      </c>
      <c r="G1036" s="3">
        <v>45500</v>
      </c>
      <c r="H1036" s="25">
        <v>30748</v>
      </c>
    </row>
    <row r="1037" spans="1:8" x14ac:dyDescent="0.3">
      <c r="A1037" s="64">
        <v>2.0260205075626199E+18</v>
      </c>
      <c r="B1037" t="s">
        <v>5594</v>
      </c>
      <c r="C1037" s="65">
        <f t="shared" si="16"/>
        <v>46058</v>
      </c>
      <c r="D1037" s="3">
        <v>1</v>
      </c>
      <c r="E1037" s="3">
        <v>41363.636363636302</v>
      </c>
      <c r="F1037" s="3">
        <v>45499.999999999935</v>
      </c>
      <c r="G1037" s="3">
        <v>45500</v>
      </c>
      <c r="H1037" s="25">
        <v>30748</v>
      </c>
    </row>
    <row r="1038" spans="1:8" x14ac:dyDescent="0.3">
      <c r="A1038" s="64">
        <v>2.02602050755297E+18</v>
      </c>
      <c r="B1038" t="s">
        <v>5594</v>
      </c>
      <c r="C1038" s="65">
        <f t="shared" si="16"/>
        <v>46058</v>
      </c>
      <c r="D1038" s="3">
        <v>2</v>
      </c>
      <c r="E1038" s="3">
        <v>41363.636363636353</v>
      </c>
      <c r="F1038" s="3">
        <v>91000</v>
      </c>
      <c r="G1038" s="3">
        <v>91000</v>
      </c>
      <c r="H1038" s="25">
        <v>61496</v>
      </c>
    </row>
    <row r="1039" spans="1:8" x14ac:dyDescent="0.3">
      <c r="A1039" s="64">
        <v>2.0260205075556201E+18</v>
      </c>
      <c r="B1039" t="s">
        <v>5594</v>
      </c>
      <c r="C1039" s="65">
        <f t="shared" si="16"/>
        <v>46058</v>
      </c>
      <c r="D1039" s="3">
        <v>4</v>
      </c>
      <c r="E1039" s="3">
        <v>41363.636363636251</v>
      </c>
      <c r="F1039" s="3">
        <v>181999.99999999956</v>
      </c>
      <c r="G1039" s="3">
        <v>182000</v>
      </c>
      <c r="H1039" s="25">
        <v>122992</v>
      </c>
    </row>
    <row r="1040" spans="1:8" x14ac:dyDescent="0.3">
      <c r="A1040" s="64">
        <v>2.0260205075624399E+18</v>
      </c>
      <c r="B1040" t="s">
        <v>5594</v>
      </c>
      <c r="C1040" s="65">
        <f t="shared" si="16"/>
        <v>46058</v>
      </c>
      <c r="D1040" s="3">
        <v>3</v>
      </c>
      <c r="E1040" s="3">
        <v>41363.636363636331</v>
      </c>
      <c r="F1040" s="3">
        <v>136499.99999999991</v>
      </c>
      <c r="G1040" s="3">
        <v>136500</v>
      </c>
      <c r="H1040" s="25">
        <v>92244</v>
      </c>
    </row>
    <row r="1041" spans="1:8" x14ac:dyDescent="0.3">
      <c r="A1041" s="64">
        <v>2.02602050756339E+18</v>
      </c>
      <c r="B1041" t="s">
        <v>5594</v>
      </c>
      <c r="C1041" s="65">
        <f t="shared" si="16"/>
        <v>46058</v>
      </c>
      <c r="D1041" s="3">
        <v>1</v>
      </c>
      <c r="E1041" s="3">
        <v>41363.636363636302</v>
      </c>
      <c r="F1041" s="3">
        <v>45499.999999999935</v>
      </c>
      <c r="G1041" s="3">
        <v>45500</v>
      </c>
      <c r="H1041" s="25">
        <v>30748</v>
      </c>
    </row>
    <row r="1042" spans="1:8" x14ac:dyDescent="0.3">
      <c r="A1042" s="64">
        <v>2.02602050756192E+18</v>
      </c>
      <c r="B1042" t="s">
        <v>5594</v>
      </c>
      <c r="C1042" s="65">
        <f t="shared" si="16"/>
        <v>46058</v>
      </c>
      <c r="D1042" s="3">
        <v>1</v>
      </c>
      <c r="E1042" s="3">
        <v>41363.636363636302</v>
      </c>
      <c r="F1042" s="3">
        <v>45499.999999999935</v>
      </c>
      <c r="G1042" s="3">
        <v>45500</v>
      </c>
      <c r="H1042" s="25">
        <v>30748</v>
      </c>
    </row>
    <row r="1043" spans="1:8" x14ac:dyDescent="0.3">
      <c r="A1043" s="64">
        <v>2.0260205075522501E+18</v>
      </c>
      <c r="B1043" t="s">
        <v>5594</v>
      </c>
      <c r="C1043" s="65">
        <f t="shared" si="16"/>
        <v>46058</v>
      </c>
      <c r="D1043" s="3">
        <v>1</v>
      </c>
      <c r="E1043" s="3">
        <v>41363.636363636302</v>
      </c>
      <c r="F1043" s="3">
        <v>45499.999999999935</v>
      </c>
      <c r="G1043" s="3">
        <v>45500</v>
      </c>
      <c r="H1043" s="25">
        <v>30748</v>
      </c>
    </row>
    <row r="1044" spans="1:8" x14ac:dyDescent="0.3">
      <c r="A1044" s="64">
        <v>2.02602050754302E+18</v>
      </c>
      <c r="B1044" t="s">
        <v>5594</v>
      </c>
      <c r="C1044" s="65">
        <f t="shared" si="16"/>
        <v>46058</v>
      </c>
      <c r="D1044" s="3">
        <v>1</v>
      </c>
      <c r="E1044" s="3">
        <v>41363.636363636302</v>
      </c>
      <c r="F1044" s="3">
        <v>45499.999999999935</v>
      </c>
      <c r="G1044" s="3">
        <v>45500</v>
      </c>
      <c r="H1044" s="25">
        <v>30748</v>
      </c>
    </row>
    <row r="1045" spans="1:8" x14ac:dyDescent="0.3">
      <c r="A1045" s="64">
        <v>2.0260205075541901E+18</v>
      </c>
      <c r="B1045" t="s">
        <v>5594</v>
      </c>
      <c r="C1045" s="65">
        <f t="shared" si="16"/>
        <v>46058</v>
      </c>
      <c r="D1045" s="3">
        <v>1</v>
      </c>
      <c r="E1045" s="3">
        <v>41363.636363636302</v>
      </c>
      <c r="F1045" s="3">
        <v>45499.999999999935</v>
      </c>
      <c r="G1045" s="3">
        <v>45500</v>
      </c>
      <c r="H1045" s="25">
        <v>30748</v>
      </c>
    </row>
    <row r="1046" spans="1:8" x14ac:dyDescent="0.3">
      <c r="A1046" s="64">
        <v>2.0260205075630999E+18</v>
      </c>
      <c r="B1046" t="s">
        <v>5594</v>
      </c>
      <c r="C1046" s="65">
        <f t="shared" si="16"/>
        <v>46058</v>
      </c>
      <c r="D1046" s="3">
        <v>1</v>
      </c>
      <c r="E1046" s="3">
        <v>41363.636363636302</v>
      </c>
      <c r="F1046" s="3">
        <v>45499.999999999935</v>
      </c>
      <c r="G1046" s="3">
        <v>45500</v>
      </c>
      <c r="H1046" s="25">
        <v>30748</v>
      </c>
    </row>
    <row r="1047" spans="1:8" x14ac:dyDescent="0.3">
      <c r="A1047" s="64">
        <v>2.02602050755311E+18</v>
      </c>
      <c r="B1047" t="s">
        <v>5594</v>
      </c>
      <c r="C1047" s="65">
        <f t="shared" si="16"/>
        <v>46058</v>
      </c>
      <c r="D1047" s="3">
        <v>1</v>
      </c>
      <c r="E1047" s="3">
        <v>41363.636363636302</v>
      </c>
      <c r="F1047" s="3">
        <v>45499.999999999935</v>
      </c>
      <c r="G1047" s="3">
        <v>45500</v>
      </c>
      <c r="H1047" s="25">
        <v>30748</v>
      </c>
    </row>
    <row r="1048" spans="1:8" x14ac:dyDescent="0.3">
      <c r="A1048" s="64">
        <v>2.0260205075451899E+18</v>
      </c>
      <c r="B1048" t="s">
        <v>5594</v>
      </c>
      <c r="C1048" s="65">
        <f t="shared" si="16"/>
        <v>46058</v>
      </c>
      <c r="D1048" s="3">
        <v>1</v>
      </c>
      <c r="E1048" s="3">
        <v>41363.636363636302</v>
      </c>
      <c r="F1048" s="3">
        <v>45499.999999999935</v>
      </c>
      <c r="G1048" s="3">
        <v>45500</v>
      </c>
      <c r="H1048" s="25">
        <v>30748</v>
      </c>
    </row>
    <row r="1049" spans="1:8" x14ac:dyDescent="0.3">
      <c r="A1049" s="64">
        <v>2.02602050755535E+18</v>
      </c>
      <c r="B1049" t="s">
        <v>5594</v>
      </c>
      <c r="C1049" s="65">
        <f t="shared" si="16"/>
        <v>46058</v>
      </c>
      <c r="D1049" s="3">
        <v>2</v>
      </c>
      <c r="E1049" s="3">
        <v>41363.636363636353</v>
      </c>
      <c r="F1049" s="3">
        <v>91000</v>
      </c>
      <c r="G1049" s="3">
        <v>91000</v>
      </c>
      <c r="H1049" s="25">
        <v>61496</v>
      </c>
    </row>
    <row r="1050" spans="1:8" x14ac:dyDescent="0.3">
      <c r="A1050" s="64">
        <v>2.0260205075420301E+18</v>
      </c>
      <c r="B1050" t="s">
        <v>5594</v>
      </c>
      <c r="C1050" s="65">
        <f t="shared" si="16"/>
        <v>46058</v>
      </c>
      <c r="D1050" s="3">
        <v>1</v>
      </c>
      <c r="E1050" s="3">
        <v>41363.636363636302</v>
      </c>
      <c r="F1050" s="3">
        <v>45499.999999999935</v>
      </c>
      <c r="G1050" s="3">
        <v>45500</v>
      </c>
      <c r="H1050" s="25">
        <v>30748</v>
      </c>
    </row>
    <row r="1051" spans="1:8" x14ac:dyDescent="0.3">
      <c r="A1051" s="64">
        <v>2.02602050755038E+18</v>
      </c>
      <c r="B1051" t="s">
        <v>5594</v>
      </c>
      <c r="C1051" s="65">
        <f t="shared" si="16"/>
        <v>46058</v>
      </c>
      <c r="D1051" s="3">
        <v>1</v>
      </c>
      <c r="E1051" s="3">
        <v>41363.636363636302</v>
      </c>
      <c r="F1051" s="3">
        <v>45499.999999999935</v>
      </c>
      <c r="G1051" s="3">
        <v>45500</v>
      </c>
      <c r="H1051" s="25">
        <v>30748</v>
      </c>
    </row>
    <row r="1052" spans="1:8" x14ac:dyDescent="0.3">
      <c r="A1052" s="64">
        <v>2.02602050754528E+18</v>
      </c>
      <c r="B1052" t="s">
        <v>5594</v>
      </c>
      <c r="C1052" s="65">
        <f t="shared" si="16"/>
        <v>46058</v>
      </c>
      <c r="D1052" s="3">
        <v>1</v>
      </c>
      <c r="E1052" s="3">
        <v>41363.636363636302</v>
      </c>
      <c r="F1052" s="3">
        <v>45499.999999999935</v>
      </c>
      <c r="G1052" s="3">
        <v>45500</v>
      </c>
      <c r="H1052" s="25">
        <v>30748</v>
      </c>
    </row>
    <row r="1053" spans="1:8" x14ac:dyDescent="0.3">
      <c r="A1053" s="64">
        <v>2.0260205075422001E+18</v>
      </c>
      <c r="B1053" t="s">
        <v>5594</v>
      </c>
      <c r="C1053" s="65">
        <f t="shared" si="16"/>
        <v>46058</v>
      </c>
      <c r="D1053" s="3">
        <v>1</v>
      </c>
      <c r="E1053" s="3">
        <v>41363.636363636302</v>
      </c>
      <c r="F1053" s="3">
        <v>45499.999999999935</v>
      </c>
      <c r="G1053" s="3">
        <v>45500</v>
      </c>
      <c r="H1053" s="25">
        <v>30748</v>
      </c>
    </row>
    <row r="1054" spans="1:8" x14ac:dyDescent="0.3">
      <c r="A1054" s="64">
        <v>2.02602050754016E+18</v>
      </c>
      <c r="B1054" t="s">
        <v>5594</v>
      </c>
      <c r="C1054" s="65">
        <f t="shared" si="16"/>
        <v>46058</v>
      </c>
      <c r="D1054" s="3">
        <v>1</v>
      </c>
      <c r="E1054" s="3">
        <v>41363.636363636302</v>
      </c>
      <c r="F1054" s="3">
        <v>45499.999999999935</v>
      </c>
      <c r="G1054" s="3">
        <v>45500</v>
      </c>
      <c r="H1054" s="25">
        <v>30748</v>
      </c>
    </row>
    <row r="1055" spans="1:8" x14ac:dyDescent="0.3">
      <c r="A1055" s="64">
        <v>2.02602050754159E+18</v>
      </c>
      <c r="B1055" t="s">
        <v>5594</v>
      </c>
      <c r="C1055" s="65">
        <f t="shared" si="16"/>
        <v>46058</v>
      </c>
      <c r="D1055" s="3">
        <v>1</v>
      </c>
      <c r="E1055" s="3">
        <v>41363.636363636302</v>
      </c>
      <c r="F1055" s="3">
        <v>45499.999999999935</v>
      </c>
      <c r="G1055" s="3">
        <v>45500</v>
      </c>
      <c r="H1055" s="25">
        <v>30748</v>
      </c>
    </row>
    <row r="1056" spans="1:8" x14ac:dyDescent="0.3">
      <c r="A1056" s="64">
        <v>2.0260205074431401E+18</v>
      </c>
      <c r="B1056" t="s">
        <v>5594</v>
      </c>
      <c r="C1056" s="65">
        <f t="shared" si="16"/>
        <v>46058</v>
      </c>
      <c r="D1056" s="3">
        <v>1</v>
      </c>
      <c r="E1056" s="3">
        <v>41363.636363636302</v>
      </c>
      <c r="F1056" s="3">
        <v>45499.999999999935</v>
      </c>
      <c r="G1056" s="3">
        <v>45500</v>
      </c>
      <c r="H1056" s="25">
        <v>30748</v>
      </c>
    </row>
    <row r="1057" spans="1:8" x14ac:dyDescent="0.3">
      <c r="A1057" s="64">
        <v>2.02602050740414E+18</v>
      </c>
      <c r="B1057" t="s">
        <v>5594</v>
      </c>
      <c r="C1057" s="65">
        <f t="shared" si="16"/>
        <v>46058</v>
      </c>
      <c r="D1057" s="3">
        <v>1</v>
      </c>
      <c r="E1057" s="3">
        <v>41363.636363636302</v>
      </c>
      <c r="F1057" s="3">
        <v>45499.999999999935</v>
      </c>
      <c r="G1057" s="3">
        <v>45500</v>
      </c>
      <c r="H1057" s="25">
        <v>30748</v>
      </c>
    </row>
    <row r="1058" spans="1:8" x14ac:dyDescent="0.3">
      <c r="A1058" s="64">
        <v>2.0260205072802199E+18</v>
      </c>
      <c r="B1058" t="s">
        <v>5594</v>
      </c>
      <c r="C1058" s="65">
        <f t="shared" si="16"/>
        <v>46058</v>
      </c>
      <c r="D1058" s="3">
        <v>1</v>
      </c>
      <c r="E1058" s="3">
        <v>41363.636363636302</v>
      </c>
      <c r="F1058" s="3">
        <v>45499.999999999935</v>
      </c>
      <c r="G1058" s="3">
        <v>45500</v>
      </c>
      <c r="H1058" s="25">
        <v>30748</v>
      </c>
    </row>
    <row r="1059" spans="1:8" x14ac:dyDescent="0.3">
      <c r="A1059" s="64">
        <v>2.02602050723347E+18</v>
      </c>
      <c r="B1059" t="s">
        <v>5594</v>
      </c>
      <c r="C1059" s="65">
        <f t="shared" si="16"/>
        <v>46058</v>
      </c>
      <c r="D1059" s="3">
        <v>1</v>
      </c>
      <c r="E1059" s="3">
        <v>41363.636363636302</v>
      </c>
      <c r="F1059" s="3">
        <v>45499.999999999935</v>
      </c>
      <c r="G1059" s="3">
        <v>45500</v>
      </c>
      <c r="H1059" s="25">
        <v>30748</v>
      </c>
    </row>
    <row r="1060" spans="1:8" x14ac:dyDescent="0.3">
      <c r="A1060" s="64">
        <v>2.0260205072136E+18</v>
      </c>
      <c r="B1060" t="s">
        <v>5594</v>
      </c>
      <c r="C1060" s="65">
        <f t="shared" si="16"/>
        <v>46058</v>
      </c>
      <c r="D1060" s="3">
        <v>1</v>
      </c>
      <c r="E1060" s="3">
        <v>41363.636363636302</v>
      </c>
      <c r="F1060" s="3">
        <v>45499.999999999935</v>
      </c>
      <c r="G1060" s="3">
        <v>45500</v>
      </c>
      <c r="H1060" s="25">
        <v>30748</v>
      </c>
    </row>
    <row r="1061" spans="1:8" x14ac:dyDescent="0.3">
      <c r="A1061" s="64">
        <v>2.02602050720286E+18</v>
      </c>
      <c r="B1061" t="s">
        <v>5594</v>
      </c>
      <c r="C1061" s="65">
        <f t="shared" si="16"/>
        <v>46058</v>
      </c>
      <c r="D1061" s="3">
        <v>1</v>
      </c>
      <c r="E1061" s="3">
        <v>41363.636363636302</v>
      </c>
      <c r="F1061" s="3">
        <v>45499.999999999935</v>
      </c>
      <c r="G1061" s="3">
        <v>45500</v>
      </c>
      <c r="H1061" s="25">
        <v>30748</v>
      </c>
    </row>
    <row r="1062" spans="1:8" x14ac:dyDescent="0.3">
      <c r="A1062" s="64">
        <v>2.0260205072022001E+18</v>
      </c>
      <c r="B1062" t="s">
        <v>5594</v>
      </c>
      <c r="C1062" s="65">
        <f t="shared" si="16"/>
        <v>46058</v>
      </c>
      <c r="D1062" s="3">
        <v>1</v>
      </c>
      <c r="E1062" s="3">
        <v>41363.636363636302</v>
      </c>
      <c r="F1062" s="3">
        <v>45499.999999999935</v>
      </c>
      <c r="G1062" s="3">
        <v>45500</v>
      </c>
      <c r="H1062" s="25">
        <v>30748</v>
      </c>
    </row>
    <row r="1063" spans="1:8" x14ac:dyDescent="0.3">
      <c r="A1063" s="64">
        <v>2.0260205071842099E+18</v>
      </c>
      <c r="B1063" t="s">
        <v>5594</v>
      </c>
      <c r="C1063" s="65">
        <f t="shared" si="16"/>
        <v>46058</v>
      </c>
      <c r="D1063" s="3">
        <v>1</v>
      </c>
      <c r="E1063" s="3">
        <v>41363.636363636302</v>
      </c>
      <c r="F1063" s="3">
        <v>45499.999999999935</v>
      </c>
      <c r="G1063" s="3">
        <v>45500</v>
      </c>
      <c r="H1063" s="25">
        <v>30748</v>
      </c>
    </row>
    <row r="1064" spans="1:8" x14ac:dyDescent="0.3">
      <c r="A1064" s="64">
        <v>2.0260205071725299E+18</v>
      </c>
      <c r="B1064" t="s">
        <v>5594</v>
      </c>
      <c r="C1064" s="65">
        <f t="shared" si="16"/>
        <v>46058</v>
      </c>
      <c r="D1064" s="3">
        <v>1</v>
      </c>
      <c r="E1064" s="3">
        <v>41363.636363636302</v>
      </c>
      <c r="F1064" s="3">
        <v>45499.999999999935</v>
      </c>
      <c r="G1064" s="3">
        <v>45500</v>
      </c>
      <c r="H1064" s="25">
        <v>30748</v>
      </c>
    </row>
    <row r="1065" spans="1:8" x14ac:dyDescent="0.3">
      <c r="A1065" s="64">
        <v>2.0260205071656901E+18</v>
      </c>
      <c r="B1065" t="s">
        <v>5594</v>
      </c>
      <c r="C1065" s="65">
        <f t="shared" si="16"/>
        <v>46058</v>
      </c>
      <c r="D1065" s="3">
        <v>1</v>
      </c>
      <c r="E1065" s="3">
        <v>41363.636363636302</v>
      </c>
      <c r="F1065" s="3">
        <v>45499.999999999935</v>
      </c>
      <c r="G1065" s="3">
        <v>45500</v>
      </c>
      <c r="H1065" s="25">
        <v>30748</v>
      </c>
    </row>
    <row r="1066" spans="1:8" x14ac:dyDescent="0.3">
      <c r="A1066" s="64">
        <v>2.02602050715567E+18</v>
      </c>
      <c r="B1066" t="s">
        <v>5594</v>
      </c>
      <c r="C1066" s="65">
        <f t="shared" si="16"/>
        <v>46058</v>
      </c>
      <c r="D1066" s="3">
        <v>2</v>
      </c>
      <c r="E1066" s="3">
        <v>41363.636363636353</v>
      </c>
      <c r="F1066" s="3">
        <v>91000</v>
      </c>
      <c r="G1066" s="3">
        <v>91000</v>
      </c>
      <c r="H1066" s="25">
        <v>61496</v>
      </c>
    </row>
    <row r="1067" spans="1:8" x14ac:dyDescent="0.3">
      <c r="A1067" s="64">
        <v>2.0260205065123899E+18</v>
      </c>
      <c r="B1067" t="s">
        <v>5594</v>
      </c>
      <c r="C1067" s="65">
        <f t="shared" si="16"/>
        <v>46058</v>
      </c>
      <c r="D1067" s="3">
        <v>1</v>
      </c>
      <c r="E1067" s="3">
        <v>41363.636363636302</v>
      </c>
      <c r="F1067" s="3">
        <v>45499.999999999935</v>
      </c>
      <c r="G1067" s="3">
        <v>45500</v>
      </c>
      <c r="H1067" s="25">
        <v>30748</v>
      </c>
    </row>
    <row r="1068" spans="1:8" x14ac:dyDescent="0.3">
      <c r="A1068" s="64">
        <v>2.02602050712496E+18</v>
      </c>
      <c r="B1068" t="s">
        <v>5594</v>
      </c>
      <c r="C1068" s="65">
        <f t="shared" si="16"/>
        <v>46058</v>
      </c>
      <c r="D1068" s="3">
        <v>1</v>
      </c>
      <c r="E1068" s="3">
        <v>41363.636363636302</v>
      </c>
      <c r="F1068" s="3">
        <v>45499.999999999935</v>
      </c>
      <c r="G1068" s="3">
        <v>45500</v>
      </c>
      <c r="H1068" s="25">
        <v>30748</v>
      </c>
    </row>
    <row r="1069" spans="1:8" x14ac:dyDescent="0.3">
      <c r="A1069" s="64">
        <v>2.0260205071102999E+18</v>
      </c>
      <c r="B1069" t="s">
        <v>5594</v>
      </c>
      <c r="C1069" s="65">
        <f t="shared" si="16"/>
        <v>46058</v>
      </c>
      <c r="D1069" s="3">
        <v>2</v>
      </c>
      <c r="E1069" s="3">
        <v>41363.636363636353</v>
      </c>
      <c r="F1069" s="3">
        <v>91000</v>
      </c>
      <c r="G1069" s="3">
        <v>91000</v>
      </c>
      <c r="H1069" s="25">
        <v>61496</v>
      </c>
    </row>
    <row r="1070" spans="1:8" x14ac:dyDescent="0.3">
      <c r="A1070" s="64">
        <v>2.0260205071043999E+18</v>
      </c>
      <c r="B1070" t="s">
        <v>5594</v>
      </c>
      <c r="C1070" s="65">
        <f t="shared" si="16"/>
        <v>46058</v>
      </c>
      <c r="D1070" s="3">
        <v>1</v>
      </c>
      <c r="E1070" s="3">
        <v>41363.636363636302</v>
      </c>
      <c r="F1070" s="3">
        <v>45499.999999999935</v>
      </c>
      <c r="G1070" s="3">
        <v>45500</v>
      </c>
      <c r="H1070" s="25">
        <v>30748</v>
      </c>
    </row>
    <row r="1071" spans="1:8" x14ac:dyDescent="0.3">
      <c r="A1071" s="64">
        <v>2.02602050707395E+18</v>
      </c>
      <c r="B1071" t="s">
        <v>5594</v>
      </c>
      <c r="C1071" s="65">
        <f t="shared" si="16"/>
        <v>46058</v>
      </c>
      <c r="D1071" s="3">
        <v>4</v>
      </c>
      <c r="E1071" s="3">
        <v>41363.636363636251</v>
      </c>
      <c r="F1071" s="3">
        <v>181999.99999999956</v>
      </c>
      <c r="G1071" s="3">
        <v>182000</v>
      </c>
      <c r="H1071" s="25">
        <v>122992</v>
      </c>
    </row>
    <row r="1072" spans="1:8" x14ac:dyDescent="0.3">
      <c r="A1072" s="64">
        <v>2.0260205070643699E+18</v>
      </c>
      <c r="B1072" t="s">
        <v>5594</v>
      </c>
      <c r="C1072" s="65">
        <f t="shared" si="16"/>
        <v>46058</v>
      </c>
      <c r="D1072" s="3">
        <v>1</v>
      </c>
      <c r="E1072" s="3">
        <v>41363.636363636302</v>
      </c>
      <c r="F1072" s="3">
        <v>45499.999999999935</v>
      </c>
      <c r="G1072" s="3">
        <v>45500</v>
      </c>
      <c r="H1072" s="25">
        <v>30748</v>
      </c>
    </row>
    <row r="1073" spans="1:8" x14ac:dyDescent="0.3">
      <c r="A1073" s="64">
        <v>2.02602050704543E+18</v>
      </c>
      <c r="B1073" t="s">
        <v>5594</v>
      </c>
      <c r="C1073" s="65">
        <f t="shared" si="16"/>
        <v>46058</v>
      </c>
      <c r="D1073" s="3">
        <v>1</v>
      </c>
      <c r="E1073" s="3">
        <v>41363.636363636302</v>
      </c>
      <c r="F1073" s="3">
        <v>45499.999999999935</v>
      </c>
      <c r="G1073" s="3">
        <v>45500</v>
      </c>
      <c r="H1073" s="25">
        <v>30748</v>
      </c>
    </row>
    <row r="1074" spans="1:8" x14ac:dyDescent="0.3">
      <c r="A1074" s="64">
        <v>2.0260205070533E+18</v>
      </c>
      <c r="B1074" t="s">
        <v>5594</v>
      </c>
      <c r="C1074" s="65">
        <f t="shared" si="16"/>
        <v>46058</v>
      </c>
      <c r="D1074" s="3">
        <v>1</v>
      </c>
      <c r="E1074" s="3">
        <v>41363.636363636302</v>
      </c>
      <c r="F1074" s="3">
        <v>45499.999999999935</v>
      </c>
      <c r="G1074" s="3">
        <v>45500</v>
      </c>
      <c r="H1074" s="25">
        <v>30748</v>
      </c>
    </row>
    <row r="1075" spans="1:8" x14ac:dyDescent="0.3">
      <c r="A1075" s="64">
        <v>2.02602050703264E+18</v>
      </c>
      <c r="B1075" t="s">
        <v>5594</v>
      </c>
      <c r="C1075" s="65">
        <f t="shared" si="16"/>
        <v>46058</v>
      </c>
      <c r="D1075" s="3">
        <v>1</v>
      </c>
      <c r="E1075" s="3">
        <v>41363.636363636302</v>
      </c>
      <c r="F1075" s="3">
        <v>45499.999999999935</v>
      </c>
      <c r="G1075" s="3">
        <v>45500</v>
      </c>
      <c r="H1075" s="25">
        <v>30748</v>
      </c>
    </row>
    <row r="1076" spans="1:8" x14ac:dyDescent="0.3">
      <c r="A1076" s="64">
        <v>2.0260205070247199E+18</v>
      </c>
      <c r="B1076" t="s">
        <v>5594</v>
      </c>
      <c r="C1076" s="65">
        <f t="shared" si="16"/>
        <v>46058</v>
      </c>
      <c r="D1076" s="3">
        <v>1</v>
      </c>
      <c r="E1076" s="3">
        <v>41363.636363636302</v>
      </c>
      <c r="F1076" s="3">
        <v>45499.999999999935</v>
      </c>
      <c r="G1076" s="3">
        <v>45500</v>
      </c>
      <c r="H1076" s="25">
        <v>30748</v>
      </c>
    </row>
    <row r="1077" spans="1:8" x14ac:dyDescent="0.3">
      <c r="A1077" s="64">
        <v>2.0260205065809999E+18</v>
      </c>
      <c r="B1077" t="s">
        <v>5594</v>
      </c>
      <c r="C1077" s="65">
        <f t="shared" si="16"/>
        <v>46058</v>
      </c>
      <c r="D1077" s="3">
        <v>1</v>
      </c>
      <c r="E1077" s="3">
        <v>41363.636363636302</v>
      </c>
      <c r="F1077" s="3">
        <v>45499.999999999935</v>
      </c>
      <c r="G1077" s="3">
        <v>45500</v>
      </c>
      <c r="H1077" s="25">
        <v>30748</v>
      </c>
    </row>
    <row r="1078" spans="1:8" x14ac:dyDescent="0.3">
      <c r="A1078" s="64">
        <v>2.02602050657472E+18</v>
      </c>
      <c r="B1078" t="s">
        <v>5594</v>
      </c>
      <c r="C1078" s="65">
        <f t="shared" si="16"/>
        <v>46058</v>
      </c>
      <c r="D1078" s="3">
        <v>1</v>
      </c>
      <c r="E1078" s="3">
        <v>41363.636363636302</v>
      </c>
      <c r="F1078" s="3">
        <v>45499.999999999935</v>
      </c>
      <c r="G1078" s="3">
        <v>45500</v>
      </c>
      <c r="H1078" s="25">
        <v>30748</v>
      </c>
    </row>
    <row r="1079" spans="1:8" x14ac:dyDescent="0.3">
      <c r="A1079" s="64">
        <v>2.0260205065653901E+18</v>
      </c>
      <c r="B1079" t="s">
        <v>5594</v>
      </c>
      <c r="C1079" s="65">
        <f t="shared" si="16"/>
        <v>46058</v>
      </c>
      <c r="D1079" s="3">
        <v>1</v>
      </c>
      <c r="E1079" s="3">
        <v>41363.636363636302</v>
      </c>
      <c r="F1079" s="3">
        <v>45499.999999999935</v>
      </c>
      <c r="G1079" s="3">
        <v>45500</v>
      </c>
      <c r="H1079" s="25">
        <v>30748</v>
      </c>
    </row>
    <row r="1080" spans="1:8" x14ac:dyDescent="0.3">
      <c r="A1080" s="64">
        <v>2.02602050657533E+18</v>
      </c>
      <c r="B1080" t="s">
        <v>5594</v>
      </c>
      <c r="C1080" s="65">
        <f t="shared" si="16"/>
        <v>46058</v>
      </c>
      <c r="D1080" s="3">
        <v>1</v>
      </c>
      <c r="E1080" s="3">
        <v>41363.636363636302</v>
      </c>
      <c r="F1080" s="3">
        <v>45499.999999999935</v>
      </c>
      <c r="G1080" s="3">
        <v>45500</v>
      </c>
      <c r="H1080" s="25">
        <v>30748</v>
      </c>
    </row>
    <row r="1081" spans="1:8" x14ac:dyDescent="0.3">
      <c r="A1081" s="64">
        <v>2.02602050651059E+18</v>
      </c>
      <c r="B1081" t="s">
        <v>5594</v>
      </c>
      <c r="C1081" s="65">
        <f t="shared" si="16"/>
        <v>46058</v>
      </c>
      <c r="D1081" s="3">
        <v>1</v>
      </c>
      <c r="E1081" s="3">
        <v>41363.636363636302</v>
      </c>
      <c r="F1081" s="3">
        <v>45499.999999999935</v>
      </c>
      <c r="G1081" s="3">
        <v>45500</v>
      </c>
      <c r="H1081" s="25">
        <v>30748</v>
      </c>
    </row>
    <row r="1082" spans="1:8" x14ac:dyDescent="0.3">
      <c r="A1082" s="64">
        <v>2.0260205065440599E+18</v>
      </c>
      <c r="B1082" t="s">
        <v>5594</v>
      </c>
      <c r="C1082" s="65">
        <f t="shared" si="16"/>
        <v>46058</v>
      </c>
      <c r="D1082" s="3">
        <v>2</v>
      </c>
      <c r="E1082" s="3">
        <v>41363.636363636353</v>
      </c>
      <c r="F1082" s="3">
        <v>91000</v>
      </c>
      <c r="G1082" s="3">
        <v>91000</v>
      </c>
      <c r="H1082" s="25">
        <v>61496</v>
      </c>
    </row>
    <row r="1083" spans="1:8" x14ac:dyDescent="0.3">
      <c r="A1083" s="64">
        <v>2.02602050653072E+18</v>
      </c>
      <c r="B1083" t="s">
        <v>5594</v>
      </c>
      <c r="C1083" s="65">
        <f t="shared" si="16"/>
        <v>46058</v>
      </c>
      <c r="D1083" s="3">
        <v>1</v>
      </c>
      <c r="E1083" s="3">
        <v>41363.636363636302</v>
      </c>
      <c r="F1083" s="3">
        <v>45499.999999999935</v>
      </c>
      <c r="G1083" s="3">
        <v>45500</v>
      </c>
      <c r="H1083" s="25">
        <v>30748</v>
      </c>
    </row>
    <row r="1084" spans="1:8" x14ac:dyDescent="0.3">
      <c r="A1084" s="64">
        <v>2.02602050653523E+18</v>
      </c>
      <c r="B1084" t="s">
        <v>5594</v>
      </c>
      <c r="C1084" s="65">
        <f t="shared" si="16"/>
        <v>46058</v>
      </c>
      <c r="D1084" s="3">
        <v>1</v>
      </c>
      <c r="E1084" s="3">
        <v>41363.636363636302</v>
      </c>
      <c r="F1084" s="3">
        <v>45499.999999999935</v>
      </c>
      <c r="G1084" s="3">
        <v>45500</v>
      </c>
      <c r="H1084" s="25">
        <v>30748</v>
      </c>
    </row>
    <row r="1085" spans="1:8" x14ac:dyDescent="0.3">
      <c r="A1085" s="64">
        <v>2.0260205065255401E+18</v>
      </c>
      <c r="B1085" t="s">
        <v>5594</v>
      </c>
      <c r="C1085" s="65">
        <f t="shared" si="16"/>
        <v>46058</v>
      </c>
      <c r="D1085" s="3">
        <v>1</v>
      </c>
      <c r="E1085" s="3">
        <v>41363.636363636302</v>
      </c>
      <c r="F1085" s="3">
        <v>45499.999999999935</v>
      </c>
      <c r="G1085" s="3">
        <v>45500</v>
      </c>
      <c r="H1085" s="25">
        <v>30748</v>
      </c>
    </row>
    <row r="1086" spans="1:8" x14ac:dyDescent="0.3">
      <c r="A1086" s="64">
        <v>2.0260205065217101E+18</v>
      </c>
      <c r="B1086" t="s">
        <v>5594</v>
      </c>
      <c r="C1086" s="65">
        <f t="shared" si="16"/>
        <v>46058</v>
      </c>
      <c r="D1086" s="3">
        <v>1</v>
      </c>
      <c r="E1086" s="3">
        <v>41363.636363636302</v>
      </c>
      <c r="F1086" s="3">
        <v>45499.999999999935</v>
      </c>
      <c r="G1086" s="3">
        <v>45500</v>
      </c>
      <c r="H1086" s="25">
        <v>30748</v>
      </c>
    </row>
    <row r="1087" spans="1:8" x14ac:dyDescent="0.3">
      <c r="A1087" s="64">
        <v>2.0260205065125801E+18</v>
      </c>
      <c r="B1087" t="s">
        <v>5594</v>
      </c>
      <c r="C1087" s="65">
        <f t="shared" si="16"/>
        <v>46058</v>
      </c>
      <c r="D1087" s="3">
        <v>1</v>
      </c>
      <c r="E1087" s="3">
        <v>41363.636363636302</v>
      </c>
      <c r="F1087" s="3">
        <v>45499.999999999935</v>
      </c>
      <c r="G1087" s="3">
        <v>45500</v>
      </c>
      <c r="H1087" s="25">
        <v>30748</v>
      </c>
    </row>
    <row r="1088" spans="1:8" x14ac:dyDescent="0.3">
      <c r="A1088" s="64">
        <v>2.02602050651442E+18</v>
      </c>
      <c r="B1088" t="s">
        <v>5594</v>
      </c>
      <c r="C1088" s="65">
        <f t="shared" si="16"/>
        <v>46058</v>
      </c>
      <c r="D1088" s="3">
        <v>1</v>
      </c>
      <c r="E1088" s="3">
        <v>41363.636363636302</v>
      </c>
      <c r="F1088" s="3">
        <v>45499.999999999935</v>
      </c>
      <c r="G1088" s="3">
        <v>45500</v>
      </c>
      <c r="H1088" s="25">
        <v>30748</v>
      </c>
    </row>
    <row r="1089" spans="1:8" x14ac:dyDescent="0.3">
      <c r="A1089" s="64">
        <v>2.02602050651344E+18</v>
      </c>
      <c r="B1089" t="s">
        <v>5594</v>
      </c>
      <c r="C1089" s="65">
        <f t="shared" si="16"/>
        <v>46058</v>
      </c>
      <c r="D1089" s="3">
        <v>2</v>
      </c>
      <c r="E1089" s="3">
        <v>41363.636363636353</v>
      </c>
      <c r="F1089" s="3">
        <v>91000</v>
      </c>
      <c r="G1089" s="3">
        <v>91000</v>
      </c>
      <c r="H1089" s="25">
        <v>61496</v>
      </c>
    </row>
    <row r="1090" spans="1:8" x14ac:dyDescent="0.3">
      <c r="A1090" s="64">
        <v>2.0260205064835599E+18</v>
      </c>
      <c r="B1090" t="s">
        <v>5594</v>
      </c>
      <c r="C1090" s="65">
        <f t="shared" si="16"/>
        <v>46058</v>
      </c>
      <c r="D1090" s="3">
        <v>1</v>
      </c>
      <c r="E1090" s="3">
        <v>41363.636363636302</v>
      </c>
      <c r="F1090" s="3">
        <v>45499.999999999935</v>
      </c>
      <c r="G1090" s="3">
        <v>45500</v>
      </c>
      <c r="H1090" s="25">
        <v>30748</v>
      </c>
    </row>
    <row r="1091" spans="1:8" x14ac:dyDescent="0.3">
      <c r="A1091" s="64">
        <v>2.02602050650403E+18</v>
      </c>
      <c r="B1091" t="s">
        <v>5594</v>
      </c>
      <c r="C1091" s="65">
        <f t="shared" ref="C1091:C1154" si="17">DATE(LEFT(TEXT(A1091,"0"),4),MID(TEXT(A1091,"0"),5,2),MID(TEXT(A1091,"0"),7,2))</f>
        <v>46058</v>
      </c>
      <c r="D1091" s="3">
        <v>1</v>
      </c>
      <c r="E1091" s="3">
        <v>41363.636363636302</v>
      </c>
      <c r="F1091" s="3">
        <v>45499.999999999935</v>
      </c>
      <c r="G1091" s="3">
        <v>45500</v>
      </c>
      <c r="H1091" s="25">
        <v>30748</v>
      </c>
    </row>
    <row r="1092" spans="1:8" x14ac:dyDescent="0.3">
      <c r="A1092" s="64">
        <v>2.0260205065010701E+18</v>
      </c>
      <c r="B1092" t="s">
        <v>5594</v>
      </c>
      <c r="C1092" s="65">
        <f t="shared" si="17"/>
        <v>46058</v>
      </c>
      <c r="D1092" s="3">
        <v>1</v>
      </c>
      <c r="E1092" s="3">
        <v>41363.636363636302</v>
      </c>
      <c r="F1092" s="3">
        <v>45499.999999999935</v>
      </c>
      <c r="G1092" s="3">
        <v>45500</v>
      </c>
      <c r="H1092" s="25">
        <v>30748</v>
      </c>
    </row>
    <row r="1093" spans="1:8" x14ac:dyDescent="0.3">
      <c r="A1093" s="64">
        <v>2.02602050645469E+18</v>
      </c>
      <c r="B1093" t="s">
        <v>5594</v>
      </c>
      <c r="C1093" s="65">
        <f t="shared" si="17"/>
        <v>46058</v>
      </c>
      <c r="D1093" s="3">
        <v>1</v>
      </c>
      <c r="E1093" s="3">
        <v>41363.636363636302</v>
      </c>
      <c r="F1093" s="3">
        <v>45499.999999999935</v>
      </c>
      <c r="G1093" s="3">
        <v>45500</v>
      </c>
      <c r="H1093" s="25">
        <v>30748</v>
      </c>
    </row>
    <row r="1094" spans="1:8" x14ac:dyDescent="0.3">
      <c r="A1094" s="64">
        <v>2.02602050649357E+18</v>
      </c>
      <c r="B1094" t="s">
        <v>5594</v>
      </c>
      <c r="C1094" s="65">
        <f t="shared" si="17"/>
        <v>46058</v>
      </c>
      <c r="D1094" s="3">
        <v>1</v>
      </c>
      <c r="E1094" s="3">
        <v>41363.636363636302</v>
      </c>
      <c r="F1094" s="3">
        <v>45499.999999999935</v>
      </c>
      <c r="G1094" s="3">
        <v>45500</v>
      </c>
      <c r="H1094" s="25">
        <v>30748</v>
      </c>
    </row>
    <row r="1095" spans="1:8" x14ac:dyDescent="0.3">
      <c r="A1095" s="64">
        <v>2.02602050646371E+18</v>
      </c>
      <c r="B1095" t="s">
        <v>5594</v>
      </c>
      <c r="C1095" s="65">
        <f t="shared" si="17"/>
        <v>46058</v>
      </c>
      <c r="D1095" s="3">
        <v>1</v>
      </c>
      <c r="E1095" s="3">
        <v>41363.636363636302</v>
      </c>
      <c r="F1095" s="3">
        <v>45499.999999999935</v>
      </c>
      <c r="G1095" s="3">
        <v>45500</v>
      </c>
      <c r="H1095" s="25">
        <v>30748</v>
      </c>
    </row>
    <row r="1096" spans="1:8" x14ac:dyDescent="0.3">
      <c r="A1096" s="64">
        <v>2.02602050648208E+18</v>
      </c>
      <c r="B1096" t="s">
        <v>5594</v>
      </c>
      <c r="C1096" s="65">
        <f t="shared" si="17"/>
        <v>46058</v>
      </c>
      <c r="D1096" s="3">
        <v>1</v>
      </c>
      <c r="E1096" s="3">
        <v>41363.636363636302</v>
      </c>
      <c r="F1096" s="3">
        <v>45499.999999999935</v>
      </c>
      <c r="G1096" s="3">
        <v>45500</v>
      </c>
      <c r="H1096" s="25">
        <v>30748</v>
      </c>
    </row>
    <row r="1097" spans="1:8" x14ac:dyDescent="0.3">
      <c r="A1097" s="64">
        <v>2.0260205064959501E+18</v>
      </c>
      <c r="B1097" t="s">
        <v>5594</v>
      </c>
      <c r="C1097" s="65">
        <f t="shared" si="17"/>
        <v>46058</v>
      </c>
      <c r="D1097" s="3">
        <v>1</v>
      </c>
      <c r="E1097" s="3">
        <v>41363.636363636302</v>
      </c>
      <c r="F1097" s="3">
        <v>45499.999999999935</v>
      </c>
      <c r="G1097" s="3">
        <v>45500</v>
      </c>
      <c r="H1097" s="25">
        <v>30748</v>
      </c>
    </row>
    <row r="1098" spans="1:8" x14ac:dyDescent="0.3">
      <c r="A1098" s="64">
        <v>2.02602050649408E+18</v>
      </c>
      <c r="B1098" t="s">
        <v>5594</v>
      </c>
      <c r="C1098" s="65">
        <f t="shared" si="17"/>
        <v>46058</v>
      </c>
      <c r="D1098" s="3">
        <v>1</v>
      </c>
      <c r="E1098" s="3">
        <v>41363.636363636302</v>
      </c>
      <c r="F1098" s="3">
        <v>45499.999999999935</v>
      </c>
      <c r="G1098" s="3">
        <v>45500</v>
      </c>
      <c r="H1098" s="25">
        <v>30748</v>
      </c>
    </row>
    <row r="1099" spans="1:8" x14ac:dyDescent="0.3">
      <c r="A1099" s="64">
        <v>2.02602050649362E+18</v>
      </c>
      <c r="B1099" t="s">
        <v>5594</v>
      </c>
      <c r="C1099" s="65">
        <f t="shared" si="17"/>
        <v>46058</v>
      </c>
      <c r="D1099" s="3">
        <v>1</v>
      </c>
      <c r="E1099" s="3">
        <v>41363.636363636302</v>
      </c>
      <c r="F1099" s="3">
        <v>45499.999999999935</v>
      </c>
      <c r="G1099" s="3">
        <v>45500</v>
      </c>
      <c r="H1099" s="25">
        <v>30748</v>
      </c>
    </row>
    <row r="1100" spans="1:8" x14ac:dyDescent="0.3">
      <c r="A1100" s="64">
        <v>2.02602050648493E+18</v>
      </c>
      <c r="B1100" t="s">
        <v>5594</v>
      </c>
      <c r="C1100" s="65">
        <f t="shared" si="17"/>
        <v>46058</v>
      </c>
      <c r="D1100" s="3">
        <v>1</v>
      </c>
      <c r="E1100" s="3">
        <v>41363.636363636302</v>
      </c>
      <c r="F1100" s="3">
        <v>45499.999999999935</v>
      </c>
      <c r="G1100" s="3">
        <v>45500</v>
      </c>
      <c r="H1100" s="25">
        <v>30748</v>
      </c>
    </row>
    <row r="1101" spans="1:8" x14ac:dyDescent="0.3">
      <c r="A1101" s="64">
        <v>2.02602050647538E+18</v>
      </c>
      <c r="B1101" t="s">
        <v>5594</v>
      </c>
      <c r="C1101" s="65">
        <f t="shared" si="17"/>
        <v>46058</v>
      </c>
      <c r="D1101" s="3">
        <v>1</v>
      </c>
      <c r="E1101" s="3">
        <v>41363.636363636302</v>
      </c>
      <c r="F1101" s="3">
        <v>45499.999999999935</v>
      </c>
      <c r="G1101" s="3">
        <v>45500</v>
      </c>
      <c r="H1101" s="25">
        <v>30748</v>
      </c>
    </row>
    <row r="1102" spans="1:8" x14ac:dyDescent="0.3">
      <c r="A1102" s="64">
        <v>2.0260205064813199E+18</v>
      </c>
      <c r="B1102" t="s">
        <v>5594</v>
      </c>
      <c r="C1102" s="65">
        <f t="shared" si="17"/>
        <v>46058</v>
      </c>
      <c r="D1102" s="3">
        <v>1</v>
      </c>
      <c r="E1102" s="3">
        <v>41363.636363636302</v>
      </c>
      <c r="F1102" s="3">
        <v>45499.999999999935</v>
      </c>
      <c r="G1102" s="3">
        <v>45500</v>
      </c>
      <c r="H1102" s="25">
        <v>30748</v>
      </c>
    </row>
    <row r="1103" spans="1:8" x14ac:dyDescent="0.3">
      <c r="A1103" s="64">
        <v>2.0260205064650601E+18</v>
      </c>
      <c r="B1103" t="s">
        <v>5594</v>
      </c>
      <c r="C1103" s="65">
        <f t="shared" si="17"/>
        <v>46058</v>
      </c>
      <c r="D1103" s="3">
        <v>1</v>
      </c>
      <c r="E1103" s="3">
        <v>41363.636363636302</v>
      </c>
      <c r="F1103" s="3">
        <v>45499.999999999935</v>
      </c>
      <c r="G1103" s="3">
        <v>45500</v>
      </c>
      <c r="H1103" s="25">
        <v>30748</v>
      </c>
    </row>
    <row r="1104" spans="1:8" x14ac:dyDescent="0.3">
      <c r="A1104" s="64">
        <v>2.0260205064629499E+18</v>
      </c>
      <c r="B1104" t="s">
        <v>5594</v>
      </c>
      <c r="C1104" s="65">
        <f t="shared" si="17"/>
        <v>46058</v>
      </c>
      <c r="D1104" s="3">
        <v>1</v>
      </c>
      <c r="E1104" s="3">
        <v>41363.636363636302</v>
      </c>
      <c r="F1104" s="3">
        <v>45499.999999999935</v>
      </c>
      <c r="G1104" s="3">
        <v>45500</v>
      </c>
      <c r="H1104" s="25">
        <v>30748</v>
      </c>
    </row>
    <row r="1105" spans="1:8" x14ac:dyDescent="0.3">
      <c r="A1105" s="64">
        <v>2.0260205064739E+18</v>
      </c>
      <c r="B1105" t="s">
        <v>5594</v>
      </c>
      <c r="C1105" s="65">
        <f t="shared" si="17"/>
        <v>46058</v>
      </c>
      <c r="D1105" s="3">
        <v>1</v>
      </c>
      <c r="E1105" s="3">
        <v>41363.636363636302</v>
      </c>
      <c r="F1105" s="3">
        <v>45499.999999999935</v>
      </c>
      <c r="G1105" s="3">
        <v>45500</v>
      </c>
      <c r="H1105" s="25">
        <v>30748</v>
      </c>
    </row>
    <row r="1106" spans="1:8" x14ac:dyDescent="0.3">
      <c r="A1106" s="64">
        <v>2.0260205064643699E+18</v>
      </c>
      <c r="B1106" t="s">
        <v>5594</v>
      </c>
      <c r="C1106" s="65">
        <f t="shared" si="17"/>
        <v>46058</v>
      </c>
      <c r="D1106" s="3">
        <v>1</v>
      </c>
      <c r="E1106" s="3">
        <v>41363.636363636302</v>
      </c>
      <c r="F1106" s="3">
        <v>45499.999999999935</v>
      </c>
      <c r="G1106" s="3">
        <v>45500</v>
      </c>
      <c r="H1106" s="25">
        <v>30748</v>
      </c>
    </row>
    <row r="1107" spans="1:8" x14ac:dyDescent="0.3">
      <c r="A1107" s="64">
        <v>2.0260205064620001E+18</v>
      </c>
      <c r="B1107" t="s">
        <v>5594</v>
      </c>
      <c r="C1107" s="65">
        <f t="shared" si="17"/>
        <v>46058</v>
      </c>
      <c r="D1107" s="3">
        <v>1</v>
      </c>
      <c r="E1107" s="3">
        <v>41363.636363636302</v>
      </c>
      <c r="F1107" s="3">
        <v>45499.999999999935</v>
      </c>
      <c r="G1107" s="3">
        <v>45500</v>
      </c>
      <c r="H1107" s="25">
        <v>30748</v>
      </c>
    </row>
    <row r="1108" spans="1:8" x14ac:dyDescent="0.3">
      <c r="A1108" s="64">
        <v>2.0260205064609101E+18</v>
      </c>
      <c r="B1108" t="s">
        <v>5594</v>
      </c>
      <c r="C1108" s="65">
        <f t="shared" si="17"/>
        <v>46058</v>
      </c>
      <c r="D1108" s="3">
        <v>2</v>
      </c>
      <c r="E1108" s="3">
        <v>41363.636363636353</v>
      </c>
      <c r="F1108" s="3">
        <v>91000</v>
      </c>
      <c r="G1108" s="3">
        <v>91000</v>
      </c>
      <c r="H1108" s="25">
        <v>61496</v>
      </c>
    </row>
    <row r="1109" spans="1:8" x14ac:dyDescent="0.3">
      <c r="A1109" s="64">
        <v>2.02602050645055E+18</v>
      </c>
      <c r="B1109" t="s">
        <v>5594</v>
      </c>
      <c r="C1109" s="65">
        <f t="shared" si="17"/>
        <v>46058</v>
      </c>
      <c r="D1109" s="3">
        <v>1</v>
      </c>
      <c r="E1109" s="3">
        <v>41363.636363636302</v>
      </c>
      <c r="F1109" s="3">
        <v>45499.999999999935</v>
      </c>
      <c r="G1109" s="3">
        <v>45500</v>
      </c>
      <c r="H1109" s="25">
        <v>30748</v>
      </c>
    </row>
    <row r="1110" spans="1:8" x14ac:dyDescent="0.3">
      <c r="A1110" s="64">
        <v>2.0260205064541299E+18</v>
      </c>
      <c r="B1110" t="s">
        <v>5594</v>
      </c>
      <c r="C1110" s="65">
        <f t="shared" si="17"/>
        <v>46058</v>
      </c>
      <c r="D1110" s="3">
        <v>1</v>
      </c>
      <c r="E1110" s="3">
        <v>41363.636363636302</v>
      </c>
      <c r="F1110" s="3">
        <v>45499.999999999935</v>
      </c>
      <c r="G1110" s="3">
        <v>45500</v>
      </c>
      <c r="H1110" s="25">
        <v>30748</v>
      </c>
    </row>
    <row r="1111" spans="1:8" x14ac:dyDescent="0.3">
      <c r="A1111" s="64">
        <v>2.02602050640286E+18</v>
      </c>
      <c r="B1111" t="s">
        <v>5594</v>
      </c>
      <c r="C1111" s="65">
        <f t="shared" si="17"/>
        <v>46058</v>
      </c>
      <c r="D1111" s="3">
        <v>1</v>
      </c>
      <c r="E1111" s="3">
        <v>41363.636363636302</v>
      </c>
      <c r="F1111" s="3">
        <v>45499.999999999935</v>
      </c>
      <c r="G1111" s="3">
        <v>45500</v>
      </c>
      <c r="H1111" s="25">
        <v>30748</v>
      </c>
    </row>
    <row r="1112" spans="1:8" x14ac:dyDescent="0.3">
      <c r="A1112" s="64">
        <v>2.02602050627166E+18</v>
      </c>
      <c r="B1112" t="s">
        <v>5594</v>
      </c>
      <c r="C1112" s="65">
        <f t="shared" si="17"/>
        <v>46058</v>
      </c>
      <c r="D1112" s="3">
        <v>1</v>
      </c>
      <c r="E1112" s="3">
        <v>41363.636363636302</v>
      </c>
      <c r="F1112" s="3">
        <v>45499.999999999935</v>
      </c>
      <c r="G1112" s="3">
        <v>45500</v>
      </c>
      <c r="H1112" s="25">
        <v>30748</v>
      </c>
    </row>
    <row r="1113" spans="1:8" x14ac:dyDescent="0.3">
      <c r="A1113" s="64">
        <v>2.02602050614579E+18</v>
      </c>
      <c r="B1113" t="s">
        <v>5594</v>
      </c>
      <c r="C1113" s="65">
        <f t="shared" si="17"/>
        <v>46058</v>
      </c>
      <c r="D1113" s="3">
        <v>1</v>
      </c>
      <c r="E1113" s="3">
        <v>41363.636363636302</v>
      </c>
      <c r="F1113" s="3">
        <v>45499.999999999935</v>
      </c>
      <c r="G1113" s="3">
        <v>45500</v>
      </c>
      <c r="H1113" s="25">
        <v>30748</v>
      </c>
    </row>
    <row r="1114" spans="1:8" x14ac:dyDescent="0.3">
      <c r="A1114" s="64">
        <v>2.0260205044730801E+18</v>
      </c>
      <c r="B1114" t="s">
        <v>5594</v>
      </c>
      <c r="C1114" s="65">
        <f t="shared" si="17"/>
        <v>46058</v>
      </c>
      <c r="D1114" s="3">
        <v>1</v>
      </c>
      <c r="E1114" s="3">
        <v>41363.636363636302</v>
      </c>
      <c r="F1114" s="3">
        <v>45499.999999999935</v>
      </c>
      <c r="G1114" s="3">
        <v>45500</v>
      </c>
      <c r="H1114" s="25">
        <v>30748</v>
      </c>
    </row>
    <row r="1115" spans="1:8" x14ac:dyDescent="0.3">
      <c r="A1115" s="64">
        <v>2.0260205033429199E+18</v>
      </c>
      <c r="B1115" t="s">
        <v>5594</v>
      </c>
      <c r="C1115" s="65">
        <f t="shared" si="17"/>
        <v>46058</v>
      </c>
      <c r="D1115" s="3">
        <v>1</v>
      </c>
      <c r="E1115" s="3">
        <v>41363.636363636302</v>
      </c>
      <c r="F1115" s="3">
        <v>45499.999999999935</v>
      </c>
      <c r="G1115" s="3">
        <v>45500</v>
      </c>
      <c r="H1115" s="25">
        <v>30748</v>
      </c>
    </row>
    <row r="1116" spans="1:8" x14ac:dyDescent="0.3">
      <c r="A1116" s="64">
        <v>2.0260205013356401E+18</v>
      </c>
      <c r="B1116" t="s">
        <v>5594</v>
      </c>
      <c r="C1116" s="65">
        <f t="shared" si="17"/>
        <v>46058</v>
      </c>
      <c r="D1116" s="3">
        <v>1</v>
      </c>
      <c r="E1116" s="3">
        <v>41363.636363636302</v>
      </c>
      <c r="F1116" s="3">
        <v>45499.999999999935</v>
      </c>
      <c r="G1116" s="3">
        <v>45500</v>
      </c>
      <c r="H1116" s="25">
        <v>30748</v>
      </c>
    </row>
    <row r="1117" spans="1:8" x14ac:dyDescent="0.3">
      <c r="A1117" s="64">
        <v>2.02602050049522E+18</v>
      </c>
      <c r="B1117" t="s">
        <v>5594</v>
      </c>
      <c r="C1117" s="65">
        <f t="shared" si="17"/>
        <v>46058</v>
      </c>
      <c r="D1117" s="3">
        <v>2</v>
      </c>
      <c r="E1117" s="3">
        <v>41363.636363636353</v>
      </c>
      <c r="F1117" s="3">
        <v>91000</v>
      </c>
      <c r="G1117" s="3">
        <v>91000</v>
      </c>
      <c r="H1117" s="25">
        <v>61496</v>
      </c>
    </row>
    <row r="1118" spans="1:8" x14ac:dyDescent="0.3">
      <c r="A1118" s="64">
        <v>2.0260205002215401E+18</v>
      </c>
      <c r="B1118" t="s">
        <v>5594</v>
      </c>
      <c r="C1118" s="65">
        <f t="shared" si="17"/>
        <v>46058</v>
      </c>
      <c r="D1118" s="3">
        <v>1</v>
      </c>
      <c r="E1118" s="3">
        <v>41363.636363636302</v>
      </c>
      <c r="F1118" s="3">
        <v>45499.999999999935</v>
      </c>
      <c r="G1118" s="3">
        <v>45500</v>
      </c>
      <c r="H1118" s="25">
        <v>30748</v>
      </c>
    </row>
    <row r="1119" spans="1:8" x14ac:dyDescent="0.3">
      <c r="A1119" s="64">
        <v>2.0260204223818399E+18</v>
      </c>
      <c r="B1119" t="s">
        <v>5594</v>
      </c>
      <c r="C1119" s="65">
        <f t="shared" si="17"/>
        <v>46057</v>
      </c>
      <c r="D1119" s="3">
        <v>1</v>
      </c>
      <c r="E1119" s="3">
        <v>41363.636363636302</v>
      </c>
      <c r="F1119" s="3">
        <v>45499.999999999935</v>
      </c>
      <c r="G1119" s="3">
        <v>45500</v>
      </c>
      <c r="H1119" s="25">
        <v>30748</v>
      </c>
    </row>
    <row r="1120" spans="1:8" x14ac:dyDescent="0.3">
      <c r="A1120" s="64">
        <v>2.02602042234528E+18</v>
      </c>
      <c r="B1120" t="s">
        <v>5594</v>
      </c>
      <c r="C1120" s="65">
        <f t="shared" si="17"/>
        <v>46057</v>
      </c>
      <c r="D1120" s="3">
        <v>1</v>
      </c>
      <c r="E1120" s="3">
        <v>41363.636363636302</v>
      </c>
      <c r="F1120" s="3">
        <v>45499.999999999935</v>
      </c>
      <c r="G1120" s="3">
        <v>45500</v>
      </c>
      <c r="H1120" s="25">
        <v>30748</v>
      </c>
    </row>
    <row r="1121" spans="1:8" x14ac:dyDescent="0.3">
      <c r="A1121" s="64">
        <v>2.0260204223127199E+18</v>
      </c>
      <c r="B1121" t="s">
        <v>5594</v>
      </c>
      <c r="C1121" s="65">
        <f t="shared" si="17"/>
        <v>46057</v>
      </c>
      <c r="D1121" s="3">
        <v>1</v>
      </c>
      <c r="E1121" s="3">
        <v>41363.636363636302</v>
      </c>
      <c r="F1121" s="3">
        <v>45499.999999999935</v>
      </c>
      <c r="G1121" s="3">
        <v>45500</v>
      </c>
      <c r="H1121" s="25">
        <v>30748</v>
      </c>
    </row>
    <row r="1122" spans="1:8" x14ac:dyDescent="0.3">
      <c r="A1122" s="64">
        <v>2.0260204222154801E+18</v>
      </c>
      <c r="B1122" t="s">
        <v>5594</v>
      </c>
      <c r="C1122" s="65">
        <f t="shared" si="17"/>
        <v>46057</v>
      </c>
      <c r="D1122" s="3">
        <v>1</v>
      </c>
      <c r="E1122" s="3">
        <v>41363.636363636302</v>
      </c>
      <c r="F1122" s="3">
        <v>45499.999999999935</v>
      </c>
      <c r="G1122" s="3">
        <v>45500</v>
      </c>
      <c r="H1122" s="25">
        <v>30748</v>
      </c>
    </row>
    <row r="1123" spans="1:8" x14ac:dyDescent="0.3">
      <c r="A1123" s="64">
        <v>2.02602042215489E+18</v>
      </c>
      <c r="B1123" t="s">
        <v>5594</v>
      </c>
      <c r="C1123" s="65">
        <f t="shared" si="17"/>
        <v>46057</v>
      </c>
      <c r="D1123" s="3">
        <v>1</v>
      </c>
      <c r="E1123" s="3">
        <v>41363.636363636302</v>
      </c>
      <c r="F1123" s="3">
        <v>45499.999999999935</v>
      </c>
      <c r="G1123" s="3">
        <v>45500</v>
      </c>
      <c r="H1123" s="25">
        <v>30748</v>
      </c>
    </row>
    <row r="1124" spans="1:8" x14ac:dyDescent="0.3">
      <c r="A1124" s="64">
        <v>2.0260204221301299E+18</v>
      </c>
      <c r="B1124" t="s">
        <v>5594</v>
      </c>
      <c r="C1124" s="65">
        <f t="shared" si="17"/>
        <v>46057</v>
      </c>
      <c r="D1124" s="3">
        <v>1</v>
      </c>
      <c r="E1124" s="3">
        <v>41363.636363636302</v>
      </c>
      <c r="F1124" s="3">
        <v>45499.999999999935</v>
      </c>
      <c r="G1124" s="3">
        <v>45500</v>
      </c>
      <c r="H1124" s="25">
        <v>30748</v>
      </c>
    </row>
    <row r="1125" spans="1:8" x14ac:dyDescent="0.3">
      <c r="A1125" s="64">
        <v>2.0260204214535099E+18</v>
      </c>
      <c r="B1125" t="s">
        <v>5594</v>
      </c>
      <c r="C1125" s="65">
        <f t="shared" si="17"/>
        <v>46057</v>
      </c>
      <c r="D1125" s="3">
        <v>1</v>
      </c>
      <c r="E1125" s="3">
        <v>41363.636363636302</v>
      </c>
      <c r="F1125" s="3">
        <v>45499.999999999935</v>
      </c>
      <c r="G1125" s="3">
        <v>45500</v>
      </c>
      <c r="H1125" s="25">
        <v>30748</v>
      </c>
    </row>
    <row r="1126" spans="1:8" x14ac:dyDescent="0.3">
      <c r="A1126" s="64">
        <v>2.0260204213138299E+18</v>
      </c>
      <c r="B1126" t="s">
        <v>5594</v>
      </c>
      <c r="C1126" s="65">
        <f t="shared" si="17"/>
        <v>46057</v>
      </c>
      <c r="D1126" s="3">
        <v>2</v>
      </c>
      <c r="E1126" s="3">
        <v>41363.636363636353</v>
      </c>
      <c r="F1126" s="3">
        <v>91000</v>
      </c>
      <c r="G1126" s="3">
        <v>91000</v>
      </c>
      <c r="H1126" s="25">
        <v>61496</v>
      </c>
    </row>
    <row r="1127" spans="1:8" x14ac:dyDescent="0.3">
      <c r="A1127" s="64">
        <v>2.02602042127102E+18</v>
      </c>
      <c r="B1127" t="s">
        <v>5594</v>
      </c>
      <c r="C1127" s="65">
        <f t="shared" si="17"/>
        <v>46057</v>
      </c>
      <c r="D1127" s="3">
        <v>1</v>
      </c>
      <c r="E1127" s="3">
        <v>41363.636363636302</v>
      </c>
      <c r="F1127" s="3">
        <v>45499.999999999935</v>
      </c>
      <c r="G1127" s="3">
        <v>45500</v>
      </c>
      <c r="H1127" s="25">
        <v>30748</v>
      </c>
    </row>
    <row r="1128" spans="1:8" x14ac:dyDescent="0.3">
      <c r="A1128" s="64">
        <v>2.02602042110083E+18</v>
      </c>
      <c r="B1128" t="s">
        <v>5594</v>
      </c>
      <c r="C1128" s="65">
        <f t="shared" si="17"/>
        <v>46057</v>
      </c>
      <c r="D1128" s="3">
        <v>1</v>
      </c>
      <c r="E1128" s="3">
        <v>41363.636363636302</v>
      </c>
      <c r="F1128" s="3">
        <v>45499.999999999935</v>
      </c>
      <c r="G1128" s="3">
        <v>45500</v>
      </c>
      <c r="H1128" s="25">
        <v>30748</v>
      </c>
    </row>
    <row r="1129" spans="1:8" x14ac:dyDescent="0.3">
      <c r="A1129" s="64">
        <v>2.0260204210747599E+18</v>
      </c>
      <c r="B1129" t="s">
        <v>5594</v>
      </c>
      <c r="C1129" s="65">
        <f t="shared" si="17"/>
        <v>46057</v>
      </c>
      <c r="D1129" s="3">
        <v>1</v>
      </c>
      <c r="E1129" s="3">
        <v>41363.636363636302</v>
      </c>
      <c r="F1129" s="3">
        <v>45499.999999999935</v>
      </c>
      <c r="G1129" s="3">
        <v>45500</v>
      </c>
      <c r="H1129" s="25">
        <v>30748</v>
      </c>
    </row>
    <row r="1130" spans="1:8" x14ac:dyDescent="0.3">
      <c r="A1130" s="64">
        <v>2.02602042052206E+18</v>
      </c>
      <c r="B1130" t="s">
        <v>5594</v>
      </c>
      <c r="C1130" s="65">
        <f t="shared" si="17"/>
        <v>46057</v>
      </c>
      <c r="D1130" s="3">
        <v>1</v>
      </c>
      <c r="E1130" s="3">
        <v>41363.636363636302</v>
      </c>
      <c r="F1130" s="3">
        <v>45499.999999999935</v>
      </c>
      <c r="G1130" s="3">
        <v>45500</v>
      </c>
      <c r="H1130" s="25">
        <v>30748</v>
      </c>
    </row>
    <row r="1131" spans="1:8" x14ac:dyDescent="0.3">
      <c r="A1131" s="64">
        <v>2.02602042052275E+18</v>
      </c>
      <c r="B1131" t="s">
        <v>5594</v>
      </c>
      <c r="C1131" s="65">
        <f t="shared" si="17"/>
        <v>46057</v>
      </c>
      <c r="D1131" s="3">
        <v>3</v>
      </c>
      <c r="E1131" s="3">
        <v>41363.636363636331</v>
      </c>
      <c r="F1131" s="3">
        <v>136499.99999999991</v>
      </c>
      <c r="G1131" s="3">
        <v>136500</v>
      </c>
      <c r="H1131" s="25">
        <v>92244</v>
      </c>
    </row>
    <row r="1132" spans="1:8" x14ac:dyDescent="0.3">
      <c r="A1132" s="64">
        <v>2.0260204201954501E+18</v>
      </c>
      <c r="B1132" t="s">
        <v>5594</v>
      </c>
      <c r="C1132" s="65">
        <f t="shared" si="17"/>
        <v>46057</v>
      </c>
      <c r="D1132" s="3">
        <v>1</v>
      </c>
      <c r="E1132" s="3">
        <v>41363.636363636302</v>
      </c>
      <c r="F1132" s="3">
        <v>45499.999999999935</v>
      </c>
      <c r="G1132" s="3">
        <v>45500</v>
      </c>
      <c r="H1132" s="25">
        <v>30748</v>
      </c>
    </row>
    <row r="1133" spans="1:8" x14ac:dyDescent="0.3">
      <c r="A1133" s="64">
        <v>2.0260204201428301E+18</v>
      </c>
      <c r="B1133" t="s">
        <v>5594</v>
      </c>
      <c r="C1133" s="65">
        <f t="shared" si="17"/>
        <v>46057</v>
      </c>
      <c r="D1133" s="3">
        <v>1</v>
      </c>
      <c r="E1133" s="3">
        <v>41363.636363636302</v>
      </c>
      <c r="F1133" s="3">
        <v>45499.999999999935</v>
      </c>
      <c r="G1133" s="3">
        <v>45500</v>
      </c>
      <c r="H1133" s="25">
        <v>30748</v>
      </c>
    </row>
    <row r="1134" spans="1:8" x14ac:dyDescent="0.3">
      <c r="A1134" s="64">
        <v>2.0260205103158999E+18</v>
      </c>
      <c r="B1134" t="s">
        <v>5594</v>
      </c>
      <c r="C1134" s="65">
        <f t="shared" si="17"/>
        <v>46058</v>
      </c>
      <c r="D1134" s="3">
        <v>1</v>
      </c>
      <c r="E1134" s="3">
        <v>57272.727272727199</v>
      </c>
      <c r="F1134" s="3">
        <v>62999.999999999927</v>
      </c>
      <c r="G1134" s="3">
        <v>63000</v>
      </c>
      <c r="H1134" s="25">
        <v>30748</v>
      </c>
    </row>
    <row r="1135" spans="1:8" x14ac:dyDescent="0.3">
      <c r="A1135" s="64">
        <v>2.02602051042271E+18</v>
      </c>
      <c r="B1135" t="s">
        <v>5594</v>
      </c>
      <c r="C1135" s="65">
        <f t="shared" si="17"/>
        <v>46058</v>
      </c>
      <c r="D1135" s="3">
        <v>1</v>
      </c>
      <c r="E1135" s="3">
        <v>57272.727272727199</v>
      </c>
      <c r="F1135" s="3">
        <v>62999.999999999927</v>
      </c>
      <c r="G1135" s="3">
        <v>63000</v>
      </c>
      <c r="H1135" s="25">
        <v>30748</v>
      </c>
    </row>
    <row r="1136" spans="1:8" x14ac:dyDescent="0.3">
      <c r="A1136" s="64">
        <v>2.0260205103831501E+18</v>
      </c>
      <c r="B1136" t="s">
        <v>5594</v>
      </c>
      <c r="C1136" s="65">
        <f t="shared" si="17"/>
        <v>46058</v>
      </c>
      <c r="D1136" s="3">
        <v>1</v>
      </c>
      <c r="E1136" s="3">
        <v>57272.727272727199</v>
      </c>
      <c r="F1136" s="3">
        <v>62999.999999999927</v>
      </c>
      <c r="G1136" s="3">
        <v>63000</v>
      </c>
      <c r="H1136" s="25">
        <v>30748</v>
      </c>
    </row>
    <row r="1137" spans="1:8" x14ac:dyDescent="0.3">
      <c r="A1137" s="64">
        <v>2.0260205093351199E+18</v>
      </c>
      <c r="B1137" t="s">
        <v>5594</v>
      </c>
      <c r="C1137" s="65">
        <f t="shared" si="17"/>
        <v>46058</v>
      </c>
      <c r="D1137" s="3">
        <v>1</v>
      </c>
      <c r="E1137" s="3">
        <v>57272.727272727199</v>
      </c>
      <c r="F1137" s="3">
        <v>62999.999999999927</v>
      </c>
      <c r="G1137" s="3">
        <v>63000</v>
      </c>
      <c r="H1137" s="25">
        <v>30748</v>
      </c>
    </row>
    <row r="1138" spans="1:8" x14ac:dyDescent="0.3">
      <c r="A1138" s="64">
        <v>2.02602050909311E+18</v>
      </c>
      <c r="B1138" t="s">
        <v>5594</v>
      </c>
      <c r="C1138" s="65">
        <f t="shared" si="17"/>
        <v>46058</v>
      </c>
      <c r="D1138" s="3">
        <v>1</v>
      </c>
      <c r="E1138" s="3">
        <v>57272.727272727199</v>
      </c>
      <c r="F1138" s="3">
        <v>62999.999999999927</v>
      </c>
      <c r="G1138" s="3">
        <v>63000</v>
      </c>
      <c r="H1138" s="25">
        <v>30748</v>
      </c>
    </row>
    <row r="1139" spans="1:8" x14ac:dyDescent="0.3">
      <c r="A1139" s="64">
        <v>2.0260205085507899E+18</v>
      </c>
      <c r="B1139" t="s">
        <v>5594</v>
      </c>
      <c r="C1139" s="65">
        <f t="shared" si="17"/>
        <v>46058</v>
      </c>
      <c r="D1139" s="3">
        <v>1</v>
      </c>
      <c r="E1139" s="3">
        <v>57272.727272727199</v>
      </c>
      <c r="F1139" s="3">
        <v>62999.999999999927</v>
      </c>
      <c r="G1139" s="3">
        <v>63000</v>
      </c>
      <c r="H1139" s="25">
        <v>30748</v>
      </c>
    </row>
    <row r="1140" spans="1:8" x14ac:dyDescent="0.3">
      <c r="A1140" s="64">
        <v>2.0260205083521999E+18</v>
      </c>
      <c r="B1140" t="s">
        <v>5594</v>
      </c>
      <c r="C1140" s="65">
        <f t="shared" si="17"/>
        <v>46058</v>
      </c>
      <c r="D1140" s="3">
        <v>1</v>
      </c>
      <c r="E1140" s="3">
        <v>57272.727272727199</v>
      </c>
      <c r="F1140" s="3">
        <v>62999.999999999927</v>
      </c>
      <c r="G1140" s="3">
        <v>63000</v>
      </c>
      <c r="H1140" s="25">
        <v>30748</v>
      </c>
    </row>
    <row r="1141" spans="1:8" x14ac:dyDescent="0.3">
      <c r="A1141" s="64">
        <v>2.0260205082401201E+18</v>
      </c>
      <c r="B1141" t="s">
        <v>5594</v>
      </c>
      <c r="C1141" s="65">
        <f t="shared" si="17"/>
        <v>46058</v>
      </c>
      <c r="D1141" s="3">
        <v>1</v>
      </c>
      <c r="E1141" s="3">
        <v>57272.727272727199</v>
      </c>
      <c r="F1141" s="3">
        <v>62999.999999999927</v>
      </c>
      <c r="G1141" s="3">
        <v>63000</v>
      </c>
      <c r="H1141" s="25">
        <v>30748</v>
      </c>
    </row>
    <row r="1142" spans="1:8" x14ac:dyDescent="0.3">
      <c r="A1142" s="64">
        <v>2.0260205082256699E+18</v>
      </c>
      <c r="B1142" t="s">
        <v>5594</v>
      </c>
      <c r="C1142" s="65">
        <f t="shared" si="17"/>
        <v>46058</v>
      </c>
      <c r="D1142" s="3">
        <v>1</v>
      </c>
      <c r="E1142" s="3">
        <v>57272.727272727199</v>
      </c>
      <c r="F1142" s="3">
        <v>62999.999999999927</v>
      </c>
      <c r="G1142" s="3">
        <v>63000</v>
      </c>
      <c r="H1142" s="25">
        <v>30748</v>
      </c>
    </row>
    <row r="1143" spans="1:8" x14ac:dyDescent="0.3">
      <c r="A1143" s="64">
        <v>2.02602050817359E+18</v>
      </c>
      <c r="B1143" t="s">
        <v>5594</v>
      </c>
      <c r="C1143" s="65">
        <f t="shared" si="17"/>
        <v>46058</v>
      </c>
      <c r="D1143" s="3">
        <v>1</v>
      </c>
      <c r="E1143" s="3">
        <v>57272.727272727199</v>
      </c>
      <c r="F1143" s="3">
        <v>62999.999999999927</v>
      </c>
      <c r="G1143" s="3">
        <v>63000</v>
      </c>
      <c r="H1143" s="25">
        <v>30748</v>
      </c>
    </row>
    <row r="1144" spans="1:8" x14ac:dyDescent="0.3">
      <c r="A1144" s="64">
        <v>2.0260205081139E+18</v>
      </c>
      <c r="B1144" t="s">
        <v>5594</v>
      </c>
      <c r="C1144" s="65">
        <f t="shared" si="17"/>
        <v>46058</v>
      </c>
      <c r="D1144" s="3">
        <v>1</v>
      </c>
      <c r="E1144" s="3">
        <v>57272.727272727199</v>
      </c>
      <c r="F1144" s="3">
        <v>62999.999999999927</v>
      </c>
      <c r="G1144" s="3">
        <v>63000</v>
      </c>
      <c r="H1144" s="25">
        <v>30748</v>
      </c>
    </row>
    <row r="1145" spans="1:8" x14ac:dyDescent="0.3">
      <c r="A1145" s="64">
        <v>2.0260205080738801E+18</v>
      </c>
      <c r="B1145" t="s">
        <v>5594</v>
      </c>
      <c r="C1145" s="65">
        <f t="shared" si="17"/>
        <v>46058</v>
      </c>
      <c r="D1145" s="3">
        <v>1</v>
      </c>
      <c r="E1145" s="3">
        <v>57272.727272727199</v>
      </c>
      <c r="F1145" s="3">
        <v>62999.999999999927</v>
      </c>
      <c r="G1145" s="3">
        <v>63000</v>
      </c>
      <c r="H1145" s="25">
        <v>30748</v>
      </c>
    </row>
    <row r="1146" spans="1:8" x14ac:dyDescent="0.3">
      <c r="A1146" s="64">
        <v>2.02602050803411E+18</v>
      </c>
      <c r="B1146" t="s">
        <v>5594</v>
      </c>
      <c r="C1146" s="65">
        <f t="shared" si="17"/>
        <v>46058</v>
      </c>
      <c r="D1146" s="3">
        <v>1</v>
      </c>
      <c r="E1146" s="3">
        <v>57272.727272727199</v>
      </c>
      <c r="F1146" s="3">
        <v>62999.999999999927</v>
      </c>
      <c r="G1146" s="3">
        <v>63000</v>
      </c>
      <c r="H1146" s="25">
        <v>30748</v>
      </c>
    </row>
    <row r="1147" spans="1:8" x14ac:dyDescent="0.3">
      <c r="A1147" s="64">
        <v>2.0260205080335401E+18</v>
      </c>
      <c r="B1147" t="s">
        <v>5594</v>
      </c>
      <c r="C1147" s="65">
        <f t="shared" si="17"/>
        <v>46058</v>
      </c>
      <c r="D1147" s="3">
        <v>1</v>
      </c>
      <c r="E1147" s="3">
        <v>57272.727272727199</v>
      </c>
      <c r="F1147" s="3">
        <v>62999.999999999927</v>
      </c>
      <c r="G1147" s="3">
        <v>63000</v>
      </c>
      <c r="H1147" s="25">
        <v>30748</v>
      </c>
    </row>
    <row r="1148" spans="1:8" x14ac:dyDescent="0.3">
      <c r="A1148" s="64">
        <v>2.0260205080136699E+18</v>
      </c>
      <c r="B1148" t="s">
        <v>5594</v>
      </c>
      <c r="C1148" s="65">
        <f t="shared" si="17"/>
        <v>46058</v>
      </c>
      <c r="D1148" s="3">
        <v>1</v>
      </c>
      <c r="E1148" s="3">
        <v>57272.727272727199</v>
      </c>
      <c r="F1148" s="3">
        <v>62999.999999999927</v>
      </c>
      <c r="G1148" s="3">
        <v>63000</v>
      </c>
      <c r="H1148" s="25">
        <v>30748</v>
      </c>
    </row>
    <row r="1149" spans="1:8" x14ac:dyDescent="0.3">
      <c r="A1149" s="64">
        <v>2.0260205075749801E+18</v>
      </c>
      <c r="B1149" t="s">
        <v>5594</v>
      </c>
      <c r="C1149" s="65">
        <f t="shared" si="17"/>
        <v>46058</v>
      </c>
      <c r="D1149" s="3">
        <v>1</v>
      </c>
      <c r="E1149" s="3">
        <v>57272.727272727199</v>
      </c>
      <c r="F1149" s="3">
        <v>62999.999999999927</v>
      </c>
      <c r="G1149" s="3">
        <v>63000</v>
      </c>
      <c r="H1149" s="25">
        <v>30748</v>
      </c>
    </row>
    <row r="1150" spans="1:8" x14ac:dyDescent="0.3">
      <c r="A1150" s="64">
        <v>2.0260205075941901E+18</v>
      </c>
      <c r="B1150" t="s">
        <v>5594</v>
      </c>
      <c r="C1150" s="65">
        <f t="shared" si="17"/>
        <v>46058</v>
      </c>
      <c r="D1150" s="3">
        <v>1</v>
      </c>
      <c r="E1150" s="3">
        <v>57272.727272727199</v>
      </c>
      <c r="F1150" s="3">
        <v>62999.999999999927</v>
      </c>
      <c r="G1150" s="3">
        <v>63000</v>
      </c>
      <c r="H1150" s="25">
        <v>30748</v>
      </c>
    </row>
    <row r="1151" spans="1:8" x14ac:dyDescent="0.3">
      <c r="A1151" s="64">
        <v>2.0260205075624499E+18</v>
      </c>
      <c r="B1151" t="s">
        <v>5594</v>
      </c>
      <c r="C1151" s="65">
        <f t="shared" si="17"/>
        <v>46058</v>
      </c>
      <c r="D1151" s="3">
        <v>1</v>
      </c>
      <c r="E1151" s="3">
        <v>57272.727272727199</v>
      </c>
      <c r="F1151" s="3">
        <v>62999.999999999927</v>
      </c>
      <c r="G1151" s="3">
        <v>63000</v>
      </c>
      <c r="H1151" s="25">
        <v>30748</v>
      </c>
    </row>
    <row r="1152" spans="1:8" x14ac:dyDescent="0.3">
      <c r="A1152" s="64">
        <v>2.0260205075831199E+18</v>
      </c>
      <c r="B1152" t="s">
        <v>5594</v>
      </c>
      <c r="C1152" s="65">
        <f t="shared" si="17"/>
        <v>46058</v>
      </c>
      <c r="D1152" s="3">
        <v>1</v>
      </c>
      <c r="E1152" s="3">
        <v>57272.727272727199</v>
      </c>
      <c r="F1152" s="3">
        <v>62999.999999999927</v>
      </c>
      <c r="G1152" s="3">
        <v>63000</v>
      </c>
      <c r="H1152" s="25">
        <v>30748</v>
      </c>
    </row>
    <row r="1153" spans="1:8" x14ac:dyDescent="0.3">
      <c r="A1153" s="64">
        <v>2.0260205075626701E+18</v>
      </c>
      <c r="B1153" t="s">
        <v>5594</v>
      </c>
      <c r="C1153" s="65">
        <f t="shared" si="17"/>
        <v>46058</v>
      </c>
      <c r="D1153" s="3">
        <v>1</v>
      </c>
      <c r="E1153" s="3">
        <v>57272.727272727199</v>
      </c>
      <c r="F1153" s="3">
        <v>62999.999999999927</v>
      </c>
      <c r="G1153" s="3">
        <v>63000</v>
      </c>
      <c r="H1153" s="25">
        <v>30748</v>
      </c>
    </row>
    <row r="1154" spans="1:8" x14ac:dyDescent="0.3">
      <c r="A1154" s="64">
        <v>2.0260205074725499E+18</v>
      </c>
      <c r="B1154" t="s">
        <v>5594</v>
      </c>
      <c r="C1154" s="65">
        <f t="shared" si="17"/>
        <v>46058</v>
      </c>
      <c r="D1154" s="3">
        <v>1</v>
      </c>
      <c r="E1154" s="3">
        <v>57272.727272727199</v>
      </c>
      <c r="F1154" s="3">
        <v>62999.999999999927</v>
      </c>
      <c r="G1154" s="3">
        <v>63000</v>
      </c>
      <c r="H1154" s="25">
        <v>30748</v>
      </c>
    </row>
    <row r="1155" spans="1:8" x14ac:dyDescent="0.3">
      <c r="A1155" s="64">
        <v>2.0260205071013E+18</v>
      </c>
      <c r="B1155" t="s">
        <v>5594</v>
      </c>
      <c r="C1155" s="65">
        <f t="shared" ref="C1155:C1218" si="18">DATE(LEFT(TEXT(A1155,"0"),4),MID(TEXT(A1155,"0"),5,2),MID(TEXT(A1155,"0"),7,2))</f>
        <v>46058</v>
      </c>
      <c r="D1155" s="3">
        <v>2</v>
      </c>
      <c r="E1155" s="3">
        <v>57272.727272727003</v>
      </c>
      <c r="F1155" s="3">
        <v>125999.99999999942</v>
      </c>
      <c r="G1155" s="3">
        <v>126000</v>
      </c>
      <c r="H1155" s="25">
        <v>61496</v>
      </c>
    </row>
    <row r="1156" spans="1:8" x14ac:dyDescent="0.3">
      <c r="A1156" s="64">
        <v>2.0260205070754801E+18</v>
      </c>
      <c r="B1156" t="s">
        <v>5594</v>
      </c>
      <c r="C1156" s="65">
        <f t="shared" si="18"/>
        <v>46058</v>
      </c>
      <c r="D1156" s="3">
        <v>2</v>
      </c>
      <c r="E1156" s="3">
        <v>57272.727272727003</v>
      </c>
      <c r="F1156" s="3">
        <v>125999.99999999942</v>
      </c>
      <c r="G1156" s="3">
        <v>126000</v>
      </c>
      <c r="H1156" s="25">
        <v>61496</v>
      </c>
    </row>
    <row r="1157" spans="1:8" x14ac:dyDescent="0.3">
      <c r="A1157" s="64">
        <v>2.02602050653391E+18</v>
      </c>
      <c r="B1157" t="s">
        <v>5594</v>
      </c>
      <c r="C1157" s="65">
        <f t="shared" si="18"/>
        <v>46058</v>
      </c>
      <c r="D1157" s="3">
        <v>1</v>
      </c>
      <c r="E1157" s="3">
        <v>57272.727272727199</v>
      </c>
      <c r="F1157" s="3">
        <v>62999.999999999927</v>
      </c>
      <c r="G1157" s="3">
        <v>63000</v>
      </c>
      <c r="H1157" s="25">
        <v>30748</v>
      </c>
    </row>
    <row r="1158" spans="1:8" x14ac:dyDescent="0.3">
      <c r="A1158" s="64">
        <v>2.02602050649087E+18</v>
      </c>
      <c r="B1158" t="s">
        <v>5594</v>
      </c>
      <c r="C1158" s="65">
        <f t="shared" si="18"/>
        <v>46058</v>
      </c>
      <c r="D1158" s="3">
        <v>1</v>
      </c>
      <c r="E1158" s="3">
        <v>57272.727272727199</v>
      </c>
      <c r="F1158" s="3">
        <v>62999.999999999927</v>
      </c>
      <c r="G1158" s="3">
        <v>63000</v>
      </c>
      <c r="H1158" s="25">
        <v>30748</v>
      </c>
    </row>
    <row r="1159" spans="1:8" x14ac:dyDescent="0.3">
      <c r="A1159" s="64">
        <v>2.02602050646205E+18</v>
      </c>
      <c r="B1159" t="s">
        <v>5594</v>
      </c>
      <c r="C1159" s="65">
        <f t="shared" si="18"/>
        <v>46058</v>
      </c>
      <c r="D1159" s="3">
        <v>1</v>
      </c>
      <c r="E1159" s="3">
        <v>57272.727272727199</v>
      </c>
      <c r="F1159" s="3">
        <v>62999.999999999927</v>
      </c>
      <c r="G1159" s="3">
        <v>63000</v>
      </c>
      <c r="H1159" s="25">
        <v>30748</v>
      </c>
    </row>
    <row r="1160" spans="1:8" x14ac:dyDescent="0.3">
      <c r="A1160" s="64">
        <v>2.02602050645309E+18</v>
      </c>
      <c r="B1160" t="s">
        <v>5594</v>
      </c>
      <c r="C1160" s="65">
        <f t="shared" si="18"/>
        <v>46058</v>
      </c>
      <c r="D1160" s="3">
        <v>1</v>
      </c>
      <c r="E1160" s="3">
        <v>57272.727272727199</v>
      </c>
      <c r="F1160" s="3">
        <v>62999.999999999927</v>
      </c>
      <c r="G1160" s="3">
        <v>63000</v>
      </c>
      <c r="H1160" s="25">
        <v>30748</v>
      </c>
    </row>
    <row r="1161" spans="1:8" x14ac:dyDescent="0.3">
      <c r="A1161" s="64">
        <v>2.0260205013435699E+18</v>
      </c>
      <c r="B1161" t="s">
        <v>5594</v>
      </c>
      <c r="C1161" s="65">
        <f t="shared" si="18"/>
        <v>46058</v>
      </c>
      <c r="D1161" s="3">
        <v>1</v>
      </c>
      <c r="E1161" s="3">
        <v>57272.727272727199</v>
      </c>
      <c r="F1161" s="3">
        <v>62999.999999999927</v>
      </c>
      <c r="G1161" s="3">
        <v>63000</v>
      </c>
      <c r="H1161" s="25">
        <v>30748</v>
      </c>
    </row>
    <row r="1162" spans="1:8" x14ac:dyDescent="0.3">
      <c r="A1162" s="64">
        <v>2.02602050029571E+18</v>
      </c>
      <c r="B1162" t="s">
        <v>5594</v>
      </c>
      <c r="C1162" s="65">
        <f t="shared" si="18"/>
        <v>46058</v>
      </c>
      <c r="D1162" s="3">
        <v>1</v>
      </c>
      <c r="E1162" s="3">
        <v>57272.727272727199</v>
      </c>
      <c r="F1162" s="3">
        <v>62999.999999999927</v>
      </c>
      <c r="G1162" s="3">
        <v>63000</v>
      </c>
      <c r="H1162" s="25">
        <v>30748</v>
      </c>
    </row>
    <row r="1163" spans="1:8" x14ac:dyDescent="0.3">
      <c r="A1163" s="64">
        <v>2.02602042300317E+18</v>
      </c>
      <c r="B1163" t="s">
        <v>5594</v>
      </c>
      <c r="C1163" s="65">
        <f t="shared" si="18"/>
        <v>46057</v>
      </c>
      <c r="D1163" s="3">
        <v>1</v>
      </c>
      <c r="E1163" s="3">
        <v>57272.727272727199</v>
      </c>
      <c r="F1163" s="3">
        <v>62999.999999999927</v>
      </c>
      <c r="G1163" s="3">
        <v>63000</v>
      </c>
      <c r="H1163" s="25">
        <v>30748</v>
      </c>
    </row>
    <row r="1164" spans="1:8" x14ac:dyDescent="0.3">
      <c r="A1164" s="64">
        <v>2.0260204221906099E+18</v>
      </c>
      <c r="B1164" t="s">
        <v>5594</v>
      </c>
      <c r="C1164" s="65">
        <f t="shared" si="18"/>
        <v>46057</v>
      </c>
      <c r="D1164" s="3">
        <v>1</v>
      </c>
      <c r="E1164" s="3">
        <v>57272.727272727199</v>
      </c>
      <c r="F1164" s="3">
        <v>62999.999999999927</v>
      </c>
      <c r="G1164" s="3">
        <v>63000</v>
      </c>
      <c r="H1164" s="25">
        <v>30748</v>
      </c>
    </row>
    <row r="1165" spans="1:8" x14ac:dyDescent="0.3">
      <c r="A1165" s="64">
        <v>2.0260205075749701E+18</v>
      </c>
      <c r="B1165" t="s">
        <v>5594</v>
      </c>
      <c r="C1165" s="65">
        <f t="shared" si="18"/>
        <v>46058</v>
      </c>
      <c r="D1165" s="3">
        <v>1</v>
      </c>
      <c r="E1165" s="3">
        <v>41363.636363636302</v>
      </c>
      <c r="F1165" s="3">
        <v>45499.999999999935</v>
      </c>
      <c r="G1165" s="3">
        <v>45500</v>
      </c>
      <c r="H1165" s="25">
        <v>30748</v>
      </c>
    </row>
    <row r="1166" spans="1:8" x14ac:dyDescent="0.3">
      <c r="A1166" s="64">
        <v>2.0260205085247099E+18</v>
      </c>
      <c r="B1166" t="s">
        <v>5594</v>
      </c>
      <c r="C1166" s="65">
        <f t="shared" si="18"/>
        <v>46058</v>
      </c>
      <c r="D1166" s="3">
        <v>1</v>
      </c>
      <c r="E1166" s="3">
        <v>41363.636363636302</v>
      </c>
      <c r="F1166" s="3">
        <v>45499.999999999935</v>
      </c>
      <c r="G1166" s="3">
        <v>45500</v>
      </c>
      <c r="H1166" s="25">
        <v>30748</v>
      </c>
    </row>
    <row r="1167" spans="1:8" x14ac:dyDescent="0.3">
      <c r="A1167" s="64">
        <v>2.02602051042495E+18</v>
      </c>
      <c r="B1167" t="s">
        <v>5594</v>
      </c>
      <c r="C1167" s="65">
        <f t="shared" si="18"/>
        <v>46058</v>
      </c>
      <c r="D1167" s="3">
        <v>1</v>
      </c>
      <c r="E1167" s="3">
        <v>41363.636363636302</v>
      </c>
      <c r="F1167" s="3">
        <v>45499.999999999935</v>
      </c>
      <c r="G1167" s="3">
        <v>45500</v>
      </c>
      <c r="H1167" s="25">
        <v>30748</v>
      </c>
    </row>
    <row r="1168" spans="1:8" x14ac:dyDescent="0.3">
      <c r="A1168" s="64">
        <v>2.0260205110231501E+18</v>
      </c>
      <c r="B1168" t="s">
        <v>5594</v>
      </c>
      <c r="C1168" s="65">
        <f t="shared" si="18"/>
        <v>46058</v>
      </c>
      <c r="D1168" s="3">
        <v>2</v>
      </c>
      <c r="E1168" s="3">
        <v>41363.636363636353</v>
      </c>
      <c r="F1168" s="3">
        <v>91000</v>
      </c>
      <c r="G1168" s="3">
        <v>91000</v>
      </c>
      <c r="H1168" s="25">
        <v>61496</v>
      </c>
    </row>
    <row r="1169" spans="1:8" x14ac:dyDescent="0.3">
      <c r="A1169" s="64">
        <v>2.02602051103107E+18</v>
      </c>
      <c r="B1169" t="s">
        <v>5594</v>
      </c>
      <c r="C1169" s="65">
        <f t="shared" si="18"/>
        <v>46058</v>
      </c>
      <c r="D1169" s="3">
        <v>1</v>
      </c>
      <c r="E1169" s="3">
        <v>41363.636363636302</v>
      </c>
      <c r="F1169" s="3">
        <v>45499.999999999935</v>
      </c>
      <c r="G1169" s="3">
        <v>45500</v>
      </c>
      <c r="H1169" s="25">
        <v>30748</v>
      </c>
    </row>
    <row r="1170" spans="1:8" x14ac:dyDescent="0.3">
      <c r="A1170" s="64">
        <v>2.0260205111221499E+18</v>
      </c>
      <c r="B1170" t="s">
        <v>5594</v>
      </c>
      <c r="C1170" s="65">
        <f t="shared" si="18"/>
        <v>46058</v>
      </c>
      <c r="D1170" s="3">
        <v>1</v>
      </c>
      <c r="E1170" s="3">
        <v>41363.636363636302</v>
      </c>
      <c r="F1170" s="3">
        <v>45499.999999999935</v>
      </c>
      <c r="G1170" s="3">
        <v>45500</v>
      </c>
      <c r="H1170" s="25">
        <v>30748</v>
      </c>
    </row>
    <row r="1171" spans="1:8" x14ac:dyDescent="0.3">
      <c r="A1171" s="64">
        <v>2.02602051119117E+18</v>
      </c>
      <c r="B1171" t="s">
        <v>5594</v>
      </c>
      <c r="C1171" s="65">
        <f t="shared" si="18"/>
        <v>46058</v>
      </c>
      <c r="D1171" s="3">
        <v>1</v>
      </c>
      <c r="E1171" s="3">
        <v>41363.636363636302</v>
      </c>
      <c r="F1171" s="3">
        <v>45499.999999999935</v>
      </c>
      <c r="G1171" s="3">
        <v>45500</v>
      </c>
      <c r="H1171" s="25">
        <v>30748</v>
      </c>
    </row>
    <row r="1172" spans="1:8" x14ac:dyDescent="0.3">
      <c r="A1172" s="64">
        <v>2.0260205113413E+18</v>
      </c>
      <c r="B1172" t="s">
        <v>5594</v>
      </c>
      <c r="C1172" s="65">
        <f t="shared" si="18"/>
        <v>46058</v>
      </c>
      <c r="D1172" s="3">
        <v>1</v>
      </c>
      <c r="E1172" s="3">
        <v>41363.636363636302</v>
      </c>
      <c r="F1172" s="3">
        <v>45499.999999999935</v>
      </c>
      <c r="G1172" s="3">
        <v>45500</v>
      </c>
      <c r="H1172" s="25">
        <v>30748</v>
      </c>
    </row>
    <row r="1173" spans="1:8" x14ac:dyDescent="0.3">
      <c r="A1173" s="64">
        <v>2.0260205113420101E+18</v>
      </c>
      <c r="B1173" t="s">
        <v>5594</v>
      </c>
      <c r="C1173" s="65">
        <f t="shared" si="18"/>
        <v>46058</v>
      </c>
      <c r="D1173" s="3">
        <v>1</v>
      </c>
      <c r="E1173" s="3">
        <v>41363.636363636302</v>
      </c>
      <c r="F1173" s="3">
        <v>45499.999999999935</v>
      </c>
      <c r="G1173" s="3">
        <v>45500</v>
      </c>
      <c r="H1173" s="25">
        <v>30748</v>
      </c>
    </row>
    <row r="1174" spans="1:8" x14ac:dyDescent="0.3">
      <c r="A1174" s="64">
        <v>2.0260205113308301E+18</v>
      </c>
      <c r="B1174" t="s">
        <v>5594</v>
      </c>
      <c r="C1174" s="65">
        <f t="shared" si="18"/>
        <v>46058</v>
      </c>
      <c r="D1174" s="3">
        <v>1</v>
      </c>
      <c r="E1174" s="3">
        <v>41363.636363636302</v>
      </c>
      <c r="F1174" s="3">
        <v>45499.999999999935</v>
      </c>
      <c r="G1174" s="3">
        <v>45500</v>
      </c>
      <c r="H1174" s="25">
        <v>30748</v>
      </c>
    </row>
    <row r="1175" spans="1:8" x14ac:dyDescent="0.3">
      <c r="A1175" s="64">
        <v>2.0260205114108001E+18</v>
      </c>
      <c r="B1175" t="s">
        <v>5594</v>
      </c>
      <c r="C1175" s="65">
        <f t="shared" si="18"/>
        <v>46058</v>
      </c>
      <c r="D1175" s="3">
        <v>1</v>
      </c>
      <c r="E1175" s="3">
        <v>41363.636363636302</v>
      </c>
      <c r="F1175" s="3">
        <v>45499.999999999935</v>
      </c>
      <c r="G1175" s="3">
        <v>45500</v>
      </c>
      <c r="H1175" s="25">
        <v>30748</v>
      </c>
    </row>
    <row r="1176" spans="1:8" x14ac:dyDescent="0.3">
      <c r="A1176" s="64">
        <v>2.0260205114541499E+18</v>
      </c>
      <c r="B1176" t="s">
        <v>5594</v>
      </c>
      <c r="C1176" s="65">
        <f t="shared" si="18"/>
        <v>46058</v>
      </c>
      <c r="D1176" s="3">
        <v>1</v>
      </c>
      <c r="E1176" s="3">
        <v>41363.636363636302</v>
      </c>
      <c r="F1176" s="3">
        <v>45499.999999999935</v>
      </c>
      <c r="G1176" s="3">
        <v>45500</v>
      </c>
      <c r="H1176" s="25">
        <v>30748</v>
      </c>
    </row>
    <row r="1177" spans="1:8" x14ac:dyDescent="0.3">
      <c r="A1177" s="64">
        <v>2.0260205114501299E+18</v>
      </c>
      <c r="B1177" t="s">
        <v>5594</v>
      </c>
      <c r="C1177" s="65">
        <f t="shared" si="18"/>
        <v>46058</v>
      </c>
      <c r="D1177" s="3">
        <v>1</v>
      </c>
      <c r="E1177" s="3">
        <v>41363.636363636302</v>
      </c>
      <c r="F1177" s="3">
        <v>45499.999999999935</v>
      </c>
      <c r="G1177" s="3">
        <v>45500</v>
      </c>
      <c r="H1177" s="25">
        <v>30748</v>
      </c>
    </row>
    <row r="1178" spans="1:8" x14ac:dyDescent="0.3">
      <c r="A1178" s="64">
        <v>2.02602051151136E+18</v>
      </c>
      <c r="B1178" t="s">
        <v>5594</v>
      </c>
      <c r="C1178" s="65">
        <f t="shared" si="18"/>
        <v>46058</v>
      </c>
      <c r="D1178" s="3">
        <v>1</v>
      </c>
      <c r="E1178" s="3">
        <v>41363.636363636302</v>
      </c>
      <c r="F1178" s="3">
        <v>45499.999999999935</v>
      </c>
      <c r="G1178" s="3">
        <v>45500</v>
      </c>
      <c r="H1178" s="25">
        <v>30748</v>
      </c>
    </row>
    <row r="1179" spans="1:8" x14ac:dyDescent="0.3">
      <c r="A1179" s="64">
        <v>2.02602051153118E+18</v>
      </c>
      <c r="B1179" t="s">
        <v>5594</v>
      </c>
      <c r="C1179" s="65">
        <f t="shared" si="18"/>
        <v>46058</v>
      </c>
      <c r="D1179" s="3">
        <v>1</v>
      </c>
      <c r="E1179" s="3">
        <v>41363.636363636302</v>
      </c>
      <c r="F1179" s="3">
        <v>45499.999999999935</v>
      </c>
      <c r="G1179" s="3">
        <v>45500</v>
      </c>
      <c r="H1179" s="25">
        <v>30748</v>
      </c>
    </row>
    <row r="1180" spans="1:8" x14ac:dyDescent="0.3">
      <c r="A1180" s="64">
        <v>2.0260205115144699E+18</v>
      </c>
      <c r="B1180" t="s">
        <v>5594</v>
      </c>
      <c r="C1180" s="65">
        <f t="shared" si="18"/>
        <v>46058</v>
      </c>
      <c r="D1180" s="3">
        <v>1</v>
      </c>
      <c r="E1180" s="3">
        <v>41363.636363636302</v>
      </c>
      <c r="F1180" s="3">
        <v>45499.999999999935</v>
      </c>
      <c r="G1180" s="3">
        <v>45500</v>
      </c>
      <c r="H1180" s="25">
        <v>30748</v>
      </c>
    </row>
    <row r="1181" spans="1:8" x14ac:dyDescent="0.3">
      <c r="A1181" s="64">
        <v>2.02602051205133E+18</v>
      </c>
      <c r="B1181" t="s">
        <v>5594</v>
      </c>
      <c r="C1181" s="65">
        <f t="shared" si="18"/>
        <v>46058</v>
      </c>
      <c r="D1181" s="3">
        <v>1</v>
      </c>
      <c r="E1181" s="3">
        <v>41363.636363636302</v>
      </c>
      <c r="F1181" s="3">
        <v>45499.999999999935</v>
      </c>
      <c r="G1181" s="3">
        <v>45500</v>
      </c>
      <c r="H1181" s="25">
        <v>30748</v>
      </c>
    </row>
    <row r="1182" spans="1:8" x14ac:dyDescent="0.3">
      <c r="A1182" s="64">
        <v>2.0260205121250299E+18</v>
      </c>
      <c r="B1182" t="s">
        <v>5594</v>
      </c>
      <c r="C1182" s="65">
        <f t="shared" si="18"/>
        <v>46058</v>
      </c>
      <c r="D1182" s="3">
        <v>1</v>
      </c>
      <c r="E1182" s="3">
        <v>41363.636363636302</v>
      </c>
      <c r="F1182" s="3">
        <v>45499.999999999935</v>
      </c>
      <c r="G1182" s="3">
        <v>45500</v>
      </c>
      <c r="H1182" s="25">
        <v>30748</v>
      </c>
    </row>
    <row r="1183" spans="1:8" x14ac:dyDescent="0.3">
      <c r="A1183" s="64">
        <v>2.02602051213533E+18</v>
      </c>
      <c r="B1183" t="s">
        <v>5594</v>
      </c>
      <c r="C1183" s="65">
        <f t="shared" si="18"/>
        <v>46058</v>
      </c>
      <c r="D1183" s="3">
        <v>1</v>
      </c>
      <c r="E1183" s="3">
        <v>41363.636363636302</v>
      </c>
      <c r="F1183" s="3">
        <v>45499.999999999935</v>
      </c>
      <c r="G1183" s="3">
        <v>45500</v>
      </c>
      <c r="H1183" s="25">
        <v>30748</v>
      </c>
    </row>
    <row r="1184" spans="1:8" x14ac:dyDescent="0.3">
      <c r="A1184" s="64">
        <v>2.0260205121508401E+18</v>
      </c>
      <c r="B1184" t="s">
        <v>5594</v>
      </c>
      <c r="C1184" s="65">
        <f t="shared" si="18"/>
        <v>46058</v>
      </c>
      <c r="D1184" s="3">
        <v>1</v>
      </c>
      <c r="E1184" s="3">
        <v>41363.636363636302</v>
      </c>
      <c r="F1184" s="3">
        <v>45499.999999999935</v>
      </c>
      <c r="G1184" s="3">
        <v>45500</v>
      </c>
      <c r="H1184" s="25">
        <v>30748</v>
      </c>
    </row>
    <row r="1185" spans="1:8" x14ac:dyDescent="0.3">
      <c r="A1185" s="64">
        <v>2.0260205121699999E+18</v>
      </c>
      <c r="B1185" t="s">
        <v>5594</v>
      </c>
      <c r="C1185" s="65">
        <f t="shared" si="18"/>
        <v>46058</v>
      </c>
      <c r="D1185" s="3">
        <v>1</v>
      </c>
      <c r="E1185" s="3">
        <v>41363.636363636302</v>
      </c>
      <c r="F1185" s="3">
        <v>45499.999999999935</v>
      </c>
      <c r="G1185" s="3">
        <v>45500</v>
      </c>
      <c r="H1185" s="25">
        <v>30748</v>
      </c>
    </row>
    <row r="1186" spans="1:8" x14ac:dyDescent="0.3">
      <c r="A1186" s="64">
        <v>2.0260205123405599E+18</v>
      </c>
      <c r="B1186" t="s">
        <v>5594</v>
      </c>
      <c r="C1186" s="65">
        <f t="shared" si="18"/>
        <v>46058</v>
      </c>
      <c r="D1186" s="3">
        <v>1</v>
      </c>
      <c r="E1186" s="3">
        <v>41363.636363636302</v>
      </c>
      <c r="F1186" s="3">
        <v>45499.999999999935</v>
      </c>
      <c r="G1186" s="3">
        <v>45500</v>
      </c>
      <c r="H1186" s="25">
        <v>30748</v>
      </c>
    </row>
    <row r="1187" spans="1:8" x14ac:dyDescent="0.3">
      <c r="A1187" s="64">
        <v>2.0260205124257101E+18</v>
      </c>
      <c r="B1187" t="s">
        <v>5594</v>
      </c>
      <c r="C1187" s="65">
        <f t="shared" si="18"/>
        <v>46058</v>
      </c>
      <c r="D1187" s="3">
        <v>1</v>
      </c>
      <c r="E1187" s="3">
        <v>41363.636363636302</v>
      </c>
      <c r="F1187" s="3">
        <v>45499.999999999935</v>
      </c>
      <c r="G1187" s="3">
        <v>45500</v>
      </c>
      <c r="H1187" s="25">
        <v>30748</v>
      </c>
    </row>
    <row r="1188" spans="1:8" x14ac:dyDescent="0.3">
      <c r="A1188" s="64">
        <v>2.02602051252048E+18</v>
      </c>
      <c r="B1188" t="s">
        <v>5594</v>
      </c>
      <c r="C1188" s="65">
        <f t="shared" si="18"/>
        <v>46058</v>
      </c>
      <c r="D1188" s="3">
        <v>1</v>
      </c>
      <c r="E1188" s="3">
        <v>41363.636363636302</v>
      </c>
      <c r="F1188" s="3">
        <v>45499.999999999935</v>
      </c>
      <c r="G1188" s="3">
        <v>45500</v>
      </c>
      <c r="H1188" s="25">
        <v>30748</v>
      </c>
    </row>
    <row r="1189" spans="1:8" x14ac:dyDescent="0.3">
      <c r="A1189" s="64">
        <v>2.02602051305389E+18</v>
      </c>
      <c r="B1189" t="s">
        <v>5594</v>
      </c>
      <c r="C1189" s="65">
        <f t="shared" si="18"/>
        <v>46058</v>
      </c>
      <c r="D1189" s="3">
        <v>3</v>
      </c>
      <c r="E1189" s="3">
        <v>41363.636363636331</v>
      </c>
      <c r="F1189" s="3">
        <v>136499.99999999991</v>
      </c>
      <c r="G1189" s="3">
        <v>136500</v>
      </c>
      <c r="H1189" s="25">
        <v>92244</v>
      </c>
    </row>
    <row r="1190" spans="1:8" x14ac:dyDescent="0.3">
      <c r="A1190" s="64">
        <v>2.02602051315279E+18</v>
      </c>
      <c r="B1190" t="s">
        <v>5594</v>
      </c>
      <c r="C1190" s="65">
        <f t="shared" si="18"/>
        <v>46058</v>
      </c>
      <c r="D1190" s="3">
        <v>1</v>
      </c>
      <c r="E1190" s="3">
        <v>41363.636363636302</v>
      </c>
      <c r="F1190" s="3">
        <v>45499.999999999935</v>
      </c>
      <c r="G1190" s="3">
        <v>45500</v>
      </c>
      <c r="H1190" s="25">
        <v>30748</v>
      </c>
    </row>
    <row r="1191" spans="1:8" x14ac:dyDescent="0.3">
      <c r="A1191" s="64">
        <v>2.0260205132452301E+18</v>
      </c>
      <c r="B1191" t="s">
        <v>5594</v>
      </c>
      <c r="C1191" s="65">
        <f t="shared" si="18"/>
        <v>46058</v>
      </c>
      <c r="D1191" s="3">
        <v>1</v>
      </c>
      <c r="E1191" s="3">
        <v>41363.636363636302</v>
      </c>
      <c r="F1191" s="3">
        <v>45499.999999999935</v>
      </c>
      <c r="G1191" s="3">
        <v>45500</v>
      </c>
      <c r="H1191" s="25">
        <v>30748</v>
      </c>
    </row>
    <row r="1192" spans="1:8" x14ac:dyDescent="0.3">
      <c r="A1192" s="64">
        <v>2.0260205133301399E+18</v>
      </c>
      <c r="B1192" t="s">
        <v>5594</v>
      </c>
      <c r="C1192" s="65">
        <f t="shared" si="18"/>
        <v>46058</v>
      </c>
      <c r="D1192" s="3">
        <v>1</v>
      </c>
      <c r="E1192" s="3">
        <v>41363.636363636302</v>
      </c>
      <c r="F1192" s="3">
        <v>45499.999999999935</v>
      </c>
      <c r="G1192" s="3">
        <v>45500</v>
      </c>
      <c r="H1192" s="25">
        <v>30748</v>
      </c>
    </row>
    <row r="1193" spans="1:8" x14ac:dyDescent="0.3">
      <c r="A1193" s="64">
        <v>2.02602051338467E+18</v>
      </c>
      <c r="B1193" t="s">
        <v>5594</v>
      </c>
      <c r="C1193" s="65">
        <f t="shared" si="18"/>
        <v>46058</v>
      </c>
      <c r="D1193" s="3">
        <v>1</v>
      </c>
      <c r="E1193" s="3">
        <v>41363.636363636302</v>
      </c>
      <c r="F1193" s="3">
        <v>45499.999999999935</v>
      </c>
      <c r="G1193" s="3">
        <v>45500</v>
      </c>
      <c r="H1193" s="25">
        <v>30748</v>
      </c>
    </row>
    <row r="1194" spans="1:8" x14ac:dyDescent="0.3">
      <c r="A1194" s="64">
        <v>2.0260205134033101E+18</v>
      </c>
      <c r="B1194" t="s">
        <v>5594</v>
      </c>
      <c r="C1194" s="65">
        <f t="shared" si="18"/>
        <v>46058</v>
      </c>
      <c r="D1194" s="3">
        <v>1</v>
      </c>
      <c r="E1194" s="3">
        <v>41363.636363636302</v>
      </c>
      <c r="F1194" s="3">
        <v>45499.999999999935</v>
      </c>
      <c r="G1194" s="3">
        <v>45500</v>
      </c>
      <c r="H1194" s="25">
        <v>30748</v>
      </c>
    </row>
    <row r="1195" spans="1:8" x14ac:dyDescent="0.3">
      <c r="A1195" s="64">
        <v>2.02602051351168E+18</v>
      </c>
      <c r="B1195" t="s">
        <v>5594</v>
      </c>
      <c r="C1195" s="65">
        <f t="shared" si="18"/>
        <v>46058</v>
      </c>
      <c r="D1195" s="3">
        <v>1</v>
      </c>
      <c r="E1195" s="3">
        <v>41363.636363636302</v>
      </c>
      <c r="F1195" s="3">
        <v>45499.999999999935</v>
      </c>
      <c r="G1195" s="3">
        <v>45500</v>
      </c>
      <c r="H1195" s="25">
        <v>30748</v>
      </c>
    </row>
    <row r="1196" spans="1:8" x14ac:dyDescent="0.3">
      <c r="A1196" s="64">
        <v>2.02602051353011E+18</v>
      </c>
      <c r="B1196" t="s">
        <v>5594</v>
      </c>
      <c r="C1196" s="65">
        <f t="shared" si="18"/>
        <v>46058</v>
      </c>
      <c r="D1196" s="3">
        <v>1</v>
      </c>
      <c r="E1196" s="3">
        <v>41363.636363636302</v>
      </c>
      <c r="F1196" s="3">
        <v>45499.999999999935</v>
      </c>
      <c r="G1196" s="3">
        <v>45500</v>
      </c>
      <c r="H1196" s="25">
        <v>30748</v>
      </c>
    </row>
    <row r="1197" spans="1:8" x14ac:dyDescent="0.3">
      <c r="A1197" s="64">
        <v>2.02602051359278E+18</v>
      </c>
      <c r="B1197" t="s">
        <v>5594</v>
      </c>
      <c r="C1197" s="65">
        <f t="shared" si="18"/>
        <v>46058</v>
      </c>
      <c r="D1197" s="3">
        <v>1</v>
      </c>
      <c r="E1197" s="3">
        <v>41363.636363636302</v>
      </c>
      <c r="F1197" s="3">
        <v>45499.999999999935</v>
      </c>
      <c r="G1197" s="3">
        <v>45500</v>
      </c>
      <c r="H1197" s="25">
        <v>30748</v>
      </c>
    </row>
    <row r="1198" spans="1:8" x14ac:dyDescent="0.3">
      <c r="A1198" s="64">
        <v>2.0260205143455099E+18</v>
      </c>
      <c r="B1198" t="s">
        <v>5594</v>
      </c>
      <c r="C1198" s="65">
        <f t="shared" si="18"/>
        <v>46058</v>
      </c>
      <c r="D1198" s="3">
        <v>1</v>
      </c>
      <c r="E1198" s="3">
        <v>41363.636363636302</v>
      </c>
      <c r="F1198" s="3">
        <v>45499.999999999935</v>
      </c>
      <c r="G1198" s="3">
        <v>45500</v>
      </c>
      <c r="H1198" s="25">
        <v>30748</v>
      </c>
    </row>
    <row r="1199" spans="1:8" x14ac:dyDescent="0.3">
      <c r="A1199" s="64">
        <v>2.02602051447394E+18</v>
      </c>
      <c r="B1199" t="s">
        <v>5594</v>
      </c>
      <c r="C1199" s="65">
        <f t="shared" si="18"/>
        <v>46058</v>
      </c>
      <c r="D1199" s="3">
        <v>1</v>
      </c>
      <c r="E1199" s="3">
        <v>41363.636363636302</v>
      </c>
      <c r="F1199" s="3">
        <v>45499.999999999935</v>
      </c>
      <c r="G1199" s="3">
        <v>45500</v>
      </c>
      <c r="H1199" s="25">
        <v>30748</v>
      </c>
    </row>
    <row r="1200" spans="1:8" x14ac:dyDescent="0.3">
      <c r="A1200" s="64">
        <v>2.02602051605235E+18</v>
      </c>
      <c r="B1200" t="s">
        <v>5594</v>
      </c>
      <c r="C1200" s="65">
        <f t="shared" si="18"/>
        <v>46058</v>
      </c>
      <c r="D1200" s="3">
        <v>1</v>
      </c>
      <c r="E1200" s="3">
        <v>41363.636363636302</v>
      </c>
      <c r="F1200" s="3">
        <v>45499.999999999935</v>
      </c>
      <c r="G1200" s="3">
        <v>45500</v>
      </c>
      <c r="H1200" s="25">
        <v>30748</v>
      </c>
    </row>
    <row r="1201" spans="1:8" x14ac:dyDescent="0.3">
      <c r="A1201" s="64">
        <v>2.0260205160856699E+18</v>
      </c>
      <c r="B1201" t="s">
        <v>5594</v>
      </c>
      <c r="C1201" s="65">
        <f t="shared" si="18"/>
        <v>46058</v>
      </c>
      <c r="D1201" s="3">
        <v>1</v>
      </c>
      <c r="E1201" s="3">
        <v>41363.636363636302</v>
      </c>
      <c r="F1201" s="3">
        <v>45499.999999999935</v>
      </c>
      <c r="G1201" s="3">
        <v>45500</v>
      </c>
      <c r="H1201" s="25">
        <v>30748</v>
      </c>
    </row>
    <row r="1202" spans="1:8" x14ac:dyDescent="0.3">
      <c r="A1202" s="64">
        <v>2.0260205160954501E+18</v>
      </c>
      <c r="B1202" t="s">
        <v>5594</v>
      </c>
      <c r="C1202" s="65">
        <f t="shared" si="18"/>
        <v>46058</v>
      </c>
      <c r="D1202" s="3">
        <v>1</v>
      </c>
      <c r="E1202" s="3">
        <v>41363.636363636302</v>
      </c>
      <c r="F1202" s="3">
        <v>45499.999999999935</v>
      </c>
      <c r="G1202" s="3">
        <v>45500</v>
      </c>
      <c r="H1202" s="25">
        <v>30748</v>
      </c>
    </row>
    <row r="1203" spans="1:8" x14ac:dyDescent="0.3">
      <c r="A1203" s="64">
        <v>2.0260205161002501E+18</v>
      </c>
      <c r="B1203" t="s">
        <v>5594</v>
      </c>
      <c r="C1203" s="65">
        <f t="shared" si="18"/>
        <v>46058</v>
      </c>
      <c r="D1203" s="3">
        <v>1</v>
      </c>
      <c r="E1203" s="3">
        <v>41363.636363636302</v>
      </c>
      <c r="F1203" s="3">
        <v>45499.999999999935</v>
      </c>
      <c r="G1203" s="3">
        <v>45500</v>
      </c>
      <c r="H1203" s="25">
        <v>30748</v>
      </c>
    </row>
    <row r="1204" spans="1:8" x14ac:dyDescent="0.3">
      <c r="A1204" s="64">
        <v>2.02602051610111E+18</v>
      </c>
      <c r="B1204" t="s">
        <v>5594</v>
      </c>
      <c r="C1204" s="65">
        <f t="shared" si="18"/>
        <v>46058</v>
      </c>
      <c r="D1204" s="3">
        <v>1</v>
      </c>
      <c r="E1204" s="3">
        <v>41363.636363636302</v>
      </c>
      <c r="F1204" s="3">
        <v>45499.999999999935</v>
      </c>
      <c r="G1204" s="3">
        <v>45500</v>
      </c>
      <c r="H1204" s="25">
        <v>30748</v>
      </c>
    </row>
    <row r="1205" spans="1:8" x14ac:dyDescent="0.3">
      <c r="A1205" s="64">
        <v>2.02602051611553E+18</v>
      </c>
      <c r="B1205" t="s">
        <v>5594</v>
      </c>
      <c r="C1205" s="65">
        <f t="shared" si="18"/>
        <v>46058</v>
      </c>
      <c r="D1205" s="3">
        <v>1</v>
      </c>
      <c r="E1205" s="3">
        <v>41363.636363636302</v>
      </c>
      <c r="F1205" s="3">
        <v>45499.999999999935</v>
      </c>
      <c r="G1205" s="3">
        <v>45500</v>
      </c>
      <c r="H1205" s="25">
        <v>30748</v>
      </c>
    </row>
    <row r="1206" spans="1:8" x14ac:dyDescent="0.3">
      <c r="A1206" s="64">
        <v>2.02602051610337E+18</v>
      </c>
      <c r="B1206" t="s">
        <v>5594</v>
      </c>
      <c r="C1206" s="65">
        <f t="shared" si="18"/>
        <v>46058</v>
      </c>
      <c r="D1206" s="3">
        <v>1</v>
      </c>
      <c r="E1206" s="3">
        <v>41363.636363636302</v>
      </c>
      <c r="F1206" s="3">
        <v>45499.999999999935</v>
      </c>
      <c r="G1206" s="3">
        <v>45500</v>
      </c>
      <c r="H1206" s="25">
        <v>30748</v>
      </c>
    </row>
    <row r="1207" spans="1:8" x14ac:dyDescent="0.3">
      <c r="A1207" s="64">
        <v>2.0260205161303601E+18</v>
      </c>
      <c r="B1207" t="s">
        <v>5594</v>
      </c>
      <c r="C1207" s="65">
        <f t="shared" si="18"/>
        <v>46058</v>
      </c>
      <c r="D1207" s="3">
        <v>1</v>
      </c>
      <c r="E1207" s="3">
        <v>41363.636363636302</v>
      </c>
      <c r="F1207" s="3">
        <v>45499.999999999935</v>
      </c>
      <c r="G1207" s="3">
        <v>45500</v>
      </c>
      <c r="H1207" s="25">
        <v>30748</v>
      </c>
    </row>
    <row r="1208" spans="1:8" x14ac:dyDescent="0.3">
      <c r="A1208" s="64">
        <v>2.0260205161101701E+18</v>
      </c>
      <c r="B1208" t="s">
        <v>5594</v>
      </c>
      <c r="C1208" s="65">
        <f t="shared" si="18"/>
        <v>46058</v>
      </c>
      <c r="D1208" s="3">
        <v>1</v>
      </c>
      <c r="E1208" s="3">
        <v>41363.636363636302</v>
      </c>
      <c r="F1208" s="3">
        <v>45499.999999999935</v>
      </c>
      <c r="G1208" s="3">
        <v>45500</v>
      </c>
      <c r="H1208" s="25">
        <v>30748</v>
      </c>
    </row>
    <row r="1209" spans="1:8" x14ac:dyDescent="0.3">
      <c r="A1209" s="64">
        <v>2.0260205161245701E+18</v>
      </c>
      <c r="B1209" t="s">
        <v>5594</v>
      </c>
      <c r="C1209" s="65">
        <f t="shared" si="18"/>
        <v>46058</v>
      </c>
      <c r="D1209" s="3">
        <v>2</v>
      </c>
      <c r="E1209" s="3">
        <v>41363.636363636353</v>
      </c>
      <c r="F1209" s="3">
        <v>91000</v>
      </c>
      <c r="G1209" s="3">
        <v>91000</v>
      </c>
      <c r="H1209" s="25">
        <v>61496</v>
      </c>
    </row>
    <row r="1210" spans="1:8" x14ac:dyDescent="0.3">
      <c r="A1210" s="64">
        <v>2.0260205161337101E+18</v>
      </c>
      <c r="B1210" t="s">
        <v>5594</v>
      </c>
      <c r="C1210" s="65">
        <f t="shared" si="18"/>
        <v>46058</v>
      </c>
      <c r="D1210" s="3">
        <v>1</v>
      </c>
      <c r="E1210" s="3">
        <v>41363.636363636302</v>
      </c>
      <c r="F1210" s="3">
        <v>45499.999999999935</v>
      </c>
      <c r="G1210" s="3">
        <v>45500</v>
      </c>
      <c r="H1210" s="25">
        <v>30748</v>
      </c>
    </row>
    <row r="1211" spans="1:8" x14ac:dyDescent="0.3">
      <c r="A1211" s="64">
        <v>2.0260205161222999E+18</v>
      </c>
      <c r="B1211" t="s">
        <v>5594</v>
      </c>
      <c r="C1211" s="65">
        <f t="shared" si="18"/>
        <v>46058</v>
      </c>
      <c r="D1211" s="3">
        <v>1</v>
      </c>
      <c r="E1211" s="3">
        <v>41363.636363636302</v>
      </c>
      <c r="F1211" s="3">
        <v>45499.999999999935</v>
      </c>
      <c r="G1211" s="3">
        <v>45500</v>
      </c>
      <c r="H1211" s="25">
        <v>30748</v>
      </c>
    </row>
    <row r="1212" spans="1:8" x14ac:dyDescent="0.3">
      <c r="A1212" s="64">
        <v>2.0260205161724001E+18</v>
      </c>
      <c r="B1212" t="s">
        <v>5594</v>
      </c>
      <c r="C1212" s="65">
        <f t="shared" si="18"/>
        <v>46058</v>
      </c>
      <c r="D1212" s="3">
        <v>1</v>
      </c>
      <c r="E1212" s="3">
        <v>41363.636363636302</v>
      </c>
      <c r="F1212" s="3">
        <v>45499.999999999935</v>
      </c>
      <c r="G1212" s="3">
        <v>45500</v>
      </c>
      <c r="H1212" s="25">
        <v>30748</v>
      </c>
    </row>
    <row r="1213" spans="1:8" x14ac:dyDescent="0.3">
      <c r="A1213" s="64">
        <v>2.02602051617106E+18</v>
      </c>
      <c r="B1213" t="s">
        <v>5594</v>
      </c>
      <c r="C1213" s="65">
        <f t="shared" si="18"/>
        <v>46058</v>
      </c>
      <c r="D1213" s="3">
        <v>1</v>
      </c>
      <c r="E1213" s="3">
        <v>41363.636363636302</v>
      </c>
      <c r="F1213" s="3">
        <v>45499.999999999935</v>
      </c>
      <c r="G1213" s="3">
        <v>45500</v>
      </c>
      <c r="H1213" s="25">
        <v>30748</v>
      </c>
    </row>
    <row r="1214" spans="1:8" x14ac:dyDescent="0.3">
      <c r="A1214" s="64">
        <v>2.0260205161659899E+18</v>
      </c>
      <c r="B1214" t="s">
        <v>5594</v>
      </c>
      <c r="C1214" s="65">
        <f t="shared" si="18"/>
        <v>46058</v>
      </c>
      <c r="D1214" s="3">
        <v>1</v>
      </c>
      <c r="E1214" s="3">
        <v>41363.636363636302</v>
      </c>
      <c r="F1214" s="3">
        <v>45499.999999999935</v>
      </c>
      <c r="G1214" s="3">
        <v>45500</v>
      </c>
      <c r="H1214" s="25">
        <v>30748</v>
      </c>
    </row>
    <row r="1215" spans="1:8" x14ac:dyDescent="0.3">
      <c r="A1215" s="64">
        <v>2.0260205161900401E+18</v>
      </c>
      <c r="B1215" t="s">
        <v>5594</v>
      </c>
      <c r="C1215" s="65">
        <f t="shared" si="18"/>
        <v>46058</v>
      </c>
      <c r="D1215" s="3">
        <v>1</v>
      </c>
      <c r="E1215" s="3">
        <v>41363.636363636302</v>
      </c>
      <c r="F1215" s="3">
        <v>45499.999999999935</v>
      </c>
      <c r="G1215" s="3">
        <v>45500</v>
      </c>
      <c r="H1215" s="25">
        <v>30748</v>
      </c>
    </row>
    <row r="1216" spans="1:8" x14ac:dyDescent="0.3">
      <c r="A1216" s="64">
        <v>2.0260205161604101E+18</v>
      </c>
      <c r="B1216" t="s">
        <v>5594</v>
      </c>
      <c r="C1216" s="65">
        <f t="shared" si="18"/>
        <v>46058</v>
      </c>
      <c r="D1216" s="3">
        <v>1</v>
      </c>
      <c r="E1216" s="3">
        <v>41363.636363636302</v>
      </c>
      <c r="F1216" s="3">
        <v>45499.999999999935</v>
      </c>
      <c r="G1216" s="3">
        <v>45500</v>
      </c>
      <c r="H1216" s="25">
        <v>30748</v>
      </c>
    </row>
    <row r="1217" spans="1:8" x14ac:dyDescent="0.3">
      <c r="A1217" s="64">
        <v>2.0260205162654999E+18</v>
      </c>
      <c r="B1217" t="s">
        <v>5594</v>
      </c>
      <c r="C1217" s="65">
        <f t="shared" si="18"/>
        <v>46058</v>
      </c>
      <c r="D1217" s="3">
        <v>1</v>
      </c>
      <c r="E1217" s="3">
        <v>41363.636363636302</v>
      </c>
      <c r="F1217" s="3">
        <v>45499.999999999935</v>
      </c>
      <c r="G1217" s="3">
        <v>45500</v>
      </c>
      <c r="H1217" s="25">
        <v>30748</v>
      </c>
    </row>
    <row r="1218" spans="1:8" x14ac:dyDescent="0.3">
      <c r="A1218" s="64">
        <v>2.0260205163101701E+18</v>
      </c>
      <c r="B1218" t="s">
        <v>5594</v>
      </c>
      <c r="C1218" s="65">
        <f t="shared" si="18"/>
        <v>46058</v>
      </c>
      <c r="D1218" s="3">
        <v>1</v>
      </c>
      <c r="E1218" s="3">
        <v>41363.636363636302</v>
      </c>
      <c r="F1218" s="3">
        <v>45499.999999999935</v>
      </c>
      <c r="G1218" s="3">
        <v>45500</v>
      </c>
      <c r="H1218" s="25">
        <v>30748</v>
      </c>
    </row>
    <row r="1219" spans="1:8" x14ac:dyDescent="0.3">
      <c r="A1219" s="64">
        <v>2.02602051633071E+18</v>
      </c>
      <c r="B1219" t="s">
        <v>5594</v>
      </c>
      <c r="C1219" s="65">
        <f t="shared" ref="C1219:C1282" si="19">DATE(LEFT(TEXT(A1219,"0"),4),MID(TEXT(A1219,"0"),5,2),MID(TEXT(A1219,"0"),7,2))</f>
        <v>46058</v>
      </c>
      <c r="D1219" s="3">
        <v>1</v>
      </c>
      <c r="E1219" s="3">
        <v>41363.636363636302</v>
      </c>
      <c r="F1219" s="3">
        <v>45499.999999999935</v>
      </c>
      <c r="G1219" s="3">
        <v>45500</v>
      </c>
      <c r="H1219" s="25">
        <v>30748</v>
      </c>
    </row>
    <row r="1220" spans="1:8" x14ac:dyDescent="0.3">
      <c r="A1220" s="64">
        <v>2.0260205163213901E+18</v>
      </c>
      <c r="B1220" t="s">
        <v>5594</v>
      </c>
      <c r="C1220" s="65">
        <f t="shared" si="19"/>
        <v>46058</v>
      </c>
      <c r="D1220" s="3">
        <v>4</v>
      </c>
      <c r="E1220" s="3">
        <v>41363.636363636251</v>
      </c>
      <c r="F1220" s="3">
        <v>181999.99999999956</v>
      </c>
      <c r="G1220" s="3">
        <v>182000</v>
      </c>
      <c r="H1220" s="25">
        <v>122992</v>
      </c>
    </row>
    <row r="1221" spans="1:8" x14ac:dyDescent="0.3">
      <c r="A1221" s="64">
        <v>2.0260205163512901E+18</v>
      </c>
      <c r="B1221" t="s">
        <v>5594</v>
      </c>
      <c r="C1221" s="65">
        <f t="shared" si="19"/>
        <v>46058</v>
      </c>
      <c r="D1221" s="3">
        <v>1</v>
      </c>
      <c r="E1221" s="3">
        <v>41363.636363636302</v>
      </c>
      <c r="F1221" s="3">
        <v>45499.999999999935</v>
      </c>
      <c r="G1221" s="3">
        <v>45500</v>
      </c>
      <c r="H1221" s="25">
        <v>30748</v>
      </c>
    </row>
    <row r="1222" spans="1:8" x14ac:dyDescent="0.3">
      <c r="A1222" s="64">
        <v>2.0260205164018401E+18</v>
      </c>
      <c r="B1222" t="s">
        <v>5594</v>
      </c>
      <c r="C1222" s="65">
        <f t="shared" si="19"/>
        <v>46058</v>
      </c>
      <c r="D1222" s="3">
        <v>1</v>
      </c>
      <c r="E1222" s="3">
        <v>41363.636363636302</v>
      </c>
      <c r="F1222" s="3">
        <v>45499.999999999935</v>
      </c>
      <c r="G1222" s="3">
        <v>45500</v>
      </c>
      <c r="H1222" s="25">
        <v>30748</v>
      </c>
    </row>
    <row r="1223" spans="1:8" x14ac:dyDescent="0.3">
      <c r="A1223" s="64">
        <v>2.0260205164503601E+18</v>
      </c>
      <c r="B1223" t="s">
        <v>5594</v>
      </c>
      <c r="C1223" s="65">
        <f t="shared" si="19"/>
        <v>46058</v>
      </c>
      <c r="D1223" s="3">
        <v>1</v>
      </c>
      <c r="E1223" s="3">
        <v>41363.636363636302</v>
      </c>
      <c r="F1223" s="3">
        <v>45499.999999999935</v>
      </c>
      <c r="G1223" s="3">
        <v>45500</v>
      </c>
      <c r="H1223" s="25">
        <v>30748</v>
      </c>
    </row>
    <row r="1224" spans="1:8" x14ac:dyDescent="0.3">
      <c r="A1224" s="64">
        <v>2.0260205164937001E+18</v>
      </c>
      <c r="B1224" t="s">
        <v>5594</v>
      </c>
      <c r="C1224" s="65">
        <f t="shared" si="19"/>
        <v>46058</v>
      </c>
      <c r="D1224" s="3">
        <v>1</v>
      </c>
      <c r="E1224" s="3">
        <v>41363.636363636302</v>
      </c>
      <c r="F1224" s="3">
        <v>45499.999999999935</v>
      </c>
      <c r="G1224" s="3">
        <v>45500</v>
      </c>
      <c r="H1224" s="25">
        <v>30748</v>
      </c>
    </row>
    <row r="1225" spans="1:8" x14ac:dyDescent="0.3">
      <c r="A1225" s="64">
        <v>2.0260205165237399E+18</v>
      </c>
      <c r="B1225" t="s">
        <v>5594</v>
      </c>
      <c r="C1225" s="65">
        <f t="shared" si="19"/>
        <v>46058</v>
      </c>
      <c r="D1225" s="3">
        <v>1</v>
      </c>
      <c r="E1225" s="3">
        <v>41363.636363636302</v>
      </c>
      <c r="F1225" s="3">
        <v>45499.999999999935</v>
      </c>
      <c r="G1225" s="3">
        <v>45500</v>
      </c>
      <c r="H1225" s="25">
        <v>30748</v>
      </c>
    </row>
    <row r="1226" spans="1:8" x14ac:dyDescent="0.3">
      <c r="A1226" s="64">
        <v>2.0260205170315E+18</v>
      </c>
      <c r="B1226" t="s">
        <v>5594</v>
      </c>
      <c r="C1226" s="65">
        <f t="shared" si="19"/>
        <v>46058</v>
      </c>
      <c r="D1226" s="3">
        <v>1</v>
      </c>
      <c r="E1226" s="3">
        <v>41363.636363636302</v>
      </c>
      <c r="F1226" s="3">
        <v>45499.999999999935</v>
      </c>
      <c r="G1226" s="3">
        <v>45500</v>
      </c>
      <c r="H1226" s="25">
        <v>30748</v>
      </c>
    </row>
    <row r="1227" spans="1:8" x14ac:dyDescent="0.3">
      <c r="A1227" s="64">
        <v>2.0260205170621299E+18</v>
      </c>
      <c r="B1227" t="s">
        <v>5594</v>
      </c>
      <c r="C1227" s="65">
        <f t="shared" si="19"/>
        <v>46058</v>
      </c>
      <c r="D1227" s="3">
        <v>1</v>
      </c>
      <c r="E1227" s="3">
        <v>41363.636363636302</v>
      </c>
      <c r="F1227" s="3">
        <v>45499.999999999935</v>
      </c>
      <c r="G1227" s="3">
        <v>45500</v>
      </c>
      <c r="H1227" s="25">
        <v>30748</v>
      </c>
    </row>
    <row r="1228" spans="1:8" x14ac:dyDescent="0.3">
      <c r="A1228" s="64">
        <v>2.02602051713073E+18</v>
      </c>
      <c r="B1228" t="s">
        <v>5594</v>
      </c>
      <c r="C1228" s="65">
        <f t="shared" si="19"/>
        <v>46058</v>
      </c>
      <c r="D1228" s="3">
        <v>1</v>
      </c>
      <c r="E1228" s="3">
        <v>41363.636363636302</v>
      </c>
      <c r="F1228" s="3">
        <v>45499.999999999935</v>
      </c>
      <c r="G1228" s="3">
        <v>45500</v>
      </c>
      <c r="H1228" s="25">
        <v>30748</v>
      </c>
    </row>
    <row r="1229" spans="1:8" x14ac:dyDescent="0.3">
      <c r="A1229" s="64">
        <v>2.02602051712446E+18</v>
      </c>
      <c r="B1229" t="s">
        <v>5594</v>
      </c>
      <c r="C1229" s="65">
        <f t="shared" si="19"/>
        <v>46058</v>
      </c>
      <c r="D1229" s="3">
        <v>1</v>
      </c>
      <c r="E1229" s="3">
        <v>41363.636363636302</v>
      </c>
      <c r="F1229" s="3">
        <v>45499.999999999935</v>
      </c>
      <c r="G1229" s="3">
        <v>45500</v>
      </c>
      <c r="H1229" s="25">
        <v>30748</v>
      </c>
    </row>
    <row r="1230" spans="1:8" x14ac:dyDescent="0.3">
      <c r="A1230" s="64">
        <v>2.0260205172151401E+18</v>
      </c>
      <c r="B1230" t="s">
        <v>5594</v>
      </c>
      <c r="C1230" s="65">
        <f t="shared" si="19"/>
        <v>46058</v>
      </c>
      <c r="D1230" s="3">
        <v>1</v>
      </c>
      <c r="E1230" s="3">
        <v>41363.636363636302</v>
      </c>
      <c r="F1230" s="3">
        <v>45499.999999999935</v>
      </c>
      <c r="G1230" s="3">
        <v>45500</v>
      </c>
      <c r="H1230" s="25">
        <v>30748</v>
      </c>
    </row>
    <row r="1231" spans="1:8" x14ac:dyDescent="0.3">
      <c r="A1231" s="64">
        <v>2.02602051723488E+18</v>
      </c>
      <c r="B1231" t="s">
        <v>5594</v>
      </c>
      <c r="C1231" s="65">
        <f t="shared" si="19"/>
        <v>46058</v>
      </c>
      <c r="D1231" s="3">
        <v>1</v>
      </c>
      <c r="E1231" s="3">
        <v>41363.636363636302</v>
      </c>
      <c r="F1231" s="3">
        <v>45499.999999999935</v>
      </c>
      <c r="G1231" s="3">
        <v>45500</v>
      </c>
      <c r="H1231" s="25">
        <v>30748</v>
      </c>
    </row>
    <row r="1232" spans="1:8" x14ac:dyDescent="0.3">
      <c r="A1232" s="64">
        <v>2.0260205172907699E+18</v>
      </c>
      <c r="B1232" t="s">
        <v>5594</v>
      </c>
      <c r="C1232" s="65">
        <f t="shared" si="19"/>
        <v>46058</v>
      </c>
      <c r="D1232" s="3">
        <v>1</v>
      </c>
      <c r="E1232" s="3">
        <v>41363.636363636302</v>
      </c>
      <c r="F1232" s="3">
        <v>45499.999999999935</v>
      </c>
      <c r="G1232" s="3">
        <v>45500</v>
      </c>
      <c r="H1232" s="25">
        <v>30748</v>
      </c>
    </row>
    <row r="1233" spans="1:8" x14ac:dyDescent="0.3">
      <c r="A1233" s="64">
        <v>2.0260205172837299E+18</v>
      </c>
      <c r="B1233" t="s">
        <v>5594</v>
      </c>
      <c r="C1233" s="65">
        <f t="shared" si="19"/>
        <v>46058</v>
      </c>
      <c r="D1233" s="3">
        <v>1</v>
      </c>
      <c r="E1233" s="3">
        <v>41363.636363636302</v>
      </c>
      <c r="F1233" s="3">
        <v>45499.999999999935</v>
      </c>
      <c r="G1233" s="3">
        <v>45500</v>
      </c>
      <c r="H1233" s="25">
        <v>30748</v>
      </c>
    </row>
    <row r="1234" spans="1:8" x14ac:dyDescent="0.3">
      <c r="A1234" s="64">
        <v>2.02602051741442E+18</v>
      </c>
      <c r="B1234" t="s">
        <v>5594</v>
      </c>
      <c r="C1234" s="65">
        <f t="shared" si="19"/>
        <v>46058</v>
      </c>
      <c r="D1234" s="3">
        <v>1</v>
      </c>
      <c r="E1234" s="3">
        <v>41363.636363636302</v>
      </c>
      <c r="F1234" s="3">
        <v>45499.999999999935</v>
      </c>
      <c r="G1234" s="3">
        <v>45500</v>
      </c>
      <c r="H1234" s="25">
        <v>30748</v>
      </c>
    </row>
    <row r="1235" spans="1:8" x14ac:dyDescent="0.3">
      <c r="A1235" s="64">
        <v>2.02602051741314E+18</v>
      </c>
      <c r="B1235" t="s">
        <v>5594</v>
      </c>
      <c r="C1235" s="65">
        <f t="shared" si="19"/>
        <v>46058</v>
      </c>
      <c r="D1235" s="3">
        <v>1</v>
      </c>
      <c r="E1235" s="3">
        <v>41363.636363636302</v>
      </c>
      <c r="F1235" s="3">
        <v>45499.999999999935</v>
      </c>
      <c r="G1235" s="3">
        <v>45500</v>
      </c>
      <c r="H1235" s="25">
        <v>30748</v>
      </c>
    </row>
    <row r="1236" spans="1:8" x14ac:dyDescent="0.3">
      <c r="A1236" s="64">
        <v>2.02602051755454E+18</v>
      </c>
      <c r="B1236" t="s">
        <v>5594</v>
      </c>
      <c r="C1236" s="65">
        <f t="shared" si="19"/>
        <v>46058</v>
      </c>
      <c r="D1236" s="3">
        <v>1</v>
      </c>
      <c r="E1236" s="3">
        <v>41363.636363636302</v>
      </c>
      <c r="F1236" s="3">
        <v>45499.999999999935</v>
      </c>
      <c r="G1236" s="3">
        <v>45500</v>
      </c>
      <c r="H1236" s="25">
        <v>30748</v>
      </c>
    </row>
    <row r="1237" spans="1:8" x14ac:dyDescent="0.3">
      <c r="A1237" s="64">
        <v>2.02602051812176E+18</v>
      </c>
      <c r="B1237" t="s">
        <v>5594</v>
      </c>
      <c r="C1237" s="65">
        <f t="shared" si="19"/>
        <v>46058</v>
      </c>
      <c r="D1237" s="3">
        <v>2</v>
      </c>
      <c r="E1237" s="3">
        <v>41363.636363636353</v>
      </c>
      <c r="F1237" s="3">
        <v>91000</v>
      </c>
      <c r="G1237" s="3">
        <v>91000</v>
      </c>
      <c r="H1237" s="25">
        <v>61496</v>
      </c>
    </row>
    <row r="1238" spans="1:8" x14ac:dyDescent="0.3">
      <c r="A1238" s="64">
        <v>2.02602051822509E+18</v>
      </c>
      <c r="B1238" t="s">
        <v>5594</v>
      </c>
      <c r="C1238" s="65">
        <f t="shared" si="19"/>
        <v>46058</v>
      </c>
      <c r="D1238" s="3">
        <v>1</v>
      </c>
      <c r="E1238" s="3">
        <v>41363.636363636302</v>
      </c>
      <c r="F1238" s="3">
        <v>45499.999999999935</v>
      </c>
      <c r="G1238" s="3">
        <v>45500</v>
      </c>
      <c r="H1238" s="25">
        <v>30748</v>
      </c>
    </row>
    <row r="1239" spans="1:8" x14ac:dyDescent="0.3">
      <c r="A1239" s="64">
        <v>2.0260205182641201E+18</v>
      </c>
      <c r="B1239" t="s">
        <v>5594</v>
      </c>
      <c r="C1239" s="65">
        <f t="shared" si="19"/>
        <v>46058</v>
      </c>
      <c r="D1239" s="3">
        <v>1</v>
      </c>
      <c r="E1239" s="3">
        <v>41363.636363636302</v>
      </c>
      <c r="F1239" s="3">
        <v>45499.999999999935</v>
      </c>
      <c r="G1239" s="3">
        <v>45500</v>
      </c>
      <c r="H1239" s="25">
        <v>30748</v>
      </c>
    </row>
    <row r="1240" spans="1:8" x14ac:dyDescent="0.3">
      <c r="A1240" s="64">
        <v>2.02602051839585E+18</v>
      </c>
      <c r="B1240" t="s">
        <v>5594</v>
      </c>
      <c r="C1240" s="65">
        <f t="shared" si="19"/>
        <v>46058</v>
      </c>
      <c r="D1240" s="3">
        <v>1</v>
      </c>
      <c r="E1240" s="3">
        <v>41363.636363636302</v>
      </c>
      <c r="F1240" s="3">
        <v>45499.999999999935</v>
      </c>
      <c r="G1240" s="3">
        <v>45500</v>
      </c>
      <c r="H1240" s="25">
        <v>30748</v>
      </c>
    </row>
    <row r="1241" spans="1:8" x14ac:dyDescent="0.3">
      <c r="A1241" s="64">
        <v>2.0260205184803999E+18</v>
      </c>
      <c r="B1241" t="s">
        <v>5594</v>
      </c>
      <c r="C1241" s="65">
        <f t="shared" si="19"/>
        <v>46058</v>
      </c>
      <c r="D1241" s="3">
        <v>1</v>
      </c>
      <c r="E1241" s="3">
        <v>41363.636363636302</v>
      </c>
      <c r="F1241" s="3">
        <v>45499.999999999935</v>
      </c>
      <c r="G1241" s="3">
        <v>45500</v>
      </c>
      <c r="H1241" s="25">
        <v>30748</v>
      </c>
    </row>
    <row r="1242" spans="1:8" x14ac:dyDescent="0.3">
      <c r="A1242" s="64">
        <v>2.0260205184725601E+18</v>
      </c>
      <c r="B1242" t="s">
        <v>5594</v>
      </c>
      <c r="C1242" s="65">
        <f t="shared" si="19"/>
        <v>46058</v>
      </c>
      <c r="D1242" s="3">
        <v>1</v>
      </c>
      <c r="E1242" s="3">
        <v>41363.636363636302</v>
      </c>
      <c r="F1242" s="3">
        <v>45499.999999999935</v>
      </c>
      <c r="G1242" s="3">
        <v>45500</v>
      </c>
      <c r="H1242" s="25">
        <v>30748</v>
      </c>
    </row>
    <row r="1243" spans="1:8" x14ac:dyDescent="0.3">
      <c r="A1243" s="64">
        <v>2.0260205191721201E+18</v>
      </c>
      <c r="B1243" t="s">
        <v>5594</v>
      </c>
      <c r="C1243" s="65">
        <f t="shared" si="19"/>
        <v>46058</v>
      </c>
      <c r="D1243" s="3">
        <v>1</v>
      </c>
      <c r="E1243" s="3">
        <v>41363.636363636302</v>
      </c>
      <c r="F1243" s="3">
        <v>45499.999999999935</v>
      </c>
      <c r="G1243" s="3">
        <v>45500</v>
      </c>
      <c r="H1243" s="25">
        <v>30748</v>
      </c>
    </row>
    <row r="1244" spans="1:8" x14ac:dyDescent="0.3">
      <c r="A1244" s="64">
        <v>2.0260205192512699E+18</v>
      </c>
      <c r="B1244" t="s">
        <v>5594</v>
      </c>
      <c r="C1244" s="65">
        <f t="shared" si="19"/>
        <v>46058</v>
      </c>
      <c r="D1244" s="3">
        <v>1</v>
      </c>
      <c r="E1244" s="3">
        <v>41363.636363636302</v>
      </c>
      <c r="F1244" s="3">
        <v>45499.999999999935</v>
      </c>
      <c r="G1244" s="3">
        <v>45500</v>
      </c>
      <c r="H1244" s="25">
        <v>30748</v>
      </c>
    </row>
    <row r="1245" spans="1:8" x14ac:dyDescent="0.3">
      <c r="A1245" s="64">
        <v>2.02602051948494E+18</v>
      </c>
      <c r="B1245" t="s">
        <v>5594</v>
      </c>
      <c r="C1245" s="65">
        <f t="shared" si="19"/>
        <v>46058</v>
      </c>
      <c r="D1245" s="3">
        <v>1</v>
      </c>
      <c r="E1245" s="3">
        <v>41363.636363636302</v>
      </c>
      <c r="F1245" s="3">
        <v>45499.999999999935</v>
      </c>
      <c r="G1245" s="3">
        <v>45500</v>
      </c>
      <c r="H1245" s="25">
        <v>30748</v>
      </c>
    </row>
    <row r="1246" spans="1:8" x14ac:dyDescent="0.3">
      <c r="A1246" s="64">
        <v>2.0260205194933E+18</v>
      </c>
      <c r="B1246" t="s">
        <v>5594</v>
      </c>
      <c r="C1246" s="65">
        <f t="shared" si="19"/>
        <v>46058</v>
      </c>
      <c r="D1246" s="3">
        <v>1</v>
      </c>
      <c r="E1246" s="3">
        <v>41363.636363636302</v>
      </c>
      <c r="F1246" s="3">
        <v>45499.999999999935</v>
      </c>
      <c r="G1246" s="3">
        <v>45500</v>
      </c>
      <c r="H1246" s="25">
        <v>30748</v>
      </c>
    </row>
    <row r="1247" spans="1:8" x14ac:dyDescent="0.3">
      <c r="A1247" s="64">
        <v>2.02602052005026E+18</v>
      </c>
      <c r="B1247" t="s">
        <v>5594</v>
      </c>
      <c r="C1247" s="65">
        <f t="shared" si="19"/>
        <v>46058</v>
      </c>
      <c r="D1247" s="3">
        <v>1</v>
      </c>
      <c r="E1247" s="3">
        <v>41363.636363636302</v>
      </c>
      <c r="F1247" s="3">
        <v>45499.999999999935</v>
      </c>
      <c r="G1247" s="3">
        <v>45500</v>
      </c>
      <c r="H1247" s="25">
        <v>30748</v>
      </c>
    </row>
    <row r="1248" spans="1:8" x14ac:dyDescent="0.3">
      <c r="A1248" s="64">
        <v>2.0260205202722299E+18</v>
      </c>
      <c r="B1248" t="s">
        <v>5594</v>
      </c>
      <c r="C1248" s="65">
        <f t="shared" si="19"/>
        <v>46058</v>
      </c>
      <c r="D1248" s="3">
        <v>1</v>
      </c>
      <c r="E1248" s="3">
        <v>41363.636363636302</v>
      </c>
      <c r="F1248" s="3">
        <v>45499.999999999935</v>
      </c>
      <c r="G1248" s="3">
        <v>45500</v>
      </c>
      <c r="H1248" s="25">
        <v>30748</v>
      </c>
    </row>
    <row r="1249" spans="1:8" x14ac:dyDescent="0.3">
      <c r="A1249" s="64">
        <v>2.0260205203103401E+18</v>
      </c>
      <c r="B1249" t="s">
        <v>5594</v>
      </c>
      <c r="C1249" s="65">
        <f t="shared" si="19"/>
        <v>46058</v>
      </c>
      <c r="D1249" s="3">
        <v>1</v>
      </c>
      <c r="E1249" s="3">
        <v>41363.636363636302</v>
      </c>
      <c r="F1249" s="3">
        <v>45499.999999999935</v>
      </c>
      <c r="G1249" s="3">
        <v>45500</v>
      </c>
      <c r="H1249" s="25">
        <v>30748</v>
      </c>
    </row>
    <row r="1250" spans="1:8" x14ac:dyDescent="0.3">
      <c r="A1250" s="64">
        <v>2.02602052104035E+18</v>
      </c>
      <c r="B1250" t="s">
        <v>5594</v>
      </c>
      <c r="C1250" s="65">
        <f t="shared" si="19"/>
        <v>46058</v>
      </c>
      <c r="D1250" s="3">
        <v>1</v>
      </c>
      <c r="E1250" s="3">
        <v>41363.636363636302</v>
      </c>
      <c r="F1250" s="3">
        <v>45499.999999999935</v>
      </c>
      <c r="G1250" s="3">
        <v>45500</v>
      </c>
      <c r="H1250" s="25">
        <v>30748</v>
      </c>
    </row>
    <row r="1251" spans="1:8" x14ac:dyDescent="0.3">
      <c r="A1251" s="64">
        <v>2.02602052116275E+18</v>
      </c>
      <c r="B1251" t="s">
        <v>5594</v>
      </c>
      <c r="C1251" s="65">
        <f t="shared" si="19"/>
        <v>46058</v>
      </c>
      <c r="D1251" s="3">
        <v>1</v>
      </c>
      <c r="E1251" s="3">
        <v>41363.636363636302</v>
      </c>
      <c r="F1251" s="3">
        <v>45499.999999999935</v>
      </c>
      <c r="G1251" s="3">
        <v>45500</v>
      </c>
      <c r="H1251" s="25">
        <v>30748</v>
      </c>
    </row>
    <row r="1252" spans="1:8" x14ac:dyDescent="0.3">
      <c r="A1252" s="64">
        <v>2.02602052118323E+18</v>
      </c>
      <c r="B1252" t="s">
        <v>5594</v>
      </c>
      <c r="C1252" s="65">
        <f t="shared" si="19"/>
        <v>46058</v>
      </c>
      <c r="D1252" s="3">
        <v>1</v>
      </c>
      <c r="E1252" s="3">
        <v>41363.636363636302</v>
      </c>
      <c r="F1252" s="3">
        <v>45499.999999999935</v>
      </c>
      <c r="G1252" s="3">
        <v>45500</v>
      </c>
      <c r="H1252" s="25">
        <v>30748</v>
      </c>
    </row>
    <row r="1253" spans="1:8" x14ac:dyDescent="0.3">
      <c r="A1253" s="64">
        <v>2.02602052220545E+18</v>
      </c>
      <c r="B1253" t="s">
        <v>5594</v>
      </c>
      <c r="C1253" s="65">
        <f t="shared" si="19"/>
        <v>46058</v>
      </c>
      <c r="D1253" s="3">
        <v>1</v>
      </c>
      <c r="E1253" s="3">
        <v>41363.636363636302</v>
      </c>
      <c r="F1253" s="3">
        <v>45499.999999999935</v>
      </c>
      <c r="G1253" s="3">
        <v>45500</v>
      </c>
      <c r="H1253" s="25">
        <v>30748</v>
      </c>
    </row>
    <row r="1254" spans="1:8" x14ac:dyDescent="0.3">
      <c r="A1254" s="64">
        <v>2.0260205223050199E+18</v>
      </c>
      <c r="B1254" t="s">
        <v>5594</v>
      </c>
      <c r="C1254" s="65">
        <f t="shared" si="19"/>
        <v>46058</v>
      </c>
      <c r="D1254" s="3">
        <v>1</v>
      </c>
      <c r="E1254" s="3">
        <v>41363.636363636302</v>
      </c>
      <c r="F1254" s="3">
        <v>45499.999999999935</v>
      </c>
      <c r="G1254" s="3">
        <v>45500</v>
      </c>
      <c r="H1254" s="25">
        <v>30748</v>
      </c>
    </row>
    <row r="1255" spans="1:8" x14ac:dyDescent="0.3">
      <c r="A1255" s="64">
        <v>2.0260205223744599E+18</v>
      </c>
      <c r="B1255" t="s">
        <v>5594</v>
      </c>
      <c r="C1255" s="65">
        <f t="shared" si="19"/>
        <v>46058</v>
      </c>
      <c r="D1255" s="3">
        <v>3</v>
      </c>
      <c r="E1255" s="3">
        <v>41363.636363636331</v>
      </c>
      <c r="F1255" s="3">
        <v>136499.99999999991</v>
      </c>
      <c r="G1255" s="3">
        <v>136500</v>
      </c>
      <c r="H1255" s="25">
        <v>92244</v>
      </c>
    </row>
    <row r="1256" spans="1:8" x14ac:dyDescent="0.3">
      <c r="A1256" s="64">
        <v>2.0260205224154701E+18</v>
      </c>
      <c r="B1256" t="s">
        <v>5594</v>
      </c>
      <c r="C1256" s="65">
        <f t="shared" si="19"/>
        <v>46058</v>
      </c>
      <c r="D1256" s="3">
        <v>1</v>
      </c>
      <c r="E1256" s="3">
        <v>41363.636363636302</v>
      </c>
      <c r="F1256" s="3">
        <v>45499.999999999935</v>
      </c>
      <c r="G1256" s="3">
        <v>45500</v>
      </c>
      <c r="H1256" s="25">
        <v>30748</v>
      </c>
    </row>
    <row r="1257" spans="1:8" x14ac:dyDescent="0.3">
      <c r="A1257" s="64">
        <v>2.02602052246541E+18</v>
      </c>
      <c r="B1257" t="s">
        <v>5594</v>
      </c>
      <c r="C1257" s="65">
        <f t="shared" si="19"/>
        <v>46058</v>
      </c>
      <c r="D1257" s="3">
        <v>1</v>
      </c>
      <c r="E1257" s="3">
        <v>41363.636363636302</v>
      </c>
      <c r="F1257" s="3">
        <v>45499.999999999935</v>
      </c>
      <c r="G1257" s="3">
        <v>45500</v>
      </c>
      <c r="H1257" s="25">
        <v>30748</v>
      </c>
    </row>
    <row r="1258" spans="1:8" x14ac:dyDescent="0.3">
      <c r="A1258" s="64">
        <v>2.0260205233327301E+18</v>
      </c>
      <c r="B1258" t="s">
        <v>5594</v>
      </c>
      <c r="C1258" s="65">
        <f t="shared" si="19"/>
        <v>46058</v>
      </c>
      <c r="D1258" s="3">
        <v>1</v>
      </c>
      <c r="E1258" s="3">
        <v>41363.636363636302</v>
      </c>
      <c r="F1258" s="3">
        <v>45499.999999999935</v>
      </c>
      <c r="G1258" s="3">
        <v>45500</v>
      </c>
      <c r="H1258" s="25">
        <v>30748</v>
      </c>
    </row>
    <row r="1259" spans="1:8" x14ac:dyDescent="0.3">
      <c r="A1259" s="64">
        <v>2.0260205233828101E+18</v>
      </c>
      <c r="B1259" t="s">
        <v>5594</v>
      </c>
      <c r="C1259" s="65">
        <f t="shared" si="19"/>
        <v>46058</v>
      </c>
      <c r="D1259" s="3">
        <v>3</v>
      </c>
      <c r="E1259" s="3">
        <v>41363.636363636331</v>
      </c>
      <c r="F1259" s="3">
        <v>136499.99999999991</v>
      </c>
      <c r="G1259" s="3">
        <v>136500</v>
      </c>
      <c r="H1259" s="25">
        <v>92244</v>
      </c>
    </row>
    <row r="1260" spans="1:8" x14ac:dyDescent="0.3">
      <c r="A1260" s="64">
        <v>2.02602052347373E+18</v>
      </c>
      <c r="B1260" t="s">
        <v>5594</v>
      </c>
      <c r="C1260" s="65">
        <f t="shared" si="19"/>
        <v>46058</v>
      </c>
      <c r="D1260" s="3">
        <v>1</v>
      </c>
      <c r="E1260" s="3">
        <v>41363.636363636302</v>
      </c>
      <c r="F1260" s="3">
        <v>45499.999999999935</v>
      </c>
      <c r="G1260" s="3">
        <v>45500</v>
      </c>
      <c r="H1260" s="25">
        <v>30748</v>
      </c>
    </row>
    <row r="1261" spans="1:8" x14ac:dyDescent="0.3">
      <c r="A1261" s="64">
        <v>2.02602052347585E+18</v>
      </c>
      <c r="B1261" t="s">
        <v>5594</v>
      </c>
      <c r="C1261" s="65">
        <f t="shared" si="19"/>
        <v>46058</v>
      </c>
      <c r="D1261" s="3">
        <v>1</v>
      </c>
      <c r="E1261" s="3">
        <v>41363.636363636302</v>
      </c>
      <c r="F1261" s="3">
        <v>45499.999999999935</v>
      </c>
      <c r="G1261" s="3">
        <v>45500</v>
      </c>
      <c r="H1261" s="25">
        <v>30748</v>
      </c>
    </row>
    <row r="1262" spans="1:8" x14ac:dyDescent="0.3">
      <c r="A1262" s="64">
        <v>2.0260206000805E+18</v>
      </c>
      <c r="B1262" t="s">
        <v>5594</v>
      </c>
      <c r="C1262" s="65">
        <f t="shared" si="19"/>
        <v>46059</v>
      </c>
      <c r="D1262" s="3">
        <v>1</v>
      </c>
      <c r="E1262" s="3">
        <v>41363.636363636302</v>
      </c>
      <c r="F1262" s="3">
        <v>45499.999999999935</v>
      </c>
      <c r="G1262" s="3">
        <v>45500</v>
      </c>
      <c r="H1262" s="25">
        <v>30748</v>
      </c>
    </row>
    <row r="1263" spans="1:8" x14ac:dyDescent="0.3">
      <c r="A1263" s="64">
        <v>2.0260206001952699E+18</v>
      </c>
      <c r="B1263" t="s">
        <v>5594</v>
      </c>
      <c r="C1263" s="65">
        <f t="shared" si="19"/>
        <v>46059</v>
      </c>
      <c r="D1263" s="3">
        <v>1</v>
      </c>
      <c r="E1263" s="3">
        <v>41363.636363636302</v>
      </c>
      <c r="F1263" s="3">
        <v>45499.999999999935</v>
      </c>
      <c r="G1263" s="3">
        <v>45500</v>
      </c>
      <c r="H1263" s="25">
        <v>30748</v>
      </c>
    </row>
    <row r="1264" spans="1:8" x14ac:dyDescent="0.3">
      <c r="A1264" s="64">
        <v>2.0260206004243699E+18</v>
      </c>
      <c r="B1264" t="s">
        <v>5594</v>
      </c>
      <c r="C1264" s="65">
        <f t="shared" si="19"/>
        <v>46059</v>
      </c>
      <c r="D1264" s="3">
        <v>1</v>
      </c>
      <c r="E1264" s="3">
        <v>41363.636363636302</v>
      </c>
      <c r="F1264" s="3">
        <v>45499.999999999935</v>
      </c>
      <c r="G1264" s="3">
        <v>45500</v>
      </c>
      <c r="H1264" s="25">
        <v>30748</v>
      </c>
    </row>
    <row r="1265" spans="1:8" x14ac:dyDescent="0.3">
      <c r="A1265" s="64">
        <v>2.0260206012321201E+18</v>
      </c>
      <c r="B1265" t="s">
        <v>5594</v>
      </c>
      <c r="C1265" s="65">
        <f t="shared" si="19"/>
        <v>46059</v>
      </c>
      <c r="D1265" s="3">
        <v>1</v>
      </c>
      <c r="E1265" s="3">
        <v>41363.636363636302</v>
      </c>
      <c r="F1265" s="3">
        <v>45499.999999999935</v>
      </c>
      <c r="G1265" s="3">
        <v>45500</v>
      </c>
      <c r="H1265" s="25">
        <v>30748</v>
      </c>
    </row>
    <row r="1266" spans="1:8" x14ac:dyDescent="0.3">
      <c r="A1266" s="64">
        <v>2.0260206012537001E+18</v>
      </c>
      <c r="B1266" t="s">
        <v>5594</v>
      </c>
      <c r="C1266" s="65">
        <f t="shared" si="19"/>
        <v>46059</v>
      </c>
      <c r="D1266" s="3">
        <v>1</v>
      </c>
      <c r="E1266" s="3">
        <v>41363.636363636302</v>
      </c>
      <c r="F1266" s="3">
        <v>45499.999999999935</v>
      </c>
      <c r="G1266" s="3">
        <v>45500</v>
      </c>
      <c r="H1266" s="25">
        <v>30748</v>
      </c>
    </row>
    <row r="1267" spans="1:8" x14ac:dyDescent="0.3">
      <c r="A1267" s="64">
        <v>2.0260206064209999E+18</v>
      </c>
      <c r="B1267" t="s">
        <v>5594</v>
      </c>
      <c r="C1267" s="65">
        <f t="shared" si="19"/>
        <v>46059</v>
      </c>
      <c r="D1267" s="3">
        <v>1</v>
      </c>
      <c r="E1267" s="3">
        <v>41363.636363636302</v>
      </c>
      <c r="F1267" s="3">
        <v>45499.999999999935</v>
      </c>
      <c r="G1267" s="3">
        <v>45500</v>
      </c>
      <c r="H1267" s="25">
        <v>30748</v>
      </c>
    </row>
    <row r="1268" spans="1:8" x14ac:dyDescent="0.3">
      <c r="A1268" s="64">
        <v>2.02602060725101E+18</v>
      </c>
      <c r="B1268" t="s">
        <v>5594</v>
      </c>
      <c r="C1268" s="65">
        <f t="shared" si="19"/>
        <v>46059</v>
      </c>
      <c r="D1268" s="3">
        <v>1</v>
      </c>
      <c r="E1268" s="3">
        <v>41363.636363636302</v>
      </c>
      <c r="F1268" s="3">
        <v>45499.999999999935</v>
      </c>
      <c r="G1268" s="3">
        <v>45500</v>
      </c>
      <c r="H1268" s="25">
        <v>30748</v>
      </c>
    </row>
    <row r="1269" spans="1:8" x14ac:dyDescent="0.3">
      <c r="A1269" s="64">
        <v>2.02602060755491E+18</v>
      </c>
      <c r="B1269" t="s">
        <v>5594</v>
      </c>
      <c r="C1269" s="65">
        <f t="shared" si="19"/>
        <v>46059</v>
      </c>
      <c r="D1269" s="3">
        <v>1</v>
      </c>
      <c r="E1269" s="3">
        <v>41363.636363636302</v>
      </c>
      <c r="F1269" s="3">
        <v>45499.999999999935</v>
      </c>
      <c r="G1269" s="3">
        <v>45500</v>
      </c>
      <c r="H1269" s="25">
        <v>30748</v>
      </c>
    </row>
    <row r="1270" spans="1:8" x14ac:dyDescent="0.3">
      <c r="A1270" s="64">
        <v>2.02602060757231E+18</v>
      </c>
      <c r="B1270" t="s">
        <v>5594</v>
      </c>
      <c r="C1270" s="65">
        <f t="shared" si="19"/>
        <v>46059</v>
      </c>
      <c r="D1270" s="3">
        <v>1</v>
      </c>
      <c r="E1270" s="3">
        <v>41363.636363636302</v>
      </c>
      <c r="F1270" s="3">
        <v>45499.999999999935</v>
      </c>
      <c r="G1270" s="3">
        <v>45500</v>
      </c>
      <c r="H1270" s="25">
        <v>30748</v>
      </c>
    </row>
    <row r="1271" spans="1:8" x14ac:dyDescent="0.3">
      <c r="A1271" s="64">
        <v>2.0260206080032901E+18</v>
      </c>
      <c r="B1271" t="s">
        <v>5594</v>
      </c>
      <c r="C1271" s="65">
        <f t="shared" si="19"/>
        <v>46059</v>
      </c>
      <c r="D1271" s="3">
        <v>1</v>
      </c>
      <c r="E1271" s="3">
        <v>41363.636363636302</v>
      </c>
      <c r="F1271" s="3">
        <v>45499.999999999935</v>
      </c>
      <c r="G1271" s="3">
        <v>45500</v>
      </c>
      <c r="H1271" s="25">
        <v>30748</v>
      </c>
    </row>
    <row r="1272" spans="1:8" x14ac:dyDescent="0.3">
      <c r="A1272" s="64">
        <v>2.0260206080418501E+18</v>
      </c>
      <c r="B1272" t="s">
        <v>5594</v>
      </c>
      <c r="C1272" s="65">
        <f t="shared" si="19"/>
        <v>46059</v>
      </c>
      <c r="D1272" s="3">
        <v>1</v>
      </c>
      <c r="E1272" s="3">
        <v>41363.636363636302</v>
      </c>
      <c r="F1272" s="3">
        <v>45499.999999999935</v>
      </c>
      <c r="G1272" s="3">
        <v>45500</v>
      </c>
      <c r="H1272" s="25">
        <v>30748</v>
      </c>
    </row>
    <row r="1273" spans="1:8" x14ac:dyDescent="0.3">
      <c r="A1273" s="64">
        <v>2.02602060810333E+18</v>
      </c>
      <c r="B1273" t="s">
        <v>5594</v>
      </c>
      <c r="C1273" s="65">
        <f t="shared" si="19"/>
        <v>46059</v>
      </c>
      <c r="D1273" s="3">
        <v>1</v>
      </c>
      <c r="E1273" s="3">
        <v>41363.636363636302</v>
      </c>
      <c r="F1273" s="3">
        <v>45499.999999999935</v>
      </c>
      <c r="G1273" s="3">
        <v>45500</v>
      </c>
      <c r="H1273" s="25">
        <v>30748</v>
      </c>
    </row>
    <row r="1274" spans="1:8" x14ac:dyDescent="0.3">
      <c r="A1274" s="64">
        <v>2.0260206082602199E+18</v>
      </c>
      <c r="B1274" t="s">
        <v>5594</v>
      </c>
      <c r="C1274" s="65">
        <f t="shared" si="19"/>
        <v>46059</v>
      </c>
      <c r="D1274" s="3">
        <v>1</v>
      </c>
      <c r="E1274" s="3">
        <v>41363.636363636302</v>
      </c>
      <c r="F1274" s="3">
        <v>45499.999999999935</v>
      </c>
      <c r="G1274" s="3">
        <v>45500</v>
      </c>
      <c r="H1274" s="25">
        <v>30748</v>
      </c>
    </row>
    <row r="1275" spans="1:8" x14ac:dyDescent="0.3">
      <c r="A1275" s="64">
        <v>2.0260206100421299E+18</v>
      </c>
      <c r="B1275" t="s">
        <v>5594</v>
      </c>
      <c r="C1275" s="65">
        <f t="shared" si="19"/>
        <v>46059</v>
      </c>
      <c r="D1275" s="3">
        <v>1</v>
      </c>
      <c r="E1275" s="3">
        <v>41363.636363636302</v>
      </c>
      <c r="F1275" s="3">
        <v>45499.999999999935</v>
      </c>
      <c r="G1275" s="3">
        <v>45500</v>
      </c>
      <c r="H1275" s="25">
        <v>30748</v>
      </c>
    </row>
    <row r="1276" spans="1:8" x14ac:dyDescent="0.3">
      <c r="A1276" s="64">
        <v>2.0260206101221299E+18</v>
      </c>
      <c r="B1276" t="s">
        <v>5594</v>
      </c>
      <c r="C1276" s="65">
        <f t="shared" si="19"/>
        <v>46059</v>
      </c>
      <c r="D1276" s="3">
        <v>2</v>
      </c>
      <c r="E1276" s="3">
        <v>41363.636363636353</v>
      </c>
      <c r="F1276" s="3">
        <v>91000</v>
      </c>
      <c r="G1276" s="3">
        <v>91000</v>
      </c>
      <c r="H1276" s="25">
        <v>61496</v>
      </c>
    </row>
    <row r="1277" spans="1:8" x14ac:dyDescent="0.3">
      <c r="A1277" s="64">
        <v>2.0260206105727301E+18</v>
      </c>
      <c r="B1277" t="s">
        <v>5594</v>
      </c>
      <c r="C1277" s="65">
        <f t="shared" si="19"/>
        <v>46059</v>
      </c>
      <c r="D1277" s="3">
        <v>1</v>
      </c>
      <c r="E1277" s="3">
        <v>41363.636363636302</v>
      </c>
      <c r="F1277" s="3">
        <v>45499.999999999935</v>
      </c>
      <c r="G1277" s="3">
        <v>45500</v>
      </c>
      <c r="H1277" s="25">
        <v>30748</v>
      </c>
    </row>
    <row r="1278" spans="1:8" x14ac:dyDescent="0.3">
      <c r="A1278" s="64">
        <v>2.0260206105900401E+18</v>
      </c>
      <c r="B1278" t="s">
        <v>5594</v>
      </c>
      <c r="C1278" s="65">
        <f t="shared" si="19"/>
        <v>46059</v>
      </c>
      <c r="D1278" s="3">
        <v>1</v>
      </c>
      <c r="E1278" s="3">
        <v>41363.636363636302</v>
      </c>
      <c r="F1278" s="3">
        <v>45499.999999999935</v>
      </c>
      <c r="G1278" s="3">
        <v>45500</v>
      </c>
      <c r="H1278" s="25">
        <v>30748</v>
      </c>
    </row>
    <row r="1279" spans="1:8" x14ac:dyDescent="0.3">
      <c r="A1279" s="64">
        <v>2.0260205132135099E+18</v>
      </c>
      <c r="B1279" t="s">
        <v>5594</v>
      </c>
      <c r="C1279" s="65">
        <f t="shared" si="19"/>
        <v>46058</v>
      </c>
      <c r="D1279" s="3">
        <v>1</v>
      </c>
      <c r="E1279" s="3">
        <v>57272.727272727199</v>
      </c>
      <c r="F1279" s="3">
        <v>62999.999999999927</v>
      </c>
      <c r="G1279" s="3">
        <v>63000</v>
      </c>
      <c r="H1279" s="25">
        <v>30748</v>
      </c>
    </row>
    <row r="1280" spans="1:8" x14ac:dyDescent="0.3">
      <c r="A1280" s="64">
        <v>2.0260205133832801E+18</v>
      </c>
      <c r="B1280" t="s">
        <v>5594</v>
      </c>
      <c r="C1280" s="65">
        <f t="shared" si="19"/>
        <v>46058</v>
      </c>
      <c r="D1280" s="3">
        <v>1</v>
      </c>
      <c r="E1280" s="3">
        <v>57272.727272727199</v>
      </c>
      <c r="F1280" s="3">
        <v>62999.999999999927</v>
      </c>
      <c r="G1280" s="3">
        <v>63000</v>
      </c>
      <c r="H1280" s="25">
        <v>30748</v>
      </c>
    </row>
    <row r="1281" spans="1:8" x14ac:dyDescent="0.3">
      <c r="A1281" s="64">
        <v>2.02602051647373E+18</v>
      </c>
      <c r="B1281" t="s">
        <v>5594</v>
      </c>
      <c r="C1281" s="65">
        <f t="shared" si="19"/>
        <v>46058</v>
      </c>
      <c r="D1281" s="3">
        <v>1</v>
      </c>
      <c r="E1281" s="3">
        <v>57272.727272727199</v>
      </c>
      <c r="F1281" s="3">
        <v>62999.999999999927</v>
      </c>
      <c r="G1281" s="3">
        <v>63000</v>
      </c>
      <c r="H1281" s="25">
        <v>30748</v>
      </c>
    </row>
    <row r="1282" spans="1:8" x14ac:dyDescent="0.3">
      <c r="A1282" s="64">
        <v>2.02602051729411E+18</v>
      </c>
      <c r="B1282" t="s">
        <v>5594</v>
      </c>
      <c r="C1282" s="65">
        <f t="shared" si="19"/>
        <v>46058</v>
      </c>
      <c r="D1282" s="3">
        <v>1</v>
      </c>
      <c r="E1282" s="3">
        <v>57272.727272727199</v>
      </c>
      <c r="F1282" s="3">
        <v>62999.999999999927</v>
      </c>
      <c r="G1282" s="3">
        <v>63000</v>
      </c>
      <c r="H1282" s="25">
        <v>30748</v>
      </c>
    </row>
    <row r="1283" spans="1:8" x14ac:dyDescent="0.3">
      <c r="A1283" s="64">
        <v>2.02602051748113E+18</v>
      </c>
      <c r="B1283" t="s">
        <v>5594</v>
      </c>
      <c r="C1283" s="65">
        <f t="shared" ref="C1283:C1346" si="20">DATE(LEFT(TEXT(A1283,"0"),4),MID(TEXT(A1283,"0"),5,2),MID(TEXT(A1283,"0"),7,2))</f>
        <v>46058</v>
      </c>
      <c r="D1283" s="3">
        <v>1</v>
      </c>
      <c r="E1283" s="3">
        <v>57272.727272727199</v>
      </c>
      <c r="F1283" s="3">
        <v>62999.999999999927</v>
      </c>
      <c r="G1283" s="3">
        <v>63000</v>
      </c>
      <c r="H1283" s="25">
        <v>30748</v>
      </c>
    </row>
    <row r="1284" spans="1:8" x14ac:dyDescent="0.3">
      <c r="A1284" s="64">
        <v>2.0260205175536599E+18</v>
      </c>
      <c r="B1284" t="s">
        <v>5594</v>
      </c>
      <c r="C1284" s="65">
        <f t="shared" si="20"/>
        <v>46058</v>
      </c>
      <c r="D1284" s="3">
        <v>1</v>
      </c>
      <c r="E1284" s="3">
        <v>57272.727272727199</v>
      </c>
      <c r="F1284" s="3">
        <v>62999.999999999927</v>
      </c>
      <c r="G1284" s="3">
        <v>63000</v>
      </c>
      <c r="H1284" s="25">
        <v>30748</v>
      </c>
    </row>
    <row r="1285" spans="1:8" x14ac:dyDescent="0.3">
      <c r="A1285" s="64">
        <v>2.0260205194217201E+18</v>
      </c>
      <c r="B1285" t="s">
        <v>5594</v>
      </c>
      <c r="C1285" s="65">
        <f t="shared" si="20"/>
        <v>46058</v>
      </c>
      <c r="D1285" s="3">
        <v>1</v>
      </c>
      <c r="E1285" s="3">
        <v>57272.727272727199</v>
      </c>
      <c r="F1285" s="3">
        <v>62999.999999999927</v>
      </c>
      <c r="G1285" s="3">
        <v>63000</v>
      </c>
      <c r="H1285" s="25">
        <v>30748</v>
      </c>
    </row>
    <row r="1286" spans="1:8" x14ac:dyDescent="0.3">
      <c r="A1286" s="64">
        <v>2.0260205223919201E+18</v>
      </c>
      <c r="B1286" t="s">
        <v>5594</v>
      </c>
      <c r="C1286" s="65">
        <f t="shared" si="20"/>
        <v>46058</v>
      </c>
      <c r="D1286" s="3">
        <v>1</v>
      </c>
      <c r="E1286" s="3">
        <v>57272.727272727199</v>
      </c>
      <c r="F1286" s="3">
        <v>62999.999999999927</v>
      </c>
      <c r="G1286" s="3">
        <v>63000</v>
      </c>
      <c r="H1286" s="25">
        <v>30748</v>
      </c>
    </row>
    <row r="1287" spans="1:8" x14ac:dyDescent="0.3">
      <c r="A1287" s="64">
        <v>2.0260206030559099E+18</v>
      </c>
      <c r="B1287" t="s">
        <v>5594</v>
      </c>
      <c r="C1287" s="65">
        <f t="shared" si="20"/>
        <v>46059</v>
      </c>
      <c r="D1287" s="3">
        <v>1</v>
      </c>
      <c r="E1287" s="3">
        <v>57272.727272727199</v>
      </c>
      <c r="F1287" s="3">
        <v>62999.999999999927</v>
      </c>
      <c r="G1287" s="3">
        <v>63000</v>
      </c>
      <c r="H1287" s="25">
        <v>30748</v>
      </c>
    </row>
    <row r="1288" spans="1:8" x14ac:dyDescent="0.3">
      <c r="A1288" s="64">
        <v>2.0260206082819899E+18</v>
      </c>
      <c r="B1288" t="s">
        <v>5594</v>
      </c>
      <c r="C1288" s="65">
        <f t="shared" si="20"/>
        <v>46059</v>
      </c>
      <c r="D1288" s="3">
        <v>1</v>
      </c>
      <c r="E1288" s="3">
        <v>57272.727272727199</v>
      </c>
      <c r="F1288" s="3">
        <v>62999.999999999927</v>
      </c>
      <c r="G1288" s="3">
        <v>63000</v>
      </c>
      <c r="H1288" s="25">
        <v>30748</v>
      </c>
    </row>
    <row r="1289" spans="1:8" x14ac:dyDescent="0.3">
      <c r="A1289" s="64">
        <v>2.02602061039422E+18</v>
      </c>
      <c r="B1289" t="s">
        <v>5594</v>
      </c>
      <c r="C1289" s="65">
        <f t="shared" si="20"/>
        <v>46059</v>
      </c>
      <c r="D1289" s="3">
        <v>1</v>
      </c>
      <c r="E1289" s="3">
        <v>57272.727272727199</v>
      </c>
      <c r="F1289" s="3">
        <v>62999.999999999927</v>
      </c>
      <c r="G1289" s="3">
        <v>63000</v>
      </c>
      <c r="H1289" s="25">
        <v>30748</v>
      </c>
    </row>
    <row r="1290" spans="1:8" x14ac:dyDescent="0.3">
      <c r="A1290" s="64">
        <v>2.02602091006482E+18</v>
      </c>
      <c r="B1290" t="s">
        <v>5594</v>
      </c>
      <c r="C1290" s="65">
        <f t="shared" si="20"/>
        <v>46062</v>
      </c>
      <c r="D1290" s="3">
        <v>1</v>
      </c>
      <c r="E1290" s="3">
        <v>41363.636363636302</v>
      </c>
      <c r="F1290" s="3">
        <v>45499.999999999935</v>
      </c>
      <c r="G1290" s="3">
        <v>45500</v>
      </c>
      <c r="H1290" s="25">
        <v>30748</v>
      </c>
    </row>
    <row r="1291" spans="1:8" x14ac:dyDescent="0.3">
      <c r="A1291" s="64">
        <v>2.0260209080301801E+18</v>
      </c>
      <c r="B1291" t="s">
        <v>5594</v>
      </c>
      <c r="C1291" s="65">
        <f t="shared" si="20"/>
        <v>46062</v>
      </c>
      <c r="D1291" s="3">
        <v>1</v>
      </c>
      <c r="E1291" s="3">
        <v>41363.636363636302</v>
      </c>
      <c r="F1291" s="3">
        <v>45499.999999999935</v>
      </c>
      <c r="G1291" s="3">
        <v>45500</v>
      </c>
      <c r="H1291" s="25">
        <v>30748</v>
      </c>
    </row>
    <row r="1292" spans="1:8" x14ac:dyDescent="0.3">
      <c r="A1292" s="64">
        <v>2.0260209012113999E+18</v>
      </c>
      <c r="B1292" t="s">
        <v>5594</v>
      </c>
      <c r="C1292" s="65">
        <f t="shared" si="20"/>
        <v>46062</v>
      </c>
      <c r="D1292" s="3">
        <v>1</v>
      </c>
      <c r="E1292" s="3">
        <v>41363.636363636302</v>
      </c>
      <c r="F1292" s="3">
        <v>45499.999999999935</v>
      </c>
      <c r="G1292" s="3">
        <v>45500</v>
      </c>
      <c r="H1292" s="25">
        <v>30748</v>
      </c>
    </row>
    <row r="1293" spans="1:8" x14ac:dyDescent="0.3">
      <c r="A1293" s="64">
        <v>2.02602090014432E+18</v>
      </c>
      <c r="B1293" t="s">
        <v>5594</v>
      </c>
      <c r="C1293" s="65">
        <f t="shared" si="20"/>
        <v>46062</v>
      </c>
      <c r="D1293" s="3">
        <v>1</v>
      </c>
      <c r="E1293" s="3">
        <v>41363.636363636302</v>
      </c>
      <c r="F1293" s="3">
        <v>45499.999999999935</v>
      </c>
      <c r="G1293" s="3">
        <v>45500</v>
      </c>
      <c r="H1293" s="25">
        <v>30748</v>
      </c>
    </row>
    <row r="1294" spans="1:8" x14ac:dyDescent="0.3">
      <c r="A1294" s="64">
        <v>2.0260208234043899E+18</v>
      </c>
      <c r="B1294" t="s">
        <v>5594</v>
      </c>
      <c r="C1294" s="65">
        <f t="shared" si="20"/>
        <v>46061</v>
      </c>
      <c r="D1294" s="3">
        <v>1</v>
      </c>
      <c r="E1294" s="3">
        <v>41363.636363636302</v>
      </c>
      <c r="F1294" s="3">
        <v>45499.999999999935</v>
      </c>
      <c r="G1294" s="3">
        <v>45500</v>
      </c>
      <c r="H1294" s="25">
        <v>30748</v>
      </c>
    </row>
    <row r="1295" spans="1:8" x14ac:dyDescent="0.3">
      <c r="A1295" s="64">
        <v>2.0260208232315E+18</v>
      </c>
      <c r="B1295" t="s">
        <v>5594</v>
      </c>
      <c r="C1295" s="65">
        <f t="shared" si="20"/>
        <v>46061</v>
      </c>
      <c r="D1295" s="3">
        <v>1</v>
      </c>
      <c r="E1295" s="3">
        <v>41363.636363636302</v>
      </c>
      <c r="F1295" s="3">
        <v>45499.999999999935</v>
      </c>
      <c r="G1295" s="3">
        <v>45500</v>
      </c>
      <c r="H1295" s="25">
        <v>30748</v>
      </c>
    </row>
    <row r="1296" spans="1:8" x14ac:dyDescent="0.3">
      <c r="A1296" s="64">
        <v>2.02602082042015E+18</v>
      </c>
      <c r="B1296" t="s">
        <v>5594</v>
      </c>
      <c r="C1296" s="65">
        <f t="shared" si="20"/>
        <v>46061</v>
      </c>
      <c r="D1296" s="3">
        <v>1</v>
      </c>
      <c r="E1296" s="3">
        <v>41363.636363636302</v>
      </c>
      <c r="F1296" s="3">
        <v>45499.999999999935</v>
      </c>
      <c r="G1296" s="3">
        <v>45500</v>
      </c>
      <c r="H1296" s="25">
        <v>30748</v>
      </c>
    </row>
    <row r="1297" spans="1:8" x14ac:dyDescent="0.3">
      <c r="A1297" s="64">
        <v>2.0260208202021199E+18</v>
      </c>
      <c r="B1297" t="s">
        <v>5594</v>
      </c>
      <c r="C1297" s="65">
        <f t="shared" si="20"/>
        <v>46061</v>
      </c>
      <c r="D1297" s="3">
        <v>1</v>
      </c>
      <c r="E1297" s="3">
        <v>41363.636363636302</v>
      </c>
      <c r="F1297" s="3">
        <v>45499.999999999935</v>
      </c>
      <c r="G1297" s="3">
        <v>45500</v>
      </c>
      <c r="H1297" s="25">
        <v>30748</v>
      </c>
    </row>
    <row r="1298" spans="1:8" x14ac:dyDescent="0.3">
      <c r="A1298" s="64">
        <v>2.0260208192633201E+18</v>
      </c>
      <c r="B1298" t="s">
        <v>5594</v>
      </c>
      <c r="C1298" s="65">
        <f t="shared" si="20"/>
        <v>46061</v>
      </c>
      <c r="D1298" s="3">
        <v>1</v>
      </c>
      <c r="E1298" s="3">
        <v>41363.636363636302</v>
      </c>
      <c r="F1298" s="3">
        <v>45499.999999999935</v>
      </c>
      <c r="G1298" s="3">
        <v>45500</v>
      </c>
      <c r="H1298" s="25">
        <v>30748</v>
      </c>
    </row>
    <row r="1299" spans="1:8" x14ac:dyDescent="0.3">
      <c r="A1299" s="64">
        <v>2.02602081925375E+18</v>
      </c>
      <c r="B1299" t="s">
        <v>5594</v>
      </c>
      <c r="C1299" s="65">
        <f t="shared" si="20"/>
        <v>46061</v>
      </c>
      <c r="D1299" s="3">
        <v>1</v>
      </c>
      <c r="E1299" s="3">
        <v>41363.636363636302</v>
      </c>
      <c r="F1299" s="3">
        <v>45499.999999999935</v>
      </c>
      <c r="G1299" s="3">
        <v>45500</v>
      </c>
      <c r="H1299" s="25">
        <v>30748</v>
      </c>
    </row>
    <row r="1300" spans="1:8" x14ac:dyDescent="0.3">
      <c r="A1300" s="64">
        <v>2.0260208192229901E+18</v>
      </c>
      <c r="B1300" t="s">
        <v>5594</v>
      </c>
      <c r="C1300" s="65">
        <f t="shared" si="20"/>
        <v>46061</v>
      </c>
      <c r="D1300" s="3">
        <v>2</v>
      </c>
      <c r="E1300" s="3">
        <v>41363.636363636353</v>
      </c>
      <c r="F1300" s="3">
        <v>91000</v>
      </c>
      <c r="G1300" s="3">
        <v>91000</v>
      </c>
      <c r="H1300" s="25">
        <v>61496</v>
      </c>
    </row>
    <row r="1301" spans="1:8" x14ac:dyDescent="0.3">
      <c r="A1301" s="64">
        <v>2.0260208192118999E+18</v>
      </c>
      <c r="B1301" t="s">
        <v>5594</v>
      </c>
      <c r="C1301" s="65">
        <f t="shared" si="20"/>
        <v>46061</v>
      </c>
      <c r="D1301" s="3">
        <v>1</v>
      </c>
      <c r="E1301" s="3">
        <v>41363.636363636302</v>
      </c>
      <c r="F1301" s="3">
        <v>45499.999999999935</v>
      </c>
      <c r="G1301" s="3">
        <v>45500</v>
      </c>
      <c r="H1301" s="25">
        <v>30748</v>
      </c>
    </row>
    <row r="1302" spans="1:8" x14ac:dyDescent="0.3">
      <c r="A1302" s="64">
        <v>2.0260208191306399E+18</v>
      </c>
      <c r="B1302" t="s">
        <v>5594</v>
      </c>
      <c r="C1302" s="65">
        <f t="shared" si="20"/>
        <v>46061</v>
      </c>
      <c r="D1302" s="3">
        <v>2</v>
      </c>
      <c r="E1302" s="3">
        <v>41363.636363636353</v>
      </c>
      <c r="F1302" s="3">
        <v>91000</v>
      </c>
      <c r="G1302" s="3">
        <v>91000</v>
      </c>
      <c r="H1302" s="25">
        <v>61496</v>
      </c>
    </row>
    <row r="1303" spans="1:8" x14ac:dyDescent="0.3">
      <c r="A1303" s="64">
        <v>2.0260208185549701E+18</v>
      </c>
      <c r="B1303" t="s">
        <v>5594</v>
      </c>
      <c r="C1303" s="65">
        <f t="shared" si="20"/>
        <v>46061</v>
      </c>
      <c r="D1303" s="3">
        <v>1</v>
      </c>
      <c r="E1303" s="3">
        <v>41363.636363636302</v>
      </c>
      <c r="F1303" s="3">
        <v>45499.999999999935</v>
      </c>
      <c r="G1303" s="3">
        <v>45500</v>
      </c>
      <c r="H1303" s="25">
        <v>30748</v>
      </c>
    </row>
    <row r="1304" spans="1:8" x14ac:dyDescent="0.3">
      <c r="A1304" s="64">
        <v>2.02602081851182E+18</v>
      </c>
      <c r="B1304" t="s">
        <v>5594</v>
      </c>
      <c r="C1304" s="65">
        <f t="shared" si="20"/>
        <v>46061</v>
      </c>
      <c r="D1304" s="3">
        <v>1</v>
      </c>
      <c r="E1304" s="3">
        <v>41363.636363636302</v>
      </c>
      <c r="F1304" s="3">
        <v>45499.999999999935</v>
      </c>
      <c r="G1304" s="3">
        <v>45500</v>
      </c>
      <c r="H1304" s="25">
        <v>30748</v>
      </c>
    </row>
    <row r="1305" spans="1:8" x14ac:dyDescent="0.3">
      <c r="A1305" s="64">
        <v>2.02602081842179E+18</v>
      </c>
      <c r="B1305" t="s">
        <v>5594</v>
      </c>
      <c r="C1305" s="65">
        <f t="shared" si="20"/>
        <v>46061</v>
      </c>
      <c r="D1305" s="3">
        <v>1</v>
      </c>
      <c r="E1305" s="3">
        <v>41363.636363636302</v>
      </c>
      <c r="F1305" s="3">
        <v>45499.999999999935</v>
      </c>
      <c r="G1305" s="3">
        <v>45500</v>
      </c>
      <c r="H1305" s="25">
        <v>30748</v>
      </c>
    </row>
    <row r="1306" spans="1:8" x14ac:dyDescent="0.3">
      <c r="A1306" s="64">
        <v>2.02602081819518E+18</v>
      </c>
      <c r="B1306" t="s">
        <v>5594</v>
      </c>
      <c r="C1306" s="65">
        <f t="shared" si="20"/>
        <v>46061</v>
      </c>
      <c r="D1306" s="3">
        <v>1</v>
      </c>
      <c r="E1306" s="3">
        <v>41363.636363636302</v>
      </c>
      <c r="F1306" s="3">
        <v>45499.999999999935</v>
      </c>
      <c r="G1306" s="3">
        <v>45500</v>
      </c>
      <c r="H1306" s="25">
        <v>30748</v>
      </c>
    </row>
    <row r="1307" spans="1:8" x14ac:dyDescent="0.3">
      <c r="A1307" s="64">
        <v>2.0260208181204301E+18</v>
      </c>
      <c r="B1307" t="s">
        <v>5594</v>
      </c>
      <c r="C1307" s="65">
        <f t="shared" si="20"/>
        <v>46061</v>
      </c>
      <c r="D1307" s="3">
        <v>1</v>
      </c>
      <c r="E1307" s="3">
        <v>41363.636363636302</v>
      </c>
      <c r="F1307" s="3">
        <v>45499.999999999935</v>
      </c>
      <c r="G1307" s="3">
        <v>45500</v>
      </c>
      <c r="H1307" s="25">
        <v>30748</v>
      </c>
    </row>
    <row r="1308" spans="1:8" x14ac:dyDescent="0.3">
      <c r="A1308" s="64">
        <v>2.0260208180349399E+18</v>
      </c>
      <c r="B1308" t="s">
        <v>5594</v>
      </c>
      <c r="C1308" s="65">
        <f t="shared" si="20"/>
        <v>46061</v>
      </c>
      <c r="D1308" s="3">
        <v>1</v>
      </c>
      <c r="E1308" s="3">
        <v>41363.636363636302</v>
      </c>
      <c r="F1308" s="3">
        <v>45499.999999999935</v>
      </c>
      <c r="G1308" s="3">
        <v>45500</v>
      </c>
      <c r="H1308" s="25">
        <v>30748</v>
      </c>
    </row>
    <row r="1309" spans="1:8" x14ac:dyDescent="0.3">
      <c r="A1309" s="64">
        <v>2.0260208180218501E+18</v>
      </c>
      <c r="B1309" t="s">
        <v>5594</v>
      </c>
      <c r="C1309" s="65">
        <f t="shared" si="20"/>
        <v>46061</v>
      </c>
      <c r="D1309" s="3">
        <v>1</v>
      </c>
      <c r="E1309" s="3">
        <v>41363.636363636302</v>
      </c>
      <c r="F1309" s="3">
        <v>45499.999999999935</v>
      </c>
      <c r="G1309" s="3">
        <v>45500</v>
      </c>
      <c r="H1309" s="25">
        <v>30748</v>
      </c>
    </row>
    <row r="1310" spans="1:8" x14ac:dyDescent="0.3">
      <c r="A1310" s="64">
        <v>2.0260208174533199E+18</v>
      </c>
      <c r="B1310" t="s">
        <v>5594</v>
      </c>
      <c r="C1310" s="65">
        <f t="shared" si="20"/>
        <v>46061</v>
      </c>
      <c r="D1310" s="3">
        <v>1</v>
      </c>
      <c r="E1310" s="3">
        <v>41363.636363636302</v>
      </c>
      <c r="F1310" s="3">
        <v>45499.999999999935</v>
      </c>
      <c r="G1310" s="3">
        <v>45500</v>
      </c>
      <c r="H1310" s="25">
        <v>30748</v>
      </c>
    </row>
    <row r="1311" spans="1:8" x14ac:dyDescent="0.3">
      <c r="A1311" s="64">
        <v>2.0260208174738801E+18</v>
      </c>
      <c r="B1311" t="s">
        <v>5594</v>
      </c>
      <c r="C1311" s="65">
        <f t="shared" si="20"/>
        <v>46061</v>
      </c>
      <c r="D1311" s="3">
        <v>1</v>
      </c>
      <c r="E1311" s="3">
        <v>41363.636363636302</v>
      </c>
      <c r="F1311" s="3">
        <v>45499.999999999935</v>
      </c>
      <c r="G1311" s="3">
        <v>45500</v>
      </c>
      <c r="H1311" s="25">
        <v>30748</v>
      </c>
    </row>
    <row r="1312" spans="1:8" x14ac:dyDescent="0.3">
      <c r="A1312" s="64">
        <v>2.02602081739326E+18</v>
      </c>
      <c r="B1312" t="s">
        <v>5594</v>
      </c>
      <c r="C1312" s="65">
        <f t="shared" si="20"/>
        <v>46061</v>
      </c>
      <c r="D1312" s="3">
        <v>1</v>
      </c>
      <c r="E1312" s="3">
        <v>41363.636363636302</v>
      </c>
      <c r="F1312" s="3">
        <v>45499.999999999935</v>
      </c>
      <c r="G1312" s="3">
        <v>45500</v>
      </c>
      <c r="H1312" s="25">
        <v>30748</v>
      </c>
    </row>
    <row r="1313" spans="1:8" x14ac:dyDescent="0.3">
      <c r="A1313" s="64">
        <v>2.02602081512415E+18</v>
      </c>
      <c r="B1313" t="s">
        <v>5594</v>
      </c>
      <c r="C1313" s="65">
        <f t="shared" si="20"/>
        <v>46061</v>
      </c>
      <c r="D1313" s="3">
        <v>1</v>
      </c>
      <c r="E1313" s="3">
        <v>41363.636363636302</v>
      </c>
      <c r="F1313" s="3">
        <v>45499.999999999935</v>
      </c>
      <c r="G1313" s="3">
        <v>45500</v>
      </c>
      <c r="H1313" s="25">
        <v>30748</v>
      </c>
    </row>
    <row r="1314" spans="1:8" x14ac:dyDescent="0.3">
      <c r="A1314" s="64">
        <v>2.02602081430526E+18</v>
      </c>
      <c r="B1314" t="s">
        <v>5594</v>
      </c>
      <c r="C1314" s="65">
        <f t="shared" si="20"/>
        <v>46061</v>
      </c>
      <c r="D1314" s="3">
        <v>1</v>
      </c>
      <c r="E1314" s="3">
        <v>41363.636363636302</v>
      </c>
      <c r="F1314" s="3">
        <v>45499.999999999935</v>
      </c>
      <c r="G1314" s="3">
        <v>45500</v>
      </c>
      <c r="H1314" s="25">
        <v>30748</v>
      </c>
    </row>
    <row r="1315" spans="1:8" x14ac:dyDescent="0.3">
      <c r="A1315" s="64">
        <v>2.0260208142653399E+18</v>
      </c>
      <c r="B1315" t="s">
        <v>5594</v>
      </c>
      <c r="C1315" s="65">
        <f t="shared" si="20"/>
        <v>46061</v>
      </c>
      <c r="D1315" s="3">
        <v>1</v>
      </c>
      <c r="E1315" s="3">
        <v>41363.636363636302</v>
      </c>
      <c r="F1315" s="3">
        <v>45499.999999999935</v>
      </c>
      <c r="G1315" s="3">
        <v>45500</v>
      </c>
      <c r="H1315" s="25">
        <v>30748</v>
      </c>
    </row>
    <row r="1316" spans="1:8" x14ac:dyDescent="0.3">
      <c r="A1316" s="64">
        <v>2.02602081417554E+18</v>
      </c>
      <c r="B1316" t="s">
        <v>5594</v>
      </c>
      <c r="C1316" s="65">
        <f t="shared" si="20"/>
        <v>46061</v>
      </c>
      <c r="D1316" s="3">
        <v>1</v>
      </c>
      <c r="E1316" s="3">
        <v>41363.636363636302</v>
      </c>
      <c r="F1316" s="3">
        <v>45499.999999999935</v>
      </c>
      <c r="G1316" s="3">
        <v>45500</v>
      </c>
      <c r="H1316" s="25">
        <v>30748</v>
      </c>
    </row>
    <row r="1317" spans="1:8" x14ac:dyDescent="0.3">
      <c r="A1317" s="64">
        <v>2.0260208140811899E+18</v>
      </c>
      <c r="B1317" t="s">
        <v>5594</v>
      </c>
      <c r="C1317" s="65">
        <f t="shared" si="20"/>
        <v>46061</v>
      </c>
      <c r="D1317" s="3">
        <v>1</v>
      </c>
      <c r="E1317" s="3">
        <v>41363.636363636302</v>
      </c>
      <c r="F1317" s="3">
        <v>45499.999999999935</v>
      </c>
      <c r="G1317" s="3">
        <v>45500</v>
      </c>
      <c r="H1317" s="25">
        <v>30748</v>
      </c>
    </row>
    <row r="1318" spans="1:8" x14ac:dyDescent="0.3">
      <c r="A1318" s="64">
        <v>2.0260208132033999E+18</v>
      </c>
      <c r="B1318" t="s">
        <v>5594</v>
      </c>
      <c r="C1318" s="65">
        <f t="shared" si="20"/>
        <v>46061</v>
      </c>
      <c r="D1318" s="3">
        <v>2</v>
      </c>
      <c r="E1318" s="3">
        <v>41363.636363636353</v>
      </c>
      <c r="F1318" s="3">
        <v>91000</v>
      </c>
      <c r="G1318" s="3">
        <v>91000</v>
      </c>
      <c r="H1318" s="25">
        <v>61496</v>
      </c>
    </row>
    <row r="1319" spans="1:8" x14ac:dyDescent="0.3">
      <c r="A1319" s="64">
        <v>2.02602081254462E+18</v>
      </c>
      <c r="B1319" t="s">
        <v>5594</v>
      </c>
      <c r="C1319" s="65">
        <f t="shared" si="20"/>
        <v>46061</v>
      </c>
      <c r="D1319" s="3">
        <v>1</v>
      </c>
      <c r="E1319" s="3">
        <v>41363.636363636302</v>
      </c>
      <c r="F1319" s="3">
        <v>45499.999999999935</v>
      </c>
      <c r="G1319" s="3">
        <v>45500</v>
      </c>
      <c r="H1319" s="25">
        <v>30748</v>
      </c>
    </row>
    <row r="1320" spans="1:8" x14ac:dyDescent="0.3">
      <c r="A1320" s="64">
        <v>2.0260208124821399E+18</v>
      </c>
      <c r="B1320" t="s">
        <v>5594</v>
      </c>
      <c r="C1320" s="65">
        <f t="shared" si="20"/>
        <v>46061</v>
      </c>
      <c r="D1320" s="3">
        <v>1</v>
      </c>
      <c r="E1320" s="3">
        <v>41363.636363636302</v>
      </c>
      <c r="F1320" s="3">
        <v>45499.999999999935</v>
      </c>
      <c r="G1320" s="3">
        <v>45500</v>
      </c>
      <c r="H1320" s="25">
        <v>30748</v>
      </c>
    </row>
    <row r="1321" spans="1:8" x14ac:dyDescent="0.3">
      <c r="A1321" s="64">
        <v>2.0260208123745999E+18</v>
      </c>
      <c r="B1321" t="s">
        <v>5594</v>
      </c>
      <c r="C1321" s="65">
        <f t="shared" si="20"/>
        <v>46061</v>
      </c>
      <c r="D1321" s="3">
        <v>1</v>
      </c>
      <c r="E1321" s="3">
        <v>41363.636363636302</v>
      </c>
      <c r="F1321" s="3">
        <v>45499.999999999935</v>
      </c>
      <c r="G1321" s="3">
        <v>45500</v>
      </c>
      <c r="H1321" s="25">
        <v>30748</v>
      </c>
    </row>
    <row r="1322" spans="1:8" x14ac:dyDescent="0.3">
      <c r="A1322" s="64">
        <v>2.02602081232383E+18</v>
      </c>
      <c r="B1322" t="s">
        <v>5594</v>
      </c>
      <c r="C1322" s="65">
        <f t="shared" si="20"/>
        <v>46061</v>
      </c>
      <c r="D1322" s="3">
        <v>1</v>
      </c>
      <c r="E1322" s="3">
        <v>41363.636363636302</v>
      </c>
      <c r="F1322" s="3">
        <v>45499.999999999935</v>
      </c>
      <c r="G1322" s="3">
        <v>45500</v>
      </c>
      <c r="H1322" s="25">
        <v>30748</v>
      </c>
    </row>
    <row r="1323" spans="1:8" x14ac:dyDescent="0.3">
      <c r="A1323" s="64">
        <v>2.02602081228477E+18</v>
      </c>
      <c r="B1323" t="s">
        <v>5594</v>
      </c>
      <c r="C1323" s="65">
        <f t="shared" si="20"/>
        <v>46061</v>
      </c>
      <c r="D1323" s="3">
        <v>1</v>
      </c>
      <c r="E1323" s="3">
        <v>41363.636363636302</v>
      </c>
      <c r="F1323" s="3">
        <v>45499.999999999935</v>
      </c>
      <c r="G1323" s="3">
        <v>45500</v>
      </c>
      <c r="H1323" s="25">
        <v>30748</v>
      </c>
    </row>
    <row r="1324" spans="1:8" x14ac:dyDescent="0.3">
      <c r="A1324" s="64">
        <v>2.02602081225441E+18</v>
      </c>
      <c r="B1324" t="s">
        <v>5594</v>
      </c>
      <c r="C1324" s="65">
        <f t="shared" si="20"/>
        <v>46061</v>
      </c>
      <c r="D1324" s="3">
        <v>1</v>
      </c>
      <c r="E1324" s="3">
        <v>41363.636363636302</v>
      </c>
      <c r="F1324" s="3">
        <v>45499.999999999935</v>
      </c>
      <c r="G1324" s="3">
        <v>45500</v>
      </c>
      <c r="H1324" s="25">
        <v>30748</v>
      </c>
    </row>
    <row r="1325" spans="1:8" x14ac:dyDescent="0.3">
      <c r="A1325" s="64">
        <v>2.0260208122208699E+18</v>
      </c>
      <c r="B1325" t="s">
        <v>5594</v>
      </c>
      <c r="C1325" s="65">
        <f t="shared" si="20"/>
        <v>46061</v>
      </c>
      <c r="D1325" s="3">
        <v>1</v>
      </c>
      <c r="E1325" s="3">
        <v>41363.636363636302</v>
      </c>
      <c r="F1325" s="3">
        <v>45499.999999999935</v>
      </c>
      <c r="G1325" s="3">
        <v>45500</v>
      </c>
      <c r="H1325" s="25">
        <v>30748</v>
      </c>
    </row>
    <row r="1326" spans="1:8" x14ac:dyDescent="0.3">
      <c r="A1326" s="64">
        <v>2.0260208121309299E+18</v>
      </c>
      <c r="B1326" t="s">
        <v>5594</v>
      </c>
      <c r="C1326" s="65">
        <f t="shared" si="20"/>
        <v>46061</v>
      </c>
      <c r="D1326" s="3">
        <v>1</v>
      </c>
      <c r="E1326" s="3">
        <v>41363.636363636302</v>
      </c>
      <c r="F1326" s="3">
        <v>45499.999999999935</v>
      </c>
      <c r="G1326" s="3">
        <v>45500</v>
      </c>
      <c r="H1326" s="25">
        <v>30748</v>
      </c>
    </row>
    <row r="1327" spans="1:8" x14ac:dyDescent="0.3">
      <c r="A1327" s="64">
        <v>2.0260208101034299E+18</v>
      </c>
      <c r="B1327" t="s">
        <v>5594</v>
      </c>
      <c r="C1327" s="65">
        <f t="shared" si="20"/>
        <v>46061</v>
      </c>
      <c r="D1327" s="3">
        <v>1</v>
      </c>
      <c r="E1327" s="3">
        <v>41363.636363636302</v>
      </c>
      <c r="F1327" s="3">
        <v>45499.999999999935</v>
      </c>
      <c r="G1327" s="3">
        <v>45500</v>
      </c>
      <c r="H1327" s="25">
        <v>30748</v>
      </c>
    </row>
    <row r="1328" spans="1:8" x14ac:dyDescent="0.3">
      <c r="A1328" s="64">
        <v>2.0260208100358999E+18</v>
      </c>
      <c r="B1328" t="s">
        <v>5594</v>
      </c>
      <c r="C1328" s="65">
        <f t="shared" si="20"/>
        <v>46061</v>
      </c>
      <c r="D1328" s="3">
        <v>3</v>
      </c>
      <c r="E1328" s="3">
        <v>41363.636363636331</v>
      </c>
      <c r="F1328" s="3">
        <v>136499.99999999991</v>
      </c>
      <c r="G1328" s="3">
        <v>136500</v>
      </c>
      <c r="H1328" s="25">
        <v>92244</v>
      </c>
    </row>
    <row r="1329" spans="1:8" x14ac:dyDescent="0.3">
      <c r="A1329" s="64">
        <v>2.02602080939091E+18</v>
      </c>
      <c r="B1329" t="s">
        <v>5594</v>
      </c>
      <c r="C1329" s="65">
        <f t="shared" si="20"/>
        <v>46061</v>
      </c>
      <c r="D1329" s="3">
        <v>1</v>
      </c>
      <c r="E1329" s="3">
        <v>41363.636363636302</v>
      </c>
      <c r="F1329" s="3">
        <v>45499.999999999935</v>
      </c>
      <c r="G1329" s="3">
        <v>45500</v>
      </c>
      <c r="H1329" s="25">
        <v>30748</v>
      </c>
    </row>
    <row r="1330" spans="1:8" x14ac:dyDescent="0.3">
      <c r="A1330" s="64">
        <v>2.0260207230925801E+18</v>
      </c>
      <c r="B1330" t="s">
        <v>5594</v>
      </c>
      <c r="C1330" s="65">
        <f t="shared" si="20"/>
        <v>46060</v>
      </c>
      <c r="D1330" s="3">
        <v>1</v>
      </c>
      <c r="E1330" s="3">
        <v>41363.636363636302</v>
      </c>
      <c r="F1330" s="3">
        <v>45499.999999999935</v>
      </c>
      <c r="G1330" s="3">
        <v>45500</v>
      </c>
      <c r="H1330" s="25">
        <v>30748</v>
      </c>
    </row>
    <row r="1331" spans="1:8" x14ac:dyDescent="0.3">
      <c r="A1331" s="64">
        <v>2.02602072254033E+18</v>
      </c>
      <c r="B1331" t="s">
        <v>5594</v>
      </c>
      <c r="C1331" s="65">
        <f t="shared" si="20"/>
        <v>46060</v>
      </c>
      <c r="D1331" s="3">
        <v>1</v>
      </c>
      <c r="E1331" s="3">
        <v>41363.636363636302</v>
      </c>
      <c r="F1331" s="3">
        <v>45499.999999999935</v>
      </c>
      <c r="G1331" s="3">
        <v>45500</v>
      </c>
      <c r="H1331" s="25">
        <v>30748</v>
      </c>
    </row>
    <row r="1332" spans="1:8" x14ac:dyDescent="0.3">
      <c r="A1332" s="64">
        <v>2.0260207184200901E+18</v>
      </c>
      <c r="B1332" t="s">
        <v>5594</v>
      </c>
      <c r="C1332" s="65">
        <f t="shared" si="20"/>
        <v>46060</v>
      </c>
      <c r="D1332" s="3">
        <v>1</v>
      </c>
      <c r="E1332" s="3">
        <v>41363.636363636302</v>
      </c>
      <c r="F1332" s="3">
        <v>45499.999999999935</v>
      </c>
      <c r="G1332" s="3">
        <v>45500</v>
      </c>
      <c r="H1332" s="25">
        <v>30748</v>
      </c>
    </row>
    <row r="1333" spans="1:8" x14ac:dyDescent="0.3">
      <c r="A1333" s="64">
        <v>2.0260207184436101E+18</v>
      </c>
      <c r="B1333" t="s">
        <v>5594</v>
      </c>
      <c r="C1333" s="65">
        <f t="shared" si="20"/>
        <v>46060</v>
      </c>
      <c r="D1333" s="3">
        <v>1</v>
      </c>
      <c r="E1333" s="3">
        <v>41363.636363636302</v>
      </c>
      <c r="F1333" s="3">
        <v>45499.999999999935</v>
      </c>
      <c r="G1333" s="3">
        <v>45500</v>
      </c>
      <c r="H1333" s="25">
        <v>30748</v>
      </c>
    </row>
    <row r="1334" spans="1:8" x14ac:dyDescent="0.3">
      <c r="A1334" s="64">
        <v>2.0260207183328399E+18</v>
      </c>
      <c r="B1334" t="s">
        <v>5594</v>
      </c>
      <c r="C1334" s="65">
        <f t="shared" si="20"/>
        <v>46060</v>
      </c>
      <c r="D1334" s="3">
        <v>1</v>
      </c>
      <c r="E1334" s="3">
        <v>41363.636363636302</v>
      </c>
      <c r="F1334" s="3">
        <v>45499.999999999935</v>
      </c>
      <c r="G1334" s="3">
        <v>45500</v>
      </c>
      <c r="H1334" s="25">
        <v>30748</v>
      </c>
    </row>
    <row r="1335" spans="1:8" x14ac:dyDescent="0.3">
      <c r="A1335" s="64">
        <v>2.0260207175720699E+18</v>
      </c>
      <c r="B1335" t="s">
        <v>5594</v>
      </c>
      <c r="C1335" s="65">
        <f t="shared" si="20"/>
        <v>46060</v>
      </c>
      <c r="D1335" s="3">
        <v>2</v>
      </c>
      <c r="E1335" s="3">
        <v>41363.636363636353</v>
      </c>
      <c r="F1335" s="3">
        <v>91000</v>
      </c>
      <c r="G1335" s="3">
        <v>91000</v>
      </c>
      <c r="H1335" s="25">
        <v>61496</v>
      </c>
    </row>
    <row r="1336" spans="1:8" x14ac:dyDescent="0.3">
      <c r="A1336" s="64">
        <v>2.0260207173531599E+18</v>
      </c>
      <c r="B1336" t="s">
        <v>5594</v>
      </c>
      <c r="C1336" s="65">
        <f t="shared" si="20"/>
        <v>46060</v>
      </c>
      <c r="D1336" s="3">
        <v>1</v>
      </c>
      <c r="E1336" s="3">
        <v>41363.636363636302</v>
      </c>
      <c r="F1336" s="3">
        <v>45499.999999999935</v>
      </c>
      <c r="G1336" s="3">
        <v>45500</v>
      </c>
      <c r="H1336" s="25">
        <v>30748</v>
      </c>
    </row>
    <row r="1337" spans="1:8" x14ac:dyDescent="0.3">
      <c r="A1337" s="64">
        <v>2.0260207172626099E+18</v>
      </c>
      <c r="B1337" t="s">
        <v>5594</v>
      </c>
      <c r="C1337" s="65">
        <f t="shared" si="20"/>
        <v>46060</v>
      </c>
      <c r="D1337" s="3">
        <v>1</v>
      </c>
      <c r="E1337" s="3">
        <v>41363.636363636302</v>
      </c>
      <c r="F1337" s="3">
        <v>45499.999999999935</v>
      </c>
      <c r="G1337" s="3">
        <v>45500</v>
      </c>
      <c r="H1337" s="25">
        <v>30748</v>
      </c>
    </row>
    <row r="1338" spans="1:8" x14ac:dyDescent="0.3">
      <c r="A1338" s="64">
        <v>2.0260207172507599E+18</v>
      </c>
      <c r="B1338" t="s">
        <v>5594</v>
      </c>
      <c r="C1338" s="65">
        <f t="shared" si="20"/>
        <v>46060</v>
      </c>
      <c r="D1338" s="3">
        <v>1</v>
      </c>
      <c r="E1338" s="3">
        <v>41363.636363636302</v>
      </c>
      <c r="F1338" s="3">
        <v>45499.999999999935</v>
      </c>
      <c r="G1338" s="3">
        <v>45500</v>
      </c>
      <c r="H1338" s="25">
        <v>30748</v>
      </c>
    </row>
    <row r="1339" spans="1:8" x14ac:dyDescent="0.3">
      <c r="A1339" s="64">
        <v>2.0260207170851799E+18</v>
      </c>
      <c r="B1339" t="s">
        <v>5594</v>
      </c>
      <c r="C1339" s="65">
        <f t="shared" si="20"/>
        <v>46060</v>
      </c>
      <c r="D1339" s="3">
        <v>1</v>
      </c>
      <c r="E1339" s="3">
        <v>41363.636363636302</v>
      </c>
      <c r="F1339" s="3">
        <v>45499.999999999935</v>
      </c>
      <c r="G1339" s="3">
        <v>45500</v>
      </c>
      <c r="H1339" s="25">
        <v>30748</v>
      </c>
    </row>
    <row r="1340" spans="1:8" x14ac:dyDescent="0.3">
      <c r="A1340" s="64">
        <v>2.0260207161914501E+18</v>
      </c>
      <c r="B1340" t="s">
        <v>5594</v>
      </c>
      <c r="C1340" s="65">
        <f t="shared" si="20"/>
        <v>46060</v>
      </c>
      <c r="D1340" s="3">
        <v>2</v>
      </c>
      <c r="E1340" s="3">
        <v>41363.636363636353</v>
      </c>
      <c r="F1340" s="3">
        <v>91000</v>
      </c>
      <c r="G1340" s="3">
        <v>91000</v>
      </c>
      <c r="H1340" s="25">
        <v>61496</v>
      </c>
    </row>
    <row r="1341" spans="1:8" x14ac:dyDescent="0.3">
      <c r="A1341" s="64">
        <v>2.02602071613293E+18</v>
      </c>
      <c r="B1341" t="s">
        <v>5594</v>
      </c>
      <c r="C1341" s="65">
        <f t="shared" si="20"/>
        <v>46060</v>
      </c>
      <c r="D1341" s="3">
        <v>1</v>
      </c>
      <c r="E1341" s="3">
        <v>41363.636363636302</v>
      </c>
      <c r="F1341" s="3">
        <v>45499.999999999935</v>
      </c>
      <c r="G1341" s="3">
        <v>45500</v>
      </c>
      <c r="H1341" s="25">
        <v>30748</v>
      </c>
    </row>
    <row r="1342" spans="1:8" x14ac:dyDescent="0.3">
      <c r="A1342" s="64">
        <v>2.0260207154808901E+18</v>
      </c>
      <c r="B1342" t="s">
        <v>5594</v>
      </c>
      <c r="C1342" s="65">
        <f t="shared" si="20"/>
        <v>46060</v>
      </c>
      <c r="D1342" s="3">
        <v>1</v>
      </c>
      <c r="E1342" s="3">
        <v>41363.636363636302</v>
      </c>
      <c r="F1342" s="3">
        <v>45499.999999999935</v>
      </c>
      <c r="G1342" s="3">
        <v>45500</v>
      </c>
      <c r="H1342" s="25">
        <v>30748</v>
      </c>
    </row>
    <row r="1343" spans="1:8" x14ac:dyDescent="0.3">
      <c r="A1343" s="64">
        <v>2.0260207154655401E+18</v>
      </c>
      <c r="B1343" t="s">
        <v>5594</v>
      </c>
      <c r="C1343" s="65">
        <f t="shared" si="20"/>
        <v>46060</v>
      </c>
      <c r="D1343" s="3">
        <v>1</v>
      </c>
      <c r="E1343" s="3">
        <v>41363.636363636302</v>
      </c>
      <c r="F1343" s="3">
        <v>45499.999999999935</v>
      </c>
      <c r="G1343" s="3">
        <v>45500</v>
      </c>
      <c r="H1343" s="25">
        <v>30748</v>
      </c>
    </row>
    <row r="1344" spans="1:8" x14ac:dyDescent="0.3">
      <c r="A1344" s="64">
        <v>2.02602071521458E+18</v>
      </c>
      <c r="B1344" t="s">
        <v>5594</v>
      </c>
      <c r="C1344" s="65">
        <f t="shared" si="20"/>
        <v>46060</v>
      </c>
      <c r="D1344" s="3">
        <v>1</v>
      </c>
      <c r="E1344" s="3">
        <v>41363.636363636302</v>
      </c>
      <c r="F1344" s="3">
        <v>45499.999999999935</v>
      </c>
      <c r="G1344" s="3">
        <v>45500</v>
      </c>
      <c r="H1344" s="25">
        <v>30748</v>
      </c>
    </row>
    <row r="1345" spans="1:8" x14ac:dyDescent="0.3">
      <c r="A1345" s="64">
        <v>2.02602071341539E+18</v>
      </c>
      <c r="B1345" t="s">
        <v>5594</v>
      </c>
      <c r="C1345" s="65">
        <f t="shared" si="20"/>
        <v>46060</v>
      </c>
      <c r="D1345" s="3">
        <v>2</v>
      </c>
      <c r="E1345" s="3">
        <v>41363.636363636353</v>
      </c>
      <c r="F1345" s="3">
        <v>91000</v>
      </c>
      <c r="G1345" s="3">
        <v>91000</v>
      </c>
      <c r="H1345" s="25">
        <v>61496</v>
      </c>
    </row>
    <row r="1346" spans="1:8" x14ac:dyDescent="0.3">
      <c r="A1346" s="64">
        <v>2.0260207133936699E+18</v>
      </c>
      <c r="B1346" t="s">
        <v>5594</v>
      </c>
      <c r="C1346" s="65">
        <f t="shared" si="20"/>
        <v>46060</v>
      </c>
      <c r="D1346" s="3">
        <v>2</v>
      </c>
      <c r="E1346" s="3">
        <v>41363.636363636353</v>
      </c>
      <c r="F1346" s="3">
        <v>91000</v>
      </c>
      <c r="G1346" s="3">
        <v>91000</v>
      </c>
      <c r="H1346" s="25">
        <v>61496</v>
      </c>
    </row>
    <row r="1347" spans="1:8" x14ac:dyDescent="0.3">
      <c r="A1347" s="64">
        <v>2.0260207133418601E+18</v>
      </c>
      <c r="B1347" t="s">
        <v>5594</v>
      </c>
      <c r="C1347" s="65">
        <f t="shared" ref="C1347:C1410" si="21">DATE(LEFT(TEXT(A1347,"0"),4),MID(TEXT(A1347,"0"),5,2),MID(TEXT(A1347,"0"),7,2))</f>
        <v>46060</v>
      </c>
      <c r="D1347" s="3">
        <v>2</v>
      </c>
      <c r="E1347" s="3">
        <v>41363.636363636353</v>
      </c>
      <c r="F1347" s="3">
        <v>91000</v>
      </c>
      <c r="G1347" s="3">
        <v>91000</v>
      </c>
      <c r="H1347" s="25">
        <v>61496</v>
      </c>
    </row>
    <row r="1348" spans="1:8" x14ac:dyDescent="0.3">
      <c r="A1348" s="64">
        <v>2.02602071326035E+18</v>
      </c>
      <c r="B1348" t="s">
        <v>5594</v>
      </c>
      <c r="C1348" s="65">
        <f t="shared" si="21"/>
        <v>46060</v>
      </c>
      <c r="D1348" s="3">
        <v>1</v>
      </c>
      <c r="E1348" s="3">
        <v>41363.636363636302</v>
      </c>
      <c r="F1348" s="3">
        <v>45499.999999999935</v>
      </c>
      <c r="G1348" s="3">
        <v>45500</v>
      </c>
      <c r="H1348" s="25">
        <v>30748</v>
      </c>
    </row>
    <row r="1349" spans="1:8" x14ac:dyDescent="0.3">
      <c r="A1349" s="64">
        <v>2.02602071311325E+18</v>
      </c>
      <c r="B1349" t="s">
        <v>5594</v>
      </c>
      <c r="C1349" s="65">
        <f t="shared" si="21"/>
        <v>46060</v>
      </c>
      <c r="D1349" s="3">
        <v>1</v>
      </c>
      <c r="E1349" s="3">
        <v>41363.636363636302</v>
      </c>
      <c r="F1349" s="3">
        <v>45499.999999999935</v>
      </c>
      <c r="G1349" s="3">
        <v>45500</v>
      </c>
      <c r="H1349" s="25">
        <v>30748</v>
      </c>
    </row>
    <row r="1350" spans="1:8" x14ac:dyDescent="0.3">
      <c r="A1350" s="64">
        <v>2.02602071309345E+18</v>
      </c>
      <c r="B1350" t="s">
        <v>5594</v>
      </c>
      <c r="C1350" s="65">
        <f t="shared" si="21"/>
        <v>46060</v>
      </c>
      <c r="D1350" s="3">
        <v>1</v>
      </c>
      <c r="E1350" s="3">
        <v>41363.636363636302</v>
      </c>
      <c r="F1350" s="3">
        <v>45499.999999999935</v>
      </c>
      <c r="G1350" s="3">
        <v>45500</v>
      </c>
      <c r="H1350" s="25">
        <v>30748</v>
      </c>
    </row>
    <row r="1351" spans="1:8" x14ac:dyDescent="0.3">
      <c r="A1351" s="64">
        <v>2.02602071244413E+18</v>
      </c>
      <c r="B1351" t="s">
        <v>5594</v>
      </c>
      <c r="C1351" s="65">
        <f t="shared" si="21"/>
        <v>46060</v>
      </c>
      <c r="D1351" s="3">
        <v>1</v>
      </c>
      <c r="E1351" s="3">
        <v>41363.636363636302</v>
      </c>
      <c r="F1351" s="3">
        <v>45499.999999999935</v>
      </c>
      <c r="G1351" s="3">
        <v>45500</v>
      </c>
      <c r="H1351" s="25">
        <v>30748</v>
      </c>
    </row>
    <row r="1352" spans="1:8" x14ac:dyDescent="0.3">
      <c r="A1352" s="64">
        <v>2.02602071213501E+18</v>
      </c>
      <c r="B1352" t="s">
        <v>5594</v>
      </c>
      <c r="C1352" s="65">
        <f t="shared" si="21"/>
        <v>46060</v>
      </c>
      <c r="D1352" s="3">
        <v>1</v>
      </c>
      <c r="E1352" s="3">
        <v>41363.636363636302</v>
      </c>
      <c r="F1352" s="3">
        <v>45499.999999999935</v>
      </c>
      <c r="G1352" s="3">
        <v>45500</v>
      </c>
      <c r="H1352" s="25">
        <v>30748</v>
      </c>
    </row>
    <row r="1353" spans="1:8" x14ac:dyDescent="0.3">
      <c r="A1353" s="64">
        <v>2.0260207113601001E+18</v>
      </c>
      <c r="B1353" t="s">
        <v>5594</v>
      </c>
      <c r="C1353" s="65">
        <f t="shared" si="21"/>
        <v>46060</v>
      </c>
      <c r="D1353" s="3">
        <v>1</v>
      </c>
      <c r="E1353" s="3">
        <v>41363.636363636302</v>
      </c>
      <c r="F1353" s="3">
        <v>45499.999999999935</v>
      </c>
      <c r="G1353" s="3">
        <v>45500</v>
      </c>
      <c r="H1353" s="25">
        <v>30748</v>
      </c>
    </row>
    <row r="1354" spans="1:8" x14ac:dyDescent="0.3">
      <c r="A1354" s="64">
        <v>2.0260207113215099E+18</v>
      </c>
      <c r="B1354" t="s">
        <v>5594</v>
      </c>
      <c r="C1354" s="65">
        <f t="shared" si="21"/>
        <v>46060</v>
      </c>
      <c r="D1354" s="3">
        <v>1</v>
      </c>
      <c r="E1354" s="3">
        <v>41363.636363636302</v>
      </c>
      <c r="F1354" s="3">
        <v>45499.999999999935</v>
      </c>
      <c r="G1354" s="3">
        <v>45500</v>
      </c>
      <c r="H1354" s="25">
        <v>30748</v>
      </c>
    </row>
    <row r="1355" spans="1:8" x14ac:dyDescent="0.3">
      <c r="A1355" s="64">
        <v>2.0260207111112901E+18</v>
      </c>
      <c r="B1355" t="s">
        <v>5594</v>
      </c>
      <c r="C1355" s="65">
        <f t="shared" si="21"/>
        <v>46060</v>
      </c>
      <c r="D1355" s="3">
        <v>1</v>
      </c>
      <c r="E1355" s="3">
        <v>41363.636363636302</v>
      </c>
      <c r="F1355" s="3">
        <v>45499.999999999935</v>
      </c>
      <c r="G1355" s="3">
        <v>45500</v>
      </c>
      <c r="H1355" s="25">
        <v>30748</v>
      </c>
    </row>
    <row r="1356" spans="1:8" x14ac:dyDescent="0.3">
      <c r="A1356" s="64">
        <v>2.0260207105635899E+18</v>
      </c>
      <c r="B1356" t="s">
        <v>5594</v>
      </c>
      <c r="C1356" s="65">
        <f t="shared" si="21"/>
        <v>46060</v>
      </c>
      <c r="D1356" s="3">
        <v>1</v>
      </c>
      <c r="E1356" s="3">
        <v>41363.636363636302</v>
      </c>
      <c r="F1356" s="3">
        <v>45499.999999999935</v>
      </c>
      <c r="G1356" s="3">
        <v>45500</v>
      </c>
      <c r="H1356" s="25">
        <v>30748</v>
      </c>
    </row>
    <row r="1357" spans="1:8" x14ac:dyDescent="0.3">
      <c r="A1357" s="64">
        <v>2.0260207105816699E+18</v>
      </c>
      <c r="B1357" t="s">
        <v>5594</v>
      </c>
      <c r="C1357" s="65">
        <f t="shared" si="21"/>
        <v>46060</v>
      </c>
      <c r="D1357" s="3">
        <v>1</v>
      </c>
      <c r="E1357" s="3">
        <v>41363.636363636302</v>
      </c>
      <c r="F1357" s="3">
        <v>45499.999999999935</v>
      </c>
      <c r="G1357" s="3">
        <v>45500</v>
      </c>
      <c r="H1357" s="25">
        <v>30748</v>
      </c>
    </row>
    <row r="1358" spans="1:8" x14ac:dyDescent="0.3">
      <c r="A1358" s="64">
        <v>2.0260207104243599E+18</v>
      </c>
      <c r="B1358" t="s">
        <v>5594</v>
      </c>
      <c r="C1358" s="65">
        <f t="shared" si="21"/>
        <v>46060</v>
      </c>
      <c r="D1358" s="3">
        <v>2</v>
      </c>
      <c r="E1358" s="3">
        <v>41363.636363636353</v>
      </c>
      <c r="F1358" s="3">
        <v>91000</v>
      </c>
      <c r="G1358" s="3">
        <v>91000</v>
      </c>
      <c r="H1358" s="25">
        <v>61496</v>
      </c>
    </row>
    <row r="1359" spans="1:8" x14ac:dyDescent="0.3">
      <c r="A1359" s="64">
        <v>2.0260207103343201E+18</v>
      </c>
      <c r="B1359" t="s">
        <v>5594</v>
      </c>
      <c r="C1359" s="65">
        <f t="shared" si="21"/>
        <v>46060</v>
      </c>
      <c r="D1359" s="3">
        <v>1</v>
      </c>
      <c r="E1359" s="3">
        <v>41363.636363636302</v>
      </c>
      <c r="F1359" s="3">
        <v>45499.999999999935</v>
      </c>
      <c r="G1359" s="3">
        <v>45500</v>
      </c>
      <c r="H1359" s="25">
        <v>30748</v>
      </c>
    </row>
    <row r="1360" spans="1:8" x14ac:dyDescent="0.3">
      <c r="A1360" s="64">
        <v>2.02602071031199E+18</v>
      </c>
      <c r="B1360" t="s">
        <v>5594</v>
      </c>
      <c r="C1360" s="65">
        <f t="shared" si="21"/>
        <v>46060</v>
      </c>
      <c r="D1360" s="3">
        <v>2</v>
      </c>
      <c r="E1360" s="3">
        <v>41363.636363636353</v>
      </c>
      <c r="F1360" s="3">
        <v>91000</v>
      </c>
      <c r="G1360" s="3">
        <v>91000</v>
      </c>
      <c r="H1360" s="25">
        <v>61496</v>
      </c>
    </row>
    <row r="1361" spans="1:8" x14ac:dyDescent="0.3">
      <c r="A1361" s="64">
        <v>2.0260207100626601E+18</v>
      </c>
      <c r="B1361" t="s">
        <v>5594</v>
      </c>
      <c r="C1361" s="65">
        <f t="shared" si="21"/>
        <v>46060</v>
      </c>
      <c r="D1361" s="3">
        <v>2</v>
      </c>
      <c r="E1361" s="3">
        <v>41363.636363636353</v>
      </c>
      <c r="F1361" s="3">
        <v>91000</v>
      </c>
      <c r="G1361" s="3">
        <v>91000</v>
      </c>
      <c r="H1361" s="25">
        <v>61496</v>
      </c>
    </row>
    <row r="1362" spans="1:8" x14ac:dyDescent="0.3">
      <c r="A1362" s="64">
        <v>2.0260207094224499E+18</v>
      </c>
      <c r="B1362" t="s">
        <v>5594</v>
      </c>
      <c r="C1362" s="65">
        <f t="shared" si="21"/>
        <v>46060</v>
      </c>
      <c r="D1362" s="3">
        <v>1</v>
      </c>
      <c r="E1362" s="3">
        <v>41363.636363636302</v>
      </c>
      <c r="F1362" s="3">
        <v>45499.999999999935</v>
      </c>
      <c r="G1362" s="3">
        <v>45500</v>
      </c>
      <c r="H1362" s="25">
        <v>30748</v>
      </c>
    </row>
    <row r="1363" spans="1:8" x14ac:dyDescent="0.3">
      <c r="A1363" s="64">
        <v>2.0260207092644101E+18</v>
      </c>
      <c r="B1363" t="s">
        <v>5594</v>
      </c>
      <c r="C1363" s="65">
        <f t="shared" si="21"/>
        <v>46060</v>
      </c>
      <c r="D1363" s="3">
        <v>1</v>
      </c>
      <c r="E1363" s="3">
        <v>41363.636363636302</v>
      </c>
      <c r="F1363" s="3">
        <v>45499.999999999935</v>
      </c>
      <c r="G1363" s="3">
        <v>45500</v>
      </c>
      <c r="H1363" s="25">
        <v>30748</v>
      </c>
    </row>
    <row r="1364" spans="1:8" x14ac:dyDescent="0.3">
      <c r="A1364" s="64">
        <v>2.0260207085223601E+18</v>
      </c>
      <c r="B1364" t="s">
        <v>5594</v>
      </c>
      <c r="C1364" s="65">
        <f t="shared" si="21"/>
        <v>46060</v>
      </c>
      <c r="D1364" s="3">
        <v>1</v>
      </c>
      <c r="E1364" s="3">
        <v>41363.636363636302</v>
      </c>
      <c r="F1364" s="3">
        <v>45499.999999999935</v>
      </c>
      <c r="G1364" s="3">
        <v>45500</v>
      </c>
      <c r="H1364" s="25">
        <v>30748</v>
      </c>
    </row>
    <row r="1365" spans="1:8" x14ac:dyDescent="0.3">
      <c r="A1365" s="64">
        <v>2.02602070839246E+18</v>
      </c>
      <c r="B1365" t="s">
        <v>5594</v>
      </c>
      <c r="C1365" s="65">
        <f t="shared" si="21"/>
        <v>46060</v>
      </c>
      <c r="D1365" s="3">
        <v>1</v>
      </c>
      <c r="E1365" s="3">
        <v>41363.636363636302</v>
      </c>
      <c r="F1365" s="3">
        <v>45499.999999999935</v>
      </c>
      <c r="G1365" s="3">
        <v>45500</v>
      </c>
      <c r="H1365" s="25">
        <v>30748</v>
      </c>
    </row>
    <row r="1366" spans="1:8" x14ac:dyDescent="0.3">
      <c r="A1366" s="64">
        <v>2.0260207082640499E+18</v>
      </c>
      <c r="B1366" t="s">
        <v>5594</v>
      </c>
      <c r="C1366" s="65">
        <f t="shared" si="21"/>
        <v>46060</v>
      </c>
      <c r="D1366" s="3">
        <v>2</v>
      </c>
      <c r="E1366" s="3">
        <v>41363.636363636353</v>
      </c>
      <c r="F1366" s="3">
        <v>91000</v>
      </c>
      <c r="G1366" s="3">
        <v>91000</v>
      </c>
      <c r="H1366" s="25">
        <v>61496</v>
      </c>
    </row>
    <row r="1367" spans="1:8" x14ac:dyDescent="0.3">
      <c r="A1367" s="64">
        <v>2.02602070822499E+18</v>
      </c>
      <c r="B1367" t="s">
        <v>5594</v>
      </c>
      <c r="C1367" s="65">
        <f t="shared" si="21"/>
        <v>46060</v>
      </c>
      <c r="D1367" s="3">
        <v>1</v>
      </c>
      <c r="E1367" s="3">
        <v>41363.636363636302</v>
      </c>
      <c r="F1367" s="3">
        <v>45499.999999999935</v>
      </c>
      <c r="G1367" s="3">
        <v>45500</v>
      </c>
      <c r="H1367" s="25">
        <v>30748</v>
      </c>
    </row>
    <row r="1368" spans="1:8" x14ac:dyDescent="0.3">
      <c r="A1368" s="64">
        <v>2.02602070805235E+18</v>
      </c>
      <c r="B1368" t="s">
        <v>5594</v>
      </c>
      <c r="C1368" s="65">
        <f t="shared" si="21"/>
        <v>46060</v>
      </c>
      <c r="D1368" s="3">
        <v>1</v>
      </c>
      <c r="E1368" s="3">
        <v>41363.636363636302</v>
      </c>
      <c r="F1368" s="3">
        <v>45499.999999999935</v>
      </c>
      <c r="G1368" s="3">
        <v>45500</v>
      </c>
      <c r="H1368" s="25">
        <v>30748</v>
      </c>
    </row>
    <row r="1369" spans="1:8" x14ac:dyDescent="0.3">
      <c r="A1369" s="64">
        <v>2.0260207080237499E+18</v>
      </c>
      <c r="B1369" t="s">
        <v>5594</v>
      </c>
      <c r="C1369" s="65">
        <f t="shared" si="21"/>
        <v>46060</v>
      </c>
      <c r="D1369" s="3">
        <v>2</v>
      </c>
      <c r="E1369" s="3">
        <v>41363.636363636353</v>
      </c>
      <c r="F1369" s="3">
        <v>91000</v>
      </c>
      <c r="G1369" s="3">
        <v>91000</v>
      </c>
      <c r="H1369" s="25">
        <v>61496</v>
      </c>
    </row>
    <row r="1370" spans="1:8" x14ac:dyDescent="0.3">
      <c r="A1370" s="64">
        <v>2.02602070756223E+18</v>
      </c>
      <c r="B1370" t="s">
        <v>5594</v>
      </c>
      <c r="C1370" s="65">
        <f t="shared" si="21"/>
        <v>46060</v>
      </c>
      <c r="D1370" s="3">
        <v>2</v>
      </c>
      <c r="E1370" s="3">
        <v>41363.636363636353</v>
      </c>
      <c r="F1370" s="3">
        <v>91000</v>
      </c>
      <c r="G1370" s="3">
        <v>91000</v>
      </c>
      <c r="H1370" s="25">
        <v>61496</v>
      </c>
    </row>
    <row r="1371" spans="1:8" x14ac:dyDescent="0.3">
      <c r="A1371" s="64">
        <v>2.0260207070451899E+18</v>
      </c>
      <c r="B1371" t="s">
        <v>5594</v>
      </c>
      <c r="C1371" s="65">
        <f t="shared" si="21"/>
        <v>46060</v>
      </c>
      <c r="D1371" s="3">
        <v>1</v>
      </c>
      <c r="E1371" s="3">
        <v>41363.636363636302</v>
      </c>
      <c r="F1371" s="3">
        <v>45499.999999999935</v>
      </c>
      <c r="G1371" s="3">
        <v>45500</v>
      </c>
      <c r="H1371" s="25">
        <v>30748</v>
      </c>
    </row>
    <row r="1372" spans="1:8" x14ac:dyDescent="0.3">
      <c r="A1372" s="64">
        <v>2.0260207031306299E+18</v>
      </c>
      <c r="B1372" t="s">
        <v>5594</v>
      </c>
      <c r="C1372" s="65">
        <f t="shared" si="21"/>
        <v>46060</v>
      </c>
      <c r="D1372" s="3">
        <v>1</v>
      </c>
      <c r="E1372" s="3">
        <v>41363.636363636302</v>
      </c>
      <c r="F1372" s="3">
        <v>45499.999999999935</v>
      </c>
      <c r="G1372" s="3">
        <v>45500</v>
      </c>
      <c r="H1372" s="25">
        <v>30748</v>
      </c>
    </row>
    <row r="1373" spans="1:8" x14ac:dyDescent="0.3">
      <c r="A1373" s="64">
        <v>2.0260207021143199E+18</v>
      </c>
      <c r="B1373" t="s">
        <v>5594</v>
      </c>
      <c r="C1373" s="65">
        <f t="shared" si="21"/>
        <v>46060</v>
      </c>
      <c r="D1373" s="3">
        <v>1</v>
      </c>
      <c r="E1373" s="3">
        <v>41363.636363636302</v>
      </c>
      <c r="F1373" s="3">
        <v>45499.999999999935</v>
      </c>
      <c r="G1373" s="3">
        <v>45500</v>
      </c>
      <c r="H1373" s="25">
        <v>30748</v>
      </c>
    </row>
    <row r="1374" spans="1:8" x14ac:dyDescent="0.3">
      <c r="A1374" s="64">
        <v>2.0260207010353001E+18</v>
      </c>
      <c r="B1374" t="s">
        <v>5594</v>
      </c>
      <c r="C1374" s="65">
        <f t="shared" si="21"/>
        <v>46060</v>
      </c>
      <c r="D1374" s="3">
        <v>1</v>
      </c>
      <c r="E1374" s="3">
        <v>41363.636363636302</v>
      </c>
      <c r="F1374" s="3">
        <v>45499.999999999935</v>
      </c>
      <c r="G1374" s="3">
        <v>45500</v>
      </c>
      <c r="H1374" s="25">
        <v>30748</v>
      </c>
    </row>
    <row r="1375" spans="1:8" x14ac:dyDescent="0.3">
      <c r="A1375" s="64">
        <v>2.0260207000159301E+18</v>
      </c>
      <c r="B1375" t="s">
        <v>5594</v>
      </c>
      <c r="C1375" s="65">
        <f t="shared" si="21"/>
        <v>46060</v>
      </c>
      <c r="D1375" s="3">
        <v>1</v>
      </c>
      <c r="E1375" s="3">
        <v>41363.636363636302</v>
      </c>
      <c r="F1375" s="3">
        <v>45499.999999999935</v>
      </c>
      <c r="G1375" s="3">
        <v>45500</v>
      </c>
      <c r="H1375" s="25">
        <v>30748</v>
      </c>
    </row>
    <row r="1376" spans="1:8" x14ac:dyDescent="0.3">
      <c r="A1376" s="64">
        <v>2.02602062320144E+18</v>
      </c>
      <c r="B1376" t="s">
        <v>5594</v>
      </c>
      <c r="C1376" s="65">
        <f t="shared" si="21"/>
        <v>46059</v>
      </c>
      <c r="D1376" s="3">
        <v>2</v>
      </c>
      <c r="E1376" s="3">
        <v>41363.636363636353</v>
      </c>
      <c r="F1376" s="3">
        <v>91000</v>
      </c>
      <c r="G1376" s="3">
        <v>91000</v>
      </c>
      <c r="H1376" s="25">
        <v>61496</v>
      </c>
    </row>
    <row r="1377" spans="1:8" x14ac:dyDescent="0.3">
      <c r="A1377" s="64">
        <v>2.02602062121136E+18</v>
      </c>
      <c r="B1377" t="s">
        <v>5594</v>
      </c>
      <c r="C1377" s="65">
        <f t="shared" si="21"/>
        <v>46059</v>
      </c>
      <c r="D1377" s="3">
        <v>1</v>
      </c>
      <c r="E1377" s="3">
        <v>41363.636363636302</v>
      </c>
      <c r="F1377" s="3">
        <v>45499.999999999935</v>
      </c>
      <c r="G1377" s="3">
        <v>45500</v>
      </c>
      <c r="H1377" s="25">
        <v>30748</v>
      </c>
    </row>
    <row r="1378" spans="1:8" x14ac:dyDescent="0.3">
      <c r="A1378" s="64">
        <v>2.0260206211836201E+18</v>
      </c>
      <c r="B1378" t="s">
        <v>5594</v>
      </c>
      <c r="C1378" s="65">
        <f t="shared" si="21"/>
        <v>46059</v>
      </c>
      <c r="D1378" s="3">
        <v>1</v>
      </c>
      <c r="E1378" s="3">
        <v>41363.636363636302</v>
      </c>
      <c r="F1378" s="3">
        <v>45499.999999999935</v>
      </c>
      <c r="G1378" s="3">
        <v>45500</v>
      </c>
      <c r="H1378" s="25">
        <v>30748</v>
      </c>
    </row>
    <row r="1379" spans="1:8" x14ac:dyDescent="0.3">
      <c r="A1379" s="64">
        <v>2.02602062109136E+18</v>
      </c>
      <c r="B1379" t="s">
        <v>5594</v>
      </c>
      <c r="C1379" s="65">
        <f t="shared" si="21"/>
        <v>46059</v>
      </c>
      <c r="D1379" s="3">
        <v>1</v>
      </c>
      <c r="E1379" s="3">
        <v>41363.636363636302</v>
      </c>
      <c r="F1379" s="3">
        <v>45499.999999999935</v>
      </c>
      <c r="G1379" s="3">
        <v>45500</v>
      </c>
      <c r="H1379" s="25">
        <v>30748</v>
      </c>
    </row>
    <row r="1380" spans="1:8" x14ac:dyDescent="0.3">
      <c r="A1380" s="64">
        <v>2.0260206210955599E+18</v>
      </c>
      <c r="B1380" t="s">
        <v>5594</v>
      </c>
      <c r="C1380" s="65">
        <f t="shared" si="21"/>
        <v>46059</v>
      </c>
      <c r="D1380" s="3">
        <v>1</v>
      </c>
      <c r="E1380" s="3">
        <v>41363.636363636302</v>
      </c>
      <c r="F1380" s="3">
        <v>45499.999999999935</v>
      </c>
      <c r="G1380" s="3">
        <v>45500</v>
      </c>
      <c r="H1380" s="25">
        <v>30748</v>
      </c>
    </row>
    <row r="1381" spans="1:8" x14ac:dyDescent="0.3">
      <c r="A1381" s="64">
        <v>2.0260206210703501E+18</v>
      </c>
      <c r="B1381" t="s">
        <v>5594</v>
      </c>
      <c r="C1381" s="65">
        <f t="shared" si="21"/>
        <v>46059</v>
      </c>
      <c r="D1381" s="3">
        <v>1</v>
      </c>
      <c r="E1381" s="3">
        <v>41363.636363636302</v>
      </c>
      <c r="F1381" s="3">
        <v>45499.999999999935</v>
      </c>
      <c r="G1381" s="3">
        <v>45500</v>
      </c>
      <c r="H1381" s="25">
        <v>30748</v>
      </c>
    </row>
    <row r="1382" spans="1:8" x14ac:dyDescent="0.3">
      <c r="A1382" s="64">
        <v>2.0260206210732301E+18</v>
      </c>
      <c r="B1382" t="s">
        <v>5594</v>
      </c>
      <c r="C1382" s="65">
        <f t="shared" si="21"/>
        <v>46059</v>
      </c>
      <c r="D1382" s="3">
        <v>1</v>
      </c>
      <c r="E1382" s="3">
        <v>41363.636363636302</v>
      </c>
      <c r="F1382" s="3">
        <v>45499.999999999935</v>
      </c>
      <c r="G1382" s="3">
        <v>45500</v>
      </c>
      <c r="H1382" s="25">
        <v>30748</v>
      </c>
    </row>
    <row r="1383" spans="1:8" x14ac:dyDescent="0.3">
      <c r="A1383" s="64">
        <v>2.02602062042499E+18</v>
      </c>
      <c r="B1383" t="s">
        <v>5594</v>
      </c>
      <c r="C1383" s="65">
        <f t="shared" si="21"/>
        <v>46059</v>
      </c>
      <c r="D1383" s="3">
        <v>1</v>
      </c>
      <c r="E1383" s="3">
        <v>41363.636363636302</v>
      </c>
      <c r="F1383" s="3">
        <v>45499.999999999935</v>
      </c>
      <c r="G1383" s="3">
        <v>45500</v>
      </c>
      <c r="H1383" s="25">
        <v>30748</v>
      </c>
    </row>
    <row r="1384" spans="1:8" x14ac:dyDescent="0.3">
      <c r="A1384" s="64">
        <v>2.0260206202942799E+18</v>
      </c>
      <c r="B1384" t="s">
        <v>5594</v>
      </c>
      <c r="C1384" s="65">
        <f t="shared" si="21"/>
        <v>46059</v>
      </c>
      <c r="D1384" s="3">
        <v>1</v>
      </c>
      <c r="E1384" s="3">
        <v>41363.636363636302</v>
      </c>
      <c r="F1384" s="3">
        <v>45499.999999999935</v>
      </c>
      <c r="G1384" s="3">
        <v>45500</v>
      </c>
      <c r="H1384" s="25">
        <v>30748</v>
      </c>
    </row>
    <row r="1385" spans="1:8" x14ac:dyDescent="0.3">
      <c r="A1385" s="64">
        <v>2.0260206203026801E+18</v>
      </c>
      <c r="B1385" t="s">
        <v>5594</v>
      </c>
      <c r="C1385" s="65">
        <f t="shared" si="21"/>
        <v>46059</v>
      </c>
      <c r="D1385" s="3">
        <v>1</v>
      </c>
      <c r="E1385" s="3">
        <v>41363.636363636302</v>
      </c>
      <c r="F1385" s="3">
        <v>45499.999999999935</v>
      </c>
      <c r="G1385" s="3">
        <v>45500</v>
      </c>
      <c r="H1385" s="25">
        <v>30748</v>
      </c>
    </row>
    <row r="1386" spans="1:8" x14ac:dyDescent="0.3">
      <c r="A1386" s="64">
        <v>2.0260206202918799E+18</v>
      </c>
      <c r="B1386" t="s">
        <v>5594</v>
      </c>
      <c r="C1386" s="65">
        <f t="shared" si="21"/>
        <v>46059</v>
      </c>
      <c r="D1386" s="3">
        <v>1</v>
      </c>
      <c r="E1386" s="3">
        <v>41363.636363636302</v>
      </c>
      <c r="F1386" s="3">
        <v>45499.999999999935</v>
      </c>
      <c r="G1386" s="3">
        <v>45500</v>
      </c>
      <c r="H1386" s="25">
        <v>30748</v>
      </c>
    </row>
    <row r="1387" spans="1:8" x14ac:dyDescent="0.3">
      <c r="A1387" s="64">
        <v>2.02602062029137E+18</v>
      </c>
      <c r="B1387" t="s">
        <v>5594</v>
      </c>
      <c r="C1387" s="65">
        <f t="shared" si="21"/>
        <v>46059</v>
      </c>
      <c r="D1387" s="3">
        <v>1</v>
      </c>
      <c r="E1387" s="3">
        <v>41363.636363636302</v>
      </c>
      <c r="F1387" s="3">
        <v>45499.999999999935</v>
      </c>
      <c r="G1387" s="3">
        <v>45500</v>
      </c>
      <c r="H1387" s="25">
        <v>30748</v>
      </c>
    </row>
    <row r="1388" spans="1:8" x14ac:dyDescent="0.3">
      <c r="A1388" s="64">
        <v>2.0260206202822001E+18</v>
      </c>
      <c r="B1388" t="s">
        <v>5594</v>
      </c>
      <c r="C1388" s="65">
        <f t="shared" si="21"/>
        <v>46059</v>
      </c>
      <c r="D1388" s="3">
        <v>1</v>
      </c>
      <c r="E1388" s="3">
        <v>41363.636363636302</v>
      </c>
      <c r="F1388" s="3">
        <v>45499.999999999935</v>
      </c>
      <c r="G1388" s="3">
        <v>45500</v>
      </c>
      <c r="H1388" s="25">
        <v>30748</v>
      </c>
    </row>
    <row r="1389" spans="1:8" x14ac:dyDescent="0.3">
      <c r="A1389" s="64">
        <v>2.02602062018077E+18</v>
      </c>
      <c r="B1389" t="s">
        <v>5594</v>
      </c>
      <c r="C1389" s="65">
        <f t="shared" si="21"/>
        <v>46059</v>
      </c>
      <c r="D1389" s="3">
        <v>1</v>
      </c>
      <c r="E1389" s="3">
        <v>41363.636363636302</v>
      </c>
      <c r="F1389" s="3">
        <v>45499.999999999935</v>
      </c>
      <c r="G1389" s="3">
        <v>45500</v>
      </c>
      <c r="H1389" s="25">
        <v>30748</v>
      </c>
    </row>
    <row r="1390" spans="1:8" x14ac:dyDescent="0.3">
      <c r="A1390" s="64">
        <v>2.0260206202421299E+18</v>
      </c>
      <c r="B1390" t="s">
        <v>5594</v>
      </c>
      <c r="C1390" s="65">
        <f t="shared" si="21"/>
        <v>46059</v>
      </c>
      <c r="D1390" s="3">
        <v>1</v>
      </c>
      <c r="E1390" s="3">
        <v>41363.636363636302</v>
      </c>
      <c r="F1390" s="3">
        <v>45499.999999999935</v>
      </c>
      <c r="G1390" s="3">
        <v>45500</v>
      </c>
      <c r="H1390" s="25">
        <v>30748</v>
      </c>
    </row>
    <row r="1391" spans="1:8" x14ac:dyDescent="0.3">
      <c r="A1391" s="64">
        <v>2.0260206202235699E+18</v>
      </c>
      <c r="B1391" t="s">
        <v>5594</v>
      </c>
      <c r="C1391" s="65">
        <f t="shared" si="21"/>
        <v>46059</v>
      </c>
      <c r="D1391" s="3">
        <v>1</v>
      </c>
      <c r="E1391" s="3">
        <v>41363.636363636302</v>
      </c>
      <c r="F1391" s="3">
        <v>45499.999999999935</v>
      </c>
      <c r="G1391" s="3">
        <v>45500</v>
      </c>
      <c r="H1391" s="25">
        <v>30748</v>
      </c>
    </row>
    <row r="1392" spans="1:8" x14ac:dyDescent="0.3">
      <c r="A1392" s="64">
        <v>2.02602062019153E+18</v>
      </c>
      <c r="B1392" t="s">
        <v>5594</v>
      </c>
      <c r="C1392" s="65">
        <f t="shared" si="21"/>
        <v>46059</v>
      </c>
      <c r="D1392" s="3">
        <v>1</v>
      </c>
      <c r="E1392" s="3">
        <v>41363.636363636302</v>
      </c>
      <c r="F1392" s="3">
        <v>45499.999999999935</v>
      </c>
      <c r="G1392" s="3">
        <v>45500</v>
      </c>
      <c r="H1392" s="25">
        <v>30748</v>
      </c>
    </row>
    <row r="1393" spans="1:8" x14ac:dyDescent="0.3">
      <c r="A1393" s="64">
        <v>2.02602062015409E+18</v>
      </c>
      <c r="B1393" t="s">
        <v>5594</v>
      </c>
      <c r="C1393" s="65">
        <f t="shared" si="21"/>
        <v>46059</v>
      </c>
      <c r="D1393" s="3">
        <v>1</v>
      </c>
      <c r="E1393" s="3">
        <v>41363.636363636302</v>
      </c>
      <c r="F1393" s="3">
        <v>45499.999999999935</v>
      </c>
      <c r="G1393" s="3">
        <v>45500</v>
      </c>
      <c r="H1393" s="25">
        <v>30748</v>
      </c>
    </row>
    <row r="1394" spans="1:8" x14ac:dyDescent="0.3">
      <c r="A1394" s="64">
        <v>2.02602062013073E+18</v>
      </c>
      <c r="B1394" t="s">
        <v>5594</v>
      </c>
      <c r="C1394" s="65">
        <f t="shared" si="21"/>
        <v>46059</v>
      </c>
      <c r="D1394" s="3">
        <v>1</v>
      </c>
      <c r="E1394" s="3">
        <v>41363.636363636302</v>
      </c>
      <c r="F1394" s="3">
        <v>45499.999999999935</v>
      </c>
      <c r="G1394" s="3">
        <v>45500</v>
      </c>
      <c r="H1394" s="25">
        <v>30748</v>
      </c>
    </row>
    <row r="1395" spans="1:8" x14ac:dyDescent="0.3">
      <c r="A1395" s="64">
        <v>2.02602062011104E+18</v>
      </c>
      <c r="B1395" t="s">
        <v>5594</v>
      </c>
      <c r="C1395" s="65">
        <f t="shared" si="21"/>
        <v>46059</v>
      </c>
      <c r="D1395" s="3">
        <v>1</v>
      </c>
      <c r="E1395" s="3">
        <v>41363.636363636302</v>
      </c>
      <c r="F1395" s="3">
        <v>45499.999999999935</v>
      </c>
      <c r="G1395" s="3">
        <v>45500</v>
      </c>
      <c r="H1395" s="25">
        <v>30748</v>
      </c>
    </row>
    <row r="1396" spans="1:8" x14ac:dyDescent="0.3">
      <c r="A1396" s="64">
        <v>2.0260206195657999E+18</v>
      </c>
      <c r="B1396" t="s">
        <v>5594</v>
      </c>
      <c r="C1396" s="65">
        <f t="shared" si="21"/>
        <v>46059</v>
      </c>
      <c r="D1396" s="3">
        <v>1</v>
      </c>
      <c r="E1396" s="3">
        <v>41363.636363636302</v>
      </c>
      <c r="F1396" s="3">
        <v>45499.999999999935</v>
      </c>
      <c r="G1396" s="3">
        <v>45500</v>
      </c>
      <c r="H1396" s="25">
        <v>30748</v>
      </c>
    </row>
    <row r="1397" spans="1:8" x14ac:dyDescent="0.3">
      <c r="A1397" s="64">
        <v>2.0260206195031501E+18</v>
      </c>
      <c r="B1397" t="s">
        <v>5594</v>
      </c>
      <c r="C1397" s="65">
        <f t="shared" si="21"/>
        <v>46059</v>
      </c>
      <c r="D1397" s="3">
        <v>3</v>
      </c>
      <c r="E1397" s="3">
        <v>41363.636363636331</v>
      </c>
      <c r="F1397" s="3">
        <v>136499.99999999991</v>
      </c>
      <c r="G1397" s="3">
        <v>136500</v>
      </c>
      <c r="H1397" s="25">
        <v>92244</v>
      </c>
    </row>
    <row r="1398" spans="1:8" x14ac:dyDescent="0.3">
      <c r="A1398" s="64">
        <v>2.0260206194915599E+18</v>
      </c>
      <c r="B1398" t="s">
        <v>5594</v>
      </c>
      <c r="C1398" s="65">
        <f t="shared" si="21"/>
        <v>46059</v>
      </c>
      <c r="D1398" s="3">
        <v>1</v>
      </c>
      <c r="E1398" s="3">
        <v>41363.636363636302</v>
      </c>
      <c r="F1398" s="3">
        <v>45499.999999999935</v>
      </c>
      <c r="G1398" s="3">
        <v>45500</v>
      </c>
      <c r="H1398" s="25">
        <v>30748</v>
      </c>
    </row>
    <row r="1399" spans="1:8" x14ac:dyDescent="0.3">
      <c r="A1399" s="64">
        <v>2.0260206193542799E+18</v>
      </c>
      <c r="B1399" t="s">
        <v>5594</v>
      </c>
      <c r="C1399" s="65">
        <f t="shared" si="21"/>
        <v>46059</v>
      </c>
      <c r="D1399" s="3">
        <v>1</v>
      </c>
      <c r="E1399" s="3">
        <v>41363.636363636302</v>
      </c>
      <c r="F1399" s="3">
        <v>45499.999999999935</v>
      </c>
      <c r="G1399" s="3">
        <v>45500</v>
      </c>
      <c r="H1399" s="25">
        <v>30748</v>
      </c>
    </row>
    <row r="1400" spans="1:8" x14ac:dyDescent="0.3">
      <c r="A1400" s="64">
        <v>2.0260206193314199E+18</v>
      </c>
      <c r="B1400" t="s">
        <v>5594</v>
      </c>
      <c r="C1400" s="65">
        <f t="shared" si="21"/>
        <v>46059</v>
      </c>
      <c r="D1400" s="3">
        <v>1</v>
      </c>
      <c r="E1400" s="3">
        <v>41363.636363636302</v>
      </c>
      <c r="F1400" s="3">
        <v>45499.999999999935</v>
      </c>
      <c r="G1400" s="3">
        <v>45500</v>
      </c>
      <c r="H1400" s="25">
        <v>30748</v>
      </c>
    </row>
    <row r="1401" spans="1:8" x14ac:dyDescent="0.3">
      <c r="A1401" s="64">
        <v>2.02602061922243E+18</v>
      </c>
      <c r="B1401" t="s">
        <v>5594</v>
      </c>
      <c r="C1401" s="65">
        <f t="shared" si="21"/>
        <v>46059</v>
      </c>
      <c r="D1401" s="3">
        <v>1</v>
      </c>
      <c r="E1401" s="3">
        <v>41363.636363636302</v>
      </c>
      <c r="F1401" s="3">
        <v>45499.999999999935</v>
      </c>
      <c r="G1401" s="3">
        <v>45500</v>
      </c>
      <c r="H1401" s="25">
        <v>30748</v>
      </c>
    </row>
    <row r="1402" spans="1:8" x14ac:dyDescent="0.3">
      <c r="A1402" s="64">
        <v>2.0260206191939899E+18</v>
      </c>
      <c r="B1402" t="s">
        <v>5594</v>
      </c>
      <c r="C1402" s="65">
        <f t="shared" si="21"/>
        <v>46059</v>
      </c>
      <c r="D1402" s="3">
        <v>1</v>
      </c>
      <c r="E1402" s="3">
        <v>41363.636363636302</v>
      </c>
      <c r="F1402" s="3">
        <v>45499.999999999935</v>
      </c>
      <c r="G1402" s="3">
        <v>45500</v>
      </c>
      <c r="H1402" s="25">
        <v>30748</v>
      </c>
    </row>
    <row r="1403" spans="1:8" x14ac:dyDescent="0.3">
      <c r="A1403" s="64">
        <v>2.02602061919006E+18</v>
      </c>
      <c r="B1403" t="s">
        <v>5594</v>
      </c>
      <c r="C1403" s="65">
        <f t="shared" si="21"/>
        <v>46059</v>
      </c>
      <c r="D1403" s="3">
        <v>1</v>
      </c>
      <c r="E1403" s="3">
        <v>41363.636363636302</v>
      </c>
      <c r="F1403" s="3">
        <v>45499.999999999935</v>
      </c>
      <c r="G1403" s="3">
        <v>45500</v>
      </c>
      <c r="H1403" s="25">
        <v>30748</v>
      </c>
    </row>
    <row r="1404" spans="1:8" x14ac:dyDescent="0.3">
      <c r="A1404" s="64">
        <v>2.0260206191847401E+18</v>
      </c>
      <c r="B1404" t="s">
        <v>5594</v>
      </c>
      <c r="C1404" s="65">
        <f t="shared" si="21"/>
        <v>46059</v>
      </c>
      <c r="D1404" s="3">
        <v>1</v>
      </c>
      <c r="E1404" s="3">
        <v>41363.636363636302</v>
      </c>
      <c r="F1404" s="3">
        <v>45499.999999999935</v>
      </c>
      <c r="G1404" s="3">
        <v>45500</v>
      </c>
      <c r="H1404" s="25">
        <v>30748</v>
      </c>
    </row>
    <row r="1405" spans="1:8" x14ac:dyDescent="0.3">
      <c r="A1405" s="64">
        <v>2.0260206191706199E+18</v>
      </c>
      <c r="B1405" t="s">
        <v>5594</v>
      </c>
      <c r="C1405" s="65">
        <f t="shared" si="21"/>
        <v>46059</v>
      </c>
      <c r="D1405" s="3">
        <v>1</v>
      </c>
      <c r="E1405" s="3">
        <v>41363.636363636302</v>
      </c>
      <c r="F1405" s="3">
        <v>45499.999999999935</v>
      </c>
      <c r="G1405" s="3">
        <v>45500</v>
      </c>
      <c r="H1405" s="25">
        <v>30748</v>
      </c>
    </row>
    <row r="1406" spans="1:8" x14ac:dyDescent="0.3">
      <c r="A1406" s="64">
        <v>2.0260206191706801E+18</v>
      </c>
      <c r="B1406" t="s">
        <v>5594</v>
      </c>
      <c r="C1406" s="65">
        <f t="shared" si="21"/>
        <v>46059</v>
      </c>
      <c r="D1406" s="3">
        <v>1</v>
      </c>
      <c r="E1406" s="3">
        <v>41363.636363636302</v>
      </c>
      <c r="F1406" s="3">
        <v>45499.999999999935</v>
      </c>
      <c r="G1406" s="3">
        <v>45500</v>
      </c>
      <c r="H1406" s="25">
        <v>30748</v>
      </c>
    </row>
    <row r="1407" spans="1:8" x14ac:dyDescent="0.3">
      <c r="A1407" s="64">
        <v>2.0260206191426501E+18</v>
      </c>
      <c r="B1407" t="s">
        <v>5594</v>
      </c>
      <c r="C1407" s="65">
        <f t="shared" si="21"/>
        <v>46059</v>
      </c>
      <c r="D1407" s="3">
        <v>1</v>
      </c>
      <c r="E1407" s="3">
        <v>41363.636363636302</v>
      </c>
      <c r="F1407" s="3">
        <v>45499.999999999935</v>
      </c>
      <c r="G1407" s="3">
        <v>45500</v>
      </c>
      <c r="H1407" s="25">
        <v>30748</v>
      </c>
    </row>
    <row r="1408" spans="1:8" x14ac:dyDescent="0.3">
      <c r="A1408" s="64">
        <v>2.02602061914402E+18</v>
      </c>
      <c r="B1408" t="s">
        <v>5594</v>
      </c>
      <c r="C1408" s="65">
        <f t="shared" si="21"/>
        <v>46059</v>
      </c>
      <c r="D1408" s="3">
        <v>1</v>
      </c>
      <c r="E1408" s="3">
        <v>41363.636363636302</v>
      </c>
      <c r="F1408" s="3">
        <v>45499.999999999935</v>
      </c>
      <c r="G1408" s="3">
        <v>45500</v>
      </c>
      <c r="H1408" s="25">
        <v>30748</v>
      </c>
    </row>
    <row r="1409" spans="1:8" x14ac:dyDescent="0.3">
      <c r="A1409" s="64">
        <v>2.0260206191224801E+18</v>
      </c>
      <c r="B1409" t="s">
        <v>5594</v>
      </c>
      <c r="C1409" s="65">
        <f t="shared" si="21"/>
        <v>46059</v>
      </c>
      <c r="D1409" s="3">
        <v>1</v>
      </c>
      <c r="E1409" s="3">
        <v>41363.636363636302</v>
      </c>
      <c r="F1409" s="3">
        <v>45499.999999999935</v>
      </c>
      <c r="G1409" s="3">
        <v>45500</v>
      </c>
      <c r="H1409" s="25">
        <v>30748</v>
      </c>
    </row>
    <row r="1410" spans="1:8" x14ac:dyDescent="0.3">
      <c r="A1410" s="64">
        <v>2.0260206191314601E+18</v>
      </c>
      <c r="B1410" t="s">
        <v>5594</v>
      </c>
      <c r="C1410" s="65">
        <f t="shared" si="21"/>
        <v>46059</v>
      </c>
      <c r="D1410" s="3">
        <v>2</v>
      </c>
      <c r="E1410" s="3">
        <v>41363.636363636353</v>
      </c>
      <c r="F1410" s="3">
        <v>91000</v>
      </c>
      <c r="G1410" s="3">
        <v>91000</v>
      </c>
      <c r="H1410" s="25">
        <v>61496</v>
      </c>
    </row>
    <row r="1411" spans="1:8" x14ac:dyDescent="0.3">
      <c r="A1411" s="64">
        <v>2.02602061912463E+18</v>
      </c>
      <c r="B1411" t="s">
        <v>5594</v>
      </c>
      <c r="C1411" s="65">
        <f t="shared" ref="C1411:C1474" si="22">DATE(LEFT(TEXT(A1411,"0"),4),MID(TEXT(A1411,"0"),5,2),MID(TEXT(A1411,"0"),7,2))</f>
        <v>46059</v>
      </c>
      <c r="D1411" s="3">
        <v>1</v>
      </c>
      <c r="E1411" s="3">
        <v>41363.636363636302</v>
      </c>
      <c r="F1411" s="3">
        <v>45499.999999999935</v>
      </c>
      <c r="G1411" s="3">
        <v>45500</v>
      </c>
      <c r="H1411" s="25">
        <v>30748</v>
      </c>
    </row>
    <row r="1412" spans="1:8" x14ac:dyDescent="0.3">
      <c r="A1412" s="64">
        <v>2.02602061913219E+18</v>
      </c>
      <c r="B1412" t="s">
        <v>5594</v>
      </c>
      <c r="C1412" s="65">
        <f t="shared" si="22"/>
        <v>46059</v>
      </c>
      <c r="D1412" s="3">
        <v>1</v>
      </c>
      <c r="E1412" s="3">
        <v>41363.636363636302</v>
      </c>
      <c r="F1412" s="3">
        <v>45499.999999999935</v>
      </c>
      <c r="G1412" s="3">
        <v>45500</v>
      </c>
      <c r="H1412" s="25">
        <v>30748</v>
      </c>
    </row>
    <row r="1413" spans="1:8" x14ac:dyDescent="0.3">
      <c r="A1413" s="64">
        <v>2.02602061912323E+18</v>
      </c>
      <c r="B1413" t="s">
        <v>5594</v>
      </c>
      <c r="C1413" s="65">
        <f t="shared" si="22"/>
        <v>46059</v>
      </c>
      <c r="D1413" s="3">
        <v>1</v>
      </c>
      <c r="E1413" s="3">
        <v>41363.636363636302</v>
      </c>
      <c r="F1413" s="3">
        <v>45499.999999999935</v>
      </c>
      <c r="G1413" s="3">
        <v>45500</v>
      </c>
      <c r="H1413" s="25">
        <v>30748</v>
      </c>
    </row>
    <row r="1414" spans="1:8" x14ac:dyDescent="0.3">
      <c r="A1414" s="64">
        <v>2.0260206163606999E+18</v>
      </c>
      <c r="B1414" t="s">
        <v>5594</v>
      </c>
      <c r="C1414" s="65">
        <f t="shared" si="22"/>
        <v>46059</v>
      </c>
      <c r="D1414" s="3">
        <v>1</v>
      </c>
      <c r="E1414" s="3">
        <v>41363.636363636302</v>
      </c>
      <c r="F1414" s="3">
        <v>45499.999999999935</v>
      </c>
      <c r="G1414" s="3">
        <v>45500</v>
      </c>
      <c r="H1414" s="25">
        <v>30748</v>
      </c>
    </row>
    <row r="1415" spans="1:8" x14ac:dyDescent="0.3">
      <c r="A1415" s="64">
        <v>2.0260206163110999E+18</v>
      </c>
      <c r="B1415" t="s">
        <v>5594</v>
      </c>
      <c r="C1415" s="65">
        <f t="shared" si="22"/>
        <v>46059</v>
      </c>
      <c r="D1415" s="3">
        <v>1</v>
      </c>
      <c r="E1415" s="3">
        <v>41363.636363636302</v>
      </c>
      <c r="F1415" s="3">
        <v>45499.999999999935</v>
      </c>
      <c r="G1415" s="3">
        <v>45500</v>
      </c>
      <c r="H1415" s="25">
        <v>30748</v>
      </c>
    </row>
    <row r="1416" spans="1:8" x14ac:dyDescent="0.3">
      <c r="A1416" s="64">
        <v>2.0260206162218601E+18</v>
      </c>
      <c r="B1416" t="s">
        <v>5594</v>
      </c>
      <c r="C1416" s="65">
        <f t="shared" si="22"/>
        <v>46059</v>
      </c>
      <c r="D1416" s="3">
        <v>1</v>
      </c>
      <c r="E1416" s="3">
        <v>41363.636363636302</v>
      </c>
      <c r="F1416" s="3">
        <v>45499.999999999935</v>
      </c>
      <c r="G1416" s="3">
        <v>45500</v>
      </c>
      <c r="H1416" s="25">
        <v>30748</v>
      </c>
    </row>
    <row r="1417" spans="1:8" x14ac:dyDescent="0.3">
      <c r="A1417" s="64">
        <v>2.0260206161657201E+18</v>
      </c>
      <c r="B1417" t="s">
        <v>5594</v>
      </c>
      <c r="C1417" s="65">
        <f t="shared" si="22"/>
        <v>46059</v>
      </c>
      <c r="D1417" s="3">
        <v>1</v>
      </c>
      <c r="E1417" s="3">
        <v>41363.636363636302</v>
      </c>
      <c r="F1417" s="3">
        <v>45499.999999999935</v>
      </c>
      <c r="G1417" s="3">
        <v>45500</v>
      </c>
      <c r="H1417" s="25">
        <v>30748</v>
      </c>
    </row>
    <row r="1418" spans="1:8" x14ac:dyDescent="0.3">
      <c r="A1418" s="64">
        <v>2.0260206153656901E+18</v>
      </c>
      <c r="B1418" t="s">
        <v>5594</v>
      </c>
      <c r="C1418" s="65">
        <f t="shared" si="22"/>
        <v>46059</v>
      </c>
      <c r="D1418" s="3">
        <v>1</v>
      </c>
      <c r="E1418" s="3">
        <v>41363.636363636302</v>
      </c>
      <c r="F1418" s="3">
        <v>45499.999999999935</v>
      </c>
      <c r="G1418" s="3">
        <v>45500</v>
      </c>
      <c r="H1418" s="25">
        <v>30748</v>
      </c>
    </row>
    <row r="1419" spans="1:8" x14ac:dyDescent="0.3">
      <c r="A1419" s="64">
        <v>2.02602061528275E+18</v>
      </c>
      <c r="B1419" t="s">
        <v>5594</v>
      </c>
      <c r="C1419" s="65">
        <f t="shared" si="22"/>
        <v>46059</v>
      </c>
      <c r="D1419" s="3">
        <v>1</v>
      </c>
      <c r="E1419" s="3">
        <v>41363.636363636302</v>
      </c>
      <c r="F1419" s="3">
        <v>45499.999999999935</v>
      </c>
      <c r="G1419" s="3">
        <v>45500</v>
      </c>
      <c r="H1419" s="25">
        <v>30748</v>
      </c>
    </row>
    <row r="1420" spans="1:8" x14ac:dyDescent="0.3">
      <c r="A1420" s="64">
        <v>2.02602061527425E+18</v>
      </c>
      <c r="B1420" t="s">
        <v>5594</v>
      </c>
      <c r="C1420" s="65">
        <f t="shared" si="22"/>
        <v>46059</v>
      </c>
      <c r="D1420" s="3">
        <v>1</v>
      </c>
      <c r="E1420" s="3">
        <v>41363.636363636302</v>
      </c>
      <c r="F1420" s="3">
        <v>45499.999999999935</v>
      </c>
      <c r="G1420" s="3">
        <v>45500</v>
      </c>
      <c r="H1420" s="25">
        <v>30748</v>
      </c>
    </row>
    <row r="1421" spans="1:8" x14ac:dyDescent="0.3">
      <c r="A1421" s="64">
        <v>2.02602061520416E+18</v>
      </c>
      <c r="B1421" t="s">
        <v>5594</v>
      </c>
      <c r="C1421" s="65">
        <f t="shared" si="22"/>
        <v>46059</v>
      </c>
      <c r="D1421" s="3">
        <v>1</v>
      </c>
      <c r="E1421" s="3">
        <v>41363.636363636302</v>
      </c>
      <c r="F1421" s="3">
        <v>45499.999999999935</v>
      </c>
      <c r="G1421" s="3">
        <v>45500</v>
      </c>
      <c r="H1421" s="25">
        <v>30748</v>
      </c>
    </row>
    <row r="1422" spans="1:8" x14ac:dyDescent="0.3">
      <c r="A1422" s="64">
        <v>2.0260206152023401E+18</v>
      </c>
      <c r="B1422" t="s">
        <v>5594</v>
      </c>
      <c r="C1422" s="65">
        <f t="shared" si="22"/>
        <v>46059</v>
      </c>
      <c r="D1422" s="3">
        <v>1</v>
      </c>
      <c r="E1422" s="3">
        <v>41363.636363636302</v>
      </c>
      <c r="F1422" s="3">
        <v>45499.999999999935</v>
      </c>
      <c r="G1422" s="3">
        <v>45500</v>
      </c>
      <c r="H1422" s="25">
        <v>30748</v>
      </c>
    </row>
    <row r="1423" spans="1:8" x14ac:dyDescent="0.3">
      <c r="A1423" s="64">
        <v>2.02602061517088E+18</v>
      </c>
      <c r="B1423" t="s">
        <v>5594</v>
      </c>
      <c r="C1423" s="65">
        <f t="shared" si="22"/>
        <v>46059</v>
      </c>
      <c r="D1423" s="3">
        <v>1</v>
      </c>
      <c r="E1423" s="3">
        <v>41363.636363636302</v>
      </c>
      <c r="F1423" s="3">
        <v>45499.999999999935</v>
      </c>
      <c r="G1423" s="3">
        <v>45500</v>
      </c>
      <c r="H1423" s="25">
        <v>30748</v>
      </c>
    </row>
    <row r="1424" spans="1:8" x14ac:dyDescent="0.3">
      <c r="A1424" s="64">
        <v>2.02602061514462E+18</v>
      </c>
      <c r="B1424" t="s">
        <v>5594</v>
      </c>
      <c r="C1424" s="65">
        <f t="shared" si="22"/>
        <v>46059</v>
      </c>
      <c r="D1424" s="3">
        <v>1</v>
      </c>
      <c r="E1424" s="3">
        <v>41363.636363636302</v>
      </c>
      <c r="F1424" s="3">
        <v>45499.999999999935</v>
      </c>
      <c r="G1424" s="3">
        <v>45500</v>
      </c>
      <c r="H1424" s="25">
        <v>30748</v>
      </c>
    </row>
    <row r="1425" spans="1:8" x14ac:dyDescent="0.3">
      <c r="A1425" s="64">
        <v>2.02602061510497E+18</v>
      </c>
      <c r="B1425" t="s">
        <v>5594</v>
      </c>
      <c r="C1425" s="65">
        <f t="shared" si="22"/>
        <v>46059</v>
      </c>
      <c r="D1425" s="3">
        <v>1</v>
      </c>
      <c r="E1425" s="3">
        <v>41363.636363636302</v>
      </c>
      <c r="F1425" s="3">
        <v>45499.999999999935</v>
      </c>
      <c r="G1425" s="3">
        <v>45500</v>
      </c>
      <c r="H1425" s="25">
        <v>30748</v>
      </c>
    </row>
    <row r="1426" spans="1:8" x14ac:dyDescent="0.3">
      <c r="A1426" s="64">
        <v>2.0260206144735201E+18</v>
      </c>
      <c r="B1426" t="s">
        <v>5594</v>
      </c>
      <c r="C1426" s="65">
        <f t="shared" si="22"/>
        <v>46059</v>
      </c>
      <c r="D1426" s="3">
        <v>1</v>
      </c>
      <c r="E1426" s="3">
        <v>41363.636363636302</v>
      </c>
      <c r="F1426" s="3">
        <v>45499.999999999935</v>
      </c>
      <c r="G1426" s="3">
        <v>45500</v>
      </c>
      <c r="H1426" s="25">
        <v>30748</v>
      </c>
    </row>
    <row r="1427" spans="1:8" x14ac:dyDescent="0.3">
      <c r="A1427" s="64">
        <v>2.02602061438269E+18</v>
      </c>
      <c r="B1427" t="s">
        <v>5594</v>
      </c>
      <c r="C1427" s="65">
        <f t="shared" si="22"/>
        <v>46059</v>
      </c>
      <c r="D1427" s="3">
        <v>1</v>
      </c>
      <c r="E1427" s="3">
        <v>41363.636363636302</v>
      </c>
      <c r="F1427" s="3">
        <v>45499.999999999935</v>
      </c>
      <c r="G1427" s="3">
        <v>45500</v>
      </c>
      <c r="H1427" s="25">
        <v>30748</v>
      </c>
    </row>
    <row r="1428" spans="1:8" x14ac:dyDescent="0.3">
      <c r="A1428" s="64">
        <v>2.0260206142657101E+18</v>
      </c>
      <c r="B1428" t="s">
        <v>5594</v>
      </c>
      <c r="C1428" s="65">
        <f t="shared" si="22"/>
        <v>46059</v>
      </c>
      <c r="D1428" s="3">
        <v>1</v>
      </c>
      <c r="E1428" s="3">
        <v>41363.636363636302</v>
      </c>
      <c r="F1428" s="3">
        <v>45499.999999999935</v>
      </c>
      <c r="G1428" s="3">
        <v>45500</v>
      </c>
      <c r="H1428" s="25">
        <v>30748</v>
      </c>
    </row>
    <row r="1429" spans="1:8" x14ac:dyDescent="0.3">
      <c r="A1429" s="64">
        <v>2.02602061329456E+18</v>
      </c>
      <c r="B1429" t="s">
        <v>5594</v>
      </c>
      <c r="C1429" s="65">
        <f t="shared" si="22"/>
        <v>46059</v>
      </c>
      <c r="D1429" s="3">
        <v>1</v>
      </c>
      <c r="E1429" s="3">
        <v>41363.636363636302</v>
      </c>
      <c r="F1429" s="3">
        <v>45499.999999999935</v>
      </c>
      <c r="G1429" s="3">
        <v>45500</v>
      </c>
      <c r="H1429" s="25">
        <v>30748</v>
      </c>
    </row>
    <row r="1430" spans="1:8" x14ac:dyDescent="0.3">
      <c r="A1430" s="64">
        <v>2.02602061242429E+18</v>
      </c>
      <c r="B1430" t="s">
        <v>5594</v>
      </c>
      <c r="C1430" s="65">
        <f t="shared" si="22"/>
        <v>46059</v>
      </c>
      <c r="D1430" s="3">
        <v>2</v>
      </c>
      <c r="E1430" s="3">
        <v>41363.636363636353</v>
      </c>
      <c r="F1430" s="3">
        <v>91000</v>
      </c>
      <c r="G1430" s="3">
        <v>91000</v>
      </c>
      <c r="H1430" s="25">
        <v>61496</v>
      </c>
    </row>
    <row r="1431" spans="1:8" x14ac:dyDescent="0.3">
      <c r="A1431" s="64">
        <v>2.0260206123241001E+18</v>
      </c>
      <c r="B1431" t="s">
        <v>5594</v>
      </c>
      <c r="C1431" s="65">
        <f t="shared" si="22"/>
        <v>46059</v>
      </c>
      <c r="D1431" s="3">
        <v>1</v>
      </c>
      <c r="E1431" s="3">
        <v>41363.636363636302</v>
      </c>
      <c r="F1431" s="3">
        <v>45499.999999999935</v>
      </c>
      <c r="G1431" s="3">
        <v>45500</v>
      </c>
      <c r="H1431" s="25">
        <v>30748</v>
      </c>
    </row>
    <row r="1432" spans="1:8" x14ac:dyDescent="0.3">
      <c r="A1432" s="64">
        <v>2.0260206112135301E+18</v>
      </c>
      <c r="B1432" t="s">
        <v>5594</v>
      </c>
      <c r="C1432" s="65">
        <f t="shared" si="22"/>
        <v>46059</v>
      </c>
      <c r="D1432" s="3">
        <v>2</v>
      </c>
      <c r="E1432" s="3">
        <v>41363.636363636353</v>
      </c>
      <c r="F1432" s="3">
        <v>91000</v>
      </c>
      <c r="G1432" s="3">
        <v>91000</v>
      </c>
      <c r="H1432" s="25">
        <v>61496</v>
      </c>
    </row>
    <row r="1433" spans="1:8" x14ac:dyDescent="0.3">
      <c r="A1433" s="64">
        <v>2.02602061126591E+18</v>
      </c>
      <c r="B1433" t="s">
        <v>5594</v>
      </c>
      <c r="C1433" s="65">
        <f t="shared" si="22"/>
        <v>46059</v>
      </c>
      <c r="D1433" s="3">
        <v>2</v>
      </c>
      <c r="E1433" s="3">
        <v>41363.636363636353</v>
      </c>
      <c r="F1433" s="3">
        <v>91000</v>
      </c>
      <c r="G1433" s="3">
        <v>91000</v>
      </c>
      <c r="H1433" s="25">
        <v>61496</v>
      </c>
    </row>
    <row r="1434" spans="1:8" x14ac:dyDescent="0.3">
      <c r="A1434" s="64">
        <v>2.0260206111532001E+18</v>
      </c>
      <c r="B1434" t="s">
        <v>5594</v>
      </c>
      <c r="C1434" s="65">
        <f t="shared" si="22"/>
        <v>46059</v>
      </c>
      <c r="D1434" s="3">
        <v>1</v>
      </c>
      <c r="E1434" s="3">
        <v>41363.636363636302</v>
      </c>
      <c r="F1434" s="3">
        <v>45499.999999999935</v>
      </c>
      <c r="G1434" s="3">
        <v>45500</v>
      </c>
      <c r="H1434" s="25">
        <v>30748</v>
      </c>
    </row>
    <row r="1435" spans="1:8" x14ac:dyDescent="0.3">
      <c r="A1435" s="64">
        <v>2.0260206040057101E+18</v>
      </c>
      <c r="B1435" t="s">
        <v>5594</v>
      </c>
      <c r="C1435" s="65">
        <f t="shared" si="22"/>
        <v>46059</v>
      </c>
      <c r="D1435" s="3">
        <v>1</v>
      </c>
      <c r="E1435" s="3">
        <v>41363.636363636302</v>
      </c>
      <c r="F1435" s="3">
        <v>45499.999999999935</v>
      </c>
      <c r="G1435" s="3">
        <v>45500</v>
      </c>
      <c r="H1435" s="25">
        <v>30748</v>
      </c>
    </row>
    <row r="1436" spans="1:8" x14ac:dyDescent="0.3">
      <c r="A1436" s="64">
        <v>2.0260206035917801E+18</v>
      </c>
      <c r="B1436" t="s">
        <v>5594</v>
      </c>
      <c r="C1436" s="65">
        <f t="shared" si="22"/>
        <v>46059</v>
      </c>
      <c r="D1436" s="3">
        <v>1</v>
      </c>
      <c r="E1436" s="3">
        <v>41363.636363636302</v>
      </c>
      <c r="F1436" s="3">
        <v>45499.999999999935</v>
      </c>
      <c r="G1436" s="3">
        <v>45500</v>
      </c>
      <c r="H1436" s="25">
        <v>30748</v>
      </c>
    </row>
    <row r="1437" spans="1:8" x14ac:dyDescent="0.3">
      <c r="A1437" s="64">
        <v>2.02602060008563E+18</v>
      </c>
      <c r="B1437" t="s">
        <v>5594</v>
      </c>
      <c r="C1437" s="65">
        <f t="shared" si="22"/>
        <v>46059</v>
      </c>
      <c r="D1437" s="3">
        <v>1</v>
      </c>
      <c r="E1437" s="3">
        <v>41363.636363636302</v>
      </c>
      <c r="F1437" s="3">
        <v>45499.999999999935</v>
      </c>
      <c r="G1437" s="3">
        <v>45500</v>
      </c>
      <c r="H1437" s="25">
        <v>30748</v>
      </c>
    </row>
    <row r="1438" spans="1:8" x14ac:dyDescent="0.3">
      <c r="A1438" s="64">
        <v>2.0260209090323899E+18</v>
      </c>
      <c r="B1438" t="s">
        <v>5594</v>
      </c>
      <c r="C1438" s="65">
        <f t="shared" si="22"/>
        <v>46062</v>
      </c>
      <c r="D1438" s="3">
        <v>1</v>
      </c>
      <c r="E1438" s="3">
        <v>41363.636363636302</v>
      </c>
      <c r="F1438" s="3">
        <v>45499.999999999935</v>
      </c>
      <c r="G1438" s="3">
        <v>45500</v>
      </c>
      <c r="H1438" s="25">
        <v>15374</v>
      </c>
    </row>
    <row r="1439" spans="1:8" x14ac:dyDescent="0.3">
      <c r="A1439" s="64">
        <v>2.02602090807597E+18</v>
      </c>
      <c r="B1439" t="s">
        <v>5594</v>
      </c>
      <c r="C1439" s="65">
        <f t="shared" si="22"/>
        <v>46062</v>
      </c>
      <c r="D1439" s="3">
        <v>1</v>
      </c>
      <c r="E1439" s="3">
        <v>41363.636363636302</v>
      </c>
      <c r="F1439" s="3">
        <v>45499.999999999935</v>
      </c>
      <c r="G1439" s="3">
        <v>45500</v>
      </c>
      <c r="H1439" s="25">
        <v>15374</v>
      </c>
    </row>
    <row r="1440" spans="1:8" x14ac:dyDescent="0.3">
      <c r="A1440" s="64">
        <v>2.02602090705537E+18</v>
      </c>
      <c r="B1440" t="s">
        <v>5594</v>
      </c>
      <c r="C1440" s="65">
        <f t="shared" si="22"/>
        <v>46062</v>
      </c>
      <c r="D1440" s="3">
        <v>1</v>
      </c>
      <c r="E1440" s="3">
        <v>41363.636363636302</v>
      </c>
      <c r="F1440" s="3">
        <v>45499.999999999935</v>
      </c>
      <c r="G1440" s="3">
        <v>45500</v>
      </c>
      <c r="H1440" s="25">
        <v>15374</v>
      </c>
    </row>
    <row r="1441" spans="1:8" x14ac:dyDescent="0.3">
      <c r="A1441" s="64">
        <v>2.0260208184923799E+18</v>
      </c>
      <c r="B1441" t="s">
        <v>5594</v>
      </c>
      <c r="C1441" s="65">
        <f t="shared" si="22"/>
        <v>46061</v>
      </c>
      <c r="D1441" s="3">
        <v>1</v>
      </c>
      <c r="E1441" s="3">
        <v>57272.727272727199</v>
      </c>
      <c r="F1441" s="3">
        <v>62999.999999999927</v>
      </c>
      <c r="G1441" s="3">
        <v>63000</v>
      </c>
      <c r="H1441" s="25">
        <v>30748</v>
      </c>
    </row>
    <row r="1442" spans="1:8" x14ac:dyDescent="0.3">
      <c r="A1442" s="64">
        <v>2.02602081812339E+18</v>
      </c>
      <c r="B1442" t="s">
        <v>5594</v>
      </c>
      <c r="C1442" s="65">
        <f t="shared" si="22"/>
        <v>46061</v>
      </c>
      <c r="D1442" s="3">
        <v>2</v>
      </c>
      <c r="E1442" s="3">
        <v>57272.727272727003</v>
      </c>
      <c r="F1442" s="3">
        <v>125999.99999999942</v>
      </c>
      <c r="G1442" s="3">
        <v>126000</v>
      </c>
      <c r="H1442" s="25">
        <v>61496</v>
      </c>
    </row>
    <row r="1443" spans="1:8" x14ac:dyDescent="0.3">
      <c r="A1443" s="64">
        <v>2.0260208175501599E+18</v>
      </c>
      <c r="B1443" t="s">
        <v>5594</v>
      </c>
      <c r="C1443" s="65">
        <f t="shared" si="22"/>
        <v>46061</v>
      </c>
      <c r="D1443" s="3">
        <v>1</v>
      </c>
      <c r="E1443" s="3">
        <v>57272.727272727199</v>
      </c>
      <c r="F1443" s="3">
        <v>62999.999999999927</v>
      </c>
      <c r="G1443" s="3">
        <v>63000</v>
      </c>
      <c r="H1443" s="25">
        <v>30748</v>
      </c>
    </row>
    <row r="1444" spans="1:8" x14ac:dyDescent="0.3">
      <c r="A1444" s="64">
        <v>2.0260208175207601E+18</v>
      </c>
      <c r="B1444" t="s">
        <v>5594</v>
      </c>
      <c r="C1444" s="65">
        <f t="shared" si="22"/>
        <v>46061</v>
      </c>
      <c r="D1444" s="3">
        <v>1</v>
      </c>
      <c r="E1444" s="3">
        <v>57272.727272727199</v>
      </c>
      <c r="F1444" s="3">
        <v>62999.999999999927</v>
      </c>
      <c r="G1444" s="3">
        <v>63000</v>
      </c>
      <c r="H1444" s="25">
        <v>30748</v>
      </c>
    </row>
    <row r="1445" spans="1:8" x14ac:dyDescent="0.3">
      <c r="A1445" s="64">
        <v>2.0260208174407099E+18</v>
      </c>
      <c r="B1445" t="s">
        <v>5594</v>
      </c>
      <c r="C1445" s="65">
        <f t="shared" si="22"/>
        <v>46061</v>
      </c>
      <c r="D1445" s="3">
        <v>1</v>
      </c>
      <c r="E1445" s="3">
        <v>57272.727272727199</v>
      </c>
      <c r="F1445" s="3">
        <v>62999.999999999927</v>
      </c>
      <c r="G1445" s="3">
        <v>63000</v>
      </c>
      <c r="H1445" s="25">
        <v>30748</v>
      </c>
    </row>
    <row r="1446" spans="1:8" x14ac:dyDescent="0.3">
      <c r="A1446" s="64">
        <v>2.0260208141737001E+18</v>
      </c>
      <c r="B1446" t="s">
        <v>5594</v>
      </c>
      <c r="C1446" s="65">
        <f t="shared" si="22"/>
        <v>46061</v>
      </c>
      <c r="D1446" s="3">
        <v>1</v>
      </c>
      <c r="E1446" s="3">
        <v>57272.727272727199</v>
      </c>
      <c r="F1446" s="3">
        <v>62999.999999999927</v>
      </c>
      <c r="G1446" s="3">
        <v>63000</v>
      </c>
      <c r="H1446" s="25">
        <v>30748</v>
      </c>
    </row>
    <row r="1447" spans="1:8" x14ac:dyDescent="0.3">
      <c r="A1447" s="64">
        <v>2.02602081327074E+18</v>
      </c>
      <c r="B1447" t="s">
        <v>5594</v>
      </c>
      <c r="C1447" s="65">
        <f t="shared" si="22"/>
        <v>46061</v>
      </c>
      <c r="D1447" s="3">
        <v>1</v>
      </c>
      <c r="E1447" s="3">
        <v>57272.727272727199</v>
      </c>
      <c r="F1447" s="3">
        <v>62999.999999999927</v>
      </c>
      <c r="G1447" s="3">
        <v>63000</v>
      </c>
      <c r="H1447" s="25">
        <v>30748</v>
      </c>
    </row>
    <row r="1448" spans="1:8" x14ac:dyDescent="0.3">
      <c r="A1448" s="64">
        <v>2.0260208132624599E+18</v>
      </c>
      <c r="B1448" t="s">
        <v>5594</v>
      </c>
      <c r="C1448" s="65">
        <f t="shared" si="22"/>
        <v>46061</v>
      </c>
      <c r="D1448" s="3">
        <v>1</v>
      </c>
      <c r="E1448" s="3">
        <v>57272.727272727199</v>
      </c>
      <c r="F1448" s="3">
        <v>62999.999999999927</v>
      </c>
      <c r="G1448" s="3">
        <v>63000</v>
      </c>
      <c r="H1448" s="25">
        <v>30748</v>
      </c>
    </row>
    <row r="1449" spans="1:8" x14ac:dyDescent="0.3">
      <c r="A1449" s="64">
        <v>2.02602072107522E+18</v>
      </c>
      <c r="B1449" t="s">
        <v>5594</v>
      </c>
      <c r="C1449" s="65">
        <f t="shared" si="22"/>
        <v>46060</v>
      </c>
      <c r="D1449" s="3">
        <v>1</v>
      </c>
      <c r="E1449" s="3">
        <v>57272.727272727199</v>
      </c>
      <c r="F1449" s="3">
        <v>62999.999999999927</v>
      </c>
      <c r="G1449" s="3">
        <v>63000</v>
      </c>
      <c r="H1449" s="25">
        <v>30748</v>
      </c>
    </row>
    <row r="1450" spans="1:8" x14ac:dyDescent="0.3">
      <c r="A1450" s="64">
        <v>2.0260207210336499E+18</v>
      </c>
      <c r="B1450" t="s">
        <v>5594</v>
      </c>
      <c r="C1450" s="65">
        <f t="shared" si="22"/>
        <v>46060</v>
      </c>
      <c r="D1450" s="3">
        <v>1</v>
      </c>
      <c r="E1450" s="3">
        <v>57272.727272727199</v>
      </c>
      <c r="F1450" s="3">
        <v>62999.999999999927</v>
      </c>
      <c r="G1450" s="3">
        <v>63000</v>
      </c>
      <c r="H1450" s="25">
        <v>30748</v>
      </c>
    </row>
    <row r="1451" spans="1:8" x14ac:dyDescent="0.3">
      <c r="A1451" s="64">
        <v>2.02602071755298E+18</v>
      </c>
      <c r="B1451" t="s">
        <v>5594</v>
      </c>
      <c r="C1451" s="65">
        <f t="shared" si="22"/>
        <v>46060</v>
      </c>
      <c r="D1451" s="3">
        <v>1</v>
      </c>
      <c r="E1451" s="3">
        <v>57272.727272727199</v>
      </c>
      <c r="F1451" s="3">
        <v>62999.999999999927</v>
      </c>
      <c r="G1451" s="3">
        <v>63000</v>
      </c>
      <c r="H1451" s="25">
        <v>30748</v>
      </c>
    </row>
    <row r="1452" spans="1:8" x14ac:dyDescent="0.3">
      <c r="A1452" s="64">
        <v>2.0260207174407099E+18</v>
      </c>
      <c r="B1452" t="s">
        <v>5594</v>
      </c>
      <c r="C1452" s="65">
        <f t="shared" si="22"/>
        <v>46060</v>
      </c>
      <c r="D1452" s="3">
        <v>1</v>
      </c>
      <c r="E1452" s="3">
        <v>57272.727272727199</v>
      </c>
      <c r="F1452" s="3">
        <v>62999.999999999927</v>
      </c>
      <c r="G1452" s="3">
        <v>63000</v>
      </c>
      <c r="H1452" s="25">
        <v>30748</v>
      </c>
    </row>
    <row r="1453" spans="1:8" x14ac:dyDescent="0.3">
      <c r="A1453" s="64">
        <v>2.0260207164154099E+18</v>
      </c>
      <c r="B1453" t="s">
        <v>5594</v>
      </c>
      <c r="C1453" s="65">
        <f t="shared" si="22"/>
        <v>46060</v>
      </c>
      <c r="D1453" s="3">
        <v>1</v>
      </c>
      <c r="E1453" s="3">
        <v>57272.727272727199</v>
      </c>
      <c r="F1453" s="3">
        <v>62999.999999999927</v>
      </c>
      <c r="G1453" s="3">
        <v>63000</v>
      </c>
      <c r="H1453" s="25">
        <v>30748</v>
      </c>
    </row>
    <row r="1454" spans="1:8" x14ac:dyDescent="0.3">
      <c r="A1454" s="64">
        <v>2.02602071441133E+18</v>
      </c>
      <c r="B1454" t="s">
        <v>5594</v>
      </c>
      <c r="C1454" s="65">
        <f t="shared" si="22"/>
        <v>46060</v>
      </c>
      <c r="D1454" s="3">
        <v>1</v>
      </c>
      <c r="E1454" s="3">
        <v>57272.727272727199</v>
      </c>
      <c r="F1454" s="3">
        <v>62999.999999999927</v>
      </c>
      <c r="G1454" s="3">
        <v>63000</v>
      </c>
      <c r="H1454" s="25">
        <v>30748</v>
      </c>
    </row>
    <row r="1455" spans="1:8" x14ac:dyDescent="0.3">
      <c r="A1455" s="64">
        <v>2.0260207130103301E+18</v>
      </c>
      <c r="B1455" t="s">
        <v>5594</v>
      </c>
      <c r="C1455" s="65">
        <f t="shared" si="22"/>
        <v>46060</v>
      </c>
      <c r="D1455" s="3">
        <v>1</v>
      </c>
      <c r="E1455" s="3">
        <v>57272.727272727199</v>
      </c>
      <c r="F1455" s="3">
        <v>62999.999999999927</v>
      </c>
      <c r="G1455" s="3">
        <v>63000</v>
      </c>
      <c r="H1455" s="25">
        <v>30748</v>
      </c>
    </row>
    <row r="1456" spans="1:8" x14ac:dyDescent="0.3">
      <c r="A1456" s="64">
        <v>2.02602070744561E+18</v>
      </c>
      <c r="B1456" t="s">
        <v>5594</v>
      </c>
      <c r="C1456" s="65">
        <f t="shared" si="22"/>
        <v>46060</v>
      </c>
      <c r="D1456" s="3">
        <v>1</v>
      </c>
      <c r="E1456" s="3">
        <v>57272.727272727199</v>
      </c>
      <c r="F1456" s="3">
        <v>62999.999999999927</v>
      </c>
      <c r="G1456" s="3">
        <v>63000</v>
      </c>
      <c r="H1456" s="25">
        <v>30748</v>
      </c>
    </row>
    <row r="1457" spans="1:8" x14ac:dyDescent="0.3">
      <c r="A1457" s="64">
        <v>2.02602062224431E+18</v>
      </c>
      <c r="B1457" t="s">
        <v>5594</v>
      </c>
      <c r="C1457" s="65">
        <f t="shared" si="22"/>
        <v>46059</v>
      </c>
      <c r="D1457" s="3">
        <v>1</v>
      </c>
      <c r="E1457" s="3">
        <v>57272.727272727199</v>
      </c>
      <c r="F1457" s="3">
        <v>62999.999999999927</v>
      </c>
      <c r="G1457" s="3">
        <v>63000</v>
      </c>
      <c r="H1457" s="25">
        <v>30748</v>
      </c>
    </row>
    <row r="1458" spans="1:8" x14ac:dyDescent="0.3">
      <c r="A1458" s="64">
        <v>2.02602062134259E+18</v>
      </c>
      <c r="B1458" t="s">
        <v>5594</v>
      </c>
      <c r="C1458" s="65">
        <f t="shared" si="22"/>
        <v>46059</v>
      </c>
      <c r="D1458" s="3">
        <v>1</v>
      </c>
      <c r="E1458" s="3">
        <v>57272.727272727199</v>
      </c>
      <c r="F1458" s="3">
        <v>62999.999999999927</v>
      </c>
      <c r="G1458" s="3">
        <v>63000</v>
      </c>
      <c r="H1458" s="25">
        <v>30748</v>
      </c>
    </row>
    <row r="1459" spans="1:8" x14ac:dyDescent="0.3">
      <c r="A1459" s="64">
        <v>2.0260206205947799E+18</v>
      </c>
      <c r="B1459" t="s">
        <v>5594</v>
      </c>
      <c r="C1459" s="65">
        <f t="shared" si="22"/>
        <v>46059</v>
      </c>
      <c r="D1459" s="3">
        <v>1</v>
      </c>
      <c r="E1459" s="3">
        <v>57272.727272727199</v>
      </c>
      <c r="F1459" s="3">
        <v>62999.999999999927</v>
      </c>
      <c r="G1459" s="3">
        <v>63000</v>
      </c>
      <c r="H1459" s="25">
        <v>30748</v>
      </c>
    </row>
    <row r="1460" spans="1:8" x14ac:dyDescent="0.3">
      <c r="A1460" s="64">
        <v>2.02602062034176E+18</v>
      </c>
      <c r="B1460" t="s">
        <v>5594</v>
      </c>
      <c r="C1460" s="65">
        <f t="shared" si="22"/>
        <v>46059</v>
      </c>
      <c r="D1460" s="3">
        <v>1</v>
      </c>
      <c r="E1460" s="3">
        <v>57272.727272727199</v>
      </c>
      <c r="F1460" s="3">
        <v>62999.999999999927</v>
      </c>
      <c r="G1460" s="3">
        <v>63000</v>
      </c>
      <c r="H1460" s="25">
        <v>30748</v>
      </c>
    </row>
    <row r="1461" spans="1:8" x14ac:dyDescent="0.3">
      <c r="A1461" s="64">
        <v>2.0260206202935401E+18</v>
      </c>
      <c r="B1461" t="s">
        <v>5594</v>
      </c>
      <c r="C1461" s="65">
        <f t="shared" si="22"/>
        <v>46059</v>
      </c>
      <c r="D1461" s="3">
        <v>1</v>
      </c>
      <c r="E1461" s="3">
        <v>57272.727272727199</v>
      </c>
      <c r="F1461" s="3">
        <v>62999.999999999927</v>
      </c>
      <c r="G1461" s="3">
        <v>63000</v>
      </c>
      <c r="H1461" s="25">
        <v>30748</v>
      </c>
    </row>
    <row r="1462" spans="1:8" x14ac:dyDescent="0.3">
      <c r="A1462" s="64">
        <v>2.0260206200755E+18</v>
      </c>
      <c r="B1462" t="s">
        <v>5594</v>
      </c>
      <c r="C1462" s="65">
        <f t="shared" si="22"/>
        <v>46059</v>
      </c>
      <c r="D1462" s="3">
        <v>1</v>
      </c>
      <c r="E1462" s="3">
        <v>57272.727272727199</v>
      </c>
      <c r="F1462" s="3">
        <v>62999.999999999927</v>
      </c>
      <c r="G1462" s="3">
        <v>63000</v>
      </c>
      <c r="H1462" s="25">
        <v>30748</v>
      </c>
    </row>
    <row r="1463" spans="1:8" x14ac:dyDescent="0.3">
      <c r="A1463" s="64">
        <v>2.0260206195919201E+18</v>
      </c>
      <c r="B1463" t="s">
        <v>5594</v>
      </c>
      <c r="C1463" s="65">
        <f t="shared" si="22"/>
        <v>46059</v>
      </c>
      <c r="D1463" s="3">
        <v>1</v>
      </c>
      <c r="E1463" s="3">
        <v>57272.727272727199</v>
      </c>
      <c r="F1463" s="3">
        <v>62999.999999999927</v>
      </c>
      <c r="G1463" s="3">
        <v>63000</v>
      </c>
      <c r="H1463" s="25">
        <v>30748</v>
      </c>
    </row>
    <row r="1464" spans="1:8" x14ac:dyDescent="0.3">
      <c r="A1464" s="64">
        <v>2.026020619064E+18</v>
      </c>
      <c r="B1464" t="s">
        <v>5594</v>
      </c>
      <c r="C1464" s="65">
        <f t="shared" si="22"/>
        <v>46059</v>
      </c>
      <c r="D1464" s="3">
        <v>1</v>
      </c>
      <c r="E1464" s="3">
        <v>57272.727272727199</v>
      </c>
      <c r="F1464" s="3">
        <v>62999.999999999927</v>
      </c>
      <c r="G1464" s="3">
        <v>63000</v>
      </c>
      <c r="H1464" s="25">
        <v>30748</v>
      </c>
    </row>
    <row r="1465" spans="1:8" x14ac:dyDescent="0.3">
      <c r="A1465" s="64">
        <v>2.02602061656211E+18</v>
      </c>
      <c r="B1465" t="s">
        <v>5594</v>
      </c>
      <c r="C1465" s="65">
        <f t="shared" si="22"/>
        <v>46059</v>
      </c>
      <c r="D1465" s="3">
        <v>1</v>
      </c>
      <c r="E1465" s="3">
        <v>57272.727272727199</v>
      </c>
      <c r="F1465" s="3">
        <v>62999.999999999927</v>
      </c>
      <c r="G1465" s="3">
        <v>63000</v>
      </c>
      <c r="H1465" s="25">
        <v>30748</v>
      </c>
    </row>
    <row r="1466" spans="1:8" x14ac:dyDescent="0.3">
      <c r="A1466" s="64">
        <v>2.02602061440257E+18</v>
      </c>
      <c r="B1466" t="s">
        <v>5594</v>
      </c>
      <c r="C1466" s="65">
        <f t="shared" si="22"/>
        <v>46059</v>
      </c>
      <c r="D1466" s="3">
        <v>2</v>
      </c>
      <c r="E1466" s="3">
        <v>57272.727272727003</v>
      </c>
      <c r="F1466" s="3">
        <v>125999.99999999942</v>
      </c>
      <c r="G1466" s="3">
        <v>126000</v>
      </c>
      <c r="H1466" s="25">
        <v>61496</v>
      </c>
    </row>
    <row r="1467" spans="1:8" x14ac:dyDescent="0.3">
      <c r="A1467" s="64">
        <v>2.0260206143700401E+18</v>
      </c>
      <c r="B1467" t="s">
        <v>5594</v>
      </c>
      <c r="C1467" s="65">
        <f t="shared" si="22"/>
        <v>46059</v>
      </c>
      <c r="D1467" s="3">
        <v>2</v>
      </c>
      <c r="E1467" s="3">
        <v>57272.727272727003</v>
      </c>
      <c r="F1467" s="3">
        <v>125999.99999999942</v>
      </c>
      <c r="G1467" s="3">
        <v>126000</v>
      </c>
      <c r="H1467" s="25">
        <v>61496</v>
      </c>
    </row>
    <row r="1468" spans="1:8" x14ac:dyDescent="0.3">
      <c r="A1468" s="64">
        <v>2.02602061354271E+18</v>
      </c>
      <c r="B1468" t="s">
        <v>5594</v>
      </c>
      <c r="C1468" s="65">
        <f t="shared" si="22"/>
        <v>46059</v>
      </c>
      <c r="D1468" s="3">
        <v>1</v>
      </c>
      <c r="E1468" s="3">
        <v>57272.727272727199</v>
      </c>
      <c r="F1468" s="3">
        <v>62999.999999999927</v>
      </c>
      <c r="G1468" s="3">
        <v>63000</v>
      </c>
      <c r="H1468" s="25">
        <v>30748</v>
      </c>
    </row>
    <row r="1469" spans="1:8" x14ac:dyDescent="0.3">
      <c r="A1469" s="64">
        <v>2.02602100800559E+18</v>
      </c>
      <c r="B1469" t="s">
        <v>5594</v>
      </c>
      <c r="C1469" s="65">
        <f t="shared" si="22"/>
        <v>46063</v>
      </c>
      <c r="D1469" s="3">
        <v>1</v>
      </c>
      <c r="E1469" s="3">
        <v>41363.636363636302</v>
      </c>
      <c r="F1469" s="3">
        <v>45499.999999999935</v>
      </c>
      <c r="G1469" s="3">
        <v>45500</v>
      </c>
      <c r="H1469" s="25">
        <v>30748</v>
      </c>
    </row>
    <row r="1470" spans="1:8" x14ac:dyDescent="0.3">
      <c r="A1470" s="64">
        <v>2.02602100717117E+18</v>
      </c>
      <c r="B1470" t="s">
        <v>5594</v>
      </c>
      <c r="C1470" s="65">
        <f t="shared" si="22"/>
        <v>46063</v>
      </c>
      <c r="D1470" s="3">
        <v>1</v>
      </c>
      <c r="E1470" s="3">
        <v>41363.636363636302</v>
      </c>
      <c r="F1470" s="3">
        <v>45499.999999999935</v>
      </c>
      <c r="G1470" s="3">
        <v>45500</v>
      </c>
      <c r="H1470" s="25">
        <v>30748</v>
      </c>
    </row>
    <row r="1471" spans="1:8" x14ac:dyDescent="0.3">
      <c r="A1471" s="64">
        <v>2.0260210070557E+18</v>
      </c>
      <c r="B1471" t="s">
        <v>5594</v>
      </c>
      <c r="C1471" s="65">
        <f t="shared" si="22"/>
        <v>46063</v>
      </c>
      <c r="D1471" s="3">
        <v>1</v>
      </c>
      <c r="E1471" s="3">
        <v>41363.636363636302</v>
      </c>
      <c r="F1471" s="3">
        <v>45499.999999999935</v>
      </c>
      <c r="G1471" s="3">
        <v>45500</v>
      </c>
      <c r="H1471" s="25">
        <v>30748</v>
      </c>
    </row>
    <row r="1472" spans="1:8" x14ac:dyDescent="0.3">
      <c r="A1472" s="64">
        <v>2.02602100020302E+18</v>
      </c>
      <c r="B1472" t="s">
        <v>5594</v>
      </c>
      <c r="C1472" s="65">
        <f t="shared" si="22"/>
        <v>46063</v>
      </c>
      <c r="D1472" s="3">
        <v>1</v>
      </c>
      <c r="E1472" s="3">
        <v>41363.636363636302</v>
      </c>
      <c r="F1472" s="3">
        <v>45499.999999999935</v>
      </c>
      <c r="G1472" s="3">
        <v>45500</v>
      </c>
      <c r="H1472" s="25">
        <v>30748</v>
      </c>
    </row>
    <row r="1473" spans="1:8" x14ac:dyDescent="0.3">
      <c r="A1473" s="64">
        <v>2.0260209204757601E+18</v>
      </c>
      <c r="B1473" t="s">
        <v>5594</v>
      </c>
      <c r="C1473" s="65">
        <f t="shared" si="22"/>
        <v>46062</v>
      </c>
      <c r="D1473" s="3">
        <v>2</v>
      </c>
      <c r="E1473" s="3">
        <v>41363.636363636353</v>
      </c>
      <c r="F1473" s="3">
        <v>91000</v>
      </c>
      <c r="G1473" s="3">
        <v>91000</v>
      </c>
      <c r="H1473" s="25">
        <v>61496</v>
      </c>
    </row>
    <row r="1474" spans="1:8" x14ac:dyDescent="0.3">
      <c r="A1474" s="64">
        <v>2.0260209191840901E+18</v>
      </c>
      <c r="B1474" t="s">
        <v>5594</v>
      </c>
      <c r="C1474" s="65">
        <f t="shared" si="22"/>
        <v>46062</v>
      </c>
      <c r="D1474" s="3">
        <v>2</v>
      </c>
      <c r="E1474" s="3">
        <v>41363.636363636353</v>
      </c>
      <c r="F1474" s="3">
        <v>91000</v>
      </c>
      <c r="G1474" s="3">
        <v>91000</v>
      </c>
      <c r="H1474" s="25">
        <v>61496</v>
      </c>
    </row>
    <row r="1475" spans="1:8" x14ac:dyDescent="0.3">
      <c r="A1475" s="64">
        <v>2.0260209191610199E+18</v>
      </c>
      <c r="B1475" t="s">
        <v>5594</v>
      </c>
      <c r="C1475" s="65">
        <f t="shared" ref="C1475:C1538" si="23">DATE(LEFT(TEXT(A1475,"0"),4),MID(TEXT(A1475,"0"),5,2),MID(TEXT(A1475,"0"),7,2))</f>
        <v>46062</v>
      </c>
      <c r="D1475" s="3">
        <v>1</v>
      </c>
      <c r="E1475" s="3">
        <v>41363.636363636302</v>
      </c>
      <c r="F1475" s="3">
        <v>45499.999999999935</v>
      </c>
      <c r="G1475" s="3">
        <v>45500</v>
      </c>
      <c r="H1475" s="25">
        <v>30748</v>
      </c>
    </row>
    <row r="1476" spans="1:8" x14ac:dyDescent="0.3">
      <c r="A1476" s="64">
        <v>2.0260209191336699E+18</v>
      </c>
      <c r="B1476" t="s">
        <v>5594</v>
      </c>
      <c r="C1476" s="65">
        <f t="shared" si="23"/>
        <v>46062</v>
      </c>
      <c r="D1476" s="3">
        <v>1</v>
      </c>
      <c r="E1476" s="3">
        <v>41363.636363636302</v>
      </c>
      <c r="F1476" s="3">
        <v>45499.999999999935</v>
      </c>
      <c r="G1476" s="3">
        <v>45500</v>
      </c>
      <c r="H1476" s="25">
        <v>30748</v>
      </c>
    </row>
    <row r="1477" spans="1:8" x14ac:dyDescent="0.3">
      <c r="A1477" s="64">
        <v>2.0260209190055401E+18</v>
      </c>
      <c r="B1477" t="s">
        <v>5594</v>
      </c>
      <c r="C1477" s="65">
        <f t="shared" si="23"/>
        <v>46062</v>
      </c>
      <c r="D1477" s="3">
        <v>1</v>
      </c>
      <c r="E1477" s="3">
        <v>41363.636363636302</v>
      </c>
      <c r="F1477" s="3">
        <v>45499.999999999935</v>
      </c>
      <c r="G1477" s="3">
        <v>45500</v>
      </c>
      <c r="H1477" s="25">
        <v>30748</v>
      </c>
    </row>
    <row r="1478" spans="1:8" x14ac:dyDescent="0.3">
      <c r="A1478" s="64">
        <v>2.02602091852097E+18</v>
      </c>
      <c r="B1478" t="s">
        <v>5594</v>
      </c>
      <c r="C1478" s="65">
        <f t="shared" si="23"/>
        <v>46062</v>
      </c>
      <c r="D1478" s="3">
        <v>2</v>
      </c>
      <c r="E1478" s="3">
        <v>41363.636363636353</v>
      </c>
      <c r="F1478" s="3">
        <v>91000</v>
      </c>
      <c r="G1478" s="3">
        <v>91000</v>
      </c>
      <c r="H1478" s="25">
        <v>61496</v>
      </c>
    </row>
    <row r="1479" spans="1:8" x14ac:dyDescent="0.3">
      <c r="A1479" s="64">
        <v>2.02602091849039E+18</v>
      </c>
      <c r="B1479" t="s">
        <v>5594</v>
      </c>
      <c r="C1479" s="65">
        <f t="shared" si="23"/>
        <v>46062</v>
      </c>
      <c r="D1479" s="3">
        <v>1</v>
      </c>
      <c r="E1479" s="3">
        <v>41363.636363636302</v>
      </c>
      <c r="F1479" s="3">
        <v>45499.999999999935</v>
      </c>
      <c r="G1479" s="3">
        <v>45500</v>
      </c>
      <c r="H1479" s="25">
        <v>30748</v>
      </c>
    </row>
    <row r="1480" spans="1:8" x14ac:dyDescent="0.3">
      <c r="A1480" s="64">
        <v>2.0260209183941E+18</v>
      </c>
      <c r="B1480" t="s">
        <v>5594</v>
      </c>
      <c r="C1480" s="65">
        <f t="shared" si="23"/>
        <v>46062</v>
      </c>
      <c r="D1480" s="3">
        <v>1</v>
      </c>
      <c r="E1480" s="3">
        <v>41363.636363636302</v>
      </c>
      <c r="F1480" s="3">
        <v>45499.999999999935</v>
      </c>
      <c r="G1480" s="3">
        <v>45500</v>
      </c>
      <c r="H1480" s="25">
        <v>30748</v>
      </c>
    </row>
    <row r="1481" spans="1:8" x14ac:dyDescent="0.3">
      <c r="A1481" s="64">
        <v>2.02602091813166E+18</v>
      </c>
      <c r="B1481" t="s">
        <v>5594</v>
      </c>
      <c r="C1481" s="65">
        <f t="shared" si="23"/>
        <v>46062</v>
      </c>
      <c r="D1481" s="3">
        <v>1</v>
      </c>
      <c r="E1481" s="3">
        <v>41363.636363636302</v>
      </c>
      <c r="F1481" s="3">
        <v>45499.999999999935</v>
      </c>
      <c r="G1481" s="3">
        <v>45500</v>
      </c>
      <c r="H1481" s="25">
        <v>30748</v>
      </c>
    </row>
    <row r="1482" spans="1:8" x14ac:dyDescent="0.3">
      <c r="A1482" s="64">
        <v>2.0260209180852201E+18</v>
      </c>
      <c r="B1482" t="s">
        <v>5594</v>
      </c>
      <c r="C1482" s="65">
        <f t="shared" si="23"/>
        <v>46062</v>
      </c>
      <c r="D1482" s="3">
        <v>1</v>
      </c>
      <c r="E1482" s="3">
        <v>41363.636363636302</v>
      </c>
      <c r="F1482" s="3">
        <v>45499.999999999935</v>
      </c>
      <c r="G1482" s="3">
        <v>45500</v>
      </c>
      <c r="H1482" s="25">
        <v>30748</v>
      </c>
    </row>
    <row r="1483" spans="1:8" x14ac:dyDescent="0.3">
      <c r="A1483" s="64">
        <v>2.0260209180133801E+18</v>
      </c>
      <c r="B1483" t="s">
        <v>5594</v>
      </c>
      <c r="C1483" s="65">
        <f t="shared" si="23"/>
        <v>46062</v>
      </c>
      <c r="D1483" s="3">
        <v>1</v>
      </c>
      <c r="E1483" s="3">
        <v>41363.636363636302</v>
      </c>
      <c r="F1483" s="3">
        <v>45499.999999999935</v>
      </c>
      <c r="G1483" s="3">
        <v>45500</v>
      </c>
      <c r="H1483" s="25">
        <v>30748</v>
      </c>
    </row>
    <row r="1484" spans="1:8" x14ac:dyDescent="0.3">
      <c r="A1484" s="64">
        <v>2.02602091214286E+18</v>
      </c>
      <c r="B1484" t="s">
        <v>5594</v>
      </c>
      <c r="C1484" s="65">
        <f t="shared" si="23"/>
        <v>46062</v>
      </c>
      <c r="D1484" s="3">
        <v>1</v>
      </c>
      <c r="E1484" s="3">
        <v>41363.636363636302</v>
      </c>
      <c r="F1484" s="3">
        <v>45499.999999999935</v>
      </c>
      <c r="G1484" s="3">
        <v>45500</v>
      </c>
      <c r="H1484" s="25">
        <v>30748</v>
      </c>
    </row>
    <row r="1485" spans="1:8" x14ac:dyDescent="0.3">
      <c r="A1485" s="64">
        <v>2.02602091204319E+18</v>
      </c>
      <c r="B1485" t="s">
        <v>5594</v>
      </c>
      <c r="C1485" s="65">
        <f t="shared" si="23"/>
        <v>46062</v>
      </c>
      <c r="D1485" s="3">
        <v>1</v>
      </c>
      <c r="E1485" s="3">
        <v>41363.636363636302</v>
      </c>
      <c r="F1485" s="3">
        <v>45499.999999999935</v>
      </c>
      <c r="G1485" s="3">
        <v>45500</v>
      </c>
      <c r="H1485" s="25">
        <v>30748</v>
      </c>
    </row>
    <row r="1486" spans="1:8" x14ac:dyDescent="0.3">
      <c r="A1486" s="64">
        <v>2.0260209113237499E+18</v>
      </c>
      <c r="B1486" t="s">
        <v>5594</v>
      </c>
      <c r="C1486" s="65">
        <f t="shared" si="23"/>
        <v>46062</v>
      </c>
      <c r="D1486" s="3">
        <v>2</v>
      </c>
      <c r="E1486" s="3">
        <v>41363.636363636353</v>
      </c>
      <c r="F1486" s="3">
        <v>91000</v>
      </c>
      <c r="G1486" s="3">
        <v>91000</v>
      </c>
      <c r="H1486" s="25">
        <v>61496</v>
      </c>
    </row>
    <row r="1487" spans="1:8" x14ac:dyDescent="0.3">
      <c r="A1487" s="64">
        <v>2.0260209112015601E+18</v>
      </c>
      <c r="B1487" t="s">
        <v>5594</v>
      </c>
      <c r="C1487" s="65">
        <f t="shared" si="23"/>
        <v>46062</v>
      </c>
      <c r="D1487" s="3">
        <v>1</v>
      </c>
      <c r="E1487" s="3">
        <v>41363.636363636302</v>
      </c>
      <c r="F1487" s="3">
        <v>45499.999999999935</v>
      </c>
      <c r="G1487" s="3">
        <v>45500</v>
      </c>
      <c r="H1487" s="25">
        <v>30748</v>
      </c>
    </row>
    <row r="1488" spans="1:8" x14ac:dyDescent="0.3">
      <c r="A1488" s="64">
        <v>2.0260209110911201E+18</v>
      </c>
      <c r="B1488" t="s">
        <v>5594</v>
      </c>
      <c r="C1488" s="65">
        <f t="shared" si="23"/>
        <v>46062</v>
      </c>
      <c r="D1488" s="3">
        <v>1</v>
      </c>
      <c r="E1488" s="3">
        <v>41363.636363636302</v>
      </c>
      <c r="F1488" s="3">
        <v>45499.999999999935</v>
      </c>
      <c r="G1488" s="3">
        <v>45500</v>
      </c>
      <c r="H1488" s="25">
        <v>30748</v>
      </c>
    </row>
    <row r="1489" spans="1:8" x14ac:dyDescent="0.3">
      <c r="A1489" s="64">
        <v>2.02602091054205E+18</v>
      </c>
      <c r="B1489" t="s">
        <v>5594</v>
      </c>
      <c r="C1489" s="65">
        <f t="shared" si="23"/>
        <v>46062</v>
      </c>
      <c r="D1489" s="3">
        <v>1</v>
      </c>
      <c r="E1489" s="3">
        <v>41363.636363636302</v>
      </c>
      <c r="F1489" s="3">
        <v>45499.999999999935</v>
      </c>
      <c r="G1489" s="3">
        <v>45500</v>
      </c>
      <c r="H1489" s="25">
        <v>30748</v>
      </c>
    </row>
    <row r="1490" spans="1:8" x14ac:dyDescent="0.3">
      <c r="A1490" s="64">
        <v>2.02602091027362E+18</v>
      </c>
      <c r="B1490" t="s">
        <v>5594</v>
      </c>
      <c r="C1490" s="65">
        <f t="shared" si="23"/>
        <v>46062</v>
      </c>
      <c r="D1490" s="3">
        <v>1</v>
      </c>
      <c r="E1490" s="3">
        <v>41363.636363636302</v>
      </c>
      <c r="F1490" s="3">
        <v>45499.999999999935</v>
      </c>
      <c r="G1490" s="3">
        <v>45500</v>
      </c>
      <c r="H1490" s="25">
        <v>30748</v>
      </c>
    </row>
    <row r="1491" spans="1:8" x14ac:dyDescent="0.3">
      <c r="A1491" s="64">
        <v>2.02602081428446E+18</v>
      </c>
      <c r="B1491" t="s">
        <v>5594</v>
      </c>
      <c r="C1491" s="65">
        <f t="shared" si="23"/>
        <v>46061</v>
      </c>
      <c r="D1491" s="3">
        <v>1</v>
      </c>
      <c r="E1491" s="3">
        <v>41363.636363636302</v>
      </c>
      <c r="F1491" s="3">
        <v>45499.999999999935</v>
      </c>
      <c r="G1491" s="3">
        <v>45500</v>
      </c>
      <c r="H1491" s="25">
        <v>30748</v>
      </c>
    </row>
    <row r="1492" spans="1:8" x14ac:dyDescent="0.3">
      <c r="A1492" s="64">
        <v>2.0260208133629E+18</v>
      </c>
      <c r="B1492" t="s">
        <v>5594</v>
      </c>
      <c r="C1492" s="65">
        <f t="shared" si="23"/>
        <v>46061</v>
      </c>
      <c r="D1492" s="3">
        <v>1</v>
      </c>
      <c r="E1492" s="3">
        <v>41363.636363636302</v>
      </c>
      <c r="F1492" s="3">
        <v>45499.999999999935</v>
      </c>
      <c r="G1492" s="3">
        <v>45500</v>
      </c>
      <c r="H1492" s="25">
        <v>30748</v>
      </c>
    </row>
    <row r="1493" spans="1:8" x14ac:dyDescent="0.3">
      <c r="A1493" s="64">
        <v>2.02602071452271E+18</v>
      </c>
      <c r="B1493" t="s">
        <v>5594</v>
      </c>
      <c r="C1493" s="65">
        <f t="shared" si="23"/>
        <v>46060</v>
      </c>
      <c r="D1493" s="3">
        <v>1</v>
      </c>
      <c r="E1493" s="3">
        <v>41363.636363636302</v>
      </c>
      <c r="F1493" s="3">
        <v>45499.999999999935</v>
      </c>
      <c r="G1493" s="3">
        <v>45500</v>
      </c>
      <c r="H1493" s="25">
        <v>30748</v>
      </c>
    </row>
    <row r="1494" spans="1:8" x14ac:dyDescent="0.3">
      <c r="A1494" s="64">
        <v>2.0260207133730601E+18</v>
      </c>
      <c r="B1494" t="s">
        <v>5594</v>
      </c>
      <c r="C1494" s="65">
        <f t="shared" si="23"/>
        <v>46060</v>
      </c>
      <c r="D1494" s="3">
        <v>2</v>
      </c>
      <c r="E1494" s="3">
        <v>41363.636363636353</v>
      </c>
      <c r="F1494" s="3">
        <v>91000</v>
      </c>
      <c r="G1494" s="3">
        <v>91000</v>
      </c>
      <c r="H1494" s="25">
        <v>61496</v>
      </c>
    </row>
    <row r="1495" spans="1:8" x14ac:dyDescent="0.3">
      <c r="A1495" s="64">
        <v>2.02602070922176E+18</v>
      </c>
      <c r="B1495" t="s">
        <v>5594</v>
      </c>
      <c r="C1495" s="65">
        <f t="shared" si="23"/>
        <v>46060</v>
      </c>
      <c r="D1495" s="3">
        <v>1</v>
      </c>
      <c r="E1495" s="3">
        <v>41363.636363636302</v>
      </c>
      <c r="F1495" s="3">
        <v>45499.999999999935</v>
      </c>
      <c r="G1495" s="3">
        <v>45500</v>
      </c>
      <c r="H1495" s="25">
        <v>30748</v>
      </c>
    </row>
    <row r="1496" spans="1:8" x14ac:dyDescent="0.3">
      <c r="A1496" s="64">
        <v>2.02602060402002E+18</v>
      </c>
      <c r="B1496" t="s">
        <v>5594</v>
      </c>
      <c r="C1496" s="65">
        <f t="shared" si="23"/>
        <v>46059</v>
      </c>
      <c r="D1496" s="3">
        <v>1</v>
      </c>
      <c r="E1496" s="3">
        <v>41363.636363636302</v>
      </c>
      <c r="F1496" s="3">
        <v>45499.999999999935</v>
      </c>
      <c r="G1496" s="3">
        <v>45500</v>
      </c>
      <c r="H1496" s="25">
        <v>30748</v>
      </c>
    </row>
    <row r="1497" spans="1:8" x14ac:dyDescent="0.3">
      <c r="A1497" s="64">
        <v>2.02602060328353E+18</v>
      </c>
      <c r="B1497" t="s">
        <v>5594</v>
      </c>
      <c r="C1497" s="65">
        <f t="shared" si="23"/>
        <v>46059</v>
      </c>
      <c r="D1497" s="3">
        <v>1</v>
      </c>
      <c r="E1497" s="3">
        <v>41363.636363636302</v>
      </c>
      <c r="F1497" s="3">
        <v>45499.999999999935</v>
      </c>
      <c r="G1497" s="3">
        <v>45500</v>
      </c>
      <c r="H1497" s="25">
        <v>30748</v>
      </c>
    </row>
    <row r="1498" spans="1:8" x14ac:dyDescent="0.3">
      <c r="A1498" s="64">
        <v>2.02602050941566E+18</v>
      </c>
      <c r="B1498" t="s">
        <v>5594</v>
      </c>
      <c r="C1498" s="65">
        <f t="shared" si="23"/>
        <v>46058</v>
      </c>
      <c r="D1498" s="3">
        <v>1</v>
      </c>
      <c r="E1498" s="3">
        <v>41363.636363636302</v>
      </c>
      <c r="F1498" s="3">
        <v>45499.999999999935</v>
      </c>
      <c r="G1498" s="3">
        <v>45500</v>
      </c>
      <c r="H1498" s="25">
        <v>30748</v>
      </c>
    </row>
    <row r="1499" spans="1:8" x14ac:dyDescent="0.3">
      <c r="A1499" s="64">
        <v>2.02602101100081E+18</v>
      </c>
      <c r="B1499" t="s">
        <v>5594</v>
      </c>
      <c r="C1499" s="65">
        <f t="shared" si="23"/>
        <v>46063</v>
      </c>
      <c r="D1499" s="3">
        <v>1</v>
      </c>
      <c r="E1499" s="3">
        <v>41363.636363636302</v>
      </c>
      <c r="F1499" s="3">
        <v>45499.999999999935</v>
      </c>
      <c r="G1499" s="3">
        <v>45500</v>
      </c>
      <c r="H1499" s="25">
        <v>15374</v>
      </c>
    </row>
    <row r="1500" spans="1:8" x14ac:dyDescent="0.3">
      <c r="A1500" s="64">
        <v>2.02602101050351E+18</v>
      </c>
      <c r="B1500" t="s">
        <v>5594</v>
      </c>
      <c r="C1500" s="65">
        <f t="shared" si="23"/>
        <v>46063</v>
      </c>
      <c r="D1500" s="3">
        <v>1</v>
      </c>
      <c r="E1500" s="3">
        <v>41363.636363636302</v>
      </c>
      <c r="F1500" s="3">
        <v>45499.999999999935</v>
      </c>
      <c r="G1500" s="3">
        <v>45500</v>
      </c>
      <c r="H1500" s="25">
        <v>15374</v>
      </c>
    </row>
    <row r="1501" spans="1:8" x14ac:dyDescent="0.3">
      <c r="A1501" s="64">
        <v>2.0260210104103501E+18</v>
      </c>
      <c r="B1501" t="s">
        <v>5594</v>
      </c>
      <c r="C1501" s="65">
        <f t="shared" si="23"/>
        <v>46063</v>
      </c>
      <c r="D1501" s="3">
        <v>2</v>
      </c>
      <c r="E1501" s="3">
        <v>41363.636363636353</v>
      </c>
      <c r="F1501" s="3">
        <v>91000</v>
      </c>
      <c r="G1501" s="3">
        <v>91000</v>
      </c>
      <c r="H1501" s="25">
        <v>30748</v>
      </c>
    </row>
    <row r="1502" spans="1:8" x14ac:dyDescent="0.3">
      <c r="A1502" s="64">
        <v>2.02602101024515E+18</v>
      </c>
      <c r="B1502" t="s">
        <v>5594</v>
      </c>
      <c r="C1502" s="65">
        <f t="shared" si="23"/>
        <v>46063</v>
      </c>
      <c r="D1502" s="3">
        <v>2</v>
      </c>
      <c r="E1502" s="3">
        <v>41363.636363636353</v>
      </c>
      <c r="F1502" s="3">
        <v>91000</v>
      </c>
      <c r="G1502" s="3">
        <v>91000</v>
      </c>
      <c r="H1502" s="25">
        <v>30748</v>
      </c>
    </row>
    <row r="1503" spans="1:8" x14ac:dyDescent="0.3">
      <c r="A1503" s="64">
        <v>2.02602100812031E+18</v>
      </c>
      <c r="B1503" t="s">
        <v>5594</v>
      </c>
      <c r="C1503" s="65">
        <f t="shared" si="23"/>
        <v>46063</v>
      </c>
      <c r="D1503" s="3">
        <v>1</v>
      </c>
      <c r="E1503" s="3">
        <v>41363.636363636302</v>
      </c>
      <c r="F1503" s="3">
        <v>45499.999999999935</v>
      </c>
      <c r="G1503" s="3">
        <v>45500</v>
      </c>
      <c r="H1503" s="25">
        <v>15374</v>
      </c>
    </row>
    <row r="1504" spans="1:8" x14ac:dyDescent="0.3">
      <c r="A1504" s="64">
        <v>2.02602091905057E+18</v>
      </c>
      <c r="B1504" t="s">
        <v>5594</v>
      </c>
      <c r="C1504" s="65">
        <f t="shared" si="23"/>
        <v>46062</v>
      </c>
      <c r="D1504" s="3">
        <v>1</v>
      </c>
      <c r="E1504" s="3">
        <v>41363.636363636302</v>
      </c>
      <c r="F1504" s="3">
        <v>45499.999999999935</v>
      </c>
      <c r="G1504" s="3">
        <v>45500</v>
      </c>
      <c r="H1504" s="25">
        <v>15374</v>
      </c>
    </row>
    <row r="1505" spans="1:8" x14ac:dyDescent="0.3">
      <c r="A1505" s="64">
        <v>2.0260209180623601E+18</v>
      </c>
      <c r="B1505" t="s">
        <v>5594</v>
      </c>
      <c r="C1505" s="65">
        <f t="shared" si="23"/>
        <v>46062</v>
      </c>
      <c r="D1505" s="3">
        <v>1</v>
      </c>
      <c r="E1505" s="3">
        <v>41363.636363636302</v>
      </c>
      <c r="F1505" s="3">
        <v>45499.999999999935</v>
      </c>
      <c r="G1505" s="3">
        <v>45500</v>
      </c>
      <c r="H1505" s="25">
        <v>15374</v>
      </c>
    </row>
    <row r="1506" spans="1:8" x14ac:dyDescent="0.3">
      <c r="A1506" s="64">
        <v>2.0260209175346701E+18</v>
      </c>
      <c r="B1506" t="s">
        <v>5594</v>
      </c>
      <c r="C1506" s="65">
        <f t="shared" si="23"/>
        <v>46062</v>
      </c>
      <c r="D1506" s="3">
        <v>1</v>
      </c>
      <c r="E1506" s="3">
        <v>41363.636363636302</v>
      </c>
      <c r="F1506" s="3">
        <v>45499.999999999935</v>
      </c>
      <c r="G1506" s="3">
        <v>45500</v>
      </c>
      <c r="H1506" s="25">
        <v>15374</v>
      </c>
    </row>
    <row r="1507" spans="1:8" x14ac:dyDescent="0.3">
      <c r="A1507" s="64">
        <v>2.02602091655022E+18</v>
      </c>
      <c r="B1507" t="s">
        <v>5594</v>
      </c>
      <c r="C1507" s="65">
        <f t="shared" si="23"/>
        <v>46062</v>
      </c>
      <c r="D1507" s="3">
        <v>1</v>
      </c>
      <c r="E1507" s="3">
        <v>41363.636363636302</v>
      </c>
      <c r="F1507" s="3">
        <v>45499.999999999935</v>
      </c>
      <c r="G1507" s="3">
        <v>45500</v>
      </c>
      <c r="H1507" s="25">
        <v>15374</v>
      </c>
    </row>
    <row r="1508" spans="1:8" x14ac:dyDescent="0.3">
      <c r="A1508" s="64">
        <v>2.02602091221472E+18</v>
      </c>
      <c r="B1508" t="s">
        <v>5594</v>
      </c>
      <c r="C1508" s="65">
        <f t="shared" si="23"/>
        <v>46062</v>
      </c>
      <c r="D1508" s="3">
        <v>1</v>
      </c>
      <c r="E1508" s="3">
        <v>41363.636363636302</v>
      </c>
      <c r="F1508" s="3">
        <v>45499.999999999935</v>
      </c>
      <c r="G1508" s="3">
        <v>45500</v>
      </c>
      <c r="H1508" s="25">
        <v>15374</v>
      </c>
    </row>
    <row r="1509" spans="1:8" x14ac:dyDescent="0.3">
      <c r="A1509" s="64">
        <v>2.02602092250146E+18</v>
      </c>
      <c r="B1509" t="s">
        <v>5594</v>
      </c>
      <c r="C1509" s="65">
        <f t="shared" si="23"/>
        <v>46062</v>
      </c>
      <c r="D1509" s="3">
        <v>1</v>
      </c>
      <c r="E1509" s="3">
        <v>57272.727272727199</v>
      </c>
      <c r="F1509" s="3">
        <v>62999.999999999927</v>
      </c>
      <c r="G1509" s="3">
        <v>63000</v>
      </c>
      <c r="H1509" s="25">
        <v>30748</v>
      </c>
    </row>
    <row r="1510" spans="1:8" x14ac:dyDescent="0.3">
      <c r="A1510" s="64">
        <v>2.0260209191557199E+18</v>
      </c>
      <c r="B1510" t="s">
        <v>5594</v>
      </c>
      <c r="C1510" s="65">
        <f t="shared" si="23"/>
        <v>46062</v>
      </c>
      <c r="D1510" s="3">
        <v>1</v>
      </c>
      <c r="E1510" s="3">
        <v>57272.727272727199</v>
      </c>
      <c r="F1510" s="3">
        <v>62999.999999999927</v>
      </c>
      <c r="G1510" s="3">
        <v>63000</v>
      </c>
      <c r="H1510" s="25">
        <v>30748</v>
      </c>
    </row>
    <row r="1511" spans="1:8" x14ac:dyDescent="0.3">
      <c r="A1511" s="64">
        <v>2.0260209173520599E+18</v>
      </c>
      <c r="B1511" t="s">
        <v>5594</v>
      </c>
      <c r="C1511" s="65">
        <f t="shared" si="23"/>
        <v>46062</v>
      </c>
      <c r="D1511" s="3">
        <v>1</v>
      </c>
      <c r="E1511" s="3">
        <v>57272.727272727199</v>
      </c>
      <c r="F1511" s="3">
        <v>62999.999999999927</v>
      </c>
      <c r="G1511" s="3">
        <v>63000</v>
      </c>
      <c r="H1511" s="25">
        <v>30748</v>
      </c>
    </row>
    <row r="1512" spans="1:8" x14ac:dyDescent="0.3">
      <c r="A1512" s="64">
        <v>2.02602091257277E+18</v>
      </c>
      <c r="B1512" t="s">
        <v>5594</v>
      </c>
      <c r="C1512" s="65">
        <f t="shared" si="23"/>
        <v>46062</v>
      </c>
      <c r="D1512" s="3">
        <v>1</v>
      </c>
      <c r="E1512" s="3">
        <v>57272.727272727199</v>
      </c>
      <c r="F1512" s="3">
        <v>62999.999999999927</v>
      </c>
      <c r="G1512" s="3">
        <v>63000</v>
      </c>
      <c r="H1512" s="25">
        <v>30748</v>
      </c>
    </row>
    <row r="1513" spans="1:8" x14ac:dyDescent="0.3">
      <c r="A1513" s="64">
        <v>2.0260206143417201E+18</v>
      </c>
      <c r="B1513" t="s">
        <v>5594</v>
      </c>
      <c r="C1513" s="65">
        <f t="shared" si="23"/>
        <v>46059</v>
      </c>
      <c r="D1513" s="3">
        <v>2</v>
      </c>
      <c r="E1513" s="3">
        <v>57272.727272727003</v>
      </c>
      <c r="F1513" s="3">
        <v>125999.99999999942</v>
      </c>
      <c r="G1513" s="3">
        <v>126000</v>
      </c>
      <c r="H1513" s="25">
        <v>61496</v>
      </c>
    </row>
    <row r="1514" spans="1:8" x14ac:dyDescent="0.3">
      <c r="A1514" s="64">
        <v>2.0260211094551401E+18</v>
      </c>
      <c r="B1514" t="s">
        <v>5594</v>
      </c>
      <c r="C1514" s="65">
        <f t="shared" si="23"/>
        <v>46064</v>
      </c>
      <c r="D1514" s="3">
        <v>1</v>
      </c>
      <c r="E1514" s="3">
        <v>41363.636363636302</v>
      </c>
      <c r="F1514" s="3">
        <v>45499.999999999935</v>
      </c>
      <c r="G1514" s="3">
        <v>45500</v>
      </c>
      <c r="H1514" s="25">
        <v>30748</v>
      </c>
    </row>
    <row r="1515" spans="1:8" x14ac:dyDescent="0.3">
      <c r="A1515" s="64">
        <v>2.02602110945587E+18</v>
      </c>
      <c r="B1515" t="s">
        <v>5594</v>
      </c>
      <c r="C1515" s="65">
        <f t="shared" si="23"/>
        <v>46064</v>
      </c>
      <c r="D1515" s="3">
        <v>1</v>
      </c>
      <c r="E1515" s="3">
        <v>41363.636363636302</v>
      </c>
      <c r="F1515" s="3">
        <v>45499.999999999935</v>
      </c>
      <c r="G1515" s="3">
        <v>45500</v>
      </c>
      <c r="H1515" s="25">
        <v>30748</v>
      </c>
    </row>
    <row r="1516" spans="1:8" x14ac:dyDescent="0.3">
      <c r="A1516" s="64">
        <v>2.0260211081100401E+18</v>
      </c>
      <c r="B1516" t="s">
        <v>5594</v>
      </c>
      <c r="C1516" s="65">
        <f t="shared" si="23"/>
        <v>46064</v>
      </c>
      <c r="D1516" s="3">
        <v>1</v>
      </c>
      <c r="E1516" s="3">
        <v>41363.636363636302</v>
      </c>
      <c r="F1516" s="3">
        <v>45499.999999999935</v>
      </c>
      <c r="G1516" s="3">
        <v>45500</v>
      </c>
      <c r="H1516" s="25">
        <v>30748</v>
      </c>
    </row>
    <row r="1517" spans="1:8" x14ac:dyDescent="0.3">
      <c r="A1517" s="64">
        <v>2.0260211024110799E+18</v>
      </c>
      <c r="B1517" t="s">
        <v>5594</v>
      </c>
      <c r="C1517" s="65">
        <f t="shared" si="23"/>
        <v>46064</v>
      </c>
      <c r="D1517" s="3">
        <v>1</v>
      </c>
      <c r="E1517" s="3">
        <v>41363.636363636302</v>
      </c>
      <c r="F1517" s="3">
        <v>45499.999999999935</v>
      </c>
      <c r="G1517" s="3">
        <v>45500</v>
      </c>
      <c r="H1517" s="25">
        <v>30748</v>
      </c>
    </row>
    <row r="1518" spans="1:8" x14ac:dyDescent="0.3">
      <c r="A1518" s="64">
        <v>2.02602110238321E+18</v>
      </c>
      <c r="B1518" t="s">
        <v>5594</v>
      </c>
      <c r="C1518" s="65">
        <f t="shared" si="23"/>
        <v>46064</v>
      </c>
      <c r="D1518" s="3">
        <v>1</v>
      </c>
      <c r="E1518" s="3">
        <v>41363.636363636302</v>
      </c>
      <c r="F1518" s="3">
        <v>45499.999999999935</v>
      </c>
      <c r="G1518" s="3">
        <v>45500</v>
      </c>
      <c r="H1518" s="25">
        <v>30748</v>
      </c>
    </row>
    <row r="1519" spans="1:8" x14ac:dyDescent="0.3">
      <c r="A1519" s="64">
        <v>2.0260211023513201E+18</v>
      </c>
      <c r="B1519" t="s">
        <v>5594</v>
      </c>
      <c r="C1519" s="65">
        <f t="shared" si="23"/>
        <v>46064</v>
      </c>
      <c r="D1519" s="3">
        <v>1</v>
      </c>
      <c r="E1519" s="3">
        <v>41363.636363636302</v>
      </c>
      <c r="F1519" s="3">
        <v>45499.999999999935</v>
      </c>
      <c r="G1519" s="3">
        <v>45500</v>
      </c>
      <c r="H1519" s="25">
        <v>30748</v>
      </c>
    </row>
    <row r="1520" spans="1:8" x14ac:dyDescent="0.3">
      <c r="A1520" s="64">
        <v>2.0260211022456801E+18</v>
      </c>
      <c r="B1520" t="s">
        <v>5594</v>
      </c>
      <c r="C1520" s="65">
        <f t="shared" si="23"/>
        <v>46064</v>
      </c>
      <c r="D1520" s="3">
        <v>1</v>
      </c>
      <c r="E1520" s="3">
        <v>41363.636363636302</v>
      </c>
      <c r="F1520" s="3">
        <v>45499.999999999935</v>
      </c>
      <c r="G1520" s="3">
        <v>45500</v>
      </c>
      <c r="H1520" s="25">
        <v>30748</v>
      </c>
    </row>
    <row r="1521" spans="1:8" x14ac:dyDescent="0.3">
      <c r="A1521" s="64">
        <v>2.02602102021279E+18</v>
      </c>
      <c r="B1521" t="s">
        <v>5594</v>
      </c>
      <c r="C1521" s="65">
        <f t="shared" si="23"/>
        <v>46063</v>
      </c>
      <c r="D1521" s="3">
        <v>1</v>
      </c>
      <c r="E1521" s="3">
        <v>41363.636363636302</v>
      </c>
      <c r="F1521" s="3">
        <v>45499.999999999935</v>
      </c>
      <c r="G1521" s="3">
        <v>45500</v>
      </c>
      <c r="H1521" s="25">
        <v>30748</v>
      </c>
    </row>
    <row r="1522" spans="1:8" x14ac:dyDescent="0.3">
      <c r="A1522" s="64">
        <v>2.0260210175539999E+18</v>
      </c>
      <c r="B1522" t="s">
        <v>5594</v>
      </c>
      <c r="C1522" s="65">
        <f t="shared" si="23"/>
        <v>46063</v>
      </c>
      <c r="D1522" s="3">
        <v>1</v>
      </c>
      <c r="E1522" s="3">
        <v>41363.636363636302</v>
      </c>
      <c r="F1522" s="3">
        <v>45499.999999999935</v>
      </c>
      <c r="G1522" s="3">
        <v>45500</v>
      </c>
      <c r="H1522" s="25">
        <v>30748</v>
      </c>
    </row>
    <row r="1523" spans="1:8" x14ac:dyDescent="0.3">
      <c r="A1523" s="64">
        <v>2.0260210141758999E+18</v>
      </c>
      <c r="B1523" t="s">
        <v>5594</v>
      </c>
      <c r="C1523" s="65">
        <f t="shared" si="23"/>
        <v>46063</v>
      </c>
      <c r="D1523" s="3">
        <v>1</v>
      </c>
      <c r="E1523" s="3">
        <v>41363.636363636302</v>
      </c>
      <c r="F1523" s="3">
        <v>45499.999999999935</v>
      </c>
      <c r="G1523" s="3">
        <v>45500</v>
      </c>
      <c r="H1523" s="25">
        <v>30748</v>
      </c>
    </row>
    <row r="1524" spans="1:8" x14ac:dyDescent="0.3">
      <c r="A1524" s="64">
        <v>2.0260210122407401E+18</v>
      </c>
      <c r="B1524" t="s">
        <v>5594</v>
      </c>
      <c r="C1524" s="65">
        <f t="shared" si="23"/>
        <v>46063</v>
      </c>
      <c r="D1524" s="3">
        <v>1</v>
      </c>
      <c r="E1524" s="3">
        <v>41363.636363636302</v>
      </c>
      <c r="F1524" s="3">
        <v>45499.999999999935</v>
      </c>
      <c r="G1524" s="3">
        <v>45500</v>
      </c>
      <c r="H1524" s="25">
        <v>30748</v>
      </c>
    </row>
    <row r="1525" spans="1:8" x14ac:dyDescent="0.3">
      <c r="A1525" s="64">
        <v>2.0260210111835699E+18</v>
      </c>
      <c r="B1525" t="s">
        <v>5594</v>
      </c>
      <c r="C1525" s="65">
        <f t="shared" si="23"/>
        <v>46063</v>
      </c>
      <c r="D1525" s="3">
        <v>2</v>
      </c>
      <c r="E1525" s="3">
        <v>41363.636363636353</v>
      </c>
      <c r="F1525" s="3">
        <v>91000</v>
      </c>
      <c r="G1525" s="3">
        <v>91000</v>
      </c>
      <c r="H1525" s="25">
        <v>61496</v>
      </c>
    </row>
    <row r="1526" spans="1:8" x14ac:dyDescent="0.3">
      <c r="A1526" s="64">
        <v>2.0260210111528801E+18</v>
      </c>
      <c r="B1526" t="s">
        <v>5594</v>
      </c>
      <c r="C1526" s="65">
        <f t="shared" si="23"/>
        <v>46063</v>
      </c>
      <c r="D1526" s="3">
        <v>1</v>
      </c>
      <c r="E1526" s="3">
        <v>41363.636363636302</v>
      </c>
      <c r="F1526" s="3">
        <v>45499.999999999935</v>
      </c>
      <c r="G1526" s="3">
        <v>45500</v>
      </c>
      <c r="H1526" s="25">
        <v>30748</v>
      </c>
    </row>
    <row r="1527" spans="1:8" x14ac:dyDescent="0.3">
      <c r="A1527" s="64">
        <v>2.0260211093647301E+18</v>
      </c>
      <c r="B1527" t="s">
        <v>5594</v>
      </c>
      <c r="C1527" s="65">
        <f t="shared" si="23"/>
        <v>46064</v>
      </c>
      <c r="D1527" s="3">
        <v>1</v>
      </c>
      <c r="E1527" s="3">
        <v>41363.636363636302</v>
      </c>
      <c r="F1527" s="3">
        <v>45499.999999999935</v>
      </c>
      <c r="G1527" s="3">
        <v>45500</v>
      </c>
      <c r="H1527" s="25">
        <v>15374</v>
      </c>
    </row>
    <row r="1528" spans="1:8" x14ac:dyDescent="0.3">
      <c r="A1528" s="64">
        <v>2.02602110819517E+18</v>
      </c>
      <c r="B1528" t="s">
        <v>5594</v>
      </c>
      <c r="C1528" s="65">
        <f t="shared" si="23"/>
        <v>46064</v>
      </c>
      <c r="D1528" s="3">
        <v>2</v>
      </c>
      <c r="E1528" s="3">
        <v>41363.636363636353</v>
      </c>
      <c r="F1528" s="3">
        <v>91000</v>
      </c>
      <c r="G1528" s="3">
        <v>91000</v>
      </c>
      <c r="H1528" s="25">
        <v>30748</v>
      </c>
    </row>
    <row r="1529" spans="1:8" x14ac:dyDescent="0.3">
      <c r="A1529" s="64">
        <v>2.02602110815502E+18</v>
      </c>
      <c r="B1529" t="s">
        <v>5594</v>
      </c>
      <c r="C1529" s="65">
        <f t="shared" si="23"/>
        <v>46064</v>
      </c>
      <c r="D1529" s="3">
        <v>1</v>
      </c>
      <c r="E1529" s="3">
        <v>41363.636363636302</v>
      </c>
      <c r="F1529" s="3">
        <v>45499.999999999935</v>
      </c>
      <c r="G1529" s="3">
        <v>45500</v>
      </c>
      <c r="H1529" s="25">
        <v>15374</v>
      </c>
    </row>
    <row r="1530" spans="1:8" x14ac:dyDescent="0.3">
      <c r="A1530" s="64">
        <v>2.02602110746018E+18</v>
      </c>
      <c r="B1530" t="s">
        <v>5594</v>
      </c>
      <c r="C1530" s="65">
        <f t="shared" si="23"/>
        <v>46064</v>
      </c>
      <c r="D1530" s="3">
        <v>1</v>
      </c>
      <c r="E1530" s="3">
        <v>41363.636363636302</v>
      </c>
      <c r="F1530" s="3">
        <v>45499.999999999935</v>
      </c>
      <c r="G1530" s="3">
        <v>45500</v>
      </c>
      <c r="H1530" s="25">
        <v>15374</v>
      </c>
    </row>
    <row r="1531" spans="1:8" x14ac:dyDescent="0.3">
      <c r="A1531" s="64">
        <v>2.02602102307346E+18</v>
      </c>
      <c r="B1531" t="s">
        <v>5594</v>
      </c>
      <c r="C1531" s="65">
        <f t="shared" si="23"/>
        <v>46063</v>
      </c>
      <c r="D1531" s="3">
        <v>1</v>
      </c>
      <c r="E1531" s="3">
        <v>41363.636363636302</v>
      </c>
      <c r="F1531" s="3">
        <v>45499.999999999935</v>
      </c>
      <c r="G1531" s="3">
        <v>45500</v>
      </c>
      <c r="H1531" s="25">
        <v>15374</v>
      </c>
    </row>
    <row r="1532" spans="1:8" x14ac:dyDescent="0.3">
      <c r="A1532" s="64">
        <v>2.02602102207504E+18</v>
      </c>
      <c r="B1532" t="s">
        <v>5594</v>
      </c>
      <c r="C1532" s="65">
        <f t="shared" si="23"/>
        <v>46063</v>
      </c>
      <c r="D1532" s="3">
        <v>3</v>
      </c>
      <c r="E1532" s="3">
        <v>41363.636363636331</v>
      </c>
      <c r="F1532" s="3">
        <v>136499.99999999991</v>
      </c>
      <c r="G1532" s="3">
        <v>136500</v>
      </c>
      <c r="H1532" s="25">
        <v>46122</v>
      </c>
    </row>
    <row r="1533" spans="1:8" x14ac:dyDescent="0.3">
      <c r="A1533" s="64">
        <v>2.0260210212955799E+18</v>
      </c>
      <c r="B1533" t="s">
        <v>5594</v>
      </c>
      <c r="C1533" s="65">
        <f t="shared" si="23"/>
        <v>46063</v>
      </c>
      <c r="D1533" s="3">
        <v>1</v>
      </c>
      <c r="E1533" s="3">
        <v>41363.636363636302</v>
      </c>
      <c r="F1533" s="3">
        <v>45499.999999999935</v>
      </c>
      <c r="G1533" s="3">
        <v>45500</v>
      </c>
      <c r="H1533" s="25">
        <v>15374</v>
      </c>
    </row>
    <row r="1534" spans="1:8" x14ac:dyDescent="0.3">
      <c r="A1534" s="64">
        <v>2.02602102114354E+18</v>
      </c>
      <c r="B1534" t="s">
        <v>5594</v>
      </c>
      <c r="C1534" s="65">
        <f t="shared" si="23"/>
        <v>46063</v>
      </c>
      <c r="D1534" s="3">
        <v>1</v>
      </c>
      <c r="E1534" s="3">
        <v>41363.636363636302</v>
      </c>
      <c r="F1534" s="3">
        <v>45499.999999999935</v>
      </c>
      <c r="G1534" s="3">
        <v>45500</v>
      </c>
      <c r="H1534" s="25">
        <v>15374</v>
      </c>
    </row>
    <row r="1535" spans="1:8" x14ac:dyDescent="0.3">
      <c r="A1535" s="64">
        <v>2.0260210191937001E+18</v>
      </c>
      <c r="B1535" t="s">
        <v>5594</v>
      </c>
      <c r="C1535" s="65">
        <f t="shared" si="23"/>
        <v>46063</v>
      </c>
      <c r="D1535" s="3">
        <v>1</v>
      </c>
      <c r="E1535" s="3">
        <v>41363.636363636302</v>
      </c>
      <c r="F1535" s="3">
        <v>45499.999999999935</v>
      </c>
      <c r="G1535" s="3">
        <v>45500</v>
      </c>
      <c r="H1535" s="25">
        <v>15374</v>
      </c>
    </row>
    <row r="1536" spans="1:8" x14ac:dyDescent="0.3">
      <c r="A1536" s="64">
        <v>2.0260210191627E+18</v>
      </c>
      <c r="B1536" t="s">
        <v>5594</v>
      </c>
      <c r="C1536" s="65">
        <f t="shared" si="23"/>
        <v>46063</v>
      </c>
      <c r="D1536" s="3">
        <v>1</v>
      </c>
      <c r="E1536" s="3">
        <v>41363.636363636302</v>
      </c>
      <c r="F1536" s="3">
        <v>45499.999999999935</v>
      </c>
      <c r="G1536" s="3">
        <v>45500</v>
      </c>
      <c r="H1536" s="25">
        <v>15374</v>
      </c>
    </row>
    <row r="1537" spans="1:8" x14ac:dyDescent="0.3">
      <c r="A1537" s="64">
        <v>2.0260210165845499E+18</v>
      </c>
      <c r="B1537" t="s">
        <v>5594</v>
      </c>
      <c r="C1537" s="65">
        <f t="shared" si="23"/>
        <v>46063</v>
      </c>
      <c r="D1537" s="3">
        <v>2</v>
      </c>
      <c r="E1537" s="3">
        <v>41363.636363636353</v>
      </c>
      <c r="F1537" s="3">
        <v>91000</v>
      </c>
      <c r="G1537" s="3">
        <v>91000</v>
      </c>
      <c r="H1537" s="25">
        <v>30748</v>
      </c>
    </row>
    <row r="1538" spans="1:8" x14ac:dyDescent="0.3">
      <c r="A1538" s="64">
        <v>2.02602101139282E+18</v>
      </c>
      <c r="B1538" t="s">
        <v>5594</v>
      </c>
      <c r="C1538" s="65">
        <f t="shared" si="23"/>
        <v>46063</v>
      </c>
      <c r="D1538" s="3">
        <v>1</v>
      </c>
      <c r="E1538" s="3">
        <v>41363.636363636302</v>
      </c>
      <c r="F1538" s="3">
        <v>45499.999999999935</v>
      </c>
      <c r="G1538" s="3">
        <v>45500</v>
      </c>
      <c r="H1538" s="25">
        <v>15374</v>
      </c>
    </row>
    <row r="1539" spans="1:8" x14ac:dyDescent="0.3">
      <c r="A1539" s="64">
        <v>2.0260211080026399E+18</v>
      </c>
      <c r="B1539" t="s">
        <v>5594</v>
      </c>
      <c r="C1539" s="65">
        <f t="shared" ref="C1539:C1545" si="24">DATE(LEFT(TEXT(A1539,"0"),4),MID(TEXT(A1539,"0"),5,2),MID(TEXT(A1539,"0"),7,2))</f>
        <v>46064</v>
      </c>
      <c r="D1539" s="3">
        <v>1</v>
      </c>
      <c r="E1539" s="3">
        <v>57272.727272727199</v>
      </c>
      <c r="F1539" s="3">
        <v>62999.999999999927</v>
      </c>
      <c r="G1539" s="3">
        <v>63000</v>
      </c>
      <c r="H1539" s="25">
        <v>30748</v>
      </c>
    </row>
    <row r="1540" spans="1:8" x14ac:dyDescent="0.3">
      <c r="A1540" s="64">
        <v>2.0260211002741399E+18</v>
      </c>
      <c r="B1540" t="s">
        <v>5594</v>
      </c>
      <c r="C1540" s="65">
        <f t="shared" si="24"/>
        <v>46064</v>
      </c>
      <c r="D1540" s="3">
        <v>1</v>
      </c>
      <c r="E1540" s="3">
        <v>57272.727272727199</v>
      </c>
      <c r="F1540" s="3">
        <v>62999.999999999927</v>
      </c>
      <c r="G1540" s="3">
        <v>63000</v>
      </c>
      <c r="H1540" s="25">
        <v>30748</v>
      </c>
    </row>
    <row r="1541" spans="1:8" x14ac:dyDescent="0.3">
      <c r="A1541" s="64">
        <v>2.0260210233352901E+18</v>
      </c>
      <c r="B1541" t="s">
        <v>5594</v>
      </c>
      <c r="C1541" s="65">
        <f t="shared" si="24"/>
        <v>46063</v>
      </c>
      <c r="D1541" s="3">
        <v>1</v>
      </c>
      <c r="E1541" s="3">
        <v>57272.727272727199</v>
      </c>
      <c r="F1541" s="3">
        <v>62999.999999999927</v>
      </c>
      <c r="G1541" s="3">
        <v>63000</v>
      </c>
      <c r="H1541" s="25">
        <v>30748</v>
      </c>
    </row>
    <row r="1542" spans="1:8" x14ac:dyDescent="0.3">
      <c r="A1542" s="64">
        <v>2.02602102153071E+18</v>
      </c>
      <c r="B1542" t="s">
        <v>5594</v>
      </c>
      <c r="C1542" s="65">
        <f t="shared" si="24"/>
        <v>46063</v>
      </c>
      <c r="D1542" s="3">
        <v>1</v>
      </c>
      <c r="E1542" s="3">
        <v>57272.727272727199</v>
      </c>
      <c r="F1542" s="3">
        <v>62999.999999999927</v>
      </c>
      <c r="G1542" s="3">
        <v>63000</v>
      </c>
      <c r="H1542" s="25">
        <v>30748</v>
      </c>
    </row>
    <row r="1543" spans="1:8" x14ac:dyDescent="0.3">
      <c r="A1543" s="64">
        <v>2.02602102010162E+18</v>
      </c>
      <c r="B1543" t="s">
        <v>5594</v>
      </c>
      <c r="C1543" s="65">
        <f t="shared" si="24"/>
        <v>46063</v>
      </c>
      <c r="D1543" s="3">
        <v>2</v>
      </c>
      <c r="E1543" s="3">
        <v>57272.727272727003</v>
      </c>
      <c r="F1543" s="3">
        <v>125999.99999999942</v>
      </c>
      <c r="G1543" s="3">
        <v>126000</v>
      </c>
      <c r="H1543" s="25">
        <v>61496</v>
      </c>
    </row>
    <row r="1544" spans="1:8" x14ac:dyDescent="0.3">
      <c r="A1544" s="64">
        <v>2.02602101352161E+18</v>
      </c>
      <c r="B1544" t="s">
        <v>5594</v>
      </c>
      <c r="C1544" s="65">
        <f t="shared" si="24"/>
        <v>46063</v>
      </c>
      <c r="D1544" s="3">
        <v>1</v>
      </c>
      <c r="E1544" s="3">
        <v>57272.727272727199</v>
      </c>
      <c r="F1544" s="3">
        <v>62999.999999999927</v>
      </c>
      <c r="G1544" s="3">
        <v>63000</v>
      </c>
      <c r="H1544" s="25">
        <v>30748</v>
      </c>
    </row>
    <row r="1545" spans="1:8" x14ac:dyDescent="0.3">
      <c r="A1545" s="64">
        <v>2.0260210112219899E+18</v>
      </c>
      <c r="B1545" t="s">
        <v>5594</v>
      </c>
      <c r="C1545" s="65">
        <f t="shared" si="24"/>
        <v>46063</v>
      </c>
      <c r="D1545" s="3">
        <v>1</v>
      </c>
      <c r="E1545" s="3">
        <v>57272.727272727199</v>
      </c>
      <c r="F1545" s="3">
        <v>62999.999999999927</v>
      </c>
      <c r="G1545" s="3">
        <v>63000</v>
      </c>
      <c r="H1545" s="25">
        <v>30748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206B-973A-43A6-B669-74BB1AD94D6C}">
  <dimension ref="A1:K13"/>
  <sheetViews>
    <sheetView showGridLines="0" workbookViewId="0">
      <selection activeCell="D26" sqref="D26"/>
    </sheetView>
  </sheetViews>
  <sheetFormatPr defaultRowHeight="16.5" x14ac:dyDescent="0.3"/>
  <cols>
    <col min="1" max="1" width="12.875" customWidth="1"/>
    <col min="2" max="2" width="31.75" bestFit="1" customWidth="1"/>
    <col min="3" max="8" width="18.375" customWidth="1"/>
  </cols>
  <sheetData>
    <row r="1" spans="1:11" ht="17.25" x14ac:dyDescent="0.3">
      <c r="A1" s="14" t="s">
        <v>11</v>
      </c>
      <c r="B1" s="14" t="s">
        <v>1</v>
      </c>
      <c r="C1" s="14" t="s">
        <v>4</v>
      </c>
      <c r="D1" s="14" t="s">
        <v>49</v>
      </c>
      <c r="E1" s="14" t="s">
        <v>50</v>
      </c>
      <c r="F1" s="14" t="s">
        <v>5</v>
      </c>
      <c r="G1" s="14" t="s">
        <v>51</v>
      </c>
      <c r="H1" s="14" t="s">
        <v>52</v>
      </c>
      <c r="J1" s="11" t="s">
        <v>53</v>
      </c>
    </row>
    <row r="2" spans="1:11" x14ac:dyDescent="0.3">
      <c r="A2" s="9" t="str">
        <f>제품마스터!A2</f>
        <v>SKU001</v>
      </c>
      <c r="B2" s="9" t="str">
        <f>제품마스터!B2</f>
        <v>[워커힐] 시그니처 양념갈비 300G</v>
      </c>
      <c r="C2" s="10">
        <f>제품마스터!E2</f>
        <v>25000</v>
      </c>
      <c r="D2" s="10">
        <f>SUMIF(정규화데이터!$C:$C,$A2,정규화데이터!$G:$G)</f>
        <v>0</v>
      </c>
      <c r="E2" s="10">
        <f>C2-D2</f>
        <v>25000</v>
      </c>
      <c r="F2" s="10">
        <f>제품마스터!F2</f>
        <v>5000</v>
      </c>
      <c r="G2" s="9" t="str">
        <f>IF(E2&lt;F2,"⚠️ 발주필요",IF(E2&lt;F2*1.5,"⚡ 주의","✅ 정상"))</f>
        <v>✅ 정상</v>
      </c>
      <c r="H2" s="10" t="str">
        <f>IF(E2&lt;F2,MAX(F2*3-E2,0),"")</f>
        <v/>
      </c>
      <c r="J2" s="7" t="s">
        <v>54</v>
      </c>
      <c r="K2" t="s">
        <v>1779</v>
      </c>
    </row>
    <row r="3" spans="1:11" x14ac:dyDescent="0.3">
      <c r="A3" s="9"/>
      <c r="B3" s="9"/>
      <c r="C3" s="10"/>
      <c r="D3" s="10"/>
      <c r="E3" s="10"/>
      <c r="F3" s="10"/>
      <c r="G3" s="9"/>
      <c r="H3" s="10"/>
      <c r="J3" s="7" t="s">
        <v>55</v>
      </c>
      <c r="K3" t="s">
        <v>1780</v>
      </c>
    </row>
    <row r="4" spans="1:11" x14ac:dyDescent="0.3">
      <c r="A4" s="9"/>
      <c r="B4" s="9"/>
      <c r="C4" s="10"/>
      <c r="D4" s="10"/>
      <c r="E4" s="10"/>
      <c r="F4" s="10"/>
      <c r="G4" s="9"/>
      <c r="H4" s="10"/>
      <c r="K4" t="s">
        <v>1781</v>
      </c>
    </row>
    <row r="5" spans="1:11" x14ac:dyDescent="0.3">
      <c r="A5" s="9"/>
      <c r="B5" s="9"/>
      <c r="C5" s="10"/>
      <c r="D5" s="10"/>
      <c r="E5" s="10"/>
      <c r="F5" s="10"/>
      <c r="G5" s="9"/>
      <c r="H5" s="10"/>
      <c r="J5" s="8" t="s">
        <v>56</v>
      </c>
    </row>
    <row r="6" spans="1:11" x14ac:dyDescent="0.3">
      <c r="A6" s="9"/>
      <c r="B6" s="9"/>
      <c r="C6" s="10"/>
      <c r="D6" s="10"/>
      <c r="E6" s="10"/>
      <c r="F6" s="10"/>
      <c r="G6" s="9"/>
      <c r="H6" s="10"/>
      <c r="J6" s="28" t="s">
        <v>56</v>
      </c>
      <c r="K6" t="s">
        <v>58</v>
      </c>
    </row>
    <row r="7" spans="1:11" x14ac:dyDescent="0.3">
      <c r="A7" s="9"/>
      <c r="B7" s="9"/>
      <c r="C7" s="10"/>
      <c r="D7" s="10"/>
      <c r="E7" s="10"/>
      <c r="F7" s="10"/>
      <c r="G7" s="9"/>
      <c r="H7" s="10"/>
      <c r="J7" s="12" t="s">
        <v>57</v>
      </c>
      <c r="K7" t="s">
        <v>58</v>
      </c>
    </row>
    <row r="8" spans="1:11" x14ac:dyDescent="0.3">
      <c r="A8" s="9"/>
      <c r="B8" s="9"/>
      <c r="C8" s="10"/>
      <c r="D8" s="10"/>
      <c r="E8" s="10"/>
      <c r="F8" s="10"/>
      <c r="G8" s="9"/>
      <c r="H8" s="10"/>
      <c r="J8" s="15" t="s">
        <v>59</v>
      </c>
      <c r="K8" t="s">
        <v>60</v>
      </c>
    </row>
    <row r="9" spans="1:11" x14ac:dyDescent="0.3">
      <c r="A9" s="9"/>
      <c r="B9" s="9"/>
      <c r="C9" s="10"/>
      <c r="D9" s="10"/>
      <c r="E9" s="10"/>
      <c r="F9" s="10"/>
      <c r="G9" s="9"/>
      <c r="H9" s="10"/>
      <c r="J9" s="16" t="s">
        <v>61</v>
      </c>
      <c r="K9" t="s">
        <v>62</v>
      </c>
    </row>
    <row r="10" spans="1:11" x14ac:dyDescent="0.3">
      <c r="A10" s="9"/>
      <c r="B10" s="9"/>
      <c r="C10" s="10"/>
      <c r="D10" s="10"/>
      <c r="E10" s="10"/>
      <c r="F10" s="10"/>
      <c r="G10" s="9"/>
      <c r="H10" s="10"/>
      <c r="J10" s="7" t="s">
        <v>63</v>
      </c>
      <c r="K10" t="s">
        <v>64</v>
      </c>
    </row>
    <row r="11" spans="1:11" x14ac:dyDescent="0.3">
      <c r="A11" s="9"/>
      <c r="B11" s="9"/>
      <c r="C11" s="10"/>
      <c r="D11" s="10"/>
      <c r="E11" s="10"/>
      <c r="F11" s="10"/>
      <c r="G11" s="9"/>
      <c r="H11" s="10"/>
      <c r="J11" s="7" t="s">
        <v>63</v>
      </c>
      <c r="K11" t="s">
        <v>64</v>
      </c>
    </row>
    <row r="12" spans="1:11" x14ac:dyDescent="0.3">
      <c r="J12" s="7" t="s">
        <v>66</v>
      </c>
      <c r="K12" t="s">
        <v>65</v>
      </c>
    </row>
    <row r="13" spans="1:11" x14ac:dyDescent="0.3">
      <c r="J13" s="7" t="s">
        <v>66</v>
      </c>
      <c r="K13" t="s">
        <v>1782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0FE6-D29F-4E8D-8924-61E262A34E59}">
  <dimension ref="A1:N1545"/>
  <sheetViews>
    <sheetView showGridLines="0" workbookViewId="0">
      <selection activeCell="C27" sqref="C27"/>
    </sheetView>
  </sheetViews>
  <sheetFormatPr defaultRowHeight="16.5" x14ac:dyDescent="0.3"/>
  <cols>
    <col min="1" max="2" width="18.375" customWidth="1"/>
    <col min="3" max="3" width="200.625" bestFit="1" customWidth="1"/>
    <col min="4" max="4" width="31.75" bestFit="1" customWidth="1"/>
    <col min="5" max="11" width="18.375" customWidth="1"/>
    <col min="14" max="14" width="13.25" bestFit="1" customWidth="1"/>
  </cols>
  <sheetData>
    <row r="1" spans="1:14" x14ac:dyDescent="0.3">
      <c r="A1" s="29" t="s">
        <v>2627</v>
      </c>
      <c r="B1" s="29" t="s">
        <v>38</v>
      </c>
      <c r="C1" s="29" t="s">
        <v>77</v>
      </c>
      <c r="D1" s="29" t="s">
        <v>75</v>
      </c>
      <c r="E1" s="29" t="s">
        <v>11</v>
      </c>
      <c r="F1" s="29" t="s">
        <v>39</v>
      </c>
      <c r="G1" s="29" t="s">
        <v>84</v>
      </c>
      <c r="H1" s="29" t="s">
        <v>1785</v>
      </c>
      <c r="I1" s="29" t="s">
        <v>40</v>
      </c>
      <c r="J1" s="29" t="s">
        <v>1808</v>
      </c>
      <c r="K1" s="29" t="s">
        <v>5593</v>
      </c>
      <c r="L1" s="29" t="s">
        <v>68</v>
      </c>
      <c r="M1" s="29" t="s">
        <v>69</v>
      </c>
      <c r="N1" s="29" t="s">
        <v>5603</v>
      </c>
    </row>
    <row r="2" spans="1:14" x14ac:dyDescent="0.3">
      <c r="A2" t="str">
        <f>정규화데이터!A2</f>
        <v>SK스토아</v>
      </c>
      <c r="B2">
        <f>정규화데이터!B2</f>
        <v>20260204818446</v>
      </c>
      <c r="C2" t="str">
        <f>정규화데이터!C2</f>
        <v>[워커힐]워커힐 고메 시그니처 양념 본갈비 8팩</v>
      </c>
      <c r="D2">
        <f>정규화데이터!D2</f>
        <v>58481090</v>
      </c>
      <c r="E2" s="16" t="str">
        <f>정규화데이터!E2</f>
        <v>SKU001</v>
      </c>
      <c r="F2" s="3">
        <f>정규화데이터!F2</f>
        <v>1</v>
      </c>
      <c r="G2" s="3">
        <f>정규화데이터!G2</f>
        <v>119000</v>
      </c>
      <c r="H2" s="3">
        <f>정규화데이터!H2</f>
        <v>109000</v>
      </c>
      <c r="I2" s="3">
        <f>정규화데이터!I2</f>
        <v>82110</v>
      </c>
      <c r="J2" s="3">
        <f>정규화데이터!J2</f>
        <v>99090.909090909074</v>
      </c>
      <c r="K2" s="25">
        <f>정규화데이터!K2</f>
        <v>61496</v>
      </c>
      <c r="L2" s="25">
        <f>정규화데이터!L2</f>
        <v>61496</v>
      </c>
      <c r="M2" s="21">
        <f>J2-L2</f>
        <v>37594.909090909074</v>
      </c>
      <c r="N2" s="52">
        <f>IF(J2=0,0,M2/J2)</f>
        <v>0.3793981651376146</v>
      </c>
    </row>
    <row r="3" spans="1:14" x14ac:dyDescent="0.3">
      <c r="A3" t="str">
        <f>정규화데이터!A3</f>
        <v>SK스토아</v>
      </c>
      <c r="B3">
        <f>정규화데이터!B3</f>
        <v>20260204842609</v>
      </c>
      <c r="C3" t="str">
        <f>정규화데이터!C3</f>
        <v>[워커힐]워커힐 고메 시그니처 양념 본갈비 8팩</v>
      </c>
      <c r="D3">
        <f>정규화데이터!D3</f>
        <v>58481090</v>
      </c>
      <c r="E3" s="16" t="str">
        <f>정규화데이터!E3</f>
        <v>SKU001</v>
      </c>
      <c r="F3" s="3">
        <f>정규화데이터!F3</f>
        <v>1</v>
      </c>
      <c r="G3" s="3">
        <f>정규화데이터!G3</f>
        <v>119000</v>
      </c>
      <c r="H3" s="3">
        <f>정규화데이터!H3</f>
        <v>98800</v>
      </c>
      <c r="I3" s="3">
        <f>정규화데이터!I3</f>
        <v>82110</v>
      </c>
      <c r="J3" s="3">
        <f>정규화데이터!J3</f>
        <v>89818.181818181809</v>
      </c>
      <c r="K3" s="25">
        <f>정규화데이터!K3</f>
        <v>61496</v>
      </c>
      <c r="L3" s="25">
        <f>정규화데이터!L3</f>
        <v>61496</v>
      </c>
      <c r="M3" s="21">
        <f t="shared" ref="M3:M66" si="0">J3-L3</f>
        <v>28322.181818181809</v>
      </c>
      <c r="N3" s="52">
        <f t="shared" ref="N3:N66" si="1">IF(J3=0,0,M3/J3)</f>
        <v>0.315327935222672</v>
      </c>
    </row>
    <row r="4" spans="1:14" x14ac:dyDescent="0.3">
      <c r="A4" t="str">
        <f>정규화데이터!A4</f>
        <v>SK스토아</v>
      </c>
      <c r="B4">
        <f>정규화데이터!B4</f>
        <v>20260205994554</v>
      </c>
      <c r="C4" t="str">
        <f>정규화데이터!C4</f>
        <v>[워커힐]워커힐 고메 시그니처 양념 본갈비 8팩</v>
      </c>
      <c r="D4">
        <f>정규화데이터!D4</f>
        <v>58481090</v>
      </c>
      <c r="E4" s="16" t="str">
        <f>정규화데이터!E4</f>
        <v>SKU001</v>
      </c>
      <c r="F4" s="3">
        <f>정규화데이터!F4</f>
        <v>-1</v>
      </c>
      <c r="G4" s="3">
        <f>정규화데이터!G4</f>
        <v>119000</v>
      </c>
      <c r="H4" s="3">
        <f>정규화데이터!H4</f>
        <v>-113050</v>
      </c>
      <c r="I4" s="3">
        <f>정규화데이터!I4</f>
        <v>-82110</v>
      </c>
      <c r="J4" s="3">
        <f>정규화데이터!J4</f>
        <v>-102772.72727272726</v>
      </c>
      <c r="K4" s="25">
        <f>정규화데이터!K4</f>
        <v>61496</v>
      </c>
      <c r="L4" s="25">
        <f>정규화데이터!L4</f>
        <v>-61496</v>
      </c>
      <c r="M4" s="21">
        <f t="shared" si="0"/>
        <v>-41276.727272727265</v>
      </c>
      <c r="N4" s="52">
        <f t="shared" si="1"/>
        <v>0.40163113666519235</v>
      </c>
    </row>
    <row r="5" spans="1:14" x14ac:dyDescent="0.3">
      <c r="A5" t="str">
        <f>정규화데이터!A5</f>
        <v>SK스토아</v>
      </c>
      <c r="B5">
        <f>정규화데이터!B5</f>
        <v>20260205994554</v>
      </c>
      <c r="C5" t="str">
        <f>정규화데이터!C5</f>
        <v>[워커힐]워커힐 고메 시그니처 양념 본갈비 8팩</v>
      </c>
      <c r="D5">
        <f>정규화데이터!D5</f>
        <v>58481090</v>
      </c>
      <c r="E5" s="16" t="str">
        <f>정규화데이터!E5</f>
        <v>SKU001</v>
      </c>
      <c r="F5" s="3">
        <f>정규화데이터!F5</f>
        <v>1</v>
      </c>
      <c r="G5" s="3">
        <f>정규화데이터!G5</f>
        <v>119000</v>
      </c>
      <c r="H5" s="3">
        <f>정규화데이터!H5</f>
        <v>113050</v>
      </c>
      <c r="I5" s="3">
        <f>정규화데이터!I5</f>
        <v>82110</v>
      </c>
      <c r="J5" s="3">
        <f>정규화데이터!J5</f>
        <v>102772.72727272726</v>
      </c>
      <c r="K5" s="25">
        <f>정규화데이터!K5</f>
        <v>61496</v>
      </c>
      <c r="L5" s="25">
        <f>정규화데이터!L5</f>
        <v>61496</v>
      </c>
      <c r="M5" s="21">
        <f t="shared" si="0"/>
        <v>41276.727272727265</v>
      </c>
      <c r="N5" s="52">
        <f t="shared" si="1"/>
        <v>0.40163113666519235</v>
      </c>
    </row>
    <row r="6" spans="1:14" x14ac:dyDescent="0.3">
      <c r="A6" t="str">
        <f>정규화데이터!A6</f>
        <v>SK스토아</v>
      </c>
      <c r="B6">
        <f>정규화데이터!B6</f>
        <v>20260205974443</v>
      </c>
      <c r="C6" t="str">
        <f>정규화데이터!C6</f>
        <v>[워커힐]워커힐 고메 시그니처 양념 본갈비 8팩</v>
      </c>
      <c r="D6">
        <f>정규화데이터!D6</f>
        <v>58999583</v>
      </c>
      <c r="E6" s="16" t="str">
        <f>정규화데이터!E6</f>
        <v>SKU001</v>
      </c>
      <c r="F6" s="3">
        <f>정규화데이터!F6</f>
        <v>1</v>
      </c>
      <c r="G6" s="3">
        <f>정규화데이터!G6</f>
        <v>119000</v>
      </c>
      <c r="H6" s="3">
        <f>정규화데이터!H6</f>
        <v>119000</v>
      </c>
      <c r="I6" s="3">
        <f>정규화데이터!I6</f>
        <v>82110</v>
      </c>
      <c r="J6" s="3">
        <f>정규화데이터!J6</f>
        <v>108181.81818181818</v>
      </c>
      <c r="K6" s="25">
        <f>정규화데이터!K6</f>
        <v>61496</v>
      </c>
      <c r="L6" s="25">
        <f>정규화데이터!L6</f>
        <v>61496</v>
      </c>
      <c r="M6" s="21">
        <f t="shared" si="0"/>
        <v>46685.818181818177</v>
      </c>
      <c r="N6" s="52">
        <f t="shared" si="1"/>
        <v>0.43154957983193276</v>
      </c>
    </row>
    <row r="7" spans="1:14" x14ac:dyDescent="0.3">
      <c r="A7" t="str">
        <f>정규화데이터!A7</f>
        <v>SK스토아</v>
      </c>
      <c r="B7">
        <f>정규화데이터!B7</f>
        <v>20260204816757</v>
      </c>
      <c r="C7" t="str">
        <f>정규화데이터!C7</f>
        <v>[워커힐]워커힐 고메 시그니처 양념 본갈비 8팩</v>
      </c>
      <c r="D7">
        <f>정규화데이터!D7</f>
        <v>58999583</v>
      </c>
      <c r="E7" s="16" t="str">
        <f>정규화데이터!E7</f>
        <v>SKU001</v>
      </c>
      <c r="F7" s="3">
        <f>정규화데이터!F7</f>
        <v>1</v>
      </c>
      <c r="G7" s="3">
        <f>정규화데이터!G7</f>
        <v>119000</v>
      </c>
      <c r="H7" s="3">
        <f>정규화데이터!H7</f>
        <v>119000</v>
      </c>
      <c r="I7" s="3">
        <f>정규화데이터!I7</f>
        <v>82110</v>
      </c>
      <c r="J7" s="3">
        <f>정규화데이터!J7</f>
        <v>108181.81818181818</v>
      </c>
      <c r="K7" s="25">
        <f>정규화데이터!K7</f>
        <v>61496</v>
      </c>
      <c r="L7" s="25">
        <f>정규화데이터!L7</f>
        <v>61496</v>
      </c>
      <c r="M7" s="21">
        <f t="shared" si="0"/>
        <v>46685.818181818177</v>
      </c>
      <c r="N7" s="52">
        <f t="shared" si="1"/>
        <v>0.43154957983193276</v>
      </c>
    </row>
    <row r="8" spans="1:14" x14ac:dyDescent="0.3">
      <c r="A8" t="str">
        <f>정규화데이터!A8</f>
        <v>SK스토아</v>
      </c>
      <c r="B8">
        <f>정규화데이터!B8</f>
        <v>20260204838783</v>
      </c>
      <c r="C8" t="str">
        <f>정규화데이터!C8</f>
        <v>[워커힐]워커힐 고메 시그니처 양념 본갈비 8팩</v>
      </c>
      <c r="D8">
        <f>정규화데이터!D8</f>
        <v>58999583</v>
      </c>
      <c r="E8" s="16" t="str">
        <f>정규화데이터!E8</f>
        <v>SKU001</v>
      </c>
      <c r="F8" s="3">
        <f>정규화데이터!F8</f>
        <v>1</v>
      </c>
      <c r="G8" s="3">
        <f>정규화데이터!G8</f>
        <v>119000</v>
      </c>
      <c r="H8" s="3">
        <f>정규화데이터!H8</f>
        <v>101150</v>
      </c>
      <c r="I8" s="3">
        <f>정규화데이터!I8</f>
        <v>82110</v>
      </c>
      <c r="J8" s="3">
        <f>정규화데이터!J8</f>
        <v>91954.545454545441</v>
      </c>
      <c r="K8" s="25">
        <f>정규화데이터!K8</f>
        <v>61496</v>
      </c>
      <c r="L8" s="25">
        <f>정규화데이터!L8</f>
        <v>61496</v>
      </c>
      <c r="M8" s="21">
        <f t="shared" si="0"/>
        <v>30458.545454545441</v>
      </c>
      <c r="N8" s="52">
        <f t="shared" si="1"/>
        <v>0.33123479980227377</v>
      </c>
    </row>
    <row r="9" spans="1:14" x14ac:dyDescent="0.3">
      <c r="A9" t="str">
        <f>정규화데이터!A9</f>
        <v>SK스토아</v>
      </c>
      <c r="B9">
        <f>정규화데이터!B9</f>
        <v>20260205993814</v>
      </c>
      <c r="C9" t="str">
        <f>정규화데이터!C9</f>
        <v>[워커힐]워커힐 고메 시그니처 양념 본갈비 8팩</v>
      </c>
      <c r="D9">
        <f>정규화데이터!D9</f>
        <v>58481090</v>
      </c>
      <c r="E9" s="16" t="str">
        <f>정규화데이터!E9</f>
        <v>SKU001</v>
      </c>
      <c r="F9" s="3">
        <f>정규화데이터!F9</f>
        <v>2</v>
      </c>
      <c r="G9" s="3">
        <f>정규화데이터!G9</f>
        <v>119000</v>
      </c>
      <c r="H9" s="3">
        <f>정규화데이터!H9</f>
        <v>238000</v>
      </c>
      <c r="I9" s="3">
        <f>정규화데이터!I9</f>
        <v>164220</v>
      </c>
      <c r="J9" s="3">
        <f>정규화데이터!J9</f>
        <v>216363.63636363635</v>
      </c>
      <c r="K9" s="25">
        <f>정규화데이터!K9</f>
        <v>61496</v>
      </c>
      <c r="L9" s="25">
        <f>정규화데이터!L9</f>
        <v>122992</v>
      </c>
      <c r="M9" s="21">
        <f t="shared" si="0"/>
        <v>93371.636363636353</v>
      </c>
      <c r="N9" s="52">
        <f t="shared" si="1"/>
        <v>0.43154957983193276</v>
      </c>
    </row>
    <row r="10" spans="1:14" x14ac:dyDescent="0.3">
      <c r="A10" t="str">
        <f>정규화데이터!A10</f>
        <v>SK스토아</v>
      </c>
      <c r="B10">
        <f>정규화데이터!B10</f>
        <v>20260205994105</v>
      </c>
      <c r="C10" t="str">
        <f>정규화데이터!C10</f>
        <v>[워커힐]워커힐 고메 시그니처 양념 본갈비 8팩</v>
      </c>
      <c r="D10">
        <f>정규화데이터!D10</f>
        <v>58481090</v>
      </c>
      <c r="E10" s="16" t="str">
        <f>정규화데이터!E10</f>
        <v>SKU001</v>
      </c>
      <c r="F10" s="3">
        <f>정규화데이터!F10</f>
        <v>1</v>
      </c>
      <c r="G10" s="3">
        <f>정규화데이터!G10</f>
        <v>119000</v>
      </c>
      <c r="H10" s="3">
        <f>정규화데이터!H10</f>
        <v>119000</v>
      </c>
      <c r="I10" s="3">
        <f>정규화데이터!I10</f>
        <v>82110</v>
      </c>
      <c r="J10" s="3">
        <f>정규화데이터!J10</f>
        <v>108181.81818181818</v>
      </c>
      <c r="K10" s="25">
        <f>정규화데이터!K10</f>
        <v>61496</v>
      </c>
      <c r="L10" s="25">
        <f>정규화데이터!L10</f>
        <v>61496</v>
      </c>
      <c r="M10" s="21">
        <f t="shared" si="0"/>
        <v>46685.818181818177</v>
      </c>
      <c r="N10" s="52">
        <f t="shared" si="1"/>
        <v>0.43154957983193276</v>
      </c>
    </row>
    <row r="11" spans="1:14" x14ac:dyDescent="0.3">
      <c r="A11" t="str">
        <f>정규화데이터!A11</f>
        <v>SK스토아</v>
      </c>
      <c r="B11">
        <f>정규화데이터!B11</f>
        <v>20260205995257</v>
      </c>
      <c r="C11" t="str">
        <f>정규화데이터!C11</f>
        <v>[워커힐]워커힐 고메 시그니처 양념 본갈비 8팩</v>
      </c>
      <c r="D11">
        <f>정규화데이터!D11</f>
        <v>58481090</v>
      </c>
      <c r="E11" s="16" t="str">
        <f>정규화데이터!E11</f>
        <v>SKU001</v>
      </c>
      <c r="F11" s="3">
        <f>정규화데이터!F11</f>
        <v>1</v>
      </c>
      <c r="G11" s="3">
        <f>정규화데이터!G11</f>
        <v>119000</v>
      </c>
      <c r="H11" s="3">
        <f>정규화데이터!H11</f>
        <v>119000</v>
      </c>
      <c r="I11" s="3">
        <f>정규화데이터!I11</f>
        <v>82110</v>
      </c>
      <c r="J11" s="3">
        <f>정규화데이터!J11</f>
        <v>108181.81818181818</v>
      </c>
      <c r="K11" s="25">
        <f>정규화데이터!K11</f>
        <v>61496</v>
      </c>
      <c r="L11" s="25">
        <f>정규화데이터!L11</f>
        <v>61496</v>
      </c>
      <c r="M11" s="21">
        <f t="shared" si="0"/>
        <v>46685.818181818177</v>
      </c>
      <c r="N11" s="52">
        <f t="shared" si="1"/>
        <v>0.43154957983193276</v>
      </c>
    </row>
    <row r="12" spans="1:14" x14ac:dyDescent="0.3">
      <c r="A12" t="str">
        <f>정규화데이터!A12</f>
        <v>SK스토아</v>
      </c>
      <c r="B12">
        <f>정규화데이터!B12</f>
        <v>20260205993931</v>
      </c>
      <c r="C12" t="str">
        <f>정규화데이터!C12</f>
        <v>[워커힐]워커힐 고메 시그니처 양념 본갈비 8팩</v>
      </c>
      <c r="D12">
        <f>정규화데이터!D12</f>
        <v>58481090</v>
      </c>
      <c r="E12" s="16" t="str">
        <f>정규화데이터!E12</f>
        <v>SKU001</v>
      </c>
      <c r="F12" s="3">
        <f>정규화데이터!F12</f>
        <v>1</v>
      </c>
      <c r="G12" s="3">
        <f>정규화데이터!G12</f>
        <v>119000</v>
      </c>
      <c r="H12" s="3">
        <f>정규화데이터!H12</f>
        <v>119000</v>
      </c>
      <c r="I12" s="3">
        <f>정규화데이터!I12</f>
        <v>82110</v>
      </c>
      <c r="J12" s="3">
        <f>정규화데이터!J12</f>
        <v>108181.81818181818</v>
      </c>
      <c r="K12" s="25">
        <f>정규화데이터!K12</f>
        <v>61496</v>
      </c>
      <c r="L12" s="25">
        <f>정규화데이터!L12</f>
        <v>61496</v>
      </c>
      <c r="M12" s="21">
        <f t="shared" si="0"/>
        <v>46685.818181818177</v>
      </c>
      <c r="N12" s="52">
        <f t="shared" si="1"/>
        <v>0.43154957983193276</v>
      </c>
    </row>
    <row r="13" spans="1:14" x14ac:dyDescent="0.3">
      <c r="A13" t="str">
        <f>정규화데이터!A13</f>
        <v>SK스토아</v>
      </c>
      <c r="B13">
        <f>정규화데이터!B13</f>
        <v>20260205992438</v>
      </c>
      <c r="C13" t="str">
        <f>정규화데이터!C13</f>
        <v>[워커힐]워커힐 고메 시그니처 양념 본갈비 8팩</v>
      </c>
      <c r="D13">
        <f>정규화데이터!D13</f>
        <v>58481090</v>
      </c>
      <c r="E13" s="16" t="str">
        <f>정규화데이터!E13</f>
        <v>SKU001</v>
      </c>
      <c r="F13" s="3">
        <f>정규화데이터!F13</f>
        <v>1</v>
      </c>
      <c r="G13" s="3">
        <f>정규화데이터!G13</f>
        <v>119000</v>
      </c>
      <c r="H13" s="3">
        <f>정규화데이터!H13</f>
        <v>119000</v>
      </c>
      <c r="I13" s="3">
        <f>정규화데이터!I13</f>
        <v>82110</v>
      </c>
      <c r="J13" s="3">
        <f>정규화데이터!J13</f>
        <v>108181.81818181818</v>
      </c>
      <c r="K13" s="25">
        <f>정규화데이터!K13</f>
        <v>61496</v>
      </c>
      <c r="L13" s="25">
        <f>정규화데이터!L13</f>
        <v>61496</v>
      </c>
      <c r="M13" s="21">
        <f t="shared" si="0"/>
        <v>46685.818181818177</v>
      </c>
      <c r="N13" s="52">
        <f t="shared" si="1"/>
        <v>0.43154957983193276</v>
      </c>
    </row>
    <row r="14" spans="1:14" x14ac:dyDescent="0.3">
      <c r="A14" t="str">
        <f>정규화데이터!A14</f>
        <v>SK스토아</v>
      </c>
      <c r="B14">
        <f>정규화데이터!B14</f>
        <v>20260205992964</v>
      </c>
      <c r="C14" t="str">
        <f>정규화데이터!C14</f>
        <v>[워커힐]워커힐 고메 시그니처 양념 본갈비 8팩</v>
      </c>
      <c r="D14">
        <f>정규화데이터!D14</f>
        <v>58481090</v>
      </c>
      <c r="E14" s="16" t="str">
        <f>정규화데이터!E14</f>
        <v>SKU001</v>
      </c>
      <c r="F14" s="3">
        <f>정규화데이터!F14</f>
        <v>1</v>
      </c>
      <c r="G14" s="3">
        <f>정규화데이터!G14</f>
        <v>119000</v>
      </c>
      <c r="H14" s="3">
        <f>정규화데이터!H14</f>
        <v>113050</v>
      </c>
      <c r="I14" s="3">
        <f>정규화데이터!I14</f>
        <v>82110</v>
      </c>
      <c r="J14" s="3">
        <f>정규화데이터!J14</f>
        <v>102772.72727272726</v>
      </c>
      <c r="K14" s="25">
        <f>정규화데이터!K14</f>
        <v>61496</v>
      </c>
      <c r="L14" s="25">
        <f>정규화데이터!L14</f>
        <v>61496</v>
      </c>
      <c r="M14" s="21">
        <f t="shared" si="0"/>
        <v>41276.727272727265</v>
      </c>
      <c r="N14" s="52">
        <f t="shared" si="1"/>
        <v>0.40163113666519235</v>
      </c>
    </row>
    <row r="15" spans="1:14" x14ac:dyDescent="0.3">
      <c r="A15" t="str">
        <f>정규화데이터!A15</f>
        <v>SK스토아</v>
      </c>
      <c r="B15">
        <f>정규화데이터!B15</f>
        <v>20260205995526</v>
      </c>
      <c r="C15" t="str">
        <f>정규화데이터!C15</f>
        <v>[워커힐]워커힐 고메 시그니처 양념 본갈비 8팩</v>
      </c>
      <c r="D15">
        <f>정규화데이터!D15</f>
        <v>58481090</v>
      </c>
      <c r="E15" s="16" t="str">
        <f>정규화데이터!E15</f>
        <v>SKU001</v>
      </c>
      <c r="F15" s="3">
        <f>정규화데이터!F15</f>
        <v>1</v>
      </c>
      <c r="G15" s="3">
        <f>정규화데이터!G15</f>
        <v>119000</v>
      </c>
      <c r="H15" s="3">
        <f>정규화데이터!H15</f>
        <v>119000</v>
      </c>
      <c r="I15" s="3">
        <f>정규화데이터!I15</f>
        <v>82110</v>
      </c>
      <c r="J15" s="3">
        <f>정규화데이터!J15</f>
        <v>108181.81818181818</v>
      </c>
      <c r="K15" s="25">
        <f>정규화데이터!K15</f>
        <v>61496</v>
      </c>
      <c r="L15" s="25">
        <f>정규화데이터!L15</f>
        <v>61496</v>
      </c>
      <c r="M15" s="21">
        <f t="shared" si="0"/>
        <v>46685.818181818177</v>
      </c>
      <c r="N15" s="52">
        <f t="shared" si="1"/>
        <v>0.43154957983193276</v>
      </c>
    </row>
    <row r="16" spans="1:14" x14ac:dyDescent="0.3">
      <c r="A16" t="str">
        <f>정규화데이터!A16</f>
        <v>SK스토아</v>
      </c>
      <c r="B16">
        <f>정규화데이터!B16</f>
        <v>20260205995622</v>
      </c>
      <c r="C16" t="str">
        <f>정규화데이터!C16</f>
        <v>[워커힐]워커힐 고메 시그니처 양념 본갈비 8팩</v>
      </c>
      <c r="D16">
        <f>정규화데이터!D16</f>
        <v>58481090</v>
      </c>
      <c r="E16" s="16" t="str">
        <f>정규화데이터!E16</f>
        <v>SKU001</v>
      </c>
      <c r="F16" s="3">
        <f>정규화데이터!F16</f>
        <v>1</v>
      </c>
      <c r="G16" s="3">
        <f>정규화데이터!G16</f>
        <v>119000</v>
      </c>
      <c r="H16" s="3">
        <f>정규화데이터!H16</f>
        <v>119000</v>
      </c>
      <c r="I16" s="3">
        <f>정규화데이터!I16</f>
        <v>82110</v>
      </c>
      <c r="J16" s="3">
        <f>정규화데이터!J16</f>
        <v>108181.81818181818</v>
      </c>
      <c r="K16" s="25">
        <f>정규화데이터!K16</f>
        <v>61496</v>
      </c>
      <c r="L16" s="25">
        <f>정규화데이터!L16</f>
        <v>61496</v>
      </c>
      <c r="M16" s="21">
        <f t="shared" si="0"/>
        <v>46685.818181818177</v>
      </c>
      <c r="N16" s="52">
        <f t="shared" si="1"/>
        <v>0.43154957983193276</v>
      </c>
    </row>
    <row r="17" spans="1:14" x14ac:dyDescent="0.3">
      <c r="A17" t="str">
        <f>정규화데이터!A17</f>
        <v>SK스토아</v>
      </c>
      <c r="B17">
        <f>정규화데이터!B17</f>
        <v>20260205997344</v>
      </c>
      <c r="C17" t="str">
        <f>정규화데이터!C17</f>
        <v>[워커힐]워커힐 고메 시그니처 양념 본갈비 8팩</v>
      </c>
      <c r="D17">
        <f>정규화데이터!D17</f>
        <v>58481090</v>
      </c>
      <c r="E17" s="16" t="str">
        <f>정규화데이터!E17</f>
        <v>SKU001</v>
      </c>
      <c r="F17" s="3">
        <f>정규화데이터!F17</f>
        <v>1</v>
      </c>
      <c r="G17" s="3">
        <f>정규화데이터!G17</f>
        <v>119000</v>
      </c>
      <c r="H17" s="3">
        <f>정규화데이터!H17</f>
        <v>113050</v>
      </c>
      <c r="I17" s="3">
        <f>정규화데이터!I17</f>
        <v>82110</v>
      </c>
      <c r="J17" s="3">
        <f>정규화데이터!J17</f>
        <v>102772.72727272726</v>
      </c>
      <c r="K17" s="25">
        <f>정규화데이터!K17</f>
        <v>61496</v>
      </c>
      <c r="L17" s="25">
        <f>정규화데이터!L17</f>
        <v>61496</v>
      </c>
      <c r="M17" s="21">
        <f t="shared" si="0"/>
        <v>41276.727272727265</v>
      </c>
      <c r="N17" s="52">
        <f t="shared" si="1"/>
        <v>0.40163113666519235</v>
      </c>
    </row>
    <row r="18" spans="1:14" x14ac:dyDescent="0.3">
      <c r="A18" t="str">
        <f>정규화데이터!A18</f>
        <v>SK스토아</v>
      </c>
      <c r="B18">
        <f>정규화데이터!B18</f>
        <v>20260205995265</v>
      </c>
      <c r="C18" t="str">
        <f>정규화데이터!C18</f>
        <v>[워커힐]워커힐 고메 시그니처 양념 본갈비 8팩</v>
      </c>
      <c r="D18">
        <f>정규화데이터!D18</f>
        <v>58481090</v>
      </c>
      <c r="E18" s="16" t="str">
        <f>정규화데이터!E18</f>
        <v>SKU001</v>
      </c>
      <c r="F18" s="3">
        <f>정규화데이터!F18</f>
        <v>1</v>
      </c>
      <c r="G18" s="3">
        <f>정규화데이터!G18</f>
        <v>119000</v>
      </c>
      <c r="H18" s="3">
        <f>정규화데이터!H18</f>
        <v>119000</v>
      </c>
      <c r="I18" s="3">
        <f>정규화데이터!I18</f>
        <v>82110</v>
      </c>
      <c r="J18" s="3">
        <f>정규화데이터!J18</f>
        <v>108181.81818181818</v>
      </c>
      <c r="K18" s="25">
        <f>정규화데이터!K18</f>
        <v>61496</v>
      </c>
      <c r="L18" s="25">
        <f>정규화데이터!L18</f>
        <v>61496</v>
      </c>
      <c r="M18" s="21">
        <f t="shared" si="0"/>
        <v>46685.818181818177</v>
      </c>
      <c r="N18" s="52">
        <f t="shared" si="1"/>
        <v>0.43154957983193276</v>
      </c>
    </row>
    <row r="19" spans="1:14" x14ac:dyDescent="0.3">
      <c r="A19" t="str">
        <f>정규화데이터!A19</f>
        <v>SK스토아</v>
      </c>
      <c r="B19">
        <f>정규화데이터!B19</f>
        <v>20260205994047</v>
      </c>
      <c r="C19" t="str">
        <f>정규화데이터!C19</f>
        <v>[워커힐]워커힐 고메 시그니처 양념 본갈비 8팩</v>
      </c>
      <c r="D19">
        <f>정규화데이터!D19</f>
        <v>58481090</v>
      </c>
      <c r="E19" s="16" t="str">
        <f>정규화데이터!E19</f>
        <v>SKU001</v>
      </c>
      <c r="F19" s="3">
        <f>정규화데이터!F19</f>
        <v>1</v>
      </c>
      <c r="G19" s="3">
        <f>정규화데이터!G19</f>
        <v>119000</v>
      </c>
      <c r="H19" s="3">
        <f>정규화데이터!H19</f>
        <v>114000</v>
      </c>
      <c r="I19" s="3">
        <f>정규화데이터!I19</f>
        <v>82110</v>
      </c>
      <c r="J19" s="3">
        <f>정규화데이터!J19</f>
        <v>103636.36363636365</v>
      </c>
      <c r="K19" s="25">
        <f>정규화데이터!K19</f>
        <v>61496</v>
      </c>
      <c r="L19" s="25">
        <f>정규화데이터!L19</f>
        <v>61496</v>
      </c>
      <c r="M19" s="21">
        <f t="shared" si="0"/>
        <v>42140.363636363647</v>
      </c>
      <c r="N19" s="52">
        <f t="shared" si="1"/>
        <v>0.40661754385964921</v>
      </c>
    </row>
    <row r="20" spans="1:14" x14ac:dyDescent="0.3">
      <c r="A20" t="str">
        <f>정규화데이터!A20</f>
        <v>SK스토아</v>
      </c>
      <c r="B20">
        <f>정규화데이터!B20</f>
        <v>20260205995035</v>
      </c>
      <c r="C20" t="str">
        <f>정규화데이터!C20</f>
        <v>[워커힐]워커힐 고메 시그니처 양념 본갈비 8팩</v>
      </c>
      <c r="D20">
        <f>정규화데이터!D20</f>
        <v>58481090</v>
      </c>
      <c r="E20" s="16" t="str">
        <f>정규화데이터!E20</f>
        <v>SKU001</v>
      </c>
      <c r="F20" s="3">
        <f>정규화데이터!F20</f>
        <v>1</v>
      </c>
      <c r="G20" s="3">
        <f>정규화데이터!G20</f>
        <v>119000</v>
      </c>
      <c r="H20" s="3">
        <f>정규화데이터!H20</f>
        <v>119000</v>
      </c>
      <c r="I20" s="3">
        <f>정규화데이터!I20</f>
        <v>82110</v>
      </c>
      <c r="J20" s="3">
        <f>정규화데이터!J20</f>
        <v>108181.81818181818</v>
      </c>
      <c r="K20" s="25">
        <f>정규화데이터!K20</f>
        <v>61496</v>
      </c>
      <c r="L20" s="25">
        <f>정규화데이터!L20</f>
        <v>61496</v>
      </c>
      <c r="M20" s="21">
        <f t="shared" si="0"/>
        <v>46685.818181818177</v>
      </c>
      <c r="N20" s="52">
        <f t="shared" si="1"/>
        <v>0.43154957983193276</v>
      </c>
    </row>
    <row r="21" spans="1:14" x14ac:dyDescent="0.3">
      <c r="A21" t="str">
        <f>정규화데이터!A21</f>
        <v>SK스토아</v>
      </c>
      <c r="B21">
        <f>정규화데이터!B21</f>
        <v>20260205994804</v>
      </c>
      <c r="C21" t="str">
        <f>정규화데이터!C21</f>
        <v>[워커힐]워커힐 고메 시그니처 양념 본갈비 8팩</v>
      </c>
      <c r="D21">
        <f>정규화데이터!D21</f>
        <v>58481090</v>
      </c>
      <c r="E21" s="16" t="str">
        <f>정규화데이터!E21</f>
        <v>SKU001</v>
      </c>
      <c r="F21" s="3">
        <f>정규화데이터!F21</f>
        <v>1</v>
      </c>
      <c r="G21" s="3">
        <f>정규화데이터!G21</f>
        <v>119000</v>
      </c>
      <c r="H21" s="3">
        <f>정규화데이터!H21</f>
        <v>119000</v>
      </c>
      <c r="I21" s="3">
        <f>정규화데이터!I21</f>
        <v>82110</v>
      </c>
      <c r="J21" s="3">
        <f>정규화데이터!J21</f>
        <v>108181.81818181818</v>
      </c>
      <c r="K21" s="25">
        <f>정규화데이터!K21</f>
        <v>61496</v>
      </c>
      <c r="L21" s="25">
        <f>정규화데이터!L21</f>
        <v>61496</v>
      </c>
      <c r="M21" s="21">
        <f t="shared" si="0"/>
        <v>46685.818181818177</v>
      </c>
      <c r="N21" s="52">
        <f t="shared" si="1"/>
        <v>0.43154957983193276</v>
      </c>
    </row>
    <row r="22" spans="1:14" x14ac:dyDescent="0.3">
      <c r="A22" t="str">
        <f>정규화데이터!A22</f>
        <v>SK스토아</v>
      </c>
      <c r="B22">
        <f>정규화데이터!B22</f>
        <v>20260205993699</v>
      </c>
      <c r="C22" t="str">
        <f>정규화데이터!C22</f>
        <v>[워커힐]워커힐 고메 시그니처 양념 본갈비 8팩</v>
      </c>
      <c r="D22">
        <f>정규화데이터!D22</f>
        <v>58481090</v>
      </c>
      <c r="E22" s="16" t="str">
        <f>정규화데이터!E22</f>
        <v>SKU001</v>
      </c>
      <c r="F22" s="3">
        <f>정규화데이터!F22</f>
        <v>1</v>
      </c>
      <c r="G22" s="3">
        <f>정규화데이터!G22</f>
        <v>119000</v>
      </c>
      <c r="H22" s="3">
        <f>정규화데이터!H22</f>
        <v>105910</v>
      </c>
      <c r="I22" s="3">
        <f>정규화데이터!I22</f>
        <v>82110</v>
      </c>
      <c r="J22" s="3">
        <f>정규화데이터!J22</f>
        <v>96281.818181818177</v>
      </c>
      <c r="K22" s="25">
        <f>정규화데이터!K22</f>
        <v>61496</v>
      </c>
      <c r="L22" s="25">
        <f>정규화데이터!L22</f>
        <v>61496</v>
      </c>
      <c r="M22" s="21">
        <f t="shared" si="0"/>
        <v>34785.818181818177</v>
      </c>
      <c r="N22" s="52">
        <f t="shared" si="1"/>
        <v>0.36129166273250868</v>
      </c>
    </row>
    <row r="23" spans="1:14" x14ac:dyDescent="0.3">
      <c r="A23" t="str">
        <f>정규화데이터!A23</f>
        <v>SK스토아</v>
      </c>
      <c r="B23">
        <f>정규화데이터!B23</f>
        <v>20260205995624</v>
      </c>
      <c r="C23" t="str">
        <f>정규화데이터!C23</f>
        <v>[워커힐]워커힐 고메 시그니처 양념 본갈비 8팩</v>
      </c>
      <c r="D23">
        <f>정규화데이터!D23</f>
        <v>58481090</v>
      </c>
      <c r="E23" s="16" t="str">
        <f>정규화데이터!E23</f>
        <v>SKU001</v>
      </c>
      <c r="F23" s="3">
        <f>정규화데이터!F23</f>
        <v>1</v>
      </c>
      <c r="G23" s="3">
        <f>정규화데이터!G23</f>
        <v>119000</v>
      </c>
      <c r="H23" s="3">
        <f>정규화데이터!H23</f>
        <v>119000</v>
      </c>
      <c r="I23" s="3">
        <f>정규화데이터!I23</f>
        <v>82110</v>
      </c>
      <c r="J23" s="3">
        <f>정규화데이터!J23</f>
        <v>108181.81818181818</v>
      </c>
      <c r="K23" s="25">
        <f>정규화데이터!K23</f>
        <v>61496</v>
      </c>
      <c r="L23" s="25">
        <f>정규화데이터!L23</f>
        <v>61496</v>
      </c>
      <c r="M23" s="21">
        <f t="shared" si="0"/>
        <v>46685.818181818177</v>
      </c>
      <c r="N23" s="52">
        <f t="shared" si="1"/>
        <v>0.43154957983193276</v>
      </c>
    </row>
    <row r="24" spans="1:14" x14ac:dyDescent="0.3">
      <c r="A24" t="str">
        <f>정규화데이터!A24</f>
        <v>SK스토아</v>
      </c>
      <c r="B24">
        <f>정규화데이터!B24</f>
        <v>20260205994327</v>
      </c>
      <c r="C24" t="str">
        <f>정규화데이터!C24</f>
        <v>[워커힐]워커힐 고메 시그니처 양념 본갈비 8팩</v>
      </c>
      <c r="D24">
        <f>정규화데이터!D24</f>
        <v>58481090</v>
      </c>
      <c r="E24" s="16" t="str">
        <f>정규화데이터!E24</f>
        <v>SKU001</v>
      </c>
      <c r="F24" s="3">
        <f>정규화데이터!F24</f>
        <v>1</v>
      </c>
      <c r="G24" s="3">
        <f>정규화데이터!G24</f>
        <v>119000</v>
      </c>
      <c r="H24" s="3">
        <f>정규화데이터!H24</f>
        <v>119000</v>
      </c>
      <c r="I24" s="3">
        <f>정규화데이터!I24</f>
        <v>82110</v>
      </c>
      <c r="J24" s="3">
        <f>정규화데이터!J24</f>
        <v>108181.81818181818</v>
      </c>
      <c r="K24" s="25">
        <f>정규화데이터!K24</f>
        <v>61496</v>
      </c>
      <c r="L24" s="25">
        <f>정규화데이터!L24</f>
        <v>61496</v>
      </c>
      <c r="M24" s="21">
        <f t="shared" si="0"/>
        <v>46685.818181818177</v>
      </c>
      <c r="N24" s="52">
        <f t="shared" si="1"/>
        <v>0.43154957983193276</v>
      </c>
    </row>
    <row r="25" spans="1:14" x14ac:dyDescent="0.3">
      <c r="A25" t="str">
        <f>정규화데이터!A25</f>
        <v>SK스토아</v>
      </c>
      <c r="B25">
        <f>정규화데이터!B25</f>
        <v>20260205994708</v>
      </c>
      <c r="C25" t="str">
        <f>정규화데이터!C25</f>
        <v>[워커힐]워커힐 고메 시그니처 양념 본갈비 8팩</v>
      </c>
      <c r="D25">
        <f>정규화데이터!D25</f>
        <v>58481090</v>
      </c>
      <c r="E25" s="16" t="str">
        <f>정규화데이터!E25</f>
        <v>SKU001</v>
      </c>
      <c r="F25" s="3">
        <f>정규화데이터!F25</f>
        <v>1</v>
      </c>
      <c r="G25" s="3">
        <f>정규화데이터!G25</f>
        <v>119000</v>
      </c>
      <c r="H25" s="3">
        <f>정규화데이터!H25</f>
        <v>119000</v>
      </c>
      <c r="I25" s="3">
        <f>정규화데이터!I25</f>
        <v>82110</v>
      </c>
      <c r="J25" s="3">
        <f>정규화데이터!J25</f>
        <v>108181.81818181818</v>
      </c>
      <c r="K25" s="25">
        <f>정규화데이터!K25</f>
        <v>61496</v>
      </c>
      <c r="L25" s="25">
        <f>정규화데이터!L25</f>
        <v>61496</v>
      </c>
      <c r="M25" s="21">
        <f t="shared" si="0"/>
        <v>46685.818181818177</v>
      </c>
      <c r="N25" s="52">
        <f t="shared" si="1"/>
        <v>0.43154957983193276</v>
      </c>
    </row>
    <row r="26" spans="1:14" x14ac:dyDescent="0.3">
      <c r="A26" t="str">
        <f>정규화데이터!A26</f>
        <v>SK스토아</v>
      </c>
      <c r="B26">
        <f>정규화데이터!B26</f>
        <v>20260205994944</v>
      </c>
      <c r="C26" t="str">
        <f>정규화데이터!C26</f>
        <v>[워커힐]워커힐 고메 시그니처 양념 본갈비 8팩</v>
      </c>
      <c r="D26">
        <f>정규화데이터!D26</f>
        <v>58481090</v>
      </c>
      <c r="E26" s="16" t="str">
        <f>정규화데이터!E26</f>
        <v>SKU001</v>
      </c>
      <c r="F26" s="3">
        <f>정규화데이터!F26</f>
        <v>1</v>
      </c>
      <c r="G26" s="3">
        <f>정규화데이터!G26</f>
        <v>119000</v>
      </c>
      <c r="H26" s="3">
        <f>정규화데이터!H26</f>
        <v>105910</v>
      </c>
      <c r="I26" s="3">
        <f>정규화데이터!I26</f>
        <v>82110</v>
      </c>
      <c r="J26" s="3">
        <f>정규화데이터!J26</f>
        <v>96281.818181818177</v>
      </c>
      <c r="K26" s="25">
        <f>정규화데이터!K26</f>
        <v>61496</v>
      </c>
      <c r="L26" s="25">
        <f>정규화데이터!L26</f>
        <v>61496</v>
      </c>
      <c r="M26" s="21">
        <f t="shared" si="0"/>
        <v>34785.818181818177</v>
      </c>
      <c r="N26" s="52">
        <f t="shared" si="1"/>
        <v>0.36129166273250868</v>
      </c>
    </row>
    <row r="27" spans="1:14" x14ac:dyDescent="0.3">
      <c r="A27" t="str">
        <f>정규화데이터!A27</f>
        <v>SK스토아</v>
      </c>
      <c r="B27">
        <f>정규화데이터!B27</f>
        <v>20260205993006</v>
      </c>
      <c r="C27" t="str">
        <f>정규화데이터!C27</f>
        <v>[워커힐]워커힐 고메 시그니처 양념 본갈비 8팩</v>
      </c>
      <c r="D27">
        <f>정규화데이터!D27</f>
        <v>58481090</v>
      </c>
      <c r="E27" s="16" t="str">
        <f>정규화데이터!E27</f>
        <v>SKU001</v>
      </c>
      <c r="F27" s="3">
        <f>정규화데이터!F27</f>
        <v>1</v>
      </c>
      <c r="G27" s="3">
        <f>정규화데이터!G27</f>
        <v>119000</v>
      </c>
      <c r="H27" s="3">
        <f>정규화데이터!H27</f>
        <v>119000</v>
      </c>
      <c r="I27" s="3">
        <f>정규화데이터!I27</f>
        <v>82110</v>
      </c>
      <c r="J27" s="3">
        <f>정규화데이터!J27</f>
        <v>108181.81818181818</v>
      </c>
      <c r="K27" s="25">
        <f>정규화데이터!K27</f>
        <v>61496</v>
      </c>
      <c r="L27" s="25">
        <f>정규화데이터!L27</f>
        <v>61496</v>
      </c>
      <c r="M27" s="21">
        <f t="shared" si="0"/>
        <v>46685.818181818177</v>
      </c>
      <c r="N27" s="52">
        <f t="shared" si="1"/>
        <v>0.43154957983193276</v>
      </c>
    </row>
    <row r="28" spans="1:14" x14ac:dyDescent="0.3">
      <c r="A28" t="str">
        <f>정규화데이터!A28</f>
        <v>SK스토아</v>
      </c>
      <c r="B28">
        <f>정규화데이터!B28</f>
        <v>20260205993208</v>
      </c>
      <c r="C28" t="str">
        <f>정규화데이터!C28</f>
        <v>[워커힐]워커힐 고메 시그니처 양념 본갈비 8팩</v>
      </c>
      <c r="D28">
        <f>정규화데이터!D28</f>
        <v>58481090</v>
      </c>
      <c r="E28" s="16" t="str">
        <f>정규화데이터!E28</f>
        <v>SKU001</v>
      </c>
      <c r="F28" s="3">
        <f>정규화데이터!F28</f>
        <v>1</v>
      </c>
      <c r="G28" s="3">
        <f>정규화데이터!G28</f>
        <v>119000</v>
      </c>
      <c r="H28" s="3">
        <f>정규화데이터!H28</f>
        <v>96390</v>
      </c>
      <c r="I28" s="3">
        <f>정규화데이터!I28</f>
        <v>82110</v>
      </c>
      <c r="J28" s="3">
        <f>정규화데이터!J28</f>
        <v>87627.272727272721</v>
      </c>
      <c r="K28" s="25">
        <f>정규화데이터!K28</f>
        <v>61496</v>
      </c>
      <c r="L28" s="25">
        <f>정규화데이터!L28</f>
        <v>61496</v>
      </c>
      <c r="M28" s="21">
        <f t="shared" si="0"/>
        <v>26131.272727272721</v>
      </c>
      <c r="N28" s="52">
        <f t="shared" si="1"/>
        <v>0.29820935781720093</v>
      </c>
    </row>
    <row r="29" spans="1:14" x14ac:dyDescent="0.3">
      <c r="A29" t="str">
        <f>정규화데이터!A29</f>
        <v>SK스토아</v>
      </c>
      <c r="B29">
        <f>정규화데이터!B29</f>
        <v>20260205994165</v>
      </c>
      <c r="C29" t="str">
        <f>정규화데이터!C29</f>
        <v>[워커힐]워커힐 고메 시그니처 양념 본갈비 8팩</v>
      </c>
      <c r="D29">
        <f>정규화데이터!D29</f>
        <v>58481090</v>
      </c>
      <c r="E29" s="16" t="str">
        <f>정규화데이터!E29</f>
        <v>SKU001</v>
      </c>
      <c r="F29" s="3">
        <f>정규화데이터!F29</f>
        <v>1</v>
      </c>
      <c r="G29" s="3">
        <f>정규화데이터!G29</f>
        <v>119000</v>
      </c>
      <c r="H29" s="3">
        <f>정규화데이터!H29</f>
        <v>109000</v>
      </c>
      <c r="I29" s="3">
        <f>정규화데이터!I29</f>
        <v>82110</v>
      </c>
      <c r="J29" s="3">
        <f>정규화데이터!J29</f>
        <v>99090.909090909074</v>
      </c>
      <c r="K29" s="25">
        <f>정규화데이터!K29</f>
        <v>61496</v>
      </c>
      <c r="L29" s="25">
        <f>정규화데이터!L29</f>
        <v>61496</v>
      </c>
      <c r="M29" s="21">
        <f t="shared" si="0"/>
        <v>37594.909090909074</v>
      </c>
      <c r="N29" s="52">
        <f t="shared" si="1"/>
        <v>0.3793981651376146</v>
      </c>
    </row>
    <row r="30" spans="1:14" x14ac:dyDescent="0.3">
      <c r="A30" t="str">
        <f>정규화데이터!A30</f>
        <v>SK스토아</v>
      </c>
      <c r="B30">
        <f>정규화데이터!B30</f>
        <v>20260205994774</v>
      </c>
      <c r="C30" t="str">
        <f>정규화데이터!C30</f>
        <v>[워커힐]워커힐 고메 시그니처 양념 본갈비 8팩</v>
      </c>
      <c r="D30">
        <f>정규화데이터!D30</f>
        <v>58481090</v>
      </c>
      <c r="E30" s="16" t="str">
        <f>정규화데이터!E30</f>
        <v>SKU001</v>
      </c>
      <c r="F30" s="3">
        <f>정규화데이터!F30</f>
        <v>1</v>
      </c>
      <c r="G30" s="3">
        <f>정규화데이터!G30</f>
        <v>119000</v>
      </c>
      <c r="H30" s="3">
        <f>정규화데이터!H30</f>
        <v>119000</v>
      </c>
      <c r="I30" s="3">
        <f>정규화데이터!I30</f>
        <v>82110</v>
      </c>
      <c r="J30" s="3">
        <f>정규화데이터!J30</f>
        <v>108181.81818181818</v>
      </c>
      <c r="K30" s="25">
        <f>정규화데이터!K30</f>
        <v>61496</v>
      </c>
      <c r="L30" s="25">
        <f>정규화데이터!L30</f>
        <v>61496</v>
      </c>
      <c r="M30" s="21">
        <f t="shared" si="0"/>
        <v>46685.818181818177</v>
      </c>
      <c r="N30" s="52">
        <f t="shared" si="1"/>
        <v>0.43154957983193276</v>
      </c>
    </row>
    <row r="31" spans="1:14" x14ac:dyDescent="0.3">
      <c r="A31" t="str">
        <f>정규화데이터!A31</f>
        <v>SK스토아</v>
      </c>
      <c r="B31">
        <f>정규화데이터!B31</f>
        <v>20260205993002</v>
      </c>
      <c r="C31" t="str">
        <f>정규화데이터!C31</f>
        <v>[워커힐]워커힐 고메 시그니처 양념 본갈비 8팩</v>
      </c>
      <c r="D31">
        <f>정규화데이터!D31</f>
        <v>58481090</v>
      </c>
      <c r="E31" s="16" t="str">
        <f>정규화데이터!E31</f>
        <v>SKU001</v>
      </c>
      <c r="F31" s="3">
        <f>정규화데이터!F31</f>
        <v>1</v>
      </c>
      <c r="G31" s="3">
        <f>정규화데이터!G31</f>
        <v>119000</v>
      </c>
      <c r="H31" s="3">
        <f>정규화데이터!H31</f>
        <v>119000</v>
      </c>
      <c r="I31" s="3">
        <f>정규화데이터!I31</f>
        <v>82110</v>
      </c>
      <c r="J31" s="3">
        <f>정규화데이터!J31</f>
        <v>108181.81818181818</v>
      </c>
      <c r="K31" s="25">
        <f>정규화데이터!K31</f>
        <v>61496</v>
      </c>
      <c r="L31" s="25">
        <f>정규화데이터!L31</f>
        <v>61496</v>
      </c>
      <c r="M31" s="21">
        <f t="shared" si="0"/>
        <v>46685.818181818177</v>
      </c>
      <c r="N31" s="52">
        <f t="shared" si="1"/>
        <v>0.43154957983193276</v>
      </c>
    </row>
    <row r="32" spans="1:14" x14ac:dyDescent="0.3">
      <c r="A32" t="str">
        <f>정규화데이터!A32</f>
        <v>SK스토아</v>
      </c>
      <c r="B32">
        <f>정규화데이터!B32</f>
        <v>20260205995233</v>
      </c>
      <c r="C32" t="str">
        <f>정규화데이터!C32</f>
        <v>[워커힐]워커힐 고메 시그니처 양념 본갈비 8팩</v>
      </c>
      <c r="D32">
        <f>정규화데이터!D32</f>
        <v>58481090</v>
      </c>
      <c r="E32" s="16" t="str">
        <f>정규화데이터!E32</f>
        <v>SKU001</v>
      </c>
      <c r="F32" s="3">
        <f>정규화데이터!F32</f>
        <v>1</v>
      </c>
      <c r="G32" s="3">
        <f>정규화데이터!G32</f>
        <v>119000</v>
      </c>
      <c r="H32" s="3">
        <f>정규화데이터!H32</f>
        <v>119000</v>
      </c>
      <c r="I32" s="3">
        <f>정규화데이터!I32</f>
        <v>82110</v>
      </c>
      <c r="J32" s="3">
        <f>정규화데이터!J32</f>
        <v>108181.81818181818</v>
      </c>
      <c r="K32" s="25">
        <f>정규화데이터!K32</f>
        <v>61496</v>
      </c>
      <c r="L32" s="25">
        <f>정규화데이터!L32</f>
        <v>61496</v>
      </c>
      <c r="M32" s="21">
        <f t="shared" si="0"/>
        <v>46685.818181818177</v>
      </c>
      <c r="N32" s="52">
        <f t="shared" si="1"/>
        <v>0.43154957983193276</v>
      </c>
    </row>
    <row r="33" spans="1:14" x14ac:dyDescent="0.3">
      <c r="A33" t="str">
        <f>정규화데이터!A33</f>
        <v>SK스토아</v>
      </c>
      <c r="B33">
        <f>정규화데이터!B33</f>
        <v>20260205995590</v>
      </c>
      <c r="C33" t="str">
        <f>정규화데이터!C33</f>
        <v>[워커힐]워커힐 고메 시그니처 양념 본갈비 8팩</v>
      </c>
      <c r="D33">
        <f>정규화데이터!D33</f>
        <v>58481090</v>
      </c>
      <c r="E33" s="16" t="str">
        <f>정규화데이터!E33</f>
        <v>SKU001</v>
      </c>
      <c r="F33" s="3">
        <f>정규화데이터!F33</f>
        <v>1</v>
      </c>
      <c r="G33" s="3">
        <f>정규화데이터!G33</f>
        <v>119000</v>
      </c>
      <c r="H33" s="3">
        <f>정규화데이터!H33</f>
        <v>113050</v>
      </c>
      <c r="I33" s="3">
        <f>정규화데이터!I33</f>
        <v>82110</v>
      </c>
      <c r="J33" s="3">
        <f>정규화데이터!J33</f>
        <v>102772.72727272726</v>
      </c>
      <c r="K33" s="25">
        <f>정규화데이터!K33</f>
        <v>61496</v>
      </c>
      <c r="L33" s="25">
        <f>정규화데이터!L33</f>
        <v>61496</v>
      </c>
      <c r="M33" s="21">
        <f t="shared" si="0"/>
        <v>41276.727272727265</v>
      </c>
      <c r="N33" s="52">
        <f t="shared" si="1"/>
        <v>0.40163113666519235</v>
      </c>
    </row>
    <row r="34" spans="1:14" x14ac:dyDescent="0.3">
      <c r="A34" t="str">
        <f>정규화데이터!A34</f>
        <v>SK스토아</v>
      </c>
      <c r="B34">
        <f>정규화데이터!B34</f>
        <v>20260205994071</v>
      </c>
      <c r="C34" t="str">
        <f>정규화데이터!C34</f>
        <v>[워커힐]워커힐 고메 시그니처 양념 본갈비 8팩</v>
      </c>
      <c r="D34">
        <f>정규화데이터!D34</f>
        <v>58481090</v>
      </c>
      <c r="E34" s="16" t="str">
        <f>정규화데이터!E34</f>
        <v>SKU001</v>
      </c>
      <c r="F34" s="3">
        <f>정규화데이터!F34</f>
        <v>1</v>
      </c>
      <c r="G34" s="3">
        <f>정규화데이터!G34</f>
        <v>119000</v>
      </c>
      <c r="H34" s="3">
        <f>정규화데이터!H34</f>
        <v>119000</v>
      </c>
      <c r="I34" s="3">
        <f>정규화데이터!I34</f>
        <v>82110</v>
      </c>
      <c r="J34" s="3">
        <f>정규화데이터!J34</f>
        <v>108181.81818181818</v>
      </c>
      <c r="K34" s="25">
        <f>정규화데이터!K34</f>
        <v>61496</v>
      </c>
      <c r="L34" s="25">
        <f>정규화데이터!L34</f>
        <v>61496</v>
      </c>
      <c r="M34" s="21">
        <f t="shared" si="0"/>
        <v>46685.818181818177</v>
      </c>
      <c r="N34" s="52">
        <f t="shared" si="1"/>
        <v>0.43154957983193276</v>
      </c>
    </row>
    <row r="35" spans="1:14" x14ac:dyDescent="0.3">
      <c r="A35" t="str">
        <f>정규화데이터!A35</f>
        <v>SK스토아</v>
      </c>
      <c r="B35">
        <f>정규화데이터!B35</f>
        <v>20260205995236</v>
      </c>
      <c r="C35" t="str">
        <f>정규화데이터!C35</f>
        <v>[워커힐]워커힐 고메 시그니처 양념 본갈비 8팩</v>
      </c>
      <c r="D35">
        <f>정규화데이터!D35</f>
        <v>58481090</v>
      </c>
      <c r="E35" s="16" t="str">
        <f>정규화데이터!E35</f>
        <v>SKU001</v>
      </c>
      <c r="F35" s="3">
        <f>정규화데이터!F35</f>
        <v>1</v>
      </c>
      <c r="G35" s="3">
        <f>정규화데이터!G35</f>
        <v>119000</v>
      </c>
      <c r="H35" s="3">
        <f>정규화데이터!H35</f>
        <v>119000</v>
      </c>
      <c r="I35" s="3">
        <f>정규화데이터!I35</f>
        <v>82110</v>
      </c>
      <c r="J35" s="3">
        <f>정규화데이터!J35</f>
        <v>108181.81818181818</v>
      </c>
      <c r="K35" s="25">
        <f>정규화데이터!K35</f>
        <v>61496</v>
      </c>
      <c r="L35" s="25">
        <f>정규화데이터!L35</f>
        <v>61496</v>
      </c>
      <c r="M35" s="21">
        <f t="shared" si="0"/>
        <v>46685.818181818177</v>
      </c>
      <c r="N35" s="52">
        <f t="shared" si="1"/>
        <v>0.43154957983193276</v>
      </c>
    </row>
    <row r="36" spans="1:14" x14ac:dyDescent="0.3">
      <c r="A36" t="str">
        <f>정규화데이터!A36</f>
        <v>SK스토아</v>
      </c>
      <c r="B36">
        <f>정규화데이터!B36</f>
        <v>20260205992736</v>
      </c>
      <c r="C36" t="str">
        <f>정규화데이터!C36</f>
        <v>[워커힐]워커힐 고메 시그니처 양념 본갈비 8팩</v>
      </c>
      <c r="D36">
        <f>정규화데이터!D36</f>
        <v>58481090</v>
      </c>
      <c r="E36" s="16" t="str">
        <f>정규화데이터!E36</f>
        <v>SKU001</v>
      </c>
      <c r="F36" s="3">
        <f>정규화데이터!F36</f>
        <v>1</v>
      </c>
      <c r="G36" s="3">
        <f>정규화데이터!G36</f>
        <v>119000</v>
      </c>
      <c r="H36" s="3">
        <f>정규화데이터!H36</f>
        <v>119000</v>
      </c>
      <c r="I36" s="3">
        <f>정규화데이터!I36</f>
        <v>82110</v>
      </c>
      <c r="J36" s="3">
        <f>정규화데이터!J36</f>
        <v>108181.81818181818</v>
      </c>
      <c r="K36" s="25">
        <f>정규화데이터!K36</f>
        <v>61496</v>
      </c>
      <c r="L36" s="25">
        <f>정규화데이터!L36</f>
        <v>61496</v>
      </c>
      <c r="M36" s="21">
        <f t="shared" si="0"/>
        <v>46685.818181818177</v>
      </c>
      <c r="N36" s="52">
        <f t="shared" si="1"/>
        <v>0.43154957983193276</v>
      </c>
    </row>
    <row r="37" spans="1:14" x14ac:dyDescent="0.3">
      <c r="A37" t="str">
        <f>정규화데이터!A37</f>
        <v>SK스토아</v>
      </c>
      <c r="B37">
        <f>정규화데이터!B37</f>
        <v>20260205993184</v>
      </c>
      <c r="C37" t="str">
        <f>정규화데이터!C37</f>
        <v>[워커힐]워커힐 고메 시그니처 양념 본갈비 8팩</v>
      </c>
      <c r="D37">
        <f>정규화데이터!D37</f>
        <v>58481090</v>
      </c>
      <c r="E37" s="16" t="str">
        <f>정규화데이터!E37</f>
        <v>SKU001</v>
      </c>
      <c r="F37" s="3">
        <f>정규화데이터!F37</f>
        <v>1</v>
      </c>
      <c r="G37" s="3">
        <f>정규화데이터!G37</f>
        <v>119000</v>
      </c>
      <c r="H37" s="3">
        <f>정규화데이터!H37</f>
        <v>119000</v>
      </c>
      <c r="I37" s="3">
        <f>정규화데이터!I37</f>
        <v>82110</v>
      </c>
      <c r="J37" s="3">
        <f>정규화데이터!J37</f>
        <v>108181.81818181818</v>
      </c>
      <c r="K37" s="25">
        <f>정규화데이터!K37</f>
        <v>61496</v>
      </c>
      <c r="L37" s="25">
        <f>정규화데이터!L37</f>
        <v>61496</v>
      </c>
      <c r="M37" s="21">
        <f t="shared" si="0"/>
        <v>46685.818181818177</v>
      </c>
      <c r="N37" s="52">
        <f t="shared" si="1"/>
        <v>0.43154957983193276</v>
      </c>
    </row>
    <row r="38" spans="1:14" x14ac:dyDescent="0.3">
      <c r="A38" t="str">
        <f>정규화데이터!A38</f>
        <v>SK스토아</v>
      </c>
      <c r="B38">
        <f>정규화데이터!B38</f>
        <v>20260205994068</v>
      </c>
      <c r="C38" t="str">
        <f>정규화데이터!C38</f>
        <v>[워커힐]워커힐 고메 시그니처 양념 본갈비 8팩</v>
      </c>
      <c r="D38">
        <f>정규화데이터!D38</f>
        <v>58481090</v>
      </c>
      <c r="E38" s="16" t="str">
        <f>정규화데이터!E38</f>
        <v>SKU001</v>
      </c>
      <c r="F38" s="3">
        <f>정규화데이터!F38</f>
        <v>1</v>
      </c>
      <c r="G38" s="3">
        <f>정규화데이터!G38</f>
        <v>119000</v>
      </c>
      <c r="H38" s="3">
        <f>정규화데이터!H38</f>
        <v>119000</v>
      </c>
      <c r="I38" s="3">
        <f>정규화데이터!I38</f>
        <v>82110</v>
      </c>
      <c r="J38" s="3">
        <f>정규화데이터!J38</f>
        <v>108181.81818181818</v>
      </c>
      <c r="K38" s="25">
        <f>정규화데이터!K38</f>
        <v>61496</v>
      </c>
      <c r="L38" s="25">
        <f>정규화데이터!L38</f>
        <v>61496</v>
      </c>
      <c r="M38" s="21">
        <f t="shared" si="0"/>
        <v>46685.818181818177</v>
      </c>
      <c r="N38" s="52">
        <f t="shared" si="1"/>
        <v>0.43154957983193276</v>
      </c>
    </row>
    <row r="39" spans="1:14" x14ac:dyDescent="0.3">
      <c r="A39" t="str">
        <f>정규화데이터!A39</f>
        <v>SK스토아</v>
      </c>
      <c r="B39">
        <f>정규화데이터!B39</f>
        <v>20260205994704</v>
      </c>
      <c r="C39" t="str">
        <f>정규화데이터!C39</f>
        <v>[워커힐]워커힐 고메 시그니처 양념 본갈비 8팩</v>
      </c>
      <c r="D39">
        <f>정규화데이터!D39</f>
        <v>58481090</v>
      </c>
      <c r="E39" s="16" t="str">
        <f>정규화데이터!E39</f>
        <v>SKU001</v>
      </c>
      <c r="F39" s="3">
        <f>정규화데이터!F39</f>
        <v>1</v>
      </c>
      <c r="G39" s="3">
        <f>정규화데이터!G39</f>
        <v>119000</v>
      </c>
      <c r="H39" s="3">
        <f>정규화데이터!H39</f>
        <v>119000</v>
      </c>
      <c r="I39" s="3">
        <f>정규화데이터!I39</f>
        <v>82110</v>
      </c>
      <c r="J39" s="3">
        <f>정규화데이터!J39</f>
        <v>108181.81818181818</v>
      </c>
      <c r="K39" s="25">
        <f>정규화데이터!K39</f>
        <v>61496</v>
      </c>
      <c r="L39" s="25">
        <f>정규화데이터!L39</f>
        <v>61496</v>
      </c>
      <c r="M39" s="21">
        <f t="shared" si="0"/>
        <v>46685.818181818177</v>
      </c>
      <c r="N39" s="52">
        <f t="shared" si="1"/>
        <v>0.43154957983193276</v>
      </c>
    </row>
    <row r="40" spans="1:14" x14ac:dyDescent="0.3">
      <c r="A40" t="str">
        <f>정규화데이터!A40</f>
        <v>SK스토아</v>
      </c>
      <c r="B40">
        <f>정규화데이터!B40</f>
        <v>20260205993640</v>
      </c>
      <c r="C40" t="str">
        <f>정규화데이터!C40</f>
        <v>[워커힐]워커힐 고메 시그니처 양념 본갈비 8팩</v>
      </c>
      <c r="D40">
        <f>정규화데이터!D40</f>
        <v>58481090</v>
      </c>
      <c r="E40" s="16" t="str">
        <f>정규화데이터!E40</f>
        <v>SKU001</v>
      </c>
      <c r="F40" s="3">
        <f>정규화데이터!F40</f>
        <v>1</v>
      </c>
      <c r="G40" s="3">
        <f>정규화데이터!G40</f>
        <v>119000</v>
      </c>
      <c r="H40" s="3">
        <f>정규화데이터!H40</f>
        <v>119000</v>
      </c>
      <c r="I40" s="3">
        <f>정규화데이터!I40</f>
        <v>82110</v>
      </c>
      <c r="J40" s="3">
        <f>정규화데이터!J40</f>
        <v>108181.81818181818</v>
      </c>
      <c r="K40" s="25">
        <f>정규화데이터!K40</f>
        <v>61496</v>
      </c>
      <c r="L40" s="25">
        <f>정규화데이터!L40</f>
        <v>61496</v>
      </c>
      <c r="M40" s="21">
        <f t="shared" si="0"/>
        <v>46685.818181818177</v>
      </c>
      <c r="N40" s="52">
        <f t="shared" si="1"/>
        <v>0.43154957983193276</v>
      </c>
    </row>
    <row r="41" spans="1:14" x14ac:dyDescent="0.3">
      <c r="A41" t="str">
        <f>정규화데이터!A41</f>
        <v>SK스토아</v>
      </c>
      <c r="B41">
        <f>정규화데이터!B41</f>
        <v>20260205994989</v>
      </c>
      <c r="C41" t="str">
        <f>정규화데이터!C41</f>
        <v>[워커힐]워커힐 고메 시그니처 양념 본갈비 8팩</v>
      </c>
      <c r="D41">
        <f>정규화데이터!D41</f>
        <v>58481090</v>
      </c>
      <c r="E41" s="16" t="str">
        <f>정규화데이터!E41</f>
        <v>SKU001</v>
      </c>
      <c r="F41" s="3">
        <f>정규화데이터!F41</f>
        <v>1</v>
      </c>
      <c r="G41" s="3">
        <f>정규화데이터!G41</f>
        <v>119000</v>
      </c>
      <c r="H41" s="3">
        <f>정규화데이터!H41</f>
        <v>113050</v>
      </c>
      <c r="I41" s="3">
        <f>정규화데이터!I41</f>
        <v>82110</v>
      </c>
      <c r="J41" s="3">
        <f>정규화데이터!J41</f>
        <v>102772.72727272726</v>
      </c>
      <c r="K41" s="25">
        <f>정규화데이터!K41</f>
        <v>61496</v>
      </c>
      <c r="L41" s="25">
        <f>정규화데이터!L41</f>
        <v>61496</v>
      </c>
      <c r="M41" s="21">
        <f t="shared" si="0"/>
        <v>41276.727272727265</v>
      </c>
      <c r="N41" s="52">
        <f t="shared" si="1"/>
        <v>0.40163113666519235</v>
      </c>
    </row>
    <row r="42" spans="1:14" x14ac:dyDescent="0.3">
      <c r="A42" t="str">
        <f>정규화데이터!A42</f>
        <v>SK스토아</v>
      </c>
      <c r="B42">
        <f>정규화데이터!B42</f>
        <v>20260205993988</v>
      </c>
      <c r="C42" t="str">
        <f>정규화데이터!C42</f>
        <v>[워커힐]워커힐 고메 시그니처 양념 본갈비 8팩</v>
      </c>
      <c r="D42">
        <f>정규화데이터!D42</f>
        <v>58481090</v>
      </c>
      <c r="E42" s="16" t="str">
        <f>정규화데이터!E42</f>
        <v>SKU001</v>
      </c>
      <c r="F42" s="3">
        <f>정규화데이터!F42</f>
        <v>1</v>
      </c>
      <c r="G42" s="3">
        <f>정규화데이터!G42</f>
        <v>119000</v>
      </c>
      <c r="H42" s="3">
        <f>정규화데이터!H42</f>
        <v>119000</v>
      </c>
      <c r="I42" s="3">
        <f>정규화데이터!I42</f>
        <v>82110</v>
      </c>
      <c r="J42" s="3">
        <f>정규화데이터!J42</f>
        <v>108181.81818181818</v>
      </c>
      <c r="K42" s="25">
        <f>정규화데이터!K42</f>
        <v>61496</v>
      </c>
      <c r="L42" s="25">
        <f>정규화데이터!L42</f>
        <v>61496</v>
      </c>
      <c r="M42" s="21">
        <f t="shared" si="0"/>
        <v>46685.818181818177</v>
      </c>
      <c r="N42" s="52">
        <f t="shared" si="1"/>
        <v>0.43154957983193276</v>
      </c>
    </row>
    <row r="43" spans="1:14" x14ac:dyDescent="0.3">
      <c r="A43" t="str">
        <f>정규화데이터!A43</f>
        <v>SK스토아</v>
      </c>
      <c r="B43">
        <f>정규화데이터!B43</f>
        <v>20260205995073</v>
      </c>
      <c r="C43" t="str">
        <f>정규화데이터!C43</f>
        <v>[워커힐]워커힐 고메 시그니처 양념 본갈비 8팩</v>
      </c>
      <c r="D43">
        <f>정규화데이터!D43</f>
        <v>58481090</v>
      </c>
      <c r="E43" s="16" t="str">
        <f>정규화데이터!E43</f>
        <v>SKU001</v>
      </c>
      <c r="F43" s="3">
        <f>정규화데이터!F43</f>
        <v>1</v>
      </c>
      <c r="G43" s="3">
        <f>정규화데이터!G43</f>
        <v>119000</v>
      </c>
      <c r="H43" s="3">
        <f>정규화데이터!H43</f>
        <v>119000</v>
      </c>
      <c r="I43" s="3">
        <f>정규화데이터!I43</f>
        <v>82110</v>
      </c>
      <c r="J43" s="3">
        <f>정규화데이터!J43</f>
        <v>108181.81818181818</v>
      </c>
      <c r="K43" s="25">
        <f>정규화데이터!K43</f>
        <v>61496</v>
      </c>
      <c r="L43" s="25">
        <f>정규화데이터!L43</f>
        <v>61496</v>
      </c>
      <c r="M43" s="21">
        <f t="shared" si="0"/>
        <v>46685.818181818177</v>
      </c>
      <c r="N43" s="52">
        <f t="shared" si="1"/>
        <v>0.43154957983193276</v>
      </c>
    </row>
    <row r="44" spans="1:14" x14ac:dyDescent="0.3">
      <c r="A44" t="str">
        <f>정규화데이터!A44</f>
        <v>SK스토아</v>
      </c>
      <c r="B44">
        <f>정규화데이터!B44</f>
        <v>20260205993674</v>
      </c>
      <c r="C44" t="str">
        <f>정규화데이터!C44</f>
        <v>[워커힐]워커힐 고메 시그니처 양념 본갈비 8팩</v>
      </c>
      <c r="D44">
        <f>정규화데이터!D44</f>
        <v>58481090</v>
      </c>
      <c r="E44" s="16" t="str">
        <f>정규화데이터!E44</f>
        <v>SKU001</v>
      </c>
      <c r="F44" s="3">
        <f>정규화데이터!F44</f>
        <v>1</v>
      </c>
      <c r="G44" s="3">
        <f>정규화데이터!G44</f>
        <v>119000</v>
      </c>
      <c r="H44" s="3">
        <f>정규화데이터!H44</f>
        <v>119000</v>
      </c>
      <c r="I44" s="3">
        <f>정규화데이터!I44</f>
        <v>82110</v>
      </c>
      <c r="J44" s="3">
        <f>정규화데이터!J44</f>
        <v>108181.81818181818</v>
      </c>
      <c r="K44" s="25">
        <f>정규화데이터!K44</f>
        <v>61496</v>
      </c>
      <c r="L44" s="25">
        <f>정규화데이터!L44</f>
        <v>61496</v>
      </c>
      <c r="M44" s="21">
        <f t="shared" si="0"/>
        <v>46685.818181818177</v>
      </c>
      <c r="N44" s="52">
        <f t="shared" si="1"/>
        <v>0.43154957983193276</v>
      </c>
    </row>
    <row r="45" spans="1:14" x14ac:dyDescent="0.3">
      <c r="A45" t="str">
        <f>정규화데이터!A45</f>
        <v>SK스토아</v>
      </c>
      <c r="B45">
        <f>정규화데이터!B45</f>
        <v>20260205993680</v>
      </c>
      <c r="C45" t="str">
        <f>정규화데이터!C45</f>
        <v>[워커힐]워커힐 고메 시그니처 양념 본갈비 8팩</v>
      </c>
      <c r="D45">
        <f>정규화데이터!D45</f>
        <v>58481090</v>
      </c>
      <c r="E45" s="16" t="str">
        <f>정규화데이터!E45</f>
        <v>SKU001</v>
      </c>
      <c r="F45" s="3">
        <f>정규화데이터!F45</f>
        <v>1</v>
      </c>
      <c r="G45" s="3">
        <f>정규화데이터!G45</f>
        <v>119000</v>
      </c>
      <c r="H45" s="3">
        <f>정규화데이터!H45</f>
        <v>119000</v>
      </c>
      <c r="I45" s="3">
        <f>정규화데이터!I45</f>
        <v>82110</v>
      </c>
      <c r="J45" s="3">
        <f>정규화데이터!J45</f>
        <v>108181.81818181818</v>
      </c>
      <c r="K45" s="25">
        <f>정규화데이터!K45</f>
        <v>61496</v>
      </c>
      <c r="L45" s="25">
        <f>정규화데이터!L45</f>
        <v>61496</v>
      </c>
      <c r="M45" s="21">
        <f t="shared" si="0"/>
        <v>46685.818181818177</v>
      </c>
      <c r="N45" s="52">
        <f t="shared" si="1"/>
        <v>0.43154957983193276</v>
      </c>
    </row>
    <row r="46" spans="1:14" x14ac:dyDescent="0.3">
      <c r="A46" t="str">
        <f>정규화데이터!A46</f>
        <v>SK스토아</v>
      </c>
      <c r="B46">
        <f>정규화데이터!B46</f>
        <v>20260205993664</v>
      </c>
      <c r="C46" t="str">
        <f>정규화데이터!C46</f>
        <v>[워커힐]워커힐 고메 시그니처 양념 본갈비 8팩</v>
      </c>
      <c r="D46">
        <f>정규화데이터!D46</f>
        <v>58481090</v>
      </c>
      <c r="E46" s="16" t="str">
        <f>정규화데이터!E46</f>
        <v>SKU001</v>
      </c>
      <c r="F46" s="3">
        <f>정규화데이터!F46</f>
        <v>1</v>
      </c>
      <c r="G46" s="3">
        <f>정규화데이터!G46</f>
        <v>119000</v>
      </c>
      <c r="H46" s="3">
        <f>정규화데이터!H46</f>
        <v>119000</v>
      </c>
      <c r="I46" s="3">
        <f>정규화데이터!I46</f>
        <v>82110</v>
      </c>
      <c r="J46" s="3">
        <f>정규화데이터!J46</f>
        <v>108181.81818181818</v>
      </c>
      <c r="K46" s="25">
        <f>정규화데이터!K46</f>
        <v>61496</v>
      </c>
      <c r="L46" s="25">
        <f>정규화데이터!L46</f>
        <v>61496</v>
      </c>
      <c r="M46" s="21">
        <f t="shared" si="0"/>
        <v>46685.818181818177</v>
      </c>
      <c r="N46" s="52">
        <f t="shared" si="1"/>
        <v>0.43154957983193276</v>
      </c>
    </row>
    <row r="47" spans="1:14" x14ac:dyDescent="0.3">
      <c r="A47" t="str">
        <f>정규화데이터!A47</f>
        <v>SK스토아</v>
      </c>
      <c r="B47">
        <f>정규화데이터!B47</f>
        <v>20260205993052</v>
      </c>
      <c r="C47" t="str">
        <f>정규화데이터!C47</f>
        <v>[워커힐]워커힐 고메 시그니처 양념 본갈비 8팩</v>
      </c>
      <c r="D47">
        <f>정규화데이터!D47</f>
        <v>58481090</v>
      </c>
      <c r="E47" s="16" t="str">
        <f>정규화데이터!E47</f>
        <v>SKU001</v>
      </c>
      <c r="F47" s="3">
        <f>정규화데이터!F47</f>
        <v>1</v>
      </c>
      <c r="G47" s="3">
        <f>정규화데이터!G47</f>
        <v>119000</v>
      </c>
      <c r="H47" s="3">
        <f>정규화데이터!H47</f>
        <v>119000</v>
      </c>
      <c r="I47" s="3">
        <f>정규화데이터!I47</f>
        <v>82110</v>
      </c>
      <c r="J47" s="3">
        <f>정규화데이터!J47</f>
        <v>108181.81818181818</v>
      </c>
      <c r="K47" s="25">
        <f>정규화데이터!K47</f>
        <v>61496</v>
      </c>
      <c r="L47" s="25">
        <f>정규화데이터!L47</f>
        <v>61496</v>
      </c>
      <c r="M47" s="21">
        <f t="shared" si="0"/>
        <v>46685.818181818177</v>
      </c>
      <c r="N47" s="52">
        <f t="shared" si="1"/>
        <v>0.43154957983193276</v>
      </c>
    </row>
    <row r="48" spans="1:14" x14ac:dyDescent="0.3">
      <c r="A48" t="str">
        <f>정규화데이터!A48</f>
        <v>SK스토아</v>
      </c>
      <c r="B48">
        <f>정규화데이터!B48</f>
        <v>20260205995037</v>
      </c>
      <c r="C48" t="str">
        <f>정규화데이터!C48</f>
        <v>[워커힐]워커힐 고메 시그니처 양념 본갈비 8팩</v>
      </c>
      <c r="D48">
        <f>정규화데이터!D48</f>
        <v>58481090</v>
      </c>
      <c r="E48" s="16" t="str">
        <f>정규화데이터!E48</f>
        <v>SKU001</v>
      </c>
      <c r="F48" s="3">
        <f>정규화데이터!F48</f>
        <v>1</v>
      </c>
      <c r="G48" s="3">
        <f>정규화데이터!G48</f>
        <v>119000</v>
      </c>
      <c r="H48" s="3">
        <f>정규화데이터!H48</f>
        <v>119000</v>
      </c>
      <c r="I48" s="3">
        <f>정규화데이터!I48</f>
        <v>82110</v>
      </c>
      <c r="J48" s="3">
        <f>정규화데이터!J48</f>
        <v>108181.81818181818</v>
      </c>
      <c r="K48" s="25">
        <f>정규화데이터!K48</f>
        <v>61496</v>
      </c>
      <c r="L48" s="25">
        <f>정규화데이터!L48</f>
        <v>61496</v>
      </c>
      <c r="M48" s="21">
        <f t="shared" si="0"/>
        <v>46685.818181818177</v>
      </c>
      <c r="N48" s="52">
        <f t="shared" si="1"/>
        <v>0.43154957983193276</v>
      </c>
    </row>
    <row r="49" spans="1:14" x14ac:dyDescent="0.3">
      <c r="A49" t="str">
        <f>정규화데이터!A49</f>
        <v>SK스토아</v>
      </c>
      <c r="B49">
        <f>정규화데이터!B49</f>
        <v>20260205995009</v>
      </c>
      <c r="C49" t="str">
        <f>정규화데이터!C49</f>
        <v>[워커힐]워커힐 고메 시그니처 양념 본갈비 8팩</v>
      </c>
      <c r="D49">
        <f>정규화데이터!D49</f>
        <v>58481090</v>
      </c>
      <c r="E49" s="16" t="str">
        <f>정규화데이터!E49</f>
        <v>SKU001</v>
      </c>
      <c r="F49" s="3">
        <f>정규화데이터!F49</f>
        <v>1</v>
      </c>
      <c r="G49" s="3">
        <f>정규화데이터!G49</f>
        <v>119000</v>
      </c>
      <c r="H49" s="3">
        <f>정규화데이터!H49</f>
        <v>119000</v>
      </c>
      <c r="I49" s="3">
        <f>정규화데이터!I49</f>
        <v>82110</v>
      </c>
      <c r="J49" s="3">
        <f>정규화데이터!J49</f>
        <v>108181.81818181818</v>
      </c>
      <c r="K49" s="25">
        <f>정규화데이터!K49</f>
        <v>61496</v>
      </c>
      <c r="L49" s="25">
        <f>정규화데이터!L49</f>
        <v>61496</v>
      </c>
      <c r="M49" s="21">
        <f t="shared" si="0"/>
        <v>46685.818181818177</v>
      </c>
      <c r="N49" s="52">
        <f t="shared" si="1"/>
        <v>0.43154957983193276</v>
      </c>
    </row>
    <row r="50" spans="1:14" x14ac:dyDescent="0.3">
      <c r="A50" t="str">
        <f>정규화데이터!A50</f>
        <v>SK스토아</v>
      </c>
      <c r="B50">
        <f>정규화데이터!B50</f>
        <v>20260205994035</v>
      </c>
      <c r="C50" t="str">
        <f>정규화데이터!C50</f>
        <v>[워커힐]워커힐 고메 시그니처 양념 본갈비 8팩</v>
      </c>
      <c r="D50">
        <f>정규화데이터!D50</f>
        <v>58481090</v>
      </c>
      <c r="E50" s="16" t="str">
        <f>정규화데이터!E50</f>
        <v>SKU001</v>
      </c>
      <c r="F50" s="3">
        <f>정규화데이터!F50</f>
        <v>1</v>
      </c>
      <c r="G50" s="3">
        <f>정규화데이터!G50</f>
        <v>119000</v>
      </c>
      <c r="H50" s="3">
        <f>정규화데이터!H50</f>
        <v>119000</v>
      </c>
      <c r="I50" s="3">
        <f>정규화데이터!I50</f>
        <v>82110</v>
      </c>
      <c r="J50" s="3">
        <f>정규화데이터!J50</f>
        <v>108181.81818181818</v>
      </c>
      <c r="K50" s="25">
        <f>정규화데이터!K50</f>
        <v>61496</v>
      </c>
      <c r="L50" s="25">
        <f>정규화데이터!L50</f>
        <v>61496</v>
      </c>
      <c r="M50" s="21">
        <f t="shared" si="0"/>
        <v>46685.818181818177</v>
      </c>
      <c r="N50" s="52">
        <f t="shared" si="1"/>
        <v>0.43154957983193276</v>
      </c>
    </row>
    <row r="51" spans="1:14" x14ac:dyDescent="0.3">
      <c r="A51" t="str">
        <f>정규화데이터!A51</f>
        <v>SK스토아</v>
      </c>
      <c r="B51">
        <f>정규화데이터!B51</f>
        <v>20260205995023</v>
      </c>
      <c r="C51" t="str">
        <f>정규화데이터!C51</f>
        <v>[워커힐]워커힐 고메 시그니처 양념 본갈비 8팩</v>
      </c>
      <c r="D51">
        <f>정규화데이터!D51</f>
        <v>58481090</v>
      </c>
      <c r="E51" s="16" t="str">
        <f>정규화데이터!E51</f>
        <v>SKU001</v>
      </c>
      <c r="F51" s="3">
        <f>정규화데이터!F51</f>
        <v>1</v>
      </c>
      <c r="G51" s="3">
        <f>정규화데이터!G51</f>
        <v>119000</v>
      </c>
      <c r="H51" s="3">
        <f>정규화데이터!H51</f>
        <v>119000</v>
      </c>
      <c r="I51" s="3">
        <f>정규화데이터!I51</f>
        <v>82110</v>
      </c>
      <c r="J51" s="3">
        <f>정규화데이터!J51</f>
        <v>108181.81818181818</v>
      </c>
      <c r="K51" s="25">
        <f>정규화데이터!K51</f>
        <v>61496</v>
      </c>
      <c r="L51" s="25">
        <f>정규화데이터!L51</f>
        <v>61496</v>
      </c>
      <c r="M51" s="21">
        <f t="shared" si="0"/>
        <v>46685.818181818177</v>
      </c>
      <c r="N51" s="52">
        <f t="shared" si="1"/>
        <v>0.43154957983193276</v>
      </c>
    </row>
    <row r="52" spans="1:14" x14ac:dyDescent="0.3">
      <c r="A52" t="str">
        <f>정규화데이터!A52</f>
        <v>SK스토아</v>
      </c>
      <c r="B52">
        <f>정규화데이터!B52</f>
        <v>20260205994048</v>
      </c>
      <c r="C52" t="str">
        <f>정규화데이터!C52</f>
        <v>[워커힐]워커힐 고메 시그니처 양념 본갈비 8팩</v>
      </c>
      <c r="D52">
        <f>정규화데이터!D52</f>
        <v>58481090</v>
      </c>
      <c r="E52" s="16" t="str">
        <f>정규화데이터!E52</f>
        <v>SKU001</v>
      </c>
      <c r="F52" s="3">
        <f>정규화데이터!F52</f>
        <v>1</v>
      </c>
      <c r="G52" s="3">
        <f>정규화데이터!G52</f>
        <v>119000</v>
      </c>
      <c r="H52" s="3">
        <f>정규화데이터!H52</f>
        <v>113050</v>
      </c>
      <c r="I52" s="3">
        <f>정규화데이터!I52</f>
        <v>82110</v>
      </c>
      <c r="J52" s="3">
        <f>정규화데이터!J52</f>
        <v>102772.72727272726</v>
      </c>
      <c r="K52" s="25">
        <f>정규화데이터!K52</f>
        <v>61496</v>
      </c>
      <c r="L52" s="25">
        <f>정규화데이터!L52</f>
        <v>61496</v>
      </c>
      <c r="M52" s="21">
        <f t="shared" si="0"/>
        <v>41276.727272727265</v>
      </c>
      <c r="N52" s="52">
        <f t="shared" si="1"/>
        <v>0.40163113666519235</v>
      </c>
    </row>
    <row r="53" spans="1:14" x14ac:dyDescent="0.3">
      <c r="A53" t="str">
        <f>정규화데이터!A53</f>
        <v>SK스토아</v>
      </c>
      <c r="B53">
        <f>정규화데이터!B53</f>
        <v>20260205993215</v>
      </c>
      <c r="C53" t="str">
        <f>정규화데이터!C53</f>
        <v>[워커힐]워커힐 고메 시그니처 양념 본갈비 8팩</v>
      </c>
      <c r="D53">
        <f>정규화데이터!D53</f>
        <v>58481090</v>
      </c>
      <c r="E53" s="16" t="str">
        <f>정규화데이터!E53</f>
        <v>SKU001</v>
      </c>
      <c r="F53" s="3">
        <f>정규화데이터!F53</f>
        <v>1</v>
      </c>
      <c r="G53" s="3">
        <f>정규화데이터!G53</f>
        <v>119000</v>
      </c>
      <c r="H53" s="3">
        <f>정규화데이터!H53</f>
        <v>119000</v>
      </c>
      <c r="I53" s="3">
        <f>정규화데이터!I53</f>
        <v>82110</v>
      </c>
      <c r="J53" s="3">
        <f>정규화데이터!J53</f>
        <v>108181.81818181818</v>
      </c>
      <c r="K53" s="25">
        <f>정규화데이터!K53</f>
        <v>61496</v>
      </c>
      <c r="L53" s="25">
        <f>정규화데이터!L53</f>
        <v>61496</v>
      </c>
      <c r="M53" s="21">
        <f t="shared" si="0"/>
        <v>46685.818181818177</v>
      </c>
      <c r="N53" s="52">
        <f t="shared" si="1"/>
        <v>0.43154957983193276</v>
      </c>
    </row>
    <row r="54" spans="1:14" x14ac:dyDescent="0.3">
      <c r="A54" t="str">
        <f>정규화데이터!A54</f>
        <v>SK스토아</v>
      </c>
      <c r="B54">
        <f>정규화데이터!B54</f>
        <v>20260205993380</v>
      </c>
      <c r="C54" t="str">
        <f>정규화데이터!C54</f>
        <v>[워커힐]워커힐 고메 시그니처 양념 본갈비 8팩</v>
      </c>
      <c r="D54">
        <f>정규화데이터!D54</f>
        <v>58481090</v>
      </c>
      <c r="E54" s="16" t="str">
        <f>정규화데이터!E54</f>
        <v>SKU001</v>
      </c>
      <c r="F54" s="3">
        <f>정규화데이터!F54</f>
        <v>1</v>
      </c>
      <c r="G54" s="3">
        <f>정규화데이터!G54</f>
        <v>119000</v>
      </c>
      <c r="H54" s="3">
        <f>정규화데이터!H54</f>
        <v>119000</v>
      </c>
      <c r="I54" s="3">
        <f>정규화데이터!I54</f>
        <v>82110</v>
      </c>
      <c r="J54" s="3">
        <f>정규화데이터!J54</f>
        <v>108181.81818181818</v>
      </c>
      <c r="K54" s="25">
        <f>정규화데이터!K54</f>
        <v>61496</v>
      </c>
      <c r="L54" s="25">
        <f>정규화데이터!L54</f>
        <v>61496</v>
      </c>
      <c r="M54" s="21">
        <f t="shared" si="0"/>
        <v>46685.818181818177</v>
      </c>
      <c r="N54" s="52">
        <f t="shared" si="1"/>
        <v>0.43154957983193276</v>
      </c>
    </row>
    <row r="55" spans="1:14" x14ac:dyDescent="0.3">
      <c r="A55" t="str">
        <f>정규화데이터!A55</f>
        <v>SK스토아</v>
      </c>
      <c r="B55">
        <f>정규화데이터!B55</f>
        <v>20260205995874</v>
      </c>
      <c r="C55" t="str">
        <f>정규화데이터!C55</f>
        <v>[워커힐]워커힐 고메 시그니처 양념 본갈비 8팩</v>
      </c>
      <c r="D55">
        <f>정규화데이터!D55</f>
        <v>58481090</v>
      </c>
      <c r="E55" s="16" t="str">
        <f>정규화데이터!E55</f>
        <v>SKU001</v>
      </c>
      <c r="F55" s="3">
        <f>정규화데이터!F55</f>
        <v>1</v>
      </c>
      <c r="G55" s="3">
        <f>정규화데이터!G55</f>
        <v>119000</v>
      </c>
      <c r="H55" s="3">
        <f>정규화데이터!H55</f>
        <v>99960</v>
      </c>
      <c r="I55" s="3">
        <f>정규화데이터!I55</f>
        <v>82110</v>
      </c>
      <c r="J55" s="3">
        <f>정규화데이터!J55</f>
        <v>90872.727272727265</v>
      </c>
      <c r="K55" s="25">
        <f>정규화데이터!K55</f>
        <v>61496</v>
      </c>
      <c r="L55" s="25">
        <f>정규화데이터!L55</f>
        <v>61496</v>
      </c>
      <c r="M55" s="21">
        <f t="shared" si="0"/>
        <v>29376.727272727265</v>
      </c>
      <c r="N55" s="52">
        <f t="shared" si="1"/>
        <v>0.32327330932372944</v>
      </c>
    </row>
    <row r="56" spans="1:14" x14ac:dyDescent="0.3">
      <c r="A56" t="str">
        <f>정규화데이터!A56</f>
        <v>SK스토아</v>
      </c>
      <c r="B56">
        <f>정규화데이터!B56</f>
        <v>20260205995155</v>
      </c>
      <c r="C56" t="str">
        <f>정규화데이터!C56</f>
        <v>[워커힐]워커힐 고메 시그니처 양념 본갈비 8팩</v>
      </c>
      <c r="D56">
        <f>정규화데이터!D56</f>
        <v>58481090</v>
      </c>
      <c r="E56" s="16" t="str">
        <f>정규화데이터!E56</f>
        <v>SKU001</v>
      </c>
      <c r="F56" s="3">
        <f>정규화데이터!F56</f>
        <v>1</v>
      </c>
      <c r="G56" s="3">
        <f>정규화데이터!G56</f>
        <v>119000</v>
      </c>
      <c r="H56" s="3">
        <f>정규화데이터!H56</f>
        <v>119000</v>
      </c>
      <c r="I56" s="3">
        <f>정규화데이터!I56</f>
        <v>82110</v>
      </c>
      <c r="J56" s="3">
        <f>정규화데이터!J56</f>
        <v>108181.81818181818</v>
      </c>
      <c r="K56" s="25">
        <f>정규화데이터!K56</f>
        <v>61496</v>
      </c>
      <c r="L56" s="25">
        <f>정규화데이터!L56</f>
        <v>61496</v>
      </c>
      <c r="M56" s="21">
        <f t="shared" si="0"/>
        <v>46685.818181818177</v>
      </c>
      <c r="N56" s="52">
        <f t="shared" si="1"/>
        <v>0.43154957983193276</v>
      </c>
    </row>
    <row r="57" spans="1:14" x14ac:dyDescent="0.3">
      <c r="A57" t="str">
        <f>정규화데이터!A57</f>
        <v>SK스토아</v>
      </c>
      <c r="B57">
        <f>정규화데이터!B57</f>
        <v>20260205994376</v>
      </c>
      <c r="C57" t="str">
        <f>정규화데이터!C57</f>
        <v>[워커힐]워커힐 고메 시그니처 양념 본갈비 8팩</v>
      </c>
      <c r="D57">
        <f>정규화데이터!D57</f>
        <v>58481090</v>
      </c>
      <c r="E57" s="16" t="str">
        <f>정규화데이터!E57</f>
        <v>SKU001</v>
      </c>
      <c r="F57" s="3">
        <f>정규화데이터!F57</f>
        <v>1</v>
      </c>
      <c r="G57" s="3">
        <f>정규화데이터!G57</f>
        <v>119000</v>
      </c>
      <c r="H57" s="3">
        <f>정규화데이터!H57</f>
        <v>119000</v>
      </c>
      <c r="I57" s="3">
        <f>정규화데이터!I57</f>
        <v>82110</v>
      </c>
      <c r="J57" s="3">
        <f>정규화데이터!J57</f>
        <v>108181.81818181818</v>
      </c>
      <c r="K57" s="25">
        <f>정규화데이터!K57</f>
        <v>61496</v>
      </c>
      <c r="L57" s="25">
        <f>정규화데이터!L57</f>
        <v>61496</v>
      </c>
      <c r="M57" s="21">
        <f t="shared" si="0"/>
        <v>46685.818181818177</v>
      </c>
      <c r="N57" s="52">
        <f t="shared" si="1"/>
        <v>0.43154957983193276</v>
      </c>
    </row>
    <row r="58" spans="1:14" x14ac:dyDescent="0.3">
      <c r="A58" t="str">
        <f>정규화데이터!A58</f>
        <v>SK스토아</v>
      </c>
      <c r="B58">
        <f>정규화데이터!B58</f>
        <v>20260205994564</v>
      </c>
      <c r="C58" t="str">
        <f>정규화데이터!C58</f>
        <v>[워커힐]워커힐 고메 시그니처 양념 본갈비 8팩</v>
      </c>
      <c r="D58">
        <f>정규화데이터!D58</f>
        <v>58481090</v>
      </c>
      <c r="E58" s="16" t="str">
        <f>정규화데이터!E58</f>
        <v>SKU001</v>
      </c>
      <c r="F58" s="3">
        <f>정규화데이터!F58</f>
        <v>1</v>
      </c>
      <c r="G58" s="3">
        <f>정규화데이터!G58</f>
        <v>119000</v>
      </c>
      <c r="H58" s="3">
        <f>정규화데이터!H58</f>
        <v>119000</v>
      </c>
      <c r="I58" s="3">
        <f>정규화데이터!I58</f>
        <v>82110</v>
      </c>
      <c r="J58" s="3">
        <f>정규화데이터!J58</f>
        <v>108181.81818181818</v>
      </c>
      <c r="K58" s="25">
        <f>정규화데이터!K58</f>
        <v>61496</v>
      </c>
      <c r="L58" s="25">
        <f>정규화데이터!L58</f>
        <v>61496</v>
      </c>
      <c r="M58" s="21">
        <f t="shared" si="0"/>
        <v>46685.818181818177</v>
      </c>
      <c r="N58" s="52">
        <f t="shared" si="1"/>
        <v>0.43154957983193276</v>
      </c>
    </row>
    <row r="59" spans="1:14" x14ac:dyDescent="0.3">
      <c r="A59" t="str">
        <f>정규화데이터!A59</f>
        <v>SK스토아</v>
      </c>
      <c r="B59">
        <f>정규화데이터!B59</f>
        <v>20260205994614</v>
      </c>
      <c r="C59" t="str">
        <f>정규화데이터!C59</f>
        <v>[워커힐]워커힐 고메 시그니처 양념 본갈비 8팩</v>
      </c>
      <c r="D59">
        <f>정규화데이터!D59</f>
        <v>58481090</v>
      </c>
      <c r="E59" s="16" t="str">
        <f>정규화데이터!E59</f>
        <v>SKU001</v>
      </c>
      <c r="F59" s="3">
        <f>정규화데이터!F59</f>
        <v>1</v>
      </c>
      <c r="G59" s="3">
        <f>정규화데이터!G59</f>
        <v>119000</v>
      </c>
      <c r="H59" s="3">
        <f>정규화데이터!H59</f>
        <v>109000</v>
      </c>
      <c r="I59" s="3">
        <f>정규화데이터!I59</f>
        <v>82110</v>
      </c>
      <c r="J59" s="3">
        <f>정규화데이터!J59</f>
        <v>99090.909090909074</v>
      </c>
      <c r="K59" s="25">
        <f>정규화데이터!K59</f>
        <v>61496</v>
      </c>
      <c r="L59" s="25">
        <f>정규화데이터!L59</f>
        <v>61496</v>
      </c>
      <c r="M59" s="21">
        <f t="shared" si="0"/>
        <v>37594.909090909074</v>
      </c>
      <c r="N59" s="52">
        <f t="shared" si="1"/>
        <v>0.3793981651376146</v>
      </c>
    </row>
    <row r="60" spans="1:14" x14ac:dyDescent="0.3">
      <c r="A60" t="str">
        <f>정규화데이터!A60</f>
        <v>SK스토아</v>
      </c>
      <c r="B60">
        <f>정규화데이터!B60</f>
        <v>20260205993698</v>
      </c>
      <c r="C60" t="str">
        <f>정규화데이터!C60</f>
        <v>[워커힐]워커힐 고메 시그니처 양념 본갈비 8팩</v>
      </c>
      <c r="D60">
        <f>정규화데이터!D60</f>
        <v>58481090</v>
      </c>
      <c r="E60" s="16" t="str">
        <f>정규화데이터!E60</f>
        <v>SKU001</v>
      </c>
      <c r="F60" s="3">
        <f>정규화데이터!F60</f>
        <v>1</v>
      </c>
      <c r="G60" s="3">
        <f>정규화데이터!G60</f>
        <v>119000</v>
      </c>
      <c r="H60" s="3">
        <f>정규화데이터!H60</f>
        <v>99960</v>
      </c>
      <c r="I60" s="3">
        <f>정규화데이터!I60</f>
        <v>82110</v>
      </c>
      <c r="J60" s="3">
        <f>정규화데이터!J60</f>
        <v>90872.727272727265</v>
      </c>
      <c r="K60" s="25">
        <f>정규화데이터!K60</f>
        <v>61496</v>
      </c>
      <c r="L60" s="25">
        <f>정규화데이터!L60</f>
        <v>61496</v>
      </c>
      <c r="M60" s="21">
        <f t="shared" si="0"/>
        <v>29376.727272727265</v>
      </c>
      <c r="N60" s="52">
        <f t="shared" si="1"/>
        <v>0.32327330932372944</v>
      </c>
    </row>
    <row r="61" spans="1:14" x14ac:dyDescent="0.3">
      <c r="A61" t="str">
        <f>정규화데이터!A61</f>
        <v>SK스토아</v>
      </c>
      <c r="B61">
        <f>정규화데이터!B61</f>
        <v>20260205992804</v>
      </c>
      <c r="C61" t="str">
        <f>정규화데이터!C61</f>
        <v>[워커힐]워커힐 고메 시그니처 양념 본갈비 8팩</v>
      </c>
      <c r="D61">
        <f>정규화데이터!D61</f>
        <v>58481090</v>
      </c>
      <c r="E61" s="16" t="str">
        <f>정규화데이터!E61</f>
        <v>SKU001</v>
      </c>
      <c r="F61" s="3">
        <f>정규화데이터!F61</f>
        <v>1</v>
      </c>
      <c r="G61" s="3">
        <f>정규화데이터!G61</f>
        <v>119000</v>
      </c>
      <c r="H61" s="3">
        <f>정규화데이터!H61</f>
        <v>119000</v>
      </c>
      <c r="I61" s="3">
        <f>정규화데이터!I61</f>
        <v>82110</v>
      </c>
      <c r="J61" s="3">
        <f>정규화데이터!J61</f>
        <v>108181.81818181818</v>
      </c>
      <c r="K61" s="25">
        <f>정규화데이터!K61</f>
        <v>61496</v>
      </c>
      <c r="L61" s="25">
        <f>정규화데이터!L61</f>
        <v>61496</v>
      </c>
      <c r="M61" s="21">
        <f t="shared" si="0"/>
        <v>46685.818181818177</v>
      </c>
      <c r="N61" s="52">
        <f t="shared" si="1"/>
        <v>0.43154957983193276</v>
      </c>
    </row>
    <row r="62" spans="1:14" x14ac:dyDescent="0.3">
      <c r="A62" t="str">
        <f>정규화데이터!A62</f>
        <v>SK스토아</v>
      </c>
      <c r="B62">
        <f>정규화데이터!B62</f>
        <v>20260205992800</v>
      </c>
      <c r="C62" t="str">
        <f>정규화데이터!C62</f>
        <v>[워커힐]워커힐 고메 시그니처 양념 본갈비 8팩</v>
      </c>
      <c r="D62">
        <f>정규화데이터!D62</f>
        <v>58481090</v>
      </c>
      <c r="E62" s="16" t="str">
        <f>정규화데이터!E62</f>
        <v>SKU001</v>
      </c>
      <c r="F62" s="3">
        <f>정규화데이터!F62</f>
        <v>1</v>
      </c>
      <c r="G62" s="3">
        <f>정규화데이터!G62</f>
        <v>119000</v>
      </c>
      <c r="H62" s="3">
        <f>정규화데이터!H62</f>
        <v>113050</v>
      </c>
      <c r="I62" s="3">
        <f>정규화데이터!I62</f>
        <v>82110</v>
      </c>
      <c r="J62" s="3">
        <f>정규화데이터!J62</f>
        <v>102772.72727272726</v>
      </c>
      <c r="K62" s="25">
        <f>정규화데이터!K62</f>
        <v>61496</v>
      </c>
      <c r="L62" s="25">
        <f>정규화데이터!L62</f>
        <v>61496</v>
      </c>
      <c r="M62" s="21">
        <f t="shared" si="0"/>
        <v>41276.727272727265</v>
      </c>
      <c r="N62" s="52">
        <f t="shared" si="1"/>
        <v>0.40163113666519235</v>
      </c>
    </row>
    <row r="63" spans="1:14" x14ac:dyDescent="0.3">
      <c r="A63" t="str">
        <f>정규화데이터!A63</f>
        <v>SK스토아</v>
      </c>
      <c r="B63">
        <f>정규화데이터!B63</f>
        <v>20260205994317</v>
      </c>
      <c r="C63" t="str">
        <f>정규화데이터!C63</f>
        <v>[워커힐]워커힐 고메 시그니처 양념 본갈비 8팩</v>
      </c>
      <c r="D63">
        <f>정규화데이터!D63</f>
        <v>58481090</v>
      </c>
      <c r="E63" s="16" t="str">
        <f>정규화데이터!E63</f>
        <v>SKU001</v>
      </c>
      <c r="F63" s="3">
        <f>정규화데이터!F63</f>
        <v>1</v>
      </c>
      <c r="G63" s="3">
        <f>정규화데이터!G63</f>
        <v>119000</v>
      </c>
      <c r="H63" s="3">
        <f>정규화데이터!H63</f>
        <v>113050</v>
      </c>
      <c r="I63" s="3">
        <f>정규화데이터!I63</f>
        <v>82110</v>
      </c>
      <c r="J63" s="3">
        <f>정규화데이터!J63</f>
        <v>102772.72727272726</v>
      </c>
      <c r="K63" s="25">
        <f>정규화데이터!K63</f>
        <v>61496</v>
      </c>
      <c r="L63" s="25">
        <f>정규화데이터!L63</f>
        <v>61496</v>
      </c>
      <c r="M63" s="21">
        <f t="shared" si="0"/>
        <v>41276.727272727265</v>
      </c>
      <c r="N63" s="52">
        <f t="shared" si="1"/>
        <v>0.40163113666519235</v>
      </c>
    </row>
    <row r="64" spans="1:14" x14ac:dyDescent="0.3">
      <c r="A64" t="str">
        <f>정규화데이터!A64</f>
        <v>SK스토아</v>
      </c>
      <c r="B64">
        <f>정규화데이터!B64</f>
        <v>20260205992772</v>
      </c>
      <c r="C64" t="str">
        <f>정규화데이터!C64</f>
        <v>[워커힐]워커힐 고메 시그니처 양념 본갈비 8팩</v>
      </c>
      <c r="D64">
        <f>정규화데이터!D64</f>
        <v>58481090</v>
      </c>
      <c r="E64" s="16" t="str">
        <f>정규화데이터!E64</f>
        <v>SKU001</v>
      </c>
      <c r="F64" s="3">
        <f>정규화데이터!F64</f>
        <v>1</v>
      </c>
      <c r="G64" s="3">
        <f>정규화데이터!G64</f>
        <v>119000</v>
      </c>
      <c r="H64" s="3">
        <f>정규화데이터!H64</f>
        <v>119000</v>
      </c>
      <c r="I64" s="3">
        <f>정규화데이터!I64</f>
        <v>82110</v>
      </c>
      <c r="J64" s="3">
        <f>정규화데이터!J64</f>
        <v>108181.81818181818</v>
      </c>
      <c r="K64" s="25">
        <f>정규화데이터!K64</f>
        <v>61496</v>
      </c>
      <c r="L64" s="25">
        <f>정규화데이터!L64</f>
        <v>61496</v>
      </c>
      <c r="M64" s="21">
        <f t="shared" si="0"/>
        <v>46685.818181818177</v>
      </c>
      <c r="N64" s="52">
        <f t="shared" si="1"/>
        <v>0.43154957983193276</v>
      </c>
    </row>
    <row r="65" spans="1:14" x14ac:dyDescent="0.3">
      <c r="A65" t="str">
        <f>정규화데이터!A65</f>
        <v>SK스토아</v>
      </c>
      <c r="B65">
        <f>정규화데이터!B65</f>
        <v>20260205995383</v>
      </c>
      <c r="C65" t="str">
        <f>정규화데이터!C65</f>
        <v>[워커힐]워커힐 고메 시그니처 양념 본갈비 8팩</v>
      </c>
      <c r="D65">
        <f>정규화데이터!D65</f>
        <v>58481090</v>
      </c>
      <c r="E65" s="16" t="str">
        <f>정규화데이터!E65</f>
        <v>SKU001</v>
      </c>
      <c r="F65" s="3">
        <f>정규화데이터!F65</f>
        <v>1</v>
      </c>
      <c r="G65" s="3">
        <f>정규화데이터!G65</f>
        <v>119000</v>
      </c>
      <c r="H65" s="3">
        <f>정규화데이터!H65</f>
        <v>119000</v>
      </c>
      <c r="I65" s="3">
        <f>정규화데이터!I65</f>
        <v>82110</v>
      </c>
      <c r="J65" s="3">
        <f>정규화데이터!J65</f>
        <v>108181.81818181818</v>
      </c>
      <c r="K65" s="25">
        <f>정규화데이터!K65</f>
        <v>61496</v>
      </c>
      <c r="L65" s="25">
        <f>정규화데이터!L65</f>
        <v>61496</v>
      </c>
      <c r="M65" s="21">
        <f t="shared" si="0"/>
        <v>46685.818181818177</v>
      </c>
      <c r="N65" s="52">
        <f t="shared" si="1"/>
        <v>0.43154957983193276</v>
      </c>
    </row>
    <row r="66" spans="1:14" x14ac:dyDescent="0.3">
      <c r="A66" t="str">
        <f>정규화데이터!A66</f>
        <v>SK스토아</v>
      </c>
      <c r="B66">
        <f>정규화데이터!B66</f>
        <v>20260205994159</v>
      </c>
      <c r="C66" t="str">
        <f>정규화데이터!C66</f>
        <v>[워커힐]워커힐 고메 시그니처 양념 본갈비 8팩</v>
      </c>
      <c r="D66">
        <f>정규화데이터!D66</f>
        <v>58481090</v>
      </c>
      <c r="E66" s="16" t="str">
        <f>정규화데이터!E66</f>
        <v>SKU001</v>
      </c>
      <c r="F66" s="3">
        <f>정규화데이터!F66</f>
        <v>1</v>
      </c>
      <c r="G66" s="3">
        <f>정규화데이터!G66</f>
        <v>119000</v>
      </c>
      <c r="H66" s="3">
        <f>정규화데이터!H66</f>
        <v>119000</v>
      </c>
      <c r="I66" s="3">
        <f>정규화데이터!I66</f>
        <v>82110</v>
      </c>
      <c r="J66" s="3">
        <f>정규화데이터!J66</f>
        <v>108181.81818181818</v>
      </c>
      <c r="K66" s="25">
        <f>정규화데이터!K66</f>
        <v>61496</v>
      </c>
      <c r="L66" s="25">
        <f>정규화데이터!L66</f>
        <v>61496</v>
      </c>
      <c r="M66" s="21">
        <f t="shared" si="0"/>
        <v>46685.818181818177</v>
      </c>
      <c r="N66" s="52">
        <f t="shared" si="1"/>
        <v>0.43154957983193276</v>
      </c>
    </row>
    <row r="67" spans="1:14" x14ac:dyDescent="0.3">
      <c r="A67" t="str">
        <f>정규화데이터!A67</f>
        <v>SK스토아</v>
      </c>
      <c r="B67">
        <f>정규화데이터!B67</f>
        <v>20260205994198</v>
      </c>
      <c r="C67" t="str">
        <f>정규화데이터!C67</f>
        <v>[워커힐]워커힐 고메 시그니처 양념 본갈비 8팩</v>
      </c>
      <c r="D67">
        <f>정규화데이터!D67</f>
        <v>58481090</v>
      </c>
      <c r="E67" s="16" t="str">
        <f>정규화데이터!E67</f>
        <v>SKU001</v>
      </c>
      <c r="F67" s="3">
        <f>정규화데이터!F67</f>
        <v>1</v>
      </c>
      <c r="G67" s="3">
        <f>정규화데이터!G67</f>
        <v>119000</v>
      </c>
      <c r="H67" s="3">
        <f>정규화데이터!H67</f>
        <v>119000</v>
      </c>
      <c r="I67" s="3">
        <f>정규화데이터!I67</f>
        <v>82110</v>
      </c>
      <c r="J67" s="3">
        <f>정규화데이터!J67</f>
        <v>108181.81818181818</v>
      </c>
      <c r="K67" s="25">
        <f>정규화데이터!K67</f>
        <v>61496</v>
      </c>
      <c r="L67" s="25">
        <f>정규화데이터!L67</f>
        <v>61496</v>
      </c>
      <c r="M67" s="21">
        <f t="shared" ref="M67:M130" si="2">J67-L67</f>
        <v>46685.818181818177</v>
      </c>
      <c r="N67" s="52">
        <f t="shared" ref="N67:N130" si="3">IF(J67=0,0,M67/J67)</f>
        <v>0.43154957983193276</v>
      </c>
    </row>
    <row r="68" spans="1:14" x14ac:dyDescent="0.3">
      <c r="A68" t="str">
        <f>정규화데이터!A68</f>
        <v>SK스토아</v>
      </c>
      <c r="B68">
        <f>정규화데이터!B68</f>
        <v>20260205994768</v>
      </c>
      <c r="C68" t="str">
        <f>정규화데이터!C68</f>
        <v>[워커힐]워커힐 고메 시그니처 양념 본갈비 8팩</v>
      </c>
      <c r="D68">
        <f>정규화데이터!D68</f>
        <v>58481090</v>
      </c>
      <c r="E68" s="16" t="str">
        <f>정규화데이터!E68</f>
        <v>SKU001</v>
      </c>
      <c r="F68" s="3">
        <f>정규화데이터!F68</f>
        <v>1</v>
      </c>
      <c r="G68" s="3">
        <f>정규화데이터!G68</f>
        <v>119000</v>
      </c>
      <c r="H68" s="3">
        <f>정규화데이터!H68</f>
        <v>119000</v>
      </c>
      <c r="I68" s="3">
        <f>정규화데이터!I68</f>
        <v>82110</v>
      </c>
      <c r="J68" s="3">
        <f>정규화데이터!J68</f>
        <v>108181.81818181818</v>
      </c>
      <c r="K68" s="25">
        <f>정규화데이터!K68</f>
        <v>61496</v>
      </c>
      <c r="L68" s="25">
        <f>정규화데이터!L68</f>
        <v>61496</v>
      </c>
      <c r="M68" s="21">
        <f t="shared" si="2"/>
        <v>46685.818181818177</v>
      </c>
      <c r="N68" s="52">
        <f t="shared" si="3"/>
        <v>0.43154957983193276</v>
      </c>
    </row>
    <row r="69" spans="1:14" x14ac:dyDescent="0.3">
      <c r="A69" t="str">
        <f>정규화데이터!A69</f>
        <v>SK스토아</v>
      </c>
      <c r="B69">
        <f>정규화데이터!B69</f>
        <v>20260205994818</v>
      </c>
      <c r="C69" t="str">
        <f>정규화데이터!C69</f>
        <v>[워커힐]워커힐 고메 시그니처 양념 본갈비 8팩</v>
      </c>
      <c r="D69">
        <f>정규화데이터!D69</f>
        <v>58481090</v>
      </c>
      <c r="E69" s="16" t="str">
        <f>정규화데이터!E69</f>
        <v>SKU001</v>
      </c>
      <c r="F69" s="3">
        <f>정규화데이터!F69</f>
        <v>1</v>
      </c>
      <c r="G69" s="3">
        <f>정규화데이터!G69</f>
        <v>119000</v>
      </c>
      <c r="H69" s="3">
        <f>정규화데이터!H69</f>
        <v>119000</v>
      </c>
      <c r="I69" s="3">
        <f>정규화데이터!I69</f>
        <v>82110</v>
      </c>
      <c r="J69" s="3">
        <f>정규화데이터!J69</f>
        <v>108181.81818181818</v>
      </c>
      <c r="K69" s="25">
        <f>정규화데이터!K69</f>
        <v>61496</v>
      </c>
      <c r="L69" s="25">
        <f>정규화데이터!L69</f>
        <v>61496</v>
      </c>
      <c r="M69" s="21">
        <f t="shared" si="2"/>
        <v>46685.818181818177</v>
      </c>
      <c r="N69" s="52">
        <f t="shared" si="3"/>
        <v>0.43154957983193276</v>
      </c>
    </row>
    <row r="70" spans="1:14" x14ac:dyDescent="0.3">
      <c r="A70" t="str">
        <f>정규화데이터!A70</f>
        <v>SK스토아</v>
      </c>
      <c r="B70">
        <f>정규화데이터!B70</f>
        <v>20260205992872</v>
      </c>
      <c r="C70" t="str">
        <f>정규화데이터!C70</f>
        <v>[워커힐]워커힐 고메 시그니처 양념 본갈비 8팩</v>
      </c>
      <c r="D70">
        <f>정규화데이터!D70</f>
        <v>58481090</v>
      </c>
      <c r="E70" s="16" t="str">
        <f>정규화데이터!E70</f>
        <v>SKU001</v>
      </c>
      <c r="F70" s="3">
        <f>정규화데이터!F70</f>
        <v>1</v>
      </c>
      <c r="G70" s="3">
        <f>정규화데이터!G70</f>
        <v>119000</v>
      </c>
      <c r="H70" s="3">
        <f>정규화데이터!H70</f>
        <v>119000</v>
      </c>
      <c r="I70" s="3">
        <f>정규화데이터!I70</f>
        <v>82110</v>
      </c>
      <c r="J70" s="3">
        <f>정규화데이터!J70</f>
        <v>108181.81818181818</v>
      </c>
      <c r="K70" s="25">
        <f>정규화데이터!K70</f>
        <v>61496</v>
      </c>
      <c r="L70" s="25">
        <f>정규화데이터!L70</f>
        <v>61496</v>
      </c>
      <c r="M70" s="21">
        <f t="shared" si="2"/>
        <v>46685.818181818177</v>
      </c>
      <c r="N70" s="52">
        <f t="shared" si="3"/>
        <v>0.43154957983193276</v>
      </c>
    </row>
    <row r="71" spans="1:14" x14ac:dyDescent="0.3">
      <c r="A71" t="str">
        <f>정규화데이터!A71</f>
        <v>SK스토아</v>
      </c>
      <c r="B71">
        <f>정규화데이터!B71</f>
        <v>20260205995552</v>
      </c>
      <c r="C71" t="str">
        <f>정규화데이터!C71</f>
        <v>[워커힐]워커힐 고메 시그니처 양념 본갈비 8팩</v>
      </c>
      <c r="D71">
        <f>정규화데이터!D71</f>
        <v>58481090</v>
      </c>
      <c r="E71" s="16" t="str">
        <f>정규화데이터!E71</f>
        <v>SKU001</v>
      </c>
      <c r="F71" s="3">
        <f>정규화데이터!F71</f>
        <v>1</v>
      </c>
      <c r="G71" s="3">
        <f>정규화데이터!G71</f>
        <v>119000</v>
      </c>
      <c r="H71" s="3">
        <f>정규화데이터!H71</f>
        <v>119000</v>
      </c>
      <c r="I71" s="3">
        <f>정규화데이터!I71</f>
        <v>82110</v>
      </c>
      <c r="J71" s="3">
        <f>정규화데이터!J71</f>
        <v>108181.81818181818</v>
      </c>
      <c r="K71" s="25">
        <f>정규화데이터!K71</f>
        <v>61496</v>
      </c>
      <c r="L71" s="25">
        <f>정규화데이터!L71</f>
        <v>61496</v>
      </c>
      <c r="M71" s="21">
        <f t="shared" si="2"/>
        <v>46685.818181818177</v>
      </c>
      <c r="N71" s="52">
        <f t="shared" si="3"/>
        <v>0.43154957983193276</v>
      </c>
    </row>
    <row r="72" spans="1:14" x14ac:dyDescent="0.3">
      <c r="A72" t="str">
        <f>정규화데이터!A72</f>
        <v>SK스토아</v>
      </c>
      <c r="B72">
        <f>정규화데이터!B72</f>
        <v>20260205995516</v>
      </c>
      <c r="C72" t="str">
        <f>정규화데이터!C72</f>
        <v>[워커힐]워커힐 고메 시그니처 양념 본갈비 8팩</v>
      </c>
      <c r="D72">
        <f>정규화데이터!D72</f>
        <v>58481090</v>
      </c>
      <c r="E72" s="16" t="str">
        <f>정규화데이터!E72</f>
        <v>SKU001</v>
      </c>
      <c r="F72" s="3">
        <f>정규화데이터!F72</f>
        <v>1</v>
      </c>
      <c r="G72" s="3">
        <f>정규화데이터!G72</f>
        <v>119000</v>
      </c>
      <c r="H72" s="3">
        <f>정규화데이터!H72</f>
        <v>119000</v>
      </c>
      <c r="I72" s="3">
        <f>정규화데이터!I72</f>
        <v>82110</v>
      </c>
      <c r="J72" s="3">
        <f>정규화데이터!J72</f>
        <v>108181.81818181818</v>
      </c>
      <c r="K72" s="25">
        <f>정규화데이터!K72</f>
        <v>61496</v>
      </c>
      <c r="L72" s="25">
        <f>정규화데이터!L72</f>
        <v>61496</v>
      </c>
      <c r="M72" s="21">
        <f t="shared" si="2"/>
        <v>46685.818181818177</v>
      </c>
      <c r="N72" s="52">
        <f t="shared" si="3"/>
        <v>0.43154957983193276</v>
      </c>
    </row>
    <row r="73" spans="1:14" x14ac:dyDescent="0.3">
      <c r="A73" t="str">
        <f>정규화데이터!A73</f>
        <v>SK스토아</v>
      </c>
      <c r="B73">
        <f>정규화데이터!B73</f>
        <v>20260205994953</v>
      </c>
      <c r="C73" t="str">
        <f>정규화데이터!C73</f>
        <v>[워커힐]워커힐 고메 시그니처 양념 본갈비 8팩</v>
      </c>
      <c r="D73">
        <f>정규화데이터!D73</f>
        <v>58481090</v>
      </c>
      <c r="E73" s="16" t="str">
        <f>정규화데이터!E73</f>
        <v>SKU001</v>
      </c>
      <c r="F73" s="3">
        <f>정규화데이터!F73</f>
        <v>1</v>
      </c>
      <c r="G73" s="3">
        <f>정규화데이터!G73</f>
        <v>119000</v>
      </c>
      <c r="H73" s="3">
        <f>정규화데이터!H73</f>
        <v>99960</v>
      </c>
      <c r="I73" s="3">
        <f>정규화데이터!I73</f>
        <v>82110</v>
      </c>
      <c r="J73" s="3">
        <f>정규화데이터!J73</f>
        <v>90872.727272727265</v>
      </c>
      <c r="K73" s="25">
        <f>정규화데이터!K73</f>
        <v>61496</v>
      </c>
      <c r="L73" s="25">
        <f>정규화데이터!L73</f>
        <v>61496</v>
      </c>
      <c r="M73" s="21">
        <f t="shared" si="2"/>
        <v>29376.727272727265</v>
      </c>
      <c r="N73" s="52">
        <f t="shared" si="3"/>
        <v>0.32327330932372944</v>
      </c>
    </row>
    <row r="74" spans="1:14" x14ac:dyDescent="0.3">
      <c r="A74" t="str">
        <f>정규화데이터!A74</f>
        <v>SK스토아</v>
      </c>
      <c r="B74">
        <f>정규화데이터!B74</f>
        <v>20260205995058</v>
      </c>
      <c r="C74" t="str">
        <f>정규화데이터!C74</f>
        <v>[워커힐]워커힐 고메 시그니처 양념 본갈비 8팩</v>
      </c>
      <c r="D74">
        <f>정규화데이터!D74</f>
        <v>58481090</v>
      </c>
      <c r="E74" s="16" t="str">
        <f>정규화데이터!E74</f>
        <v>SKU001</v>
      </c>
      <c r="F74" s="3">
        <f>정규화데이터!F74</f>
        <v>1</v>
      </c>
      <c r="G74" s="3">
        <f>정규화데이터!G74</f>
        <v>119000</v>
      </c>
      <c r="H74" s="3">
        <f>정규화데이터!H74</f>
        <v>108300</v>
      </c>
      <c r="I74" s="3">
        <f>정규화데이터!I74</f>
        <v>82110</v>
      </c>
      <c r="J74" s="3">
        <f>정규화데이터!J74</f>
        <v>98454.545454545441</v>
      </c>
      <c r="K74" s="25">
        <f>정규화데이터!K74</f>
        <v>61496</v>
      </c>
      <c r="L74" s="25">
        <f>정규화데이터!L74</f>
        <v>61496</v>
      </c>
      <c r="M74" s="21">
        <f t="shared" si="2"/>
        <v>36958.545454545441</v>
      </c>
      <c r="N74" s="52">
        <f t="shared" si="3"/>
        <v>0.37538688827331479</v>
      </c>
    </row>
    <row r="75" spans="1:14" x14ac:dyDescent="0.3">
      <c r="A75" t="str">
        <f>정규화데이터!A75</f>
        <v>SK스토아</v>
      </c>
      <c r="B75">
        <f>정규화데이터!B75</f>
        <v>20260205995012</v>
      </c>
      <c r="C75" t="str">
        <f>정규화데이터!C75</f>
        <v>[워커힐]워커힐 고메 시그니처 양념 본갈비 8팩</v>
      </c>
      <c r="D75">
        <f>정규화데이터!D75</f>
        <v>58481090</v>
      </c>
      <c r="E75" s="16" t="str">
        <f>정규화데이터!E75</f>
        <v>SKU001</v>
      </c>
      <c r="F75" s="3">
        <f>정규화데이터!F75</f>
        <v>1</v>
      </c>
      <c r="G75" s="3">
        <f>정규화데이터!G75</f>
        <v>119000</v>
      </c>
      <c r="H75" s="3">
        <f>정규화데이터!H75</f>
        <v>119000</v>
      </c>
      <c r="I75" s="3">
        <f>정규화데이터!I75</f>
        <v>82110</v>
      </c>
      <c r="J75" s="3">
        <f>정규화데이터!J75</f>
        <v>108181.81818181818</v>
      </c>
      <c r="K75" s="25">
        <f>정규화데이터!K75</f>
        <v>61496</v>
      </c>
      <c r="L75" s="25">
        <f>정규화데이터!L75</f>
        <v>61496</v>
      </c>
      <c r="M75" s="21">
        <f t="shared" si="2"/>
        <v>46685.818181818177</v>
      </c>
      <c r="N75" s="52">
        <f t="shared" si="3"/>
        <v>0.43154957983193276</v>
      </c>
    </row>
    <row r="76" spans="1:14" x14ac:dyDescent="0.3">
      <c r="A76" t="str">
        <f>정규화데이터!A76</f>
        <v>SK스토아</v>
      </c>
      <c r="B76">
        <f>정규화데이터!B76</f>
        <v>20260205993890</v>
      </c>
      <c r="C76" t="str">
        <f>정규화데이터!C76</f>
        <v>[워커힐]워커힐 고메 시그니처 양념 본갈비 8팩</v>
      </c>
      <c r="D76">
        <f>정규화데이터!D76</f>
        <v>58481090</v>
      </c>
      <c r="E76" s="16" t="str">
        <f>정규화데이터!E76</f>
        <v>SKU001</v>
      </c>
      <c r="F76" s="3">
        <f>정규화데이터!F76</f>
        <v>1</v>
      </c>
      <c r="G76" s="3">
        <f>정규화데이터!G76</f>
        <v>119000</v>
      </c>
      <c r="H76" s="3">
        <f>정규화데이터!H76</f>
        <v>119000</v>
      </c>
      <c r="I76" s="3">
        <f>정규화데이터!I76</f>
        <v>82110</v>
      </c>
      <c r="J76" s="3">
        <f>정규화데이터!J76</f>
        <v>108181.81818181818</v>
      </c>
      <c r="K76" s="25">
        <f>정규화데이터!K76</f>
        <v>61496</v>
      </c>
      <c r="L76" s="25">
        <f>정규화데이터!L76</f>
        <v>61496</v>
      </c>
      <c r="M76" s="21">
        <f t="shared" si="2"/>
        <v>46685.818181818177</v>
      </c>
      <c r="N76" s="52">
        <f t="shared" si="3"/>
        <v>0.43154957983193276</v>
      </c>
    </row>
    <row r="77" spans="1:14" x14ac:dyDescent="0.3">
      <c r="A77" t="str">
        <f>정규화데이터!A77</f>
        <v>SK스토아</v>
      </c>
      <c r="B77">
        <f>정규화데이터!B77</f>
        <v>20260205993358</v>
      </c>
      <c r="C77" t="str">
        <f>정규화데이터!C77</f>
        <v>[워커힐]워커힐 고메 시그니처 양념 본갈비 8팩</v>
      </c>
      <c r="D77">
        <f>정규화데이터!D77</f>
        <v>58481090</v>
      </c>
      <c r="E77" s="16" t="str">
        <f>정규화데이터!E77</f>
        <v>SKU001</v>
      </c>
      <c r="F77" s="3">
        <f>정규화데이터!F77</f>
        <v>1</v>
      </c>
      <c r="G77" s="3">
        <f>정규화데이터!G77</f>
        <v>119000</v>
      </c>
      <c r="H77" s="3">
        <f>정규화데이터!H77</f>
        <v>109000</v>
      </c>
      <c r="I77" s="3">
        <f>정규화데이터!I77</f>
        <v>82110</v>
      </c>
      <c r="J77" s="3">
        <f>정규화데이터!J77</f>
        <v>99090.909090909074</v>
      </c>
      <c r="K77" s="25">
        <f>정규화데이터!K77</f>
        <v>61496</v>
      </c>
      <c r="L77" s="25">
        <f>정규화데이터!L77</f>
        <v>61496</v>
      </c>
      <c r="M77" s="21">
        <f t="shared" si="2"/>
        <v>37594.909090909074</v>
      </c>
      <c r="N77" s="52">
        <f t="shared" si="3"/>
        <v>0.3793981651376146</v>
      </c>
    </row>
    <row r="78" spans="1:14" x14ac:dyDescent="0.3">
      <c r="A78" t="str">
        <f>정규화데이터!A78</f>
        <v>SK스토아</v>
      </c>
      <c r="B78">
        <f>정규화데이터!B78</f>
        <v>20260205992456</v>
      </c>
      <c r="C78" t="str">
        <f>정규화데이터!C78</f>
        <v>[워커힐]워커힐 고메 시그니처 양념 본갈비 8팩</v>
      </c>
      <c r="D78">
        <f>정규화데이터!D78</f>
        <v>58481090</v>
      </c>
      <c r="E78" s="16" t="str">
        <f>정규화데이터!E78</f>
        <v>SKU001</v>
      </c>
      <c r="F78" s="3">
        <f>정규화데이터!F78</f>
        <v>1</v>
      </c>
      <c r="G78" s="3">
        <f>정규화데이터!G78</f>
        <v>119000</v>
      </c>
      <c r="H78" s="3">
        <f>정규화데이터!H78</f>
        <v>119000</v>
      </c>
      <c r="I78" s="3">
        <f>정규화데이터!I78</f>
        <v>82110</v>
      </c>
      <c r="J78" s="3">
        <f>정규화데이터!J78</f>
        <v>108181.81818181818</v>
      </c>
      <c r="K78" s="25">
        <f>정규화데이터!K78</f>
        <v>61496</v>
      </c>
      <c r="L78" s="25">
        <f>정규화데이터!L78</f>
        <v>61496</v>
      </c>
      <c r="M78" s="21">
        <f t="shared" si="2"/>
        <v>46685.818181818177</v>
      </c>
      <c r="N78" s="52">
        <f t="shared" si="3"/>
        <v>0.43154957983193276</v>
      </c>
    </row>
    <row r="79" spans="1:14" x14ac:dyDescent="0.3">
      <c r="A79" t="str">
        <f>정규화데이터!A79</f>
        <v>SK스토아</v>
      </c>
      <c r="B79">
        <f>정규화데이터!B79</f>
        <v>20260205993113</v>
      </c>
      <c r="C79" t="str">
        <f>정규화데이터!C79</f>
        <v>[워커힐]워커힐 고메 시그니처 양념 본갈비 8팩</v>
      </c>
      <c r="D79">
        <f>정규화데이터!D79</f>
        <v>58481090</v>
      </c>
      <c r="E79" s="16" t="str">
        <f>정규화데이터!E79</f>
        <v>SKU001</v>
      </c>
      <c r="F79" s="3">
        <f>정규화데이터!F79</f>
        <v>1</v>
      </c>
      <c r="G79" s="3">
        <f>정규화데이터!G79</f>
        <v>119000</v>
      </c>
      <c r="H79" s="3">
        <f>정규화데이터!H79</f>
        <v>119000</v>
      </c>
      <c r="I79" s="3">
        <f>정규화데이터!I79</f>
        <v>82110</v>
      </c>
      <c r="J79" s="3">
        <f>정규화데이터!J79</f>
        <v>108181.81818181818</v>
      </c>
      <c r="K79" s="25">
        <f>정규화데이터!K79</f>
        <v>61496</v>
      </c>
      <c r="L79" s="25">
        <f>정규화데이터!L79</f>
        <v>61496</v>
      </c>
      <c r="M79" s="21">
        <f t="shared" si="2"/>
        <v>46685.818181818177</v>
      </c>
      <c r="N79" s="52">
        <f t="shared" si="3"/>
        <v>0.43154957983193276</v>
      </c>
    </row>
    <row r="80" spans="1:14" x14ac:dyDescent="0.3">
      <c r="A80" t="str">
        <f>정규화데이터!A80</f>
        <v>SK스토아</v>
      </c>
      <c r="B80">
        <f>정규화데이터!B80</f>
        <v>20260205995687</v>
      </c>
      <c r="C80" t="str">
        <f>정규화데이터!C80</f>
        <v>[워커힐]워커힐 고메 시그니처 양념 본갈비 8팩</v>
      </c>
      <c r="D80">
        <f>정규화데이터!D80</f>
        <v>58481090</v>
      </c>
      <c r="E80" s="16" t="str">
        <f>정규화데이터!E80</f>
        <v>SKU001</v>
      </c>
      <c r="F80" s="3">
        <f>정규화데이터!F80</f>
        <v>2</v>
      </c>
      <c r="G80" s="3">
        <f>정규화데이터!G80</f>
        <v>119000</v>
      </c>
      <c r="H80" s="3">
        <f>정규화데이터!H80</f>
        <v>238000</v>
      </c>
      <c r="I80" s="3">
        <f>정규화데이터!I80</f>
        <v>164220</v>
      </c>
      <c r="J80" s="3">
        <f>정규화데이터!J80</f>
        <v>216363.63636363635</v>
      </c>
      <c r="K80" s="25">
        <f>정규화데이터!K80</f>
        <v>61496</v>
      </c>
      <c r="L80" s="25">
        <f>정규화데이터!L80</f>
        <v>122992</v>
      </c>
      <c r="M80" s="21">
        <f t="shared" si="2"/>
        <v>93371.636363636353</v>
      </c>
      <c r="N80" s="52">
        <f t="shared" si="3"/>
        <v>0.43154957983193276</v>
      </c>
    </row>
    <row r="81" spans="1:14" x14ac:dyDescent="0.3">
      <c r="A81" t="str">
        <f>정규화데이터!A81</f>
        <v>SK스토아</v>
      </c>
      <c r="B81">
        <f>정규화데이터!B81</f>
        <v>20260205995005</v>
      </c>
      <c r="C81" t="str">
        <f>정규화데이터!C81</f>
        <v>[워커힐]워커힐 고메 시그니처 양념 본갈비 8팩</v>
      </c>
      <c r="D81">
        <f>정규화데이터!D81</f>
        <v>58481090</v>
      </c>
      <c r="E81" s="16" t="str">
        <f>정규화데이터!E81</f>
        <v>SKU001</v>
      </c>
      <c r="F81" s="3">
        <f>정규화데이터!F81</f>
        <v>1</v>
      </c>
      <c r="G81" s="3">
        <f>정규화데이터!G81</f>
        <v>119000</v>
      </c>
      <c r="H81" s="3">
        <f>정규화데이터!H81</f>
        <v>119000</v>
      </c>
      <c r="I81" s="3">
        <f>정규화데이터!I81</f>
        <v>82110</v>
      </c>
      <c r="J81" s="3">
        <f>정규화데이터!J81</f>
        <v>108181.81818181818</v>
      </c>
      <c r="K81" s="25">
        <f>정규화데이터!K81</f>
        <v>61496</v>
      </c>
      <c r="L81" s="25">
        <f>정규화데이터!L81</f>
        <v>61496</v>
      </c>
      <c r="M81" s="21">
        <f t="shared" si="2"/>
        <v>46685.818181818177</v>
      </c>
      <c r="N81" s="52">
        <f t="shared" si="3"/>
        <v>0.43154957983193276</v>
      </c>
    </row>
    <row r="82" spans="1:14" x14ac:dyDescent="0.3">
      <c r="A82" t="str">
        <f>정규화데이터!A82</f>
        <v>SK스토아</v>
      </c>
      <c r="B82">
        <f>정규화데이터!B82</f>
        <v>20260205992457</v>
      </c>
      <c r="C82" t="str">
        <f>정규화데이터!C82</f>
        <v>[워커힐]워커힐 고메 시그니처 양념 본갈비 8팩</v>
      </c>
      <c r="D82">
        <f>정규화데이터!D82</f>
        <v>58481090</v>
      </c>
      <c r="E82" s="16" t="str">
        <f>정규화데이터!E82</f>
        <v>SKU001</v>
      </c>
      <c r="F82" s="3">
        <f>정규화데이터!F82</f>
        <v>1</v>
      </c>
      <c r="G82" s="3">
        <f>정규화데이터!G82</f>
        <v>119000</v>
      </c>
      <c r="H82" s="3">
        <f>정규화데이터!H82</f>
        <v>119000</v>
      </c>
      <c r="I82" s="3">
        <f>정규화데이터!I82</f>
        <v>82110</v>
      </c>
      <c r="J82" s="3">
        <f>정규화데이터!J82</f>
        <v>108181.81818181818</v>
      </c>
      <c r="K82" s="25">
        <f>정규화데이터!K82</f>
        <v>61496</v>
      </c>
      <c r="L82" s="25">
        <f>정규화데이터!L82</f>
        <v>61496</v>
      </c>
      <c r="M82" s="21">
        <f t="shared" si="2"/>
        <v>46685.818181818177</v>
      </c>
      <c r="N82" s="52">
        <f t="shared" si="3"/>
        <v>0.43154957983193276</v>
      </c>
    </row>
    <row r="83" spans="1:14" x14ac:dyDescent="0.3">
      <c r="A83" t="str">
        <f>정규화데이터!A83</f>
        <v>SK스토아</v>
      </c>
      <c r="B83">
        <f>정규화데이터!B83</f>
        <v>20260205992975</v>
      </c>
      <c r="C83" t="str">
        <f>정규화데이터!C83</f>
        <v>[워커힐]워커힐 고메 시그니처 양념 본갈비 8팩</v>
      </c>
      <c r="D83">
        <f>정규화데이터!D83</f>
        <v>58481090</v>
      </c>
      <c r="E83" s="16" t="str">
        <f>정규화데이터!E83</f>
        <v>SKU001</v>
      </c>
      <c r="F83" s="3">
        <f>정규화데이터!F83</f>
        <v>1</v>
      </c>
      <c r="G83" s="3">
        <f>정규화데이터!G83</f>
        <v>119000</v>
      </c>
      <c r="H83" s="3">
        <f>정규화데이터!H83</f>
        <v>99960</v>
      </c>
      <c r="I83" s="3">
        <f>정규화데이터!I83</f>
        <v>82110</v>
      </c>
      <c r="J83" s="3">
        <f>정규화데이터!J83</f>
        <v>90872.727272727265</v>
      </c>
      <c r="K83" s="25">
        <f>정규화데이터!K83</f>
        <v>61496</v>
      </c>
      <c r="L83" s="25">
        <f>정규화데이터!L83</f>
        <v>61496</v>
      </c>
      <c r="M83" s="21">
        <f t="shared" si="2"/>
        <v>29376.727272727265</v>
      </c>
      <c r="N83" s="52">
        <f t="shared" si="3"/>
        <v>0.32327330932372944</v>
      </c>
    </row>
    <row r="84" spans="1:14" x14ac:dyDescent="0.3">
      <c r="A84" t="str">
        <f>정규화데이터!A84</f>
        <v>SK스토아</v>
      </c>
      <c r="B84">
        <f>정규화데이터!B84</f>
        <v>20260205994074</v>
      </c>
      <c r="C84" t="str">
        <f>정규화데이터!C84</f>
        <v>[워커힐]워커힐 고메 시그니처 양념 본갈비 8팩</v>
      </c>
      <c r="D84">
        <f>정규화데이터!D84</f>
        <v>58481090</v>
      </c>
      <c r="E84" s="16" t="str">
        <f>정규화데이터!E84</f>
        <v>SKU001</v>
      </c>
      <c r="F84" s="3">
        <f>정규화데이터!F84</f>
        <v>1</v>
      </c>
      <c r="G84" s="3">
        <f>정규화데이터!G84</f>
        <v>119000</v>
      </c>
      <c r="H84" s="3">
        <f>정규화데이터!H84</f>
        <v>119000</v>
      </c>
      <c r="I84" s="3">
        <f>정규화데이터!I84</f>
        <v>82110</v>
      </c>
      <c r="J84" s="3">
        <f>정규화데이터!J84</f>
        <v>108181.81818181818</v>
      </c>
      <c r="K84" s="25">
        <f>정규화데이터!K84</f>
        <v>61496</v>
      </c>
      <c r="L84" s="25">
        <f>정규화데이터!L84</f>
        <v>61496</v>
      </c>
      <c r="M84" s="21">
        <f t="shared" si="2"/>
        <v>46685.818181818177</v>
      </c>
      <c r="N84" s="52">
        <f t="shared" si="3"/>
        <v>0.43154957983193276</v>
      </c>
    </row>
    <row r="85" spans="1:14" x14ac:dyDescent="0.3">
      <c r="A85" t="str">
        <f>정규화데이터!A85</f>
        <v>SK스토아</v>
      </c>
      <c r="B85">
        <f>정규화데이터!B85</f>
        <v>20260205996186</v>
      </c>
      <c r="C85" t="str">
        <f>정규화데이터!C85</f>
        <v>[워커힐]워커힐 고메 시그니처 양념 본갈비 8팩</v>
      </c>
      <c r="D85">
        <f>정규화데이터!D85</f>
        <v>58481090</v>
      </c>
      <c r="E85" s="16" t="str">
        <f>정규화데이터!E85</f>
        <v>SKU001</v>
      </c>
      <c r="F85" s="3">
        <f>정규화데이터!F85</f>
        <v>1</v>
      </c>
      <c r="G85" s="3">
        <f>정규화데이터!G85</f>
        <v>119000</v>
      </c>
      <c r="H85" s="3">
        <f>정규화데이터!H85</f>
        <v>109000</v>
      </c>
      <c r="I85" s="3">
        <f>정규화데이터!I85</f>
        <v>82110</v>
      </c>
      <c r="J85" s="3">
        <f>정규화데이터!J85</f>
        <v>99090.909090909074</v>
      </c>
      <c r="K85" s="25">
        <f>정규화데이터!K85</f>
        <v>61496</v>
      </c>
      <c r="L85" s="25">
        <f>정규화데이터!L85</f>
        <v>61496</v>
      </c>
      <c r="M85" s="21">
        <f t="shared" si="2"/>
        <v>37594.909090909074</v>
      </c>
      <c r="N85" s="52">
        <f t="shared" si="3"/>
        <v>0.3793981651376146</v>
      </c>
    </row>
    <row r="86" spans="1:14" x14ac:dyDescent="0.3">
      <c r="A86" t="str">
        <f>정규화데이터!A86</f>
        <v>SK스토아</v>
      </c>
      <c r="B86">
        <f>정규화데이터!B86</f>
        <v>20260205993929</v>
      </c>
      <c r="C86" t="str">
        <f>정규화데이터!C86</f>
        <v>[워커힐]워커힐 고메 시그니처 양념 본갈비 8팩</v>
      </c>
      <c r="D86">
        <f>정규화데이터!D86</f>
        <v>58481090</v>
      </c>
      <c r="E86" s="16" t="str">
        <f>정규화데이터!E86</f>
        <v>SKU001</v>
      </c>
      <c r="F86" s="3">
        <f>정규화데이터!F86</f>
        <v>1</v>
      </c>
      <c r="G86" s="3">
        <f>정규화데이터!G86</f>
        <v>119000</v>
      </c>
      <c r="H86" s="3">
        <f>정규화데이터!H86</f>
        <v>119000</v>
      </c>
      <c r="I86" s="3">
        <f>정규화데이터!I86</f>
        <v>82110</v>
      </c>
      <c r="J86" s="3">
        <f>정규화데이터!J86</f>
        <v>108181.81818181818</v>
      </c>
      <c r="K86" s="25">
        <f>정규화데이터!K86</f>
        <v>61496</v>
      </c>
      <c r="L86" s="25">
        <f>정규화데이터!L86</f>
        <v>61496</v>
      </c>
      <c r="M86" s="21">
        <f t="shared" si="2"/>
        <v>46685.818181818177</v>
      </c>
      <c r="N86" s="52">
        <f t="shared" si="3"/>
        <v>0.43154957983193276</v>
      </c>
    </row>
    <row r="87" spans="1:14" x14ac:dyDescent="0.3">
      <c r="A87" t="str">
        <f>정규화데이터!A87</f>
        <v>SK스토아</v>
      </c>
      <c r="B87">
        <f>정규화데이터!B87</f>
        <v>20260205992859</v>
      </c>
      <c r="C87" t="str">
        <f>정규화데이터!C87</f>
        <v>[워커힐]워커힐 고메 시그니처 양념 본갈비 8팩</v>
      </c>
      <c r="D87">
        <f>정규화데이터!D87</f>
        <v>58481090</v>
      </c>
      <c r="E87" s="16" t="str">
        <f>정규화데이터!E87</f>
        <v>SKU001</v>
      </c>
      <c r="F87" s="3">
        <f>정규화데이터!F87</f>
        <v>1</v>
      </c>
      <c r="G87" s="3">
        <f>정규화데이터!G87</f>
        <v>119000</v>
      </c>
      <c r="H87" s="3">
        <f>정규화데이터!H87</f>
        <v>119000</v>
      </c>
      <c r="I87" s="3">
        <f>정규화데이터!I87</f>
        <v>82110</v>
      </c>
      <c r="J87" s="3">
        <f>정규화데이터!J87</f>
        <v>108181.81818181818</v>
      </c>
      <c r="K87" s="25">
        <f>정규화데이터!K87</f>
        <v>61496</v>
      </c>
      <c r="L87" s="25">
        <f>정규화데이터!L87</f>
        <v>61496</v>
      </c>
      <c r="M87" s="21">
        <f t="shared" si="2"/>
        <v>46685.818181818177</v>
      </c>
      <c r="N87" s="52">
        <f t="shared" si="3"/>
        <v>0.43154957983193276</v>
      </c>
    </row>
    <row r="88" spans="1:14" x14ac:dyDescent="0.3">
      <c r="A88" t="str">
        <f>정규화데이터!A88</f>
        <v>SK스토아</v>
      </c>
      <c r="B88">
        <f>정규화데이터!B88</f>
        <v>20260205995584</v>
      </c>
      <c r="C88" t="str">
        <f>정규화데이터!C88</f>
        <v>[워커힐]워커힐 고메 시그니처 양념 본갈비 8팩</v>
      </c>
      <c r="D88">
        <f>정규화데이터!D88</f>
        <v>58481090</v>
      </c>
      <c r="E88" s="16" t="str">
        <f>정규화데이터!E88</f>
        <v>SKU001</v>
      </c>
      <c r="F88" s="3">
        <f>정규화데이터!F88</f>
        <v>1</v>
      </c>
      <c r="G88" s="3">
        <f>정규화데이터!G88</f>
        <v>119000</v>
      </c>
      <c r="H88" s="3">
        <f>정규화데이터!H88</f>
        <v>101150</v>
      </c>
      <c r="I88" s="3">
        <f>정규화데이터!I88</f>
        <v>82110</v>
      </c>
      <c r="J88" s="3">
        <f>정규화데이터!J88</f>
        <v>91954.545454545441</v>
      </c>
      <c r="K88" s="25">
        <f>정규화데이터!K88</f>
        <v>61496</v>
      </c>
      <c r="L88" s="25">
        <f>정규화데이터!L88</f>
        <v>61496</v>
      </c>
      <c r="M88" s="21">
        <f t="shared" si="2"/>
        <v>30458.545454545441</v>
      </c>
      <c r="N88" s="52">
        <f t="shared" si="3"/>
        <v>0.33123479980227377</v>
      </c>
    </row>
    <row r="89" spans="1:14" x14ac:dyDescent="0.3">
      <c r="A89" t="str">
        <f>정규화데이터!A89</f>
        <v>SK스토아</v>
      </c>
      <c r="B89">
        <f>정규화데이터!B89</f>
        <v>20260205995161</v>
      </c>
      <c r="C89" t="str">
        <f>정규화데이터!C89</f>
        <v>[워커힐]워커힐 고메 시그니처 양념 본갈비 8팩</v>
      </c>
      <c r="D89">
        <f>정규화데이터!D89</f>
        <v>58481090</v>
      </c>
      <c r="E89" s="16" t="str">
        <f>정규화데이터!E89</f>
        <v>SKU001</v>
      </c>
      <c r="F89" s="3">
        <f>정규화데이터!F89</f>
        <v>1</v>
      </c>
      <c r="G89" s="3">
        <f>정규화데이터!G89</f>
        <v>119000</v>
      </c>
      <c r="H89" s="3">
        <f>정규화데이터!H89</f>
        <v>119000</v>
      </c>
      <c r="I89" s="3">
        <f>정규화데이터!I89</f>
        <v>82110</v>
      </c>
      <c r="J89" s="3">
        <f>정규화데이터!J89</f>
        <v>108181.81818181818</v>
      </c>
      <c r="K89" s="25">
        <f>정규화데이터!K89</f>
        <v>61496</v>
      </c>
      <c r="L89" s="25">
        <f>정규화데이터!L89</f>
        <v>61496</v>
      </c>
      <c r="M89" s="21">
        <f t="shared" si="2"/>
        <v>46685.818181818177</v>
      </c>
      <c r="N89" s="52">
        <f t="shared" si="3"/>
        <v>0.43154957983193276</v>
      </c>
    </row>
    <row r="90" spans="1:14" x14ac:dyDescent="0.3">
      <c r="A90" t="str">
        <f>정규화데이터!A90</f>
        <v>SK스토아</v>
      </c>
      <c r="B90">
        <f>정규화데이터!B90</f>
        <v>20260205995658</v>
      </c>
      <c r="C90" t="str">
        <f>정규화데이터!C90</f>
        <v>[워커힐]워커힐 고메 시그니처 양념 본갈비 8팩</v>
      </c>
      <c r="D90">
        <f>정규화데이터!D90</f>
        <v>58481090</v>
      </c>
      <c r="E90" s="16" t="str">
        <f>정규화데이터!E90</f>
        <v>SKU001</v>
      </c>
      <c r="F90" s="3">
        <f>정규화데이터!F90</f>
        <v>1</v>
      </c>
      <c r="G90" s="3">
        <f>정규화데이터!G90</f>
        <v>119000</v>
      </c>
      <c r="H90" s="3">
        <f>정규화데이터!H90</f>
        <v>113050</v>
      </c>
      <c r="I90" s="3">
        <f>정규화데이터!I90</f>
        <v>82110</v>
      </c>
      <c r="J90" s="3">
        <f>정규화데이터!J90</f>
        <v>102772.72727272726</v>
      </c>
      <c r="K90" s="25">
        <f>정규화데이터!K90</f>
        <v>61496</v>
      </c>
      <c r="L90" s="25">
        <f>정규화데이터!L90</f>
        <v>61496</v>
      </c>
      <c r="M90" s="21">
        <f t="shared" si="2"/>
        <v>41276.727272727265</v>
      </c>
      <c r="N90" s="52">
        <f t="shared" si="3"/>
        <v>0.40163113666519235</v>
      </c>
    </row>
    <row r="91" spans="1:14" x14ac:dyDescent="0.3">
      <c r="A91" t="str">
        <f>정규화데이터!A91</f>
        <v>SK스토아</v>
      </c>
      <c r="B91">
        <f>정규화데이터!B91</f>
        <v>20260205995042</v>
      </c>
      <c r="C91" t="str">
        <f>정규화데이터!C91</f>
        <v>[워커힐]워커힐 고메 시그니처 양념 본갈비 8팩</v>
      </c>
      <c r="D91">
        <f>정규화데이터!D91</f>
        <v>58481090</v>
      </c>
      <c r="E91" s="16" t="str">
        <f>정규화데이터!E91</f>
        <v>SKU001</v>
      </c>
      <c r="F91" s="3">
        <f>정규화데이터!F91</f>
        <v>1</v>
      </c>
      <c r="G91" s="3">
        <f>정규화데이터!G91</f>
        <v>119000</v>
      </c>
      <c r="H91" s="3">
        <f>정규화데이터!H91</f>
        <v>109000</v>
      </c>
      <c r="I91" s="3">
        <f>정규화데이터!I91</f>
        <v>82110</v>
      </c>
      <c r="J91" s="3">
        <f>정규화데이터!J91</f>
        <v>99090.909090909074</v>
      </c>
      <c r="K91" s="25">
        <f>정규화데이터!K91</f>
        <v>61496</v>
      </c>
      <c r="L91" s="25">
        <f>정규화데이터!L91</f>
        <v>61496</v>
      </c>
      <c r="M91" s="21">
        <f t="shared" si="2"/>
        <v>37594.909090909074</v>
      </c>
      <c r="N91" s="52">
        <f t="shared" si="3"/>
        <v>0.3793981651376146</v>
      </c>
    </row>
    <row r="92" spans="1:14" x14ac:dyDescent="0.3">
      <c r="A92" t="str">
        <f>정규화데이터!A92</f>
        <v>SK스토아</v>
      </c>
      <c r="B92">
        <f>정규화데이터!B92</f>
        <v>20260205994885</v>
      </c>
      <c r="C92" t="str">
        <f>정규화데이터!C92</f>
        <v>[워커힐]워커힐 고메 시그니처 양념 본갈비 8팩</v>
      </c>
      <c r="D92">
        <f>정규화데이터!D92</f>
        <v>58481090</v>
      </c>
      <c r="E92" s="16" t="str">
        <f>정규화데이터!E92</f>
        <v>SKU001</v>
      </c>
      <c r="F92" s="3">
        <f>정규화데이터!F92</f>
        <v>1</v>
      </c>
      <c r="G92" s="3">
        <f>정규화데이터!G92</f>
        <v>119000</v>
      </c>
      <c r="H92" s="3">
        <f>정규화데이터!H92</f>
        <v>119000</v>
      </c>
      <c r="I92" s="3">
        <f>정규화데이터!I92</f>
        <v>82110</v>
      </c>
      <c r="J92" s="3">
        <f>정규화데이터!J92</f>
        <v>108181.81818181818</v>
      </c>
      <c r="K92" s="25">
        <f>정규화데이터!K92</f>
        <v>61496</v>
      </c>
      <c r="L92" s="25">
        <f>정규화데이터!L92</f>
        <v>61496</v>
      </c>
      <c r="M92" s="21">
        <f t="shared" si="2"/>
        <v>46685.818181818177</v>
      </c>
      <c r="N92" s="52">
        <f t="shared" si="3"/>
        <v>0.43154957983193276</v>
      </c>
    </row>
    <row r="93" spans="1:14" x14ac:dyDescent="0.3">
      <c r="A93" t="str">
        <f>정규화데이터!A93</f>
        <v>SK스토아</v>
      </c>
      <c r="B93">
        <f>정규화데이터!B93</f>
        <v>20260205993437</v>
      </c>
      <c r="C93" t="str">
        <f>정규화데이터!C93</f>
        <v>[워커힐]워커힐 고메 시그니처 양념 본갈비 8팩</v>
      </c>
      <c r="D93">
        <f>정규화데이터!D93</f>
        <v>58481090</v>
      </c>
      <c r="E93" s="16" t="str">
        <f>정규화데이터!E93</f>
        <v>SKU001</v>
      </c>
      <c r="F93" s="3">
        <f>정규화데이터!F93</f>
        <v>1</v>
      </c>
      <c r="G93" s="3">
        <f>정규화데이터!G93</f>
        <v>119000</v>
      </c>
      <c r="H93" s="3">
        <f>정규화데이터!H93</f>
        <v>119000</v>
      </c>
      <c r="I93" s="3">
        <f>정규화데이터!I93</f>
        <v>82110</v>
      </c>
      <c r="J93" s="3">
        <f>정규화데이터!J93</f>
        <v>108181.81818181818</v>
      </c>
      <c r="K93" s="25">
        <f>정규화데이터!K93</f>
        <v>61496</v>
      </c>
      <c r="L93" s="25">
        <f>정규화데이터!L93</f>
        <v>61496</v>
      </c>
      <c r="M93" s="21">
        <f t="shared" si="2"/>
        <v>46685.818181818177</v>
      </c>
      <c r="N93" s="52">
        <f t="shared" si="3"/>
        <v>0.43154957983193276</v>
      </c>
    </row>
    <row r="94" spans="1:14" x14ac:dyDescent="0.3">
      <c r="A94" t="str">
        <f>정규화데이터!A94</f>
        <v>SK스토아</v>
      </c>
      <c r="B94">
        <f>정규화데이터!B94</f>
        <v>20260205993036</v>
      </c>
      <c r="C94" t="str">
        <f>정규화데이터!C94</f>
        <v>[워커힐]워커힐 고메 시그니처 양념 본갈비 8팩</v>
      </c>
      <c r="D94">
        <f>정규화데이터!D94</f>
        <v>58481090</v>
      </c>
      <c r="E94" s="16" t="str">
        <f>정규화데이터!E94</f>
        <v>SKU001</v>
      </c>
      <c r="F94" s="3">
        <f>정규화데이터!F94</f>
        <v>1</v>
      </c>
      <c r="G94" s="3">
        <f>정규화데이터!G94</f>
        <v>119000</v>
      </c>
      <c r="H94" s="3">
        <f>정규화데이터!H94</f>
        <v>99960</v>
      </c>
      <c r="I94" s="3">
        <f>정규화데이터!I94</f>
        <v>82110</v>
      </c>
      <c r="J94" s="3">
        <f>정규화데이터!J94</f>
        <v>90872.727272727265</v>
      </c>
      <c r="K94" s="25">
        <f>정규화데이터!K94</f>
        <v>61496</v>
      </c>
      <c r="L94" s="25">
        <f>정규화데이터!L94</f>
        <v>61496</v>
      </c>
      <c r="M94" s="21">
        <f t="shared" si="2"/>
        <v>29376.727272727265</v>
      </c>
      <c r="N94" s="52">
        <f t="shared" si="3"/>
        <v>0.32327330932372944</v>
      </c>
    </row>
    <row r="95" spans="1:14" x14ac:dyDescent="0.3">
      <c r="A95" t="str">
        <f>정규화데이터!A95</f>
        <v>SK스토아</v>
      </c>
      <c r="B95">
        <f>정규화데이터!B95</f>
        <v>20260205995472</v>
      </c>
      <c r="C95" t="str">
        <f>정규화데이터!C95</f>
        <v>[워커힐]워커힐 고메 시그니처 양념 본갈비 8팩</v>
      </c>
      <c r="D95">
        <f>정규화데이터!D95</f>
        <v>58481090</v>
      </c>
      <c r="E95" s="16" t="str">
        <f>정규화데이터!E95</f>
        <v>SKU001</v>
      </c>
      <c r="F95" s="3">
        <f>정규화데이터!F95</f>
        <v>1</v>
      </c>
      <c r="G95" s="3">
        <f>정규화데이터!G95</f>
        <v>119000</v>
      </c>
      <c r="H95" s="3">
        <f>정규화데이터!H95</f>
        <v>113050</v>
      </c>
      <c r="I95" s="3">
        <f>정규화데이터!I95</f>
        <v>82110</v>
      </c>
      <c r="J95" s="3">
        <f>정규화데이터!J95</f>
        <v>102772.72727272726</v>
      </c>
      <c r="K95" s="25">
        <f>정규화데이터!K95</f>
        <v>61496</v>
      </c>
      <c r="L95" s="25">
        <f>정규화데이터!L95</f>
        <v>61496</v>
      </c>
      <c r="M95" s="21">
        <f t="shared" si="2"/>
        <v>41276.727272727265</v>
      </c>
      <c r="N95" s="52">
        <f t="shared" si="3"/>
        <v>0.40163113666519235</v>
      </c>
    </row>
    <row r="96" spans="1:14" x14ac:dyDescent="0.3">
      <c r="A96" t="str">
        <f>정규화데이터!A96</f>
        <v>SK스토아</v>
      </c>
      <c r="B96">
        <f>정규화데이터!B96</f>
        <v>20260205992483</v>
      </c>
      <c r="C96" t="str">
        <f>정규화데이터!C96</f>
        <v>[워커힐]워커힐 고메 시그니처 양념 본갈비 8팩</v>
      </c>
      <c r="D96">
        <f>정규화데이터!D96</f>
        <v>58481090</v>
      </c>
      <c r="E96" s="16" t="str">
        <f>정규화데이터!E96</f>
        <v>SKU001</v>
      </c>
      <c r="F96" s="3">
        <f>정규화데이터!F96</f>
        <v>1</v>
      </c>
      <c r="G96" s="3">
        <f>정규화데이터!G96</f>
        <v>119000</v>
      </c>
      <c r="H96" s="3">
        <f>정규화데이터!H96</f>
        <v>109000</v>
      </c>
      <c r="I96" s="3">
        <f>정규화데이터!I96</f>
        <v>82110</v>
      </c>
      <c r="J96" s="3">
        <f>정규화데이터!J96</f>
        <v>99090.909090909074</v>
      </c>
      <c r="K96" s="25">
        <f>정규화데이터!K96</f>
        <v>61496</v>
      </c>
      <c r="L96" s="25">
        <f>정규화데이터!L96</f>
        <v>61496</v>
      </c>
      <c r="M96" s="21">
        <f t="shared" si="2"/>
        <v>37594.909090909074</v>
      </c>
      <c r="N96" s="52">
        <f t="shared" si="3"/>
        <v>0.3793981651376146</v>
      </c>
    </row>
    <row r="97" spans="1:14" x14ac:dyDescent="0.3">
      <c r="A97" t="str">
        <f>정규화데이터!A97</f>
        <v>SK스토아</v>
      </c>
      <c r="B97">
        <f>정규화데이터!B97</f>
        <v>20260205995325</v>
      </c>
      <c r="C97" t="str">
        <f>정규화데이터!C97</f>
        <v>[워커힐]워커힐 고메 시그니처 양념 본갈비 8팩</v>
      </c>
      <c r="D97">
        <f>정규화데이터!D97</f>
        <v>58481090</v>
      </c>
      <c r="E97" s="16" t="str">
        <f>정규화데이터!E97</f>
        <v>SKU001</v>
      </c>
      <c r="F97" s="3">
        <f>정규화데이터!F97</f>
        <v>1</v>
      </c>
      <c r="G97" s="3">
        <f>정규화데이터!G97</f>
        <v>119000</v>
      </c>
      <c r="H97" s="3">
        <f>정규화데이터!H97</f>
        <v>119000</v>
      </c>
      <c r="I97" s="3">
        <f>정규화데이터!I97</f>
        <v>82110</v>
      </c>
      <c r="J97" s="3">
        <f>정규화데이터!J97</f>
        <v>108181.81818181818</v>
      </c>
      <c r="K97" s="25">
        <f>정규화데이터!K97</f>
        <v>61496</v>
      </c>
      <c r="L97" s="25">
        <f>정규화데이터!L97</f>
        <v>61496</v>
      </c>
      <c r="M97" s="21">
        <f t="shared" si="2"/>
        <v>46685.818181818177</v>
      </c>
      <c r="N97" s="52">
        <f t="shared" si="3"/>
        <v>0.43154957983193276</v>
      </c>
    </row>
    <row r="98" spans="1:14" x14ac:dyDescent="0.3">
      <c r="A98" t="str">
        <f>정규화데이터!A98</f>
        <v>SK스토아</v>
      </c>
      <c r="B98">
        <f>정규화데이터!B98</f>
        <v>20260205992634</v>
      </c>
      <c r="C98" t="str">
        <f>정규화데이터!C98</f>
        <v>[워커힐]워커힐 고메 시그니처 양념 본갈비 8팩</v>
      </c>
      <c r="D98">
        <f>정규화데이터!D98</f>
        <v>58481090</v>
      </c>
      <c r="E98" s="16" t="str">
        <f>정규화데이터!E98</f>
        <v>SKU001</v>
      </c>
      <c r="F98" s="3">
        <f>정규화데이터!F98</f>
        <v>1</v>
      </c>
      <c r="G98" s="3">
        <f>정규화데이터!G98</f>
        <v>119000</v>
      </c>
      <c r="H98" s="3">
        <f>정규화데이터!H98</f>
        <v>119000</v>
      </c>
      <c r="I98" s="3">
        <f>정규화데이터!I98</f>
        <v>82110</v>
      </c>
      <c r="J98" s="3">
        <f>정규화데이터!J98</f>
        <v>108181.81818181818</v>
      </c>
      <c r="K98" s="25">
        <f>정규화데이터!K98</f>
        <v>61496</v>
      </c>
      <c r="L98" s="25">
        <f>정규화데이터!L98</f>
        <v>61496</v>
      </c>
      <c r="M98" s="21">
        <f t="shared" si="2"/>
        <v>46685.818181818177</v>
      </c>
      <c r="N98" s="52">
        <f t="shared" si="3"/>
        <v>0.43154957983193276</v>
      </c>
    </row>
    <row r="99" spans="1:14" x14ac:dyDescent="0.3">
      <c r="A99" t="str">
        <f>정규화데이터!A99</f>
        <v>SK스토아</v>
      </c>
      <c r="B99">
        <f>정규화데이터!B99</f>
        <v>20260205994152</v>
      </c>
      <c r="C99" t="str">
        <f>정규화데이터!C99</f>
        <v>[워커힐]워커힐 고메 시그니처 양념 본갈비 8팩</v>
      </c>
      <c r="D99">
        <f>정규화데이터!D99</f>
        <v>58481090</v>
      </c>
      <c r="E99" s="16" t="str">
        <f>정규화데이터!E99</f>
        <v>SKU001</v>
      </c>
      <c r="F99" s="3">
        <f>정규화데이터!F99</f>
        <v>1</v>
      </c>
      <c r="G99" s="3">
        <f>정규화데이터!G99</f>
        <v>119000</v>
      </c>
      <c r="H99" s="3">
        <f>정규화데이터!H99</f>
        <v>119000</v>
      </c>
      <c r="I99" s="3">
        <f>정규화데이터!I99</f>
        <v>82110</v>
      </c>
      <c r="J99" s="3">
        <f>정규화데이터!J99</f>
        <v>108181.81818181818</v>
      </c>
      <c r="K99" s="25">
        <f>정규화데이터!K99</f>
        <v>61496</v>
      </c>
      <c r="L99" s="25">
        <f>정규화데이터!L99</f>
        <v>61496</v>
      </c>
      <c r="M99" s="21">
        <f t="shared" si="2"/>
        <v>46685.818181818177</v>
      </c>
      <c r="N99" s="52">
        <f t="shared" si="3"/>
        <v>0.43154957983193276</v>
      </c>
    </row>
    <row r="100" spans="1:14" x14ac:dyDescent="0.3">
      <c r="A100" t="str">
        <f>정규화데이터!A100</f>
        <v>SK스토아</v>
      </c>
      <c r="B100">
        <f>정규화데이터!B100</f>
        <v>20260205995109</v>
      </c>
      <c r="C100" t="str">
        <f>정규화데이터!C100</f>
        <v>[워커힐]워커힐 고메 시그니처 양념 본갈비 8팩</v>
      </c>
      <c r="D100">
        <f>정규화데이터!D100</f>
        <v>58481090</v>
      </c>
      <c r="E100" s="16" t="str">
        <f>정규화데이터!E100</f>
        <v>SKU001</v>
      </c>
      <c r="F100" s="3">
        <f>정규화데이터!F100</f>
        <v>1</v>
      </c>
      <c r="G100" s="3">
        <f>정규화데이터!G100</f>
        <v>119000</v>
      </c>
      <c r="H100" s="3">
        <f>정규화데이터!H100</f>
        <v>119000</v>
      </c>
      <c r="I100" s="3">
        <f>정규화데이터!I100</f>
        <v>82110</v>
      </c>
      <c r="J100" s="3">
        <f>정규화데이터!J100</f>
        <v>108181.81818181818</v>
      </c>
      <c r="K100" s="25">
        <f>정규화데이터!K100</f>
        <v>61496</v>
      </c>
      <c r="L100" s="25">
        <f>정규화데이터!L100</f>
        <v>61496</v>
      </c>
      <c r="M100" s="21">
        <f t="shared" si="2"/>
        <v>46685.818181818177</v>
      </c>
      <c r="N100" s="52">
        <f t="shared" si="3"/>
        <v>0.43154957983193276</v>
      </c>
    </row>
    <row r="101" spans="1:14" x14ac:dyDescent="0.3">
      <c r="A101" t="str">
        <f>정규화데이터!A101</f>
        <v>SK스토아</v>
      </c>
      <c r="B101">
        <f>정규화데이터!B101</f>
        <v>20260205994273</v>
      </c>
      <c r="C101" t="str">
        <f>정규화데이터!C101</f>
        <v>[워커힐]워커힐 고메 시그니처 양념 본갈비 8팩</v>
      </c>
      <c r="D101">
        <f>정규화데이터!D101</f>
        <v>58481090</v>
      </c>
      <c r="E101" s="16" t="str">
        <f>정규화데이터!E101</f>
        <v>SKU001</v>
      </c>
      <c r="F101" s="3">
        <f>정규화데이터!F101</f>
        <v>1</v>
      </c>
      <c r="G101" s="3">
        <f>정규화데이터!G101</f>
        <v>119000</v>
      </c>
      <c r="H101" s="3">
        <f>정규화데이터!H101</f>
        <v>119000</v>
      </c>
      <c r="I101" s="3">
        <f>정규화데이터!I101</f>
        <v>82110</v>
      </c>
      <c r="J101" s="3">
        <f>정규화데이터!J101</f>
        <v>108181.81818181818</v>
      </c>
      <c r="K101" s="25">
        <f>정규화데이터!K101</f>
        <v>61496</v>
      </c>
      <c r="L101" s="25">
        <f>정규화데이터!L101</f>
        <v>61496</v>
      </c>
      <c r="M101" s="21">
        <f t="shared" si="2"/>
        <v>46685.818181818177</v>
      </c>
      <c r="N101" s="52">
        <f t="shared" si="3"/>
        <v>0.43154957983193276</v>
      </c>
    </row>
    <row r="102" spans="1:14" x14ac:dyDescent="0.3">
      <c r="A102" t="str">
        <f>정규화데이터!A102</f>
        <v>SK스토아</v>
      </c>
      <c r="B102">
        <f>정규화데이터!B102</f>
        <v>20260205995097</v>
      </c>
      <c r="C102" t="str">
        <f>정규화데이터!C102</f>
        <v>[워커힐]워커힐 고메 시그니처 양념 본갈비 8팩</v>
      </c>
      <c r="D102">
        <f>정규화데이터!D102</f>
        <v>58481090</v>
      </c>
      <c r="E102" s="16" t="str">
        <f>정규화데이터!E102</f>
        <v>SKU001</v>
      </c>
      <c r="F102" s="3">
        <f>정규화데이터!F102</f>
        <v>1</v>
      </c>
      <c r="G102" s="3">
        <f>정규화데이터!G102</f>
        <v>119000</v>
      </c>
      <c r="H102" s="3">
        <f>정규화데이터!H102</f>
        <v>119000</v>
      </c>
      <c r="I102" s="3">
        <f>정규화데이터!I102</f>
        <v>82110</v>
      </c>
      <c r="J102" s="3">
        <f>정규화데이터!J102</f>
        <v>108181.81818181818</v>
      </c>
      <c r="K102" s="25">
        <f>정규화데이터!K102</f>
        <v>61496</v>
      </c>
      <c r="L102" s="25">
        <f>정규화데이터!L102</f>
        <v>61496</v>
      </c>
      <c r="M102" s="21">
        <f t="shared" si="2"/>
        <v>46685.818181818177</v>
      </c>
      <c r="N102" s="52">
        <f t="shared" si="3"/>
        <v>0.43154957983193276</v>
      </c>
    </row>
    <row r="103" spans="1:14" x14ac:dyDescent="0.3">
      <c r="A103" t="str">
        <f>정규화데이터!A103</f>
        <v>SK스토아</v>
      </c>
      <c r="B103">
        <f>정규화데이터!B103</f>
        <v>20260205995180</v>
      </c>
      <c r="C103" t="str">
        <f>정규화데이터!C103</f>
        <v>[워커힐]워커힐 고메 시그니처 양념 본갈비 8팩</v>
      </c>
      <c r="D103">
        <f>정규화데이터!D103</f>
        <v>58481090</v>
      </c>
      <c r="E103" s="16" t="str">
        <f>정규화데이터!E103</f>
        <v>SKU001</v>
      </c>
      <c r="F103" s="3">
        <f>정규화데이터!F103</f>
        <v>1</v>
      </c>
      <c r="G103" s="3">
        <f>정규화데이터!G103</f>
        <v>119000</v>
      </c>
      <c r="H103" s="3">
        <f>정규화데이터!H103</f>
        <v>96390</v>
      </c>
      <c r="I103" s="3">
        <f>정규화데이터!I103</f>
        <v>82110</v>
      </c>
      <c r="J103" s="3">
        <f>정규화데이터!J103</f>
        <v>87627.272727272721</v>
      </c>
      <c r="K103" s="25">
        <f>정규화데이터!K103</f>
        <v>61496</v>
      </c>
      <c r="L103" s="25">
        <f>정규화데이터!L103</f>
        <v>61496</v>
      </c>
      <c r="M103" s="21">
        <f t="shared" si="2"/>
        <v>26131.272727272721</v>
      </c>
      <c r="N103" s="52">
        <f t="shared" si="3"/>
        <v>0.29820935781720093</v>
      </c>
    </row>
    <row r="104" spans="1:14" x14ac:dyDescent="0.3">
      <c r="A104" t="str">
        <f>정규화데이터!A104</f>
        <v>SK스토아</v>
      </c>
      <c r="B104">
        <f>정규화데이터!B104</f>
        <v>20260205992870</v>
      </c>
      <c r="C104" t="str">
        <f>정규화데이터!C104</f>
        <v>[워커힐]워커힐 고메 시그니처 양념 본갈비 8팩</v>
      </c>
      <c r="D104">
        <f>정규화데이터!D104</f>
        <v>58481090</v>
      </c>
      <c r="E104" s="16" t="str">
        <f>정규화데이터!E104</f>
        <v>SKU001</v>
      </c>
      <c r="F104" s="3">
        <f>정규화데이터!F104</f>
        <v>1</v>
      </c>
      <c r="G104" s="3">
        <f>정규화데이터!G104</f>
        <v>119000</v>
      </c>
      <c r="H104" s="3">
        <f>정규화데이터!H104</f>
        <v>119000</v>
      </c>
      <c r="I104" s="3">
        <f>정규화데이터!I104</f>
        <v>82110</v>
      </c>
      <c r="J104" s="3">
        <f>정규화데이터!J104</f>
        <v>108181.81818181818</v>
      </c>
      <c r="K104" s="25">
        <f>정규화데이터!K104</f>
        <v>61496</v>
      </c>
      <c r="L104" s="25">
        <f>정규화데이터!L104</f>
        <v>61496</v>
      </c>
      <c r="M104" s="21">
        <f t="shared" si="2"/>
        <v>46685.818181818177</v>
      </c>
      <c r="N104" s="52">
        <f t="shared" si="3"/>
        <v>0.43154957983193276</v>
      </c>
    </row>
    <row r="105" spans="1:14" x14ac:dyDescent="0.3">
      <c r="A105" t="str">
        <f>정규화데이터!A105</f>
        <v>SK스토아</v>
      </c>
      <c r="B105">
        <f>정규화데이터!B105</f>
        <v>20260205992940</v>
      </c>
      <c r="C105" t="str">
        <f>정규화데이터!C105</f>
        <v>[워커힐]워커힐 고메 시그니처 양념 본갈비 8팩</v>
      </c>
      <c r="D105">
        <f>정규화데이터!D105</f>
        <v>58481090</v>
      </c>
      <c r="E105" s="16" t="str">
        <f>정규화데이터!E105</f>
        <v>SKU001</v>
      </c>
      <c r="F105" s="3">
        <f>정규화데이터!F105</f>
        <v>1</v>
      </c>
      <c r="G105" s="3">
        <f>정규화데이터!G105</f>
        <v>119000</v>
      </c>
      <c r="H105" s="3">
        <f>정규화데이터!H105</f>
        <v>119000</v>
      </c>
      <c r="I105" s="3">
        <f>정규화데이터!I105</f>
        <v>82110</v>
      </c>
      <c r="J105" s="3">
        <f>정규화데이터!J105</f>
        <v>108181.81818181818</v>
      </c>
      <c r="K105" s="25">
        <f>정규화데이터!K105</f>
        <v>61496</v>
      </c>
      <c r="L105" s="25">
        <f>정규화데이터!L105</f>
        <v>61496</v>
      </c>
      <c r="M105" s="21">
        <f t="shared" si="2"/>
        <v>46685.818181818177</v>
      </c>
      <c r="N105" s="52">
        <f t="shared" si="3"/>
        <v>0.43154957983193276</v>
      </c>
    </row>
    <row r="106" spans="1:14" x14ac:dyDescent="0.3">
      <c r="A106" t="str">
        <f>정규화데이터!A106</f>
        <v>SK스토아</v>
      </c>
      <c r="B106">
        <f>정규화데이터!B106</f>
        <v>20260205993059</v>
      </c>
      <c r="C106" t="str">
        <f>정규화데이터!C106</f>
        <v>[워커힐]워커힐 고메 시그니처 양념 본갈비 8팩</v>
      </c>
      <c r="D106">
        <f>정규화데이터!D106</f>
        <v>58481090</v>
      </c>
      <c r="E106" s="16" t="str">
        <f>정규화데이터!E106</f>
        <v>SKU001</v>
      </c>
      <c r="F106" s="3">
        <f>정규화데이터!F106</f>
        <v>1</v>
      </c>
      <c r="G106" s="3">
        <f>정규화데이터!G106</f>
        <v>119000</v>
      </c>
      <c r="H106" s="3">
        <f>정규화데이터!H106</f>
        <v>119000</v>
      </c>
      <c r="I106" s="3">
        <f>정규화데이터!I106</f>
        <v>82110</v>
      </c>
      <c r="J106" s="3">
        <f>정규화데이터!J106</f>
        <v>108181.81818181818</v>
      </c>
      <c r="K106" s="25">
        <f>정규화데이터!K106</f>
        <v>61496</v>
      </c>
      <c r="L106" s="25">
        <f>정규화데이터!L106</f>
        <v>61496</v>
      </c>
      <c r="M106" s="21">
        <f t="shared" si="2"/>
        <v>46685.818181818177</v>
      </c>
      <c r="N106" s="52">
        <f t="shared" si="3"/>
        <v>0.43154957983193276</v>
      </c>
    </row>
    <row r="107" spans="1:14" x14ac:dyDescent="0.3">
      <c r="A107" t="str">
        <f>정규화데이터!A107</f>
        <v>SK스토아</v>
      </c>
      <c r="B107">
        <f>정규화데이터!B107</f>
        <v>20260205993112</v>
      </c>
      <c r="C107" t="str">
        <f>정규화데이터!C107</f>
        <v>[워커힐]워커힐 고메 시그니처 양념 본갈비 8팩</v>
      </c>
      <c r="D107">
        <f>정규화데이터!D107</f>
        <v>58481090</v>
      </c>
      <c r="E107" s="16" t="str">
        <f>정규화데이터!E107</f>
        <v>SKU001</v>
      </c>
      <c r="F107" s="3">
        <f>정규화데이터!F107</f>
        <v>1</v>
      </c>
      <c r="G107" s="3">
        <f>정규화데이터!G107</f>
        <v>119000</v>
      </c>
      <c r="H107" s="3">
        <f>정규화데이터!H107</f>
        <v>119000</v>
      </c>
      <c r="I107" s="3">
        <f>정규화데이터!I107</f>
        <v>82110</v>
      </c>
      <c r="J107" s="3">
        <f>정규화데이터!J107</f>
        <v>108181.81818181818</v>
      </c>
      <c r="K107" s="25">
        <f>정규화데이터!K107</f>
        <v>61496</v>
      </c>
      <c r="L107" s="25">
        <f>정규화데이터!L107</f>
        <v>61496</v>
      </c>
      <c r="M107" s="21">
        <f t="shared" si="2"/>
        <v>46685.818181818177</v>
      </c>
      <c r="N107" s="52">
        <f t="shared" si="3"/>
        <v>0.43154957983193276</v>
      </c>
    </row>
    <row r="108" spans="1:14" x14ac:dyDescent="0.3">
      <c r="A108" t="str">
        <f>정규화데이터!A108</f>
        <v>SK스토아</v>
      </c>
      <c r="B108">
        <f>정규화데이터!B108</f>
        <v>20260205993255</v>
      </c>
      <c r="C108" t="str">
        <f>정규화데이터!C108</f>
        <v>[워커힐]워커힐 고메 시그니처 양념 본갈비 8팩</v>
      </c>
      <c r="D108">
        <f>정규화데이터!D108</f>
        <v>58481090</v>
      </c>
      <c r="E108" s="16" t="str">
        <f>정규화데이터!E108</f>
        <v>SKU001</v>
      </c>
      <c r="F108" s="3">
        <f>정규화데이터!F108</f>
        <v>1</v>
      </c>
      <c r="G108" s="3">
        <f>정규화데이터!G108</f>
        <v>119000</v>
      </c>
      <c r="H108" s="3">
        <f>정규화데이터!H108</f>
        <v>101150</v>
      </c>
      <c r="I108" s="3">
        <f>정규화데이터!I108</f>
        <v>82110</v>
      </c>
      <c r="J108" s="3">
        <f>정규화데이터!J108</f>
        <v>91954.545454545441</v>
      </c>
      <c r="K108" s="25">
        <f>정규화데이터!K108</f>
        <v>61496</v>
      </c>
      <c r="L108" s="25">
        <f>정규화데이터!L108</f>
        <v>61496</v>
      </c>
      <c r="M108" s="21">
        <f t="shared" si="2"/>
        <v>30458.545454545441</v>
      </c>
      <c r="N108" s="52">
        <f t="shared" si="3"/>
        <v>0.33123479980227377</v>
      </c>
    </row>
    <row r="109" spans="1:14" x14ac:dyDescent="0.3">
      <c r="A109" t="str">
        <f>정규화데이터!A109</f>
        <v>SK스토아</v>
      </c>
      <c r="B109">
        <f>정규화데이터!B109</f>
        <v>20260205996361</v>
      </c>
      <c r="C109" t="str">
        <f>정규화데이터!C109</f>
        <v>[워커힐]워커힐 고메 시그니처 양념 본갈비 8팩</v>
      </c>
      <c r="D109">
        <f>정규화데이터!D109</f>
        <v>58481090</v>
      </c>
      <c r="E109" s="16" t="str">
        <f>정규화데이터!E109</f>
        <v>SKU001</v>
      </c>
      <c r="F109" s="3">
        <f>정규화데이터!F109</f>
        <v>1</v>
      </c>
      <c r="G109" s="3">
        <f>정규화데이터!G109</f>
        <v>119000</v>
      </c>
      <c r="H109" s="3">
        <f>정규화데이터!H109</f>
        <v>113050</v>
      </c>
      <c r="I109" s="3">
        <f>정규화데이터!I109</f>
        <v>82110</v>
      </c>
      <c r="J109" s="3">
        <f>정규화데이터!J109</f>
        <v>102772.72727272726</v>
      </c>
      <c r="K109" s="25">
        <f>정규화데이터!K109</f>
        <v>61496</v>
      </c>
      <c r="L109" s="25">
        <f>정규화데이터!L109</f>
        <v>61496</v>
      </c>
      <c r="M109" s="21">
        <f t="shared" si="2"/>
        <v>41276.727272727265</v>
      </c>
      <c r="N109" s="52">
        <f t="shared" si="3"/>
        <v>0.40163113666519235</v>
      </c>
    </row>
    <row r="110" spans="1:14" x14ac:dyDescent="0.3">
      <c r="A110" t="str">
        <f>정규화데이터!A110</f>
        <v>SK스토아</v>
      </c>
      <c r="B110">
        <f>정규화데이터!B110</f>
        <v>20260205993934</v>
      </c>
      <c r="C110" t="str">
        <f>정규화데이터!C110</f>
        <v>[워커힐]워커힐 고메 시그니처 양념 본갈비 8팩</v>
      </c>
      <c r="D110">
        <f>정규화데이터!D110</f>
        <v>58481090</v>
      </c>
      <c r="E110" s="16" t="str">
        <f>정규화데이터!E110</f>
        <v>SKU001</v>
      </c>
      <c r="F110" s="3">
        <f>정규화데이터!F110</f>
        <v>1</v>
      </c>
      <c r="G110" s="3">
        <f>정규화데이터!G110</f>
        <v>119000</v>
      </c>
      <c r="H110" s="3">
        <f>정규화데이터!H110</f>
        <v>119000</v>
      </c>
      <c r="I110" s="3">
        <f>정규화데이터!I110</f>
        <v>82110</v>
      </c>
      <c r="J110" s="3">
        <f>정규화데이터!J110</f>
        <v>108181.81818181818</v>
      </c>
      <c r="K110" s="25">
        <f>정규화데이터!K110</f>
        <v>61496</v>
      </c>
      <c r="L110" s="25">
        <f>정규화데이터!L110</f>
        <v>61496</v>
      </c>
      <c r="M110" s="21">
        <f t="shared" si="2"/>
        <v>46685.818181818177</v>
      </c>
      <c r="N110" s="52">
        <f t="shared" si="3"/>
        <v>0.43154957983193276</v>
      </c>
    </row>
    <row r="111" spans="1:14" x14ac:dyDescent="0.3">
      <c r="A111" t="str">
        <f>정규화데이터!A111</f>
        <v>SK스토아</v>
      </c>
      <c r="B111">
        <f>정규화데이터!B111</f>
        <v>20260205994400</v>
      </c>
      <c r="C111" t="str">
        <f>정규화데이터!C111</f>
        <v>[워커힐]워커힐 고메 시그니처 양념 본갈비 8팩</v>
      </c>
      <c r="D111">
        <f>정규화데이터!D111</f>
        <v>58481090</v>
      </c>
      <c r="E111" s="16" t="str">
        <f>정규화데이터!E111</f>
        <v>SKU001</v>
      </c>
      <c r="F111" s="3">
        <f>정규화데이터!F111</f>
        <v>1</v>
      </c>
      <c r="G111" s="3">
        <f>정규화데이터!G111</f>
        <v>119000</v>
      </c>
      <c r="H111" s="3">
        <f>정규화데이터!H111</f>
        <v>119000</v>
      </c>
      <c r="I111" s="3">
        <f>정규화데이터!I111</f>
        <v>82110</v>
      </c>
      <c r="J111" s="3">
        <f>정규화데이터!J111</f>
        <v>108181.81818181818</v>
      </c>
      <c r="K111" s="25">
        <f>정규화데이터!K111</f>
        <v>61496</v>
      </c>
      <c r="L111" s="25">
        <f>정규화데이터!L111</f>
        <v>61496</v>
      </c>
      <c r="M111" s="21">
        <f t="shared" si="2"/>
        <v>46685.818181818177</v>
      </c>
      <c r="N111" s="52">
        <f t="shared" si="3"/>
        <v>0.43154957983193276</v>
      </c>
    </row>
    <row r="112" spans="1:14" x14ac:dyDescent="0.3">
      <c r="A112" t="str">
        <f>정규화데이터!A112</f>
        <v>SK스토아</v>
      </c>
      <c r="B112">
        <f>정규화데이터!B112</f>
        <v>20260205994653</v>
      </c>
      <c r="C112" t="str">
        <f>정규화데이터!C112</f>
        <v>[워커힐]워커힐 고메 시그니처 양념 본갈비 8팩</v>
      </c>
      <c r="D112">
        <f>정규화데이터!D112</f>
        <v>58481090</v>
      </c>
      <c r="E112" s="16" t="str">
        <f>정규화데이터!E112</f>
        <v>SKU001</v>
      </c>
      <c r="F112" s="3">
        <f>정규화데이터!F112</f>
        <v>1</v>
      </c>
      <c r="G112" s="3">
        <f>정규화데이터!G112</f>
        <v>119000</v>
      </c>
      <c r="H112" s="3">
        <f>정규화데이터!H112</f>
        <v>119000</v>
      </c>
      <c r="I112" s="3">
        <f>정규화데이터!I112</f>
        <v>82110</v>
      </c>
      <c r="J112" s="3">
        <f>정규화데이터!J112</f>
        <v>108181.81818181818</v>
      </c>
      <c r="K112" s="25">
        <f>정규화데이터!K112</f>
        <v>61496</v>
      </c>
      <c r="L112" s="25">
        <f>정규화데이터!L112</f>
        <v>61496</v>
      </c>
      <c r="M112" s="21">
        <f t="shared" si="2"/>
        <v>46685.818181818177</v>
      </c>
      <c r="N112" s="52">
        <f t="shared" si="3"/>
        <v>0.43154957983193276</v>
      </c>
    </row>
    <row r="113" spans="1:14" x14ac:dyDescent="0.3">
      <c r="A113" t="str">
        <f>정규화데이터!A113</f>
        <v>SK스토아</v>
      </c>
      <c r="B113">
        <f>정규화데이터!B113</f>
        <v>20260205993867</v>
      </c>
      <c r="C113" t="str">
        <f>정규화데이터!C113</f>
        <v>[워커힐]워커힐 고메 시그니처 양념 본갈비 8팩</v>
      </c>
      <c r="D113">
        <f>정규화데이터!D113</f>
        <v>58481090</v>
      </c>
      <c r="E113" s="16" t="str">
        <f>정규화데이터!E113</f>
        <v>SKU001</v>
      </c>
      <c r="F113" s="3">
        <f>정규화데이터!F113</f>
        <v>1</v>
      </c>
      <c r="G113" s="3">
        <f>정규화데이터!G113</f>
        <v>119000</v>
      </c>
      <c r="H113" s="3">
        <f>정규화데이터!H113</f>
        <v>119000</v>
      </c>
      <c r="I113" s="3">
        <f>정규화데이터!I113</f>
        <v>82110</v>
      </c>
      <c r="J113" s="3">
        <f>정규화데이터!J113</f>
        <v>108181.81818181818</v>
      </c>
      <c r="K113" s="25">
        <f>정규화데이터!K113</f>
        <v>61496</v>
      </c>
      <c r="L113" s="25">
        <f>정규화데이터!L113</f>
        <v>61496</v>
      </c>
      <c r="M113" s="21">
        <f t="shared" si="2"/>
        <v>46685.818181818177</v>
      </c>
      <c r="N113" s="52">
        <f t="shared" si="3"/>
        <v>0.43154957983193276</v>
      </c>
    </row>
    <row r="114" spans="1:14" x14ac:dyDescent="0.3">
      <c r="A114" t="str">
        <f>정규화데이터!A114</f>
        <v>SK스토아</v>
      </c>
      <c r="B114">
        <f>정규화데이터!B114</f>
        <v>20260205993852</v>
      </c>
      <c r="C114" t="str">
        <f>정규화데이터!C114</f>
        <v>[워커힐]워커힐 고메 시그니처 양념 본갈비 8팩</v>
      </c>
      <c r="D114">
        <f>정규화데이터!D114</f>
        <v>58481090</v>
      </c>
      <c r="E114" s="16" t="str">
        <f>정규화데이터!E114</f>
        <v>SKU001</v>
      </c>
      <c r="F114" s="3">
        <f>정규화데이터!F114</f>
        <v>1</v>
      </c>
      <c r="G114" s="3">
        <f>정규화데이터!G114</f>
        <v>119000</v>
      </c>
      <c r="H114" s="3">
        <f>정규화데이터!H114</f>
        <v>119000</v>
      </c>
      <c r="I114" s="3">
        <f>정규화데이터!I114</f>
        <v>82110</v>
      </c>
      <c r="J114" s="3">
        <f>정규화데이터!J114</f>
        <v>108181.81818181818</v>
      </c>
      <c r="K114" s="25">
        <f>정규화데이터!K114</f>
        <v>61496</v>
      </c>
      <c r="L114" s="25">
        <f>정규화데이터!L114</f>
        <v>61496</v>
      </c>
      <c r="M114" s="21">
        <f t="shared" si="2"/>
        <v>46685.818181818177</v>
      </c>
      <c r="N114" s="52">
        <f t="shared" si="3"/>
        <v>0.43154957983193276</v>
      </c>
    </row>
    <row r="115" spans="1:14" x14ac:dyDescent="0.3">
      <c r="A115" t="str">
        <f>정규화데이터!A115</f>
        <v>SK스토아</v>
      </c>
      <c r="B115">
        <f>정규화데이터!B115</f>
        <v>20260205992712</v>
      </c>
      <c r="C115" t="str">
        <f>정규화데이터!C115</f>
        <v>[워커힐]워커힐 고메 시그니처 양념 본갈비 8팩</v>
      </c>
      <c r="D115">
        <f>정규화데이터!D115</f>
        <v>58481090</v>
      </c>
      <c r="E115" s="16" t="str">
        <f>정규화데이터!E115</f>
        <v>SKU001</v>
      </c>
      <c r="F115" s="3">
        <f>정규화데이터!F115</f>
        <v>1</v>
      </c>
      <c r="G115" s="3">
        <f>정규화데이터!G115</f>
        <v>119000</v>
      </c>
      <c r="H115" s="3">
        <f>정규화데이터!H115</f>
        <v>99960</v>
      </c>
      <c r="I115" s="3">
        <f>정규화데이터!I115</f>
        <v>82110</v>
      </c>
      <c r="J115" s="3">
        <f>정규화데이터!J115</f>
        <v>90872.727272727265</v>
      </c>
      <c r="K115" s="25">
        <f>정규화데이터!K115</f>
        <v>61496</v>
      </c>
      <c r="L115" s="25">
        <f>정규화데이터!L115</f>
        <v>61496</v>
      </c>
      <c r="M115" s="21">
        <f t="shared" si="2"/>
        <v>29376.727272727265</v>
      </c>
      <c r="N115" s="52">
        <f t="shared" si="3"/>
        <v>0.32327330932372944</v>
      </c>
    </row>
    <row r="116" spans="1:14" x14ac:dyDescent="0.3">
      <c r="A116" t="str">
        <f>정규화데이터!A116</f>
        <v>SK스토아</v>
      </c>
      <c r="B116">
        <f>정규화데이터!B116</f>
        <v>20260205993266</v>
      </c>
      <c r="C116" t="str">
        <f>정규화데이터!C116</f>
        <v>[워커힐]워커힐 고메 시그니처 양념 본갈비 8팩</v>
      </c>
      <c r="D116">
        <f>정규화데이터!D116</f>
        <v>58481090</v>
      </c>
      <c r="E116" s="16" t="str">
        <f>정규화데이터!E116</f>
        <v>SKU001</v>
      </c>
      <c r="F116" s="3">
        <f>정규화데이터!F116</f>
        <v>1</v>
      </c>
      <c r="G116" s="3">
        <f>정규화데이터!G116</f>
        <v>119000</v>
      </c>
      <c r="H116" s="3">
        <f>정규화데이터!H116</f>
        <v>119000</v>
      </c>
      <c r="I116" s="3">
        <f>정규화데이터!I116</f>
        <v>82110</v>
      </c>
      <c r="J116" s="3">
        <f>정규화데이터!J116</f>
        <v>108181.81818181818</v>
      </c>
      <c r="K116" s="25">
        <f>정규화데이터!K116</f>
        <v>61496</v>
      </c>
      <c r="L116" s="25">
        <f>정규화데이터!L116</f>
        <v>61496</v>
      </c>
      <c r="M116" s="21">
        <f t="shared" si="2"/>
        <v>46685.818181818177</v>
      </c>
      <c r="N116" s="52">
        <f t="shared" si="3"/>
        <v>0.43154957983193276</v>
      </c>
    </row>
    <row r="117" spans="1:14" x14ac:dyDescent="0.3">
      <c r="A117" t="str">
        <f>정규화데이터!A117</f>
        <v>SK스토아</v>
      </c>
      <c r="B117">
        <f>정규화데이터!B117</f>
        <v>20260205994296</v>
      </c>
      <c r="C117" t="str">
        <f>정규화데이터!C117</f>
        <v>[워커힐]워커힐 고메 시그니처 양념 본갈비 8팩</v>
      </c>
      <c r="D117">
        <f>정규화데이터!D117</f>
        <v>58481090</v>
      </c>
      <c r="E117" s="16" t="str">
        <f>정규화데이터!E117</f>
        <v>SKU001</v>
      </c>
      <c r="F117" s="3">
        <f>정규화데이터!F117</f>
        <v>1</v>
      </c>
      <c r="G117" s="3">
        <f>정규화데이터!G117</f>
        <v>119000</v>
      </c>
      <c r="H117" s="3">
        <f>정규화데이터!H117</f>
        <v>119000</v>
      </c>
      <c r="I117" s="3">
        <f>정규화데이터!I117</f>
        <v>82110</v>
      </c>
      <c r="J117" s="3">
        <f>정규화데이터!J117</f>
        <v>108181.81818181818</v>
      </c>
      <c r="K117" s="25">
        <f>정규화데이터!K117</f>
        <v>61496</v>
      </c>
      <c r="L117" s="25">
        <f>정규화데이터!L117</f>
        <v>61496</v>
      </c>
      <c r="M117" s="21">
        <f t="shared" si="2"/>
        <v>46685.818181818177</v>
      </c>
      <c r="N117" s="52">
        <f t="shared" si="3"/>
        <v>0.43154957983193276</v>
      </c>
    </row>
    <row r="118" spans="1:14" x14ac:dyDescent="0.3">
      <c r="A118" t="str">
        <f>정규화데이터!A118</f>
        <v>SK스토아</v>
      </c>
      <c r="B118">
        <f>정규화데이터!B118</f>
        <v>20260205994429</v>
      </c>
      <c r="C118" t="str">
        <f>정규화데이터!C118</f>
        <v>[워커힐]워커힐 고메 시그니처 양념 본갈비 8팩</v>
      </c>
      <c r="D118">
        <f>정규화데이터!D118</f>
        <v>58481090</v>
      </c>
      <c r="E118" s="16" t="str">
        <f>정규화데이터!E118</f>
        <v>SKU001</v>
      </c>
      <c r="F118" s="3">
        <f>정규화데이터!F118</f>
        <v>1</v>
      </c>
      <c r="G118" s="3">
        <f>정규화데이터!G118</f>
        <v>119000</v>
      </c>
      <c r="H118" s="3">
        <f>정규화데이터!H118</f>
        <v>119000</v>
      </c>
      <c r="I118" s="3">
        <f>정규화데이터!I118</f>
        <v>82110</v>
      </c>
      <c r="J118" s="3">
        <f>정규화데이터!J118</f>
        <v>108181.81818181818</v>
      </c>
      <c r="K118" s="25">
        <f>정규화데이터!K118</f>
        <v>61496</v>
      </c>
      <c r="L118" s="25">
        <f>정규화데이터!L118</f>
        <v>61496</v>
      </c>
      <c r="M118" s="21">
        <f t="shared" si="2"/>
        <v>46685.818181818177</v>
      </c>
      <c r="N118" s="52">
        <f t="shared" si="3"/>
        <v>0.43154957983193276</v>
      </c>
    </row>
    <row r="119" spans="1:14" x14ac:dyDescent="0.3">
      <c r="A119" t="str">
        <f>정규화데이터!A119</f>
        <v>SK스토아</v>
      </c>
      <c r="B119">
        <f>정규화데이터!B119</f>
        <v>20260205993269</v>
      </c>
      <c r="C119" t="str">
        <f>정규화데이터!C119</f>
        <v>[워커힐]워커힐 고메 시그니처 양념 본갈비 8팩</v>
      </c>
      <c r="D119">
        <f>정규화데이터!D119</f>
        <v>58481090</v>
      </c>
      <c r="E119" s="16" t="str">
        <f>정규화데이터!E119</f>
        <v>SKU001</v>
      </c>
      <c r="F119" s="3">
        <f>정규화데이터!F119</f>
        <v>1</v>
      </c>
      <c r="G119" s="3">
        <f>정규화데이터!G119</f>
        <v>119000</v>
      </c>
      <c r="H119" s="3">
        <f>정규화데이터!H119</f>
        <v>119000</v>
      </c>
      <c r="I119" s="3">
        <f>정규화데이터!I119</f>
        <v>82110</v>
      </c>
      <c r="J119" s="3">
        <f>정규화데이터!J119</f>
        <v>108181.81818181818</v>
      </c>
      <c r="K119" s="25">
        <f>정규화데이터!K119</f>
        <v>61496</v>
      </c>
      <c r="L119" s="25">
        <f>정규화데이터!L119</f>
        <v>61496</v>
      </c>
      <c r="M119" s="21">
        <f t="shared" si="2"/>
        <v>46685.818181818177</v>
      </c>
      <c r="N119" s="52">
        <f t="shared" si="3"/>
        <v>0.43154957983193276</v>
      </c>
    </row>
    <row r="120" spans="1:14" x14ac:dyDescent="0.3">
      <c r="A120" t="str">
        <f>정규화데이터!A120</f>
        <v>SK스토아</v>
      </c>
      <c r="B120">
        <f>정규화데이터!B120</f>
        <v>20260205992567</v>
      </c>
      <c r="C120" t="str">
        <f>정규화데이터!C120</f>
        <v>[워커힐]워커힐 고메 시그니처 양념 본갈비 8팩</v>
      </c>
      <c r="D120">
        <f>정규화데이터!D120</f>
        <v>58481090</v>
      </c>
      <c r="E120" s="16" t="str">
        <f>정규화데이터!E120</f>
        <v>SKU001</v>
      </c>
      <c r="F120" s="3">
        <f>정규화데이터!F120</f>
        <v>1</v>
      </c>
      <c r="G120" s="3">
        <f>정규화데이터!G120</f>
        <v>119000</v>
      </c>
      <c r="H120" s="3">
        <f>정규화데이터!H120</f>
        <v>109000</v>
      </c>
      <c r="I120" s="3">
        <f>정규화데이터!I120</f>
        <v>82110</v>
      </c>
      <c r="J120" s="3">
        <f>정규화데이터!J120</f>
        <v>99090.909090909074</v>
      </c>
      <c r="K120" s="25">
        <f>정규화데이터!K120</f>
        <v>61496</v>
      </c>
      <c r="L120" s="25">
        <f>정규화데이터!L120</f>
        <v>61496</v>
      </c>
      <c r="M120" s="21">
        <f t="shared" si="2"/>
        <v>37594.909090909074</v>
      </c>
      <c r="N120" s="52">
        <f t="shared" si="3"/>
        <v>0.3793981651376146</v>
      </c>
    </row>
    <row r="121" spans="1:14" x14ac:dyDescent="0.3">
      <c r="A121" t="str">
        <f>정규화데이터!A121</f>
        <v>SK스토아</v>
      </c>
      <c r="B121">
        <f>정규화데이터!B121</f>
        <v>20260205993710</v>
      </c>
      <c r="C121" t="str">
        <f>정규화데이터!C121</f>
        <v>[워커힐]워커힐 고메 시그니처 양념 본갈비 8팩</v>
      </c>
      <c r="D121">
        <f>정규화데이터!D121</f>
        <v>58481090</v>
      </c>
      <c r="E121" s="16" t="str">
        <f>정규화데이터!E121</f>
        <v>SKU001</v>
      </c>
      <c r="F121" s="3">
        <f>정규화데이터!F121</f>
        <v>1</v>
      </c>
      <c r="G121" s="3">
        <f>정규화데이터!G121</f>
        <v>119000</v>
      </c>
      <c r="H121" s="3">
        <f>정규화데이터!H121</f>
        <v>119000</v>
      </c>
      <c r="I121" s="3">
        <f>정규화데이터!I121</f>
        <v>82110</v>
      </c>
      <c r="J121" s="3">
        <f>정규화데이터!J121</f>
        <v>108181.81818181818</v>
      </c>
      <c r="K121" s="25">
        <f>정규화데이터!K121</f>
        <v>61496</v>
      </c>
      <c r="L121" s="25">
        <f>정규화데이터!L121</f>
        <v>61496</v>
      </c>
      <c r="M121" s="21">
        <f t="shared" si="2"/>
        <v>46685.818181818177</v>
      </c>
      <c r="N121" s="52">
        <f t="shared" si="3"/>
        <v>0.43154957983193276</v>
      </c>
    </row>
    <row r="122" spans="1:14" x14ac:dyDescent="0.3">
      <c r="A122" t="str">
        <f>정규화데이터!A122</f>
        <v>SK스토아</v>
      </c>
      <c r="B122">
        <f>정규화데이터!B122</f>
        <v>20260205995307</v>
      </c>
      <c r="C122" t="str">
        <f>정규화데이터!C122</f>
        <v>[워커힐]워커힐 고메 시그니처 양념 본갈비 8팩</v>
      </c>
      <c r="D122">
        <f>정규화데이터!D122</f>
        <v>58481090</v>
      </c>
      <c r="E122" s="16" t="str">
        <f>정규화데이터!E122</f>
        <v>SKU001</v>
      </c>
      <c r="F122" s="3">
        <f>정규화데이터!F122</f>
        <v>1</v>
      </c>
      <c r="G122" s="3">
        <f>정규화데이터!G122</f>
        <v>119000</v>
      </c>
      <c r="H122" s="3">
        <f>정규화데이터!H122</f>
        <v>113050</v>
      </c>
      <c r="I122" s="3">
        <f>정규화데이터!I122</f>
        <v>82110</v>
      </c>
      <c r="J122" s="3">
        <f>정규화데이터!J122</f>
        <v>102772.72727272726</v>
      </c>
      <c r="K122" s="25">
        <f>정규화데이터!K122</f>
        <v>61496</v>
      </c>
      <c r="L122" s="25">
        <f>정규화데이터!L122</f>
        <v>61496</v>
      </c>
      <c r="M122" s="21">
        <f t="shared" si="2"/>
        <v>41276.727272727265</v>
      </c>
      <c r="N122" s="52">
        <f t="shared" si="3"/>
        <v>0.40163113666519235</v>
      </c>
    </row>
    <row r="123" spans="1:14" x14ac:dyDescent="0.3">
      <c r="A123" t="str">
        <f>정규화데이터!A123</f>
        <v>SK스토아</v>
      </c>
      <c r="B123">
        <f>정규화데이터!B123</f>
        <v>20260205995613</v>
      </c>
      <c r="C123" t="str">
        <f>정규화데이터!C123</f>
        <v>[워커힐]워커힐 고메 시그니처 양념 본갈비 8팩</v>
      </c>
      <c r="D123">
        <f>정규화데이터!D123</f>
        <v>58481090</v>
      </c>
      <c r="E123" s="16" t="str">
        <f>정규화데이터!E123</f>
        <v>SKU001</v>
      </c>
      <c r="F123" s="3">
        <f>정규화데이터!F123</f>
        <v>1</v>
      </c>
      <c r="G123" s="3">
        <f>정규화데이터!G123</f>
        <v>119000</v>
      </c>
      <c r="H123" s="3">
        <f>정규화데이터!H123</f>
        <v>119000</v>
      </c>
      <c r="I123" s="3">
        <f>정규화데이터!I123</f>
        <v>82110</v>
      </c>
      <c r="J123" s="3">
        <f>정규화데이터!J123</f>
        <v>108181.81818181818</v>
      </c>
      <c r="K123" s="25">
        <f>정규화데이터!K123</f>
        <v>61496</v>
      </c>
      <c r="L123" s="25">
        <f>정규화데이터!L123</f>
        <v>61496</v>
      </c>
      <c r="M123" s="21">
        <f t="shared" si="2"/>
        <v>46685.818181818177</v>
      </c>
      <c r="N123" s="52">
        <f t="shared" si="3"/>
        <v>0.43154957983193276</v>
      </c>
    </row>
    <row r="124" spans="1:14" x14ac:dyDescent="0.3">
      <c r="A124" t="str">
        <f>정규화데이터!A124</f>
        <v>SK스토아</v>
      </c>
      <c r="B124">
        <f>정규화데이터!B124</f>
        <v>20260205002375</v>
      </c>
      <c r="C124" t="str">
        <f>정규화데이터!C124</f>
        <v>[워커힐]워커힐 고메 시그니처 양념 본갈비 8팩</v>
      </c>
      <c r="D124">
        <f>정규화데이터!D124</f>
        <v>58481090</v>
      </c>
      <c r="E124" s="16" t="str">
        <f>정규화데이터!E124</f>
        <v>SKU001</v>
      </c>
      <c r="F124" s="3">
        <f>정규화데이터!F124</f>
        <v>1</v>
      </c>
      <c r="G124" s="3">
        <f>정규화데이터!G124</f>
        <v>119000</v>
      </c>
      <c r="H124" s="3">
        <f>정규화데이터!H124</f>
        <v>119000</v>
      </c>
      <c r="I124" s="3">
        <f>정규화데이터!I124</f>
        <v>82110</v>
      </c>
      <c r="J124" s="3">
        <f>정규화데이터!J124</f>
        <v>108181.81818181818</v>
      </c>
      <c r="K124" s="25">
        <f>정규화데이터!K124</f>
        <v>61496</v>
      </c>
      <c r="L124" s="25">
        <f>정규화데이터!L124</f>
        <v>61496</v>
      </c>
      <c r="M124" s="21">
        <f t="shared" si="2"/>
        <v>46685.818181818177</v>
      </c>
      <c r="N124" s="52">
        <f t="shared" si="3"/>
        <v>0.43154957983193276</v>
      </c>
    </row>
    <row r="125" spans="1:14" x14ac:dyDescent="0.3">
      <c r="A125" t="str">
        <f>정규화데이터!A125</f>
        <v>SK스토아</v>
      </c>
      <c r="B125">
        <f>정규화데이터!B125</f>
        <v>20260205994008</v>
      </c>
      <c r="C125" t="str">
        <f>정규화데이터!C125</f>
        <v>[워커힐]워커힐 고메 시그니처 양념 본갈비 8팩</v>
      </c>
      <c r="D125">
        <f>정규화데이터!D125</f>
        <v>58481090</v>
      </c>
      <c r="E125" s="16" t="str">
        <f>정규화데이터!E125</f>
        <v>SKU001</v>
      </c>
      <c r="F125" s="3">
        <f>정규화데이터!F125</f>
        <v>1</v>
      </c>
      <c r="G125" s="3">
        <f>정규화데이터!G125</f>
        <v>119000</v>
      </c>
      <c r="H125" s="3">
        <f>정규화데이터!H125</f>
        <v>109000</v>
      </c>
      <c r="I125" s="3">
        <f>정규화데이터!I125</f>
        <v>82110</v>
      </c>
      <c r="J125" s="3">
        <f>정규화데이터!J125</f>
        <v>99090.909090909074</v>
      </c>
      <c r="K125" s="25">
        <f>정규화데이터!K125</f>
        <v>61496</v>
      </c>
      <c r="L125" s="25">
        <f>정규화데이터!L125</f>
        <v>61496</v>
      </c>
      <c r="M125" s="21">
        <f t="shared" si="2"/>
        <v>37594.909090909074</v>
      </c>
      <c r="N125" s="52">
        <f t="shared" si="3"/>
        <v>0.3793981651376146</v>
      </c>
    </row>
    <row r="126" spans="1:14" x14ac:dyDescent="0.3">
      <c r="A126" t="str">
        <f>정규화데이터!A126</f>
        <v>SK스토아</v>
      </c>
      <c r="B126">
        <f>정규화데이터!B126</f>
        <v>20260205993800</v>
      </c>
      <c r="C126" t="str">
        <f>정규화데이터!C126</f>
        <v>[워커힐]워커힐 고메 시그니처 양념 본갈비 8팩</v>
      </c>
      <c r="D126">
        <f>정규화데이터!D126</f>
        <v>58481090</v>
      </c>
      <c r="E126" s="16" t="str">
        <f>정규화데이터!E126</f>
        <v>SKU001</v>
      </c>
      <c r="F126" s="3">
        <f>정규화데이터!F126</f>
        <v>1</v>
      </c>
      <c r="G126" s="3">
        <f>정규화데이터!G126</f>
        <v>119000</v>
      </c>
      <c r="H126" s="3">
        <f>정규화데이터!H126</f>
        <v>119000</v>
      </c>
      <c r="I126" s="3">
        <f>정규화데이터!I126</f>
        <v>82110</v>
      </c>
      <c r="J126" s="3">
        <f>정규화데이터!J126</f>
        <v>108181.81818181818</v>
      </c>
      <c r="K126" s="25">
        <f>정규화데이터!K126</f>
        <v>61496</v>
      </c>
      <c r="L126" s="25">
        <f>정규화데이터!L126</f>
        <v>61496</v>
      </c>
      <c r="M126" s="21">
        <f t="shared" si="2"/>
        <v>46685.818181818177</v>
      </c>
      <c r="N126" s="52">
        <f t="shared" si="3"/>
        <v>0.43154957983193276</v>
      </c>
    </row>
    <row r="127" spans="1:14" x14ac:dyDescent="0.3">
      <c r="A127" t="str">
        <f>정규화데이터!A127</f>
        <v>SK스토아</v>
      </c>
      <c r="B127">
        <f>정규화데이터!B127</f>
        <v>20260206644091</v>
      </c>
      <c r="C127" t="str">
        <f>정규화데이터!C127</f>
        <v>[워커힐]워커힐 고메 시그니처 양념 본갈비 8팩</v>
      </c>
      <c r="D127">
        <f>정규화데이터!D127</f>
        <v>58481090</v>
      </c>
      <c r="E127" s="16" t="str">
        <f>정규화데이터!E127</f>
        <v>SKU001</v>
      </c>
      <c r="F127" s="3">
        <f>정규화데이터!F127</f>
        <v>1</v>
      </c>
      <c r="G127" s="3">
        <f>정규화데이터!G127</f>
        <v>119000</v>
      </c>
      <c r="H127" s="3">
        <f>정규화데이터!H127</f>
        <v>113050</v>
      </c>
      <c r="I127" s="3">
        <f>정규화데이터!I127</f>
        <v>82110</v>
      </c>
      <c r="J127" s="3">
        <f>정규화데이터!J127</f>
        <v>102772.72727272726</v>
      </c>
      <c r="K127" s="25">
        <f>정규화데이터!K127</f>
        <v>61496</v>
      </c>
      <c r="L127" s="25">
        <f>정규화데이터!L127</f>
        <v>61496</v>
      </c>
      <c r="M127" s="21">
        <f t="shared" si="2"/>
        <v>41276.727272727265</v>
      </c>
      <c r="N127" s="52">
        <f t="shared" si="3"/>
        <v>0.40163113666519235</v>
      </c>
    </row>
    <row r="128" spans="1:14" x14ac:dyDescent="0.3">
      <c r="A128" t="str">
        <f>정규화데이터!A128</f>
        <v>SK스토아</v>
      </c>
      <c r="B128">
        <f>정규화데이터!B128</f>
        <v>20260205995701</v>
      </c>
      <c r="C128" t="str">
        <f>정규화데이터!C128</f>
        <v>[워커힐]워커힐 고메 시그니처 양념 본갈비 8팩</v>
      </c>
      <c r="D128">
        <f>정규화데이터!D128</f>
        <v>58481090</v>
      </c>
      <c r="E128" s="16" t="str">
        <f>정규화데이터!E128</f>
        <v>SKU001</v>
      </c>
      <c r="F128" s="3">
        <f>정규화데이터!F128</f>
        <v>1</v>
      </c>
      <c r="G128" s="3">
        <f>정규화데이터!G128</f>
        <v>119000</v>
      </c>
      <c r="H128" s="3">
        <f>정규화데이터!H128</f>
        <v>119000</v>
      </c>
      <c r="I128" s="3">
        <f>정규화데이터!I128</f>
        <v>82110</v>
      </c>
      <c r="J128" s="3">
        <f>정규화데이터!J128</f>
        <v>108181.81818181818</v>
      </c>
      <c r="K128" s="25">
        <f>정규화데이터!K128</f>
        <v>61496</v>
      </c>
      <c r="L128" s="25">
        <f>정규화데이터!L128</f>
        <v>61496</v>
      </c>
      <c r="M128" s="21">
        <f t="shared" si="2"/>
        <v>46685.818181818177</v>
      </c>
      <c r="N128" s="52">
        <f t="shared" si="3"/>
        <v>0.43154957983193276</v>
      </c>
    </row>
    <row r="129" spans="1:14" x14ac:dyDescent="0.3">
      <c r="A129" t="str">
        <f>정규화데이터!A129</f>
        <v>SK스토아</v>
      </c>
      <c r="B129">
        <f>정규화데이터!B129</f>
        <v>20260205995459</v>
      </c>
      <c r="C129" t="str">
        <f>정규화데이터!C129</f>
        <v>[워커힐]워커힐 고메 시그니처 양념 본갈비 8팩</v>
      </c>
      <c r="D129">
        <f>정규화데이터!D129</f>
        <v>58481090</v>
      </c>
      <c r="E129" s="16" t="str">
        <f>정규화데이터!E129</f>
        <v>SKU001</v>
      </c>
      <c r="F129" s="3">
        <f>정규화데이터!F129</f>
        <v>1</v>
      </c>
      <c r="G129" s="3">
        <f>정규화데이터!G129</f>
        <v>119000</v>
      </c>
      <c r="H129" s="3">
        <f>정규화데이터!H129</f>
        <v>99960</v>
      </c>
      <c r="I129" s="3">
        <f>정규화데이터!I129</f>
        <v>82110</v>
      </c>
      <c r="J129" s="3">
        <f>정규화데이터!J129</f>
        <v>90872.727272727265</v>
      </c>
      <c r="K129" s="25">
        <f>정규화데이터!K129</f>
        <v>61496</v>
      </c>
      <c r="L129" s="25">
        <f>정규화데이터!L129</f>
        <v>61496</v>
      </c>
      <c r="M129" s="21">
        <f t="shared" si="2"/>
        <v>29376.727272727265</v>
      </c>
      <c r="N129" s="52">
        <f t="shared" si="3"/>
        <v>0.32327330932372944</v>
      </c>
    </row>
    <row r="130" spans="1:14" x14ac:dyDescent="0.3">
      <c r="A130" t="str">
        <f>정규화데이터!A130</f>
        <v>SK스토아</v>
      </c>
      <c r="B130">
        <f>정규화데이터!B130</f>
        <v>20260205993710</v>
      </c>
      <c r="C130" t="str">
        <f>정규화데이터!C130</f>
        <v>[워커힐]워커힐 고메 시그니처 양념 본갈비 8팩</v>
      </c>
      <c r="D130">
        <f>정규화데이터!D130</f>
        <v>58481090</v>
      </c>
      <c r="E130" s="16" t="str">
        <f>정규화데이터!E130</f>
        <v>SKU001</v>
      </c>
      <c r="F130" s="3">
        <f>정규화데이터!F130</f>
        <v>1</v>
      </c>
      <c r="G130" s="3">
        <f>정규화데이터!G130</f>
        <v>119000</v>
      </c>
      <c r="H130" s="3">
        <f>정규화데이터!H130</f>
        <v>119000</v>
      </c>
      <c r="I130" s="3">
        <f>정규화데이터!I130</f>
        <v>82110</v>
      </c>
      <c r="J130" s="3">
        <f>정규화데이터!J130</f>
        <v>108181.81818181818</v>
      </c>
      <c r="K130" s="25">
        <f>정규화데이터!K130</f>
        <v>61496</v>
      </c>
      <c r="L130" s="25">
        <f>정규화데이터!L130</f>
        <v>61496</v>
      </c>
      <c r="M130" s="21">
        <f t="shared" si="2"/>
        <v>46685.818181818177</v>
      </c>
      <c r="N130" s="52">
        <f t="shared" si="3"/>
        <v>0.43154957983193276</v>
      </c>
    </row>
    <row r="131" spans="1:14" x14ac:dyDescent="0.3">
      <c r="A131" t="str">
        <f>정규화데이터!A131</f>
        <v>SK스토아</v>
      </c>
      <c r="B131">
        <f>정규화데이터!B131</f>
        <v>20260205005766</v>
      </c>
      <c r="C131" t="str">
        <f>정규화데이터!C131</f>
        <v>[워커힐]워커힐 고메 시그니처 양념 본갈비 8팩</v>
      </c>
      <c r="D131">
        <f>정규화데이터!D131</f>
        <v>58481090</v>
      </c>
      <c r="E131" s="16" t="str">
        <f>정규화데이터!E131</f>
        <v>SKU001</v>
      </c>
      <c r="F131" s="3">
        <f>정규화데이터!F131</f>
        <v>1</v>
      </c>
      <c r="G131" s="3">
        <f>정규화데이터!G131</f>
        <v>119000</v>
      </c>
      <c r="H131" s="3">
        <f>정규화데이터!H131</f>
        <v>119000</v>
      </c>
      <c r="I131" s="3">
        <f>정규화데이터!I131</f>
        <v>82110</v>
      </c>
      <c r="J131" s="3">
        <f>정규화데이터!J131</f>
        <v>108181.81818181818</v>
      </c>
      <c r="K131" s="25">
        <f>정규화데이터!K131</f>
        <v>61496</v>
      </c>
      <c r="L131" s="25">
        <f>정규화데이터!L131</f>
        <v>61496</v>
      </c>
      <c r="M131" s="21">
        <f t="shared" ref="M131:M194" si="4">J131-L131</f>
        <v>46685.818181818177</v>
      </c>
      <c r="N131" s="52">
        <f t="shared" ref="N131:N194" si="5">IF(J131=0,0,M131/J131)</f>
        <v>0.43154957983193276</v>
      </c>
    </row>
    <row r="132" spans="1:14" x14ac:dyDescent="0.3">
      <c r="A132" t="str">
        <f>정규화데이터!A132</f>
        <v>SK스토아</v>
      </c>
      <c r="B132">
        <f>정규화데이터!B132</f>
        <v>20260205995598</v>
      </c>
      <c r="C132" t="str">
        <f>정규화데이터!C132</f>
        <v>[워커힐]워커힐 고메 시그니처 양념 본갈비 8팩</v>
      </c>
      <c r="D132">
        <f>정규화데이터!D132</f>
        <v>58481090</v>
      </c>
      <c r="E132" s="16" t="str">
        <f>정규화데이터!E132</f>
        <v>SKU001</v>
      </c>
      <c r="F132" s="3">
        <f>정규화데이터!F132</f>
        <v>1</v>
      </c>
      <c r="G132" s="3">
        <f>정규화데이터!G132</f>
        <v>119000</v>
      </c>
      <c r="H132" s="3">
        <f>정규화데이터!H132</f>
        <v>119000</v>
      </c>
      <c r="I132" s="3">
        <f>정규화데이터!I132</f>
        <v>82110</v>
      </c>
      <c r="J132" s="3">
        <f>정규화데이터!J132</f>
        <v>108181.81818181818</v>
      </c>
      <c r="K132" s="25">
        <f>정규화데이터!K132</f>
        <v>61496</v>
      </c>
      <c r="L132" s="25">
        <f>정규화데이터!L132</f>
        <v>61496</v>
      </c>
      <c r="M132" s="21">
        <f t="shared" si="4"/>
        <v>46685.818181818177</v>
      </c>
      <c r="N132" s="52">
        <f t="shared" si="5"/>
        <v>0.43154957983193276</v>
      </c>
    </row>
    <row r="133" spans="1:14" x14ac:dyDescent="0.3">
      <c r="A133" t="str">
        <f>정규화데이터!A133</f>
        <v>SK스토아</v>
      </c>
      <c r="B133">
        <f>정규화데이터!B133</f>
        <v>20260205994093</v>
      </c>
      <c r="C133" t="str">
        <f>정규화데이터!C133</f>
        <v>[워커힐]워커힐 고메 시그니처 양념 본갈비 8팩</v>
      </c>
      <c r="D133">
        <f>정규화데이터!D133</f>
        <v>58481090</v>
      </c>
      <c r="E133" s="16" t="str">
        <f>정규화데이터!E133</f>
        <v>SKU001</v>
      </c>
      <c r="F133" s="3">
        <f>정규화데이터!F133</f>
        <v>1</v>
      </c>
      <c r="G133" s="3">
        <f>정규화데이터!G133</f>
        <v>119000</v>
      </c>
      <c r="H133" s="3">
        <f>정규화데이터!H133</f>
        <v>119000</v>
      </c>
      <c r="I133" s="3">
        <f>정규화데이터!I133</f>
        <v>82110</v>
      </c>
      <c r="J133" s="3">
        <f>정규화데이터!J133</f>
        <v>108181.81818181818</v>
      </c>
      <c r="K133" s="25">
        <f>정규화데이터!K133</f>
        <v>61496</v>
      </c>
      <c r="L133" s="25">
        <f>정규화데이터!L133</f>
        <v>61496</v>
      </c>
      <c r="M133" s="21">
        <f t="shared" si="4"/>
        <v>46685.818181818177</v>
      </c>
      <c r="N133" s="52">
        <f t="shared" si="5"/>
        <v>0.43154957983193276</v>
      </c>
    </row>
    <row r="134" spans="1:14" x14ac:dyDescent="0.3">
      <c r="A134" t="str">
        <f>정규화데이터!A134</f>
        <v>SK스토아</v>
      </c>
      <c r="B134">
        <f>정규화데이터!B134</f>
        <v>20260205994741</v>
      </c>
      <c r="C134" t="str">
        <f>정규화데이터!C134</f>
        <v>[워커힐]워커힐 고메 시그니처 양념 본갈비 8팩</v>
      </c>
      <c r="D134">
        <f>정규화데이터!D134</f>
        <v>58481090</v>
      </c>
      <c r="E134" s="16" t="str">
        <f>정규화데이터!E134</f>
        <v>SKU001</v>
      </c>
      <c r="F134" s="3">
        <f>정규화데이터!F134</f>
        <v>1</v>
      </c>
      <c r="G134" s="3">
        <f>정규화데이터!G134</f>
        <v>119000</v>
      </c>
      <c r="H134" s="3">
        <f>정규화데이터!H134</f>
        <v>109000</v>
      </c>
      <c r="I134" s="3">
        <f>정규화데이터!I134</f>
        <v>82110</v>
      </c>
      <c r="J134" s="3">
        <f>정규화데이터!J134</f>
        <v>99090.909090909074</v>
      </c>
      <c r="K134" s="25">
        <f>정규화데이터!K134</f>
        <v>61496</v>
      </c>
      <c r="L134" s="25">
        <f>정규화데이터!L134</f>
        <v>61496</v>
      </c>
      <c r="M134" s="21">
        <f t="shared" si="4"/>
        <v>37594.909090909074</v>
      </c>
      <c r="N134" s="52">
        <f t="shared" si="5"/>
        <v>0.3793981651376146</v>
      </c>
    </row>
    <row r="135" spans="1:14" x14ac:dyDescent="0.3">
      <c r="A135" t="str">
        <f>정규화데이터!A135</f>
        <v>SK스토아</v>
      </c>
      <c r="B135">
        <f>정규화데이터!B135</f>
        <v>20260205993823</v>
      </c>
      <c r="C135" t="str">
        <f>정규화데이터!C135</f>
        <v>[워커힐]워커힐 고메 시그니처 양념 본갈비 8팩</v>
      </c>
      <c r="D135">
        <f>정규화데이터!D135</f>
        <v>58481090</v>
      </c>
      <c r="E135" s="16" t="str">
        <f>정규화데이터!E135</f>
        <v>SKU001</v>
      </c>
      <c r="F135" s="3">
        <f>정규화데이터!F135</f>
        <v>1</v>
      </c>
      <c r="G135" s="3">
        <f>정규화데이터!G135</f>
        <v>119000</v>
      </c>
      <c r="H135" s="3">
        <f>정규화데이터!H135</f>
        <v>119000</v>
      </c>
      <c r="I135" s="3">
        <f>정규화데이터!I135</f>
        <v>82110</v>
      </c>
      <c r="J135" s="3">
        <f>정규화데이터!J135</f>
        <v>108181.81818181818</v>
      </c>
      <c r="K135" s="25">
        <f>정규화데이터!K135</f>
        <v>61496</v>
      </c>
      <c r="L135" s="25">
        <f>정규화데이터!L135</f>
        <v>61496</v>
      </c>
      <c r="M135" s="21">
        <f t="shared" si="4"/>
        <v>46685.818181818177</v>
      </c>
      <c r="N135" s="52">
        <f t="shared" si="5"/>
        <v>0.43154957983193276</v>
      </c>
    </row>
    <row r="136" spans="1:14" x14ac:dyDescent="0.3">
      <c r="A136" t="str">
        <f>정규화데이터!A136</f>
        <v>SK스토아</v>
      </c>
      <c r="B136">
        <f>정규화데이터!B136</f>
        <v>20260205993746</v>
      </c>
      <c r="C136" t="str">
        <f>정규화데이터!C136</f>
        <v>[워커힐]워커힐 고메 시그니처 양념 본갈비 8팩</v>
      </c>
      <c r="D136">
        <f>정규화데이터!D136</f>
        <v>58481090</v>
      </c>
      <c r="E136" s="16" t="str">
        <f>정규화데이터!E136</f>
        <v>SKU001</v>
      </c>
      <c r="F136" s="3">
        <f>정규화데이터!F136</f>
        <v>2</v>
      </c>
      <c r="G136" s="3">
        <f>정규화데이터!G136</f>
        <v>119000</v>
      </c>
      <c r="H136" s="3">
        <f>정규화데이터!H136</f>
        <v>238000</v>
      </c>
      <c r="I136" s="3">
        <f>정규화데이터!I136</f>
        <v>164220</v>
      </c>
      <c r="J136" s="3">
        <f>정규화데이터!J136</f>
        <v>216363.63636363635</v>
      </c>
      <c r="K136" s="25">
        <f>정규화데이터!K136</f>
        <v>61496</v>
      </c>
      <c r="L136" s="25">
        <f>정규화데이터!L136</f>
        <v>122992</v>
      </c>
      <c r="M136" s="21">
        <f t="shared" si="4"/>
        <v>93371.636363636353</v>
      </c>
      <c r="N136" s="52">
        <f t="shared" si="5"/>
        <v>0.43154957983193276</v>
      </c>
    </row>
    <row r="137" spans="1:14" x14ac:dyDescent="0.3">
      <c r="A137" t="str">
        <f>정규화데이터!A137</f>
        <v>SK스토아</v>
      </c>
      <c r="B137">
        <f>정규화데이터!B137</f>
        <v>20260205993743</v>
      </c>
      <c r="C137" t="str">
        <f>정규화데이터!C137</f>
        <v>[워커힐]워커힐 고메 시그니처 양념 본갈비 8팩</v>
      </c>
      <c r="D137">
        <f>정규화데이터!D137</f>
        <v>58481090</v>
      </c>
      <c r="E137" s="16" t="str">
        <f>정규화데이터!E137</f>
        <v>SKU001</v>
      </c>
      <c r="F137" s="3">
        <f>정규화데이터!F137</f>
        <v>1</v>
      </c>
      <c r="G137" s="3">
        <f>정규화데이터!G137</f>
        <v>119000</v>
      </c>
      <c r="H137" s="3">
        <f>정규화데이터!H137</f>
        <v>119000</v>
      </c>
      <c r="I137" s="3">
        <f>정규화데이터!I137</f>
        <v>82110</v>
      </c>
      <c r="J137" s="3">
        <f>정규화데이터!J137</f>
        <v>108181.81818181818</v>
      </c>
      <c r="K137" s="25">
        <f>정규화데이터!K137</f>
        <v>61496</v>
      </c>
      <c r="L137" s="25">
        <f>정규화데이터!L137</f>
        <v>61496</v>
      </c>
      <c r="M137" s="21">
        <f t="shared" si="4"/>
        <v>46685.818181818177</v>
      </c>
      <c r="N137" s="52">
        <f t="shared" si="5"/>
        <v>0.43154957983193276</v>
      </c>
    </row>
    <row r="138" spans="1:14" x14ac:dyDescent="0.3">
      <c r="A138" t="str">
        <f>정규화데이터!A138</f>
        <v>SK스토아</v>
      </c>
      <c r="B138">
        <f>정규화데이터!B138</f>
        <v>20260205993518</v>
      </c>
      <c r="C138" t="str">
        <f>정규화데이터!C138</f>
        <v>[워커힐]워커힐 고메 시그니처 양념 본갈비 8팩</v>
      </c>
      <c r="D138">
        <f>정규화데이터!D138</f>
        <v>58481090</v>
      </c>
      <c r="E138" s="16" t="str">
        <f>정규화데이터!E138</f>
        <v>SKU001</v>
      </c>
      <c r="F138" s="3">
        <f>정규화데이터!F138</f>
        <v>1</v>
      </c>
      <c r="G138" s="3">
        <f>정규화데이터!G138</f>
        <v>119000</v>
      </c>
      <c r="H138" s="3">
        <f>정규화데이터!H138</f>
        <v>99960</v>
      </c>
      <c r="I138" s="3">
        <f>정규화데이터!I138</f>
        <v>82110</v>
      </c>
      <c r="J138" s="3">
        <f>정규화데이터!J138</f>
        <v>90872.727272727265</v>
      </c>
      <c r="K138" s="25">
        <f>정규화데이터!K138</f>
        <v>61496</v>
      </c>
      <c r="L138" s="25">
        <f>정규화데이터!L138</f>
        <v>61496</v>
      </c>
      <c r="M138" s="21">
        <f t="shared" si="4"/>
        <v>29376.727272727265</v>
      </c>
      <c r="N138" s="52">
        <f t="shared" si="5"/>
        <v>0.32327330932372944</v>
      </c>
    </row>
    <row r="139" spans="1:14" x14ac:dyDescent="0.3">
      <c r="A139" t="str">
        <f>정규화데이터!A139</f>
        <v>SK스토아</v>
      </c>
      <c r="B139">
        <f>정규화데이터!B139</f>
        <v>20260205993886</v>
      </c>
      <c r="C139" t="str">
        <f>정규화데이터!C139</f>
        <v>[워커힐]워커힐 고메 시그니처 양념 본갈비 8팩</v>
      </c>
      <c r="D139">
        <f>정규화데이터!D139</f>
        <v>58481090</v>
      </c>
      <c r="E139" s="16" t="str">
        <f>정규화데이터!E139</f>
        <v>SKU001</v>
      </c>
      <c r="F139" s="3">
        <f>정규화데이터!F139</f>
        <v>1</v>
      </c>
      <c r="G139" s="3">
        <f>정규화데이터!G139</f>
        <v>119000</v>
      </c>
      <c r="H139" s="3">
        <f>정규화데이터!H139</f>
        <v>119000</v>
      </c>
      <c r="I139" s="3">
        <f>정규화데이터!I139</f>
        <v>82110</v>
      </c>
      <c r="J139" s="3">
        <f>정규화데이터!J139</f>
        <v>108181.81818181818</v>
      </c>
      <c r="K139" s="25">
        <f>정규화데이터!K139</f>
        <v>61496</v>
      </c>
      <c r="L139" s="25">
        <f>정규화데이터!L139</f>
        <v>61496</v>
      </c>
      <c r="M139" s="21">
        <f t="shared" si="4"/>
        <v>46685.818181818177</v>
      </c>
      <c r="N139" s="52">
        <f t="shared" si="5"/>
        <v>0.43154957983193276</v>
      </c>
    </row>
    <row r="140" spans="1:14" x14ac:dyDescent="0.3">
      <c r="A140" t="str">
        <f>정규화데이터!A140</f>
        <v>SK스토아</v>
      </c>
      <c r="B140">
        <f>정규화데이터!B140</f>
        <v>20260205993347</v>
      </c>
      <c r="C140" t="str">
        <f>정규화데이터!C140</f>
        <v>[워커힐]워커힐 고메 시그니처 양념 본갈비 8팩</v>
      </c>
      <c r="D140">
        <f>정규화데이터!D140</f>
        <v>58481090</v>
      </c>
      <c r="E140" s="16" t="str">
        <f>정규화데이터!E140</f>
        <v>SKU001</v>
      </c>
      <c r="F140" s="3">
        <f>정규화데이터!F140</f>
        <v>1</v>
      </c>
      <c r="G140" s="3">
        <f>정규화데이터!G140</f>
        <v>119000</v>
      </c>
      <c r="H140" s="3">
        <f>정규화데이터!H140</f>
        <v>109000</v>
      </c>
      <c r="I140" s="3">
        <f>정규화데이터!I140</f>
        <v>82110</v>
      </c>
      <c r="J140" s="3">
        <f>정규화데이터!J140</f>
        <v>99090.909090909074</v>
      </c>
      <c r="K140" s="25">
        <f>정규화데이터!K140</f>
        <v>61496</v>
      </c>
      <c r="L140" s="25">
        <f>정규화데이터!L140</f>
        <v>61496</v>
      </c>
      <c r="M140" s="21">
        <f t="shared" si="4"/>
        <v>37594.909090909074</v>
      </c>
      <c r="N140" s="52">
        <f t="shared" si="5"/>
        <v>0.3793981651376146</v>
      </c>
    </row>
    <row r="141" spans="1:14" x14ac:dyDescent="0.3">
      <c r="A141" t="str">
        <f>정규화데이터!A141</f>
        <v>SK스토아</v>
      </c>
      <c r="B141">
        <f>정규화데이터!B141</f>
        <v>20260205992569</v>
      </c>
      <c r="C141" t="str">
        <f>정규화데이터!C141</f>
        <v>[워커힐]워커힐 고메 시그니처 양념 본갈비 8팩</v>
      </c>
      <c r="D141">
        <f>정규화데이터!D141</f>
        <v>58481090</v>
      </c>
      <c r="E141" s="16" t="str">
        <f>정규화데이터!E141</f>
        <v>SKU001</v>
      </c>
      <c r="F141" s="3">
        <f>정규화데이터!F141</f>
        <v>1</v>
      </c>
      <c r="G141" s="3">
        <f>정규화데이터!G141</f>
        <v>119000</v>
      </c>
      <c r="H141" s="3">
        <f>정규화데이터!H141</f>
        <v>119000</v>
      </c>
      <c r="I141" s="3">
        <f>정규화데이터!I141</f>
        <v>82110</v>
      </c>
      <c r="J141" s="3">
        <f>정규화데이터!J141</f>
        <v>108181.81818181818</v>
      </c>
      <c r="K141" s="25">
        <f>정규화데이터!K141</f>
        <v>61496</v>
      </c>
      <c r="L141" s="25">
        <f>정규화데이터!L141</f>
        <v>61496</v>
      </c>
      <c r="M141" s="21">
        <f t="shared" si="4"/>
        <v>46685.818181818177</v>
      </c>
      <c r="N141" s="52">
        <f t="shared" si="5"/>
        <v>0.43154957983193276</v>
      </c>
    </row>
    <row r="142" spans="1:14" x14ac:dyDescent="0.3">
      <c r="A142" t="str">
        <f>정규화데이터!A142</f>
        <v>SK스토아</v>
      </c>
      <c r="B142">
        <f>정규화데이터!B142</f>
        <v>20260205992662</v>
      </c>
      <c r="C142" t="str">
        <f>정규화데이터!C142</f>
        <v>[워커힐]워커힐 고메 시그니처 양념 본갈비 8팩</v>
      </c>
      <c r="D142">
        <f>정규화데이터!D142</f>
        <v>58481090</v>
      </c>
      <c r="E142" s="16" t="str">
        <f>정규화데이터!E142</f>
        <v>SKU001</v>
      </c>
      <c r="F142" s="3">
        <f>정규화데이터!F142</f>
        <v>1</v>
      </c>
      <c r="G142" s="3">
        <f>정규화데이터!G142</f>
        <v>119000</v>
      </c>
      <c r="H142" s="3">
        <f>정규화데이터!H142</f>
        <v>119000</v>
      </c>
      <c r="I142" s="3">
        <f>정규화데이터!I142</f>
        <v>82110</v>
      </c>
      <c r="J142" s="3">
        <f>정규화데이터!J142</f>
        <v>108181.81818181818</v>
      </c>
      <c r="K142" s="25">
        <f>정규화데이터!K142</f>
        <v>61496</v>
      </c>
      <c r="L142" s="25">
        <f>정규화데이터!L142</f>
        <v>61496</v>
      </c>
      <c r="M142" s="21">
        <f t="shared" si="4"/>
        <v>46685.818181818177</v>
      </c>
      <c r="N142" s="52">
        <f t="shared" si="5"/>
        <v>0.43154957983193276</v>
      </c>
    </row>
    <row r="143" spans="1:14" x14ac:dyDescent="0.3">
      <c r="A143" t="str">
        <f>정규화데이터!A143</f>
        <v>SK스토아</v>
      </c>
      <c r="B143">
        <f>정규화데이터!B143</f>
        <v>20260205993291</v>
      </c>
      <c r="C143" t="str">
        <f>정규화데이터!C143</f>
        <v>[워커힐]워커힐 고메 시그니처 양념 본갈비 8팩</v>
      </c>
      <c r="D143">
        <f>정규화데이터!D143</f>
        <v>58481090</v>
      </c>
      <c r="E143" s="16" t="str">
        <f>정규화데이터!E143</f>
        <v>SKU001</v>
      </c>
      <c r="F143" s="3">
        <f>정규화데이터!F143</f>
        <v>1</v>
      </c>
      <c r="G143" s="3">
        <f>정규화데이터!G143</f>
        <v>119000</v>
      </c>
      <c r="H143" s="3">
        <f>정규화데이터!H143</f>
        <v>119000</v>
      </c>
      <c r="I143" s="3">
        <f>정규화데이터!I143</f>
        <v>82110</v>
      </c>
      <c r="J143" s="3">
        <f>정규화데이터!J143</f>
        <v>108181.81818181818</v>
      </c>
      <c r="K143" s="25">
        <f>정규화데이터!K143</f>
        <v>61496</v>
      </c>
      <c r="L143" s="25">
        <f>정규화데이터!L143</f>
        <v>61496</v>
      </c>
      <c r="M143" s="21">
        <f t="shared" si="4"/>
        <v>46685.818181818177</v>
      </c>
      <c r="N143" s="52">
        <f t="shared" si="5"/>
        <v>0.43154957983193276</v>
      </c>
    </row>
    <row r="144" spans="1:14" x14ac:dyDescent="0.3">
      <c r="A144" t="str">
        <f>정규화데이터!A144</f>
        <v>SK스토아</v>
      </c>
      <c r="B144">
        <f>정규화데이터!B144</f>
        <v>20260205995260</v>
      </c>
      <c r="C144" t="str">
        <f>정규화데이터!C144</f>
        <v>[워커힐]워커힐 고메 시그니처 양념 본갈비 8팩</v>
      </c>
      <c r="D144">
        <f>정규화데이터!D144</f>
        <v>58481090</v>
      </c>
      <c r="E144" s="16" t="str">
        <f>정규화데이터!E144</f>
        <v>SKU001</v>
      </c>
      <c r="F144" s="3">
        <f>정규화데이터!F144</f>
        <v>1</v>
      </c>
      <c r="G144" s="3">
        <f>정규화데이터!G144</f>
        <v>119000</v>
      </c>
      <c r="H144" s="3">
        <f>정규화데이터!H144</f>
        <v>119000</v>
      </c>
      <c r="I144" s="3">
        <f>정규화데이터!I144</f>
        <v>82110</v>
      </c>
      <c r="J144" s="3">
        <f>정규화데이터!J144</f>
        <v>108181.81818181818</v>
      </c>
      <c r="K144" s="25">
        <f>정규화데이터!K144</f>
        <v>61496</v>
      </c>
      <c r="L144" s="25">
        <f>정규화데이터!L144</f>
        <v>61496</v>
      </c>
      <c r="M144" s="21">
        <f t="shared" si="4"/>
        <v>46685.818181818177</v>
      </c>
      <c r="N144" s="52">
        <f t="shared" si="5"/>
        <v>0.43154957983193276</v>
      </c>
    </row>
    <row r="145" spans="1:14" x14ac:dyDescent="0.3">
      <c r="A145" t="str">
        <f>정규화데이터!A145</f>
        <v>SK스토아</v>
      </c>
      <c r="B145">
        <f>정규화데이터!B145</f>
        <v>20260205995397</v>
      </c>
      <c r="C145" t="str">
        <f>정규화데이터!C145</f>
        <v>[워커힐]워커힐 고메 시그니처 양념 본갈비 8팩</v>
      </c>
      <c r="D145">
        <f>정규화데이터!D145</f>
        <v>58481090</v>
      </c>
      <c r="E145" s="16" t="str">
        <f>정규화데이터!E145</f>
        <v>SKU001</v>
      </c>
      <c r="F145" s="3">
        <f>정규화데이터!F145</f>
        <v>1</v>
      </c>
      <c r="G145" s="3">
        <f>정규화데이터!G145</f>
        <v>119000</v>
      </c>
      <c r="H145" s="3">
        <f>정규화데이터!H145</f>
        <v>119000</v>
      </c>
      <c r="I145" s="3">
        <f>정규화데이터!I145</f>
        <v>82110</v>
      </c>
      <c r="J145" s="3">
        <f>정규화데이터!J145</f>
        <v>108181.81818181818</v>
      </c>
      <c r="K145" s="25">
        <f>정규화데이터!K145</f>
        <v>61496</v>
      </c>
      <c r="L145" s="25">
        <f>정규화데이터!L145</f>
        <v>61496</v>
      </c>
      <c r="M145" s="21">
        <f t="shared" si="4"/>
        <v>46685.818181818177</v>
      </c>
      <c r="N145" s="52">
        <f t="shared" si="5"/>
        <v>0.43154957983193276</v>
      </c>
    </row>
    <row r="146" spans="1:14" x14ac:dyDescent="0.3">
      <c r="A146" t="str">
        <f>정규화데이터!A146</f>
        <v>SK스토아</v>
      </c>
      <c r="B146">
        <f>정규화데이터!B146</f>
        <v>20260205997063</v>
      </c>
      <c r="C146" t="str">
        <f>정규화데이터!C146</f>
        <v>[워커힐]워커힐 고메 시그니처 양념 본갈비 8팩</v>
      </c>
      <c r="D146">
        <f>정규화데이터!D146</f>
        <v>58481090</v>
      </c>
      <c r="E146" s="16" t="str">
        <f>정규화데이터!E146</f>
        <v>SKU001</v>
      </c>
      <c r="F146" s="3">
        <f>정규화데이터!F146</f>
        <v>1</v>
      </c>
      <c r="G146" s="3">
        <f>정규화데이터!G146</f>
        <v>119000</v>
      </c>
      <c r="H146" s="3">
        <f>정규화데이터!H146</f>
        <v>119000</v>
      </c>
      <c r="I146" s="3">
        <f>정규화데이터!I146</f>
        <v>82110</v>
      </c>
      <c r="J146" s="3">
        <f>정규화데이터!J146</f>
        <v>108181.81818181818</v>
      </c>
      <c r="K146" s="25">
        <f>정규화데이터!K146</f>
        <v>61496</v>
      </c>
      <c r="L146" s="25">
        <f>정규화데이터!L146</f>
        <v>61496</v>
      </c>
      <c r="M146" s="21">
        <f t="shared" si="4"/>
        <v>46685.818181818177</v>
      </c>
      <c r="N146" s="52">
        <f t="shared" si="5"/>
        <v>0.43154957983193276</v>
      </c>
    </row>
    <row r="147" spans="1:14" x14ac:dyDescent="0.3">
      <c r="A147" t="str">
        <f>정규화데이터!A147</f>
        <v>SK스토아</v>
      </c>
      <c r="B147">
        <f>정규화데이터!B147</f>
        <v>20260205994666</v>
      </c>
      <c r="C147" t="str">
        <f>정규화데이터!C147</f>
        <v>[워커힐]워커힐 고메 시그니처 양념 본갈비 8팩</v>
      </c>
      <c r="D147">
        <f>정규화데이터!D147</f>
        <v>58481090</v>
      </c>
      <c r="E147" s="16" t="str">
        <f>정규화데이터!E147</f>
        <v>SKU001</v>
      </c>
      <c r="F147" s="3">
        <f>정규화데이터!F147</f>
        <v>1</v>
      </c>
      <c r="G147" s="3">
        <f>정규화데이터!G147</f>
        <v>119000</v>
      </c>
      <c r="H147" s="3">
        <f>정규화데이터!H147</f>
        <v>119000</v>
      </c>
      <c r="I147" s="3">
        <f>정규화데이터!I147</f>
        <v>82110</v>
      </c>
      <c r="J147" s="3">
        <f>정규화데이터!J147</f>
        <v>108181.81818181818</v>
      </c>
      <c r="K147" s="25">
        <f>정규화데이터!K147</f>
        <v>61496</v>
      </c>
      <c r="L147" s="25">
        <f>정규화데이터!L147</f>
        <v>61496</v>
      </c>
      <c r="M147" s="21">
        <f t="shared" si="4"/>
        <v>46685.818181818177</v>
      </c>
      <c r="N147" s="52">
        <f t="shared" si="5"/>
        <v>0.43154957983193276</v>
      </c>
    </row>
    <row r="148" spans="1:14" x14ac:dyDescent="0.3">
      <c r="A148" t="str">
        <f>정규화데이터!A148</f>
        <v>SK스토아</v>
      </c>
      <c r="B148">
        <f>정규화데이터!B148</f>
        <v>20260206628960</v>
      </c>
      <c r="C148" t="str">
        <f>정규화데이터!C148</f>
        <v>[워커힐]워커힐 고메 시그니처 양념 본갈비 8팩</v>
      </c>
      <c r="D148">
        <f>정규화데이터!D148</f>
        <v>58481090</v>
      </c>
      <c r="E148" s="16" t="str">
        <f>정규화데이터!E148</f>
        <v>SKU001</v>
      </c>
      <c r="F148" s="3">
        <f>정규화데이터!F148</f>
        <v>1</v>
      </c>
      <c r="G148" s="3">
        <f>정규화데이터!G148</f>
        <v>119000</v>
      </c>
      <c r="H148" s="3">
        <f>정규화데이터!H148</f>
        <v>119000</v>
      </c>
      <c r="I148" s="3">
        <f>정규화데이터!I148</f>
        <v>82110</v>
      </c>
      <c r="J148" s="3">
        <f>정규화데이터!J148</f>
        <v>108181.81818181818</v>
      </c>
      <c r="K148" s="25">
        <f>정규화데이터!K148</f>
        <v>61496</v>
      </c>
      <c r="L148" s="25">
        <f>정규화데이터!L148</f>
        <v>61496</v>
      </c>
      <c r="M148" s="21">
        <f t="shared" si="4"/>
        <v>46685.818181818177</v>
      </c>
      <c r="N148" s="52">
        <f t="shared" si="5"/>
        <v>0.43154957983193276</v>
      </c>
    </row>
    <row r="149" spans="1:14" x14ac:dyDescent="0.3">
      <c r="A149" t="str">
        <f>정규화데이터!A149</f>
        <v>SK스토아</v>
      </c>
      <c r="B149">
        <f>정규화데이터!B149</f>
        <v>20260205995524</v>
      </c>
      <c r="C149" t="str">
        <f>정규화데이터!C149</f>
        <v>[워커힐]워커힐 고메 시그니처 양념 본갈비 8팩</v>
      </c>
      <c r="D149">
        <f>정규화데이터!D149</f>
        <v>58481090</v>
      </c>
      <c r="E149" s="16" t="str">
        <f>정규화데이터!E149</f>
        <v>SKU001</v>
      </c>
      <c r="F149" s="3">
        <f>정규화데이터!F149</f>
        <v>1</v>
      </c>
      <c r="G149" s="3">
        <f>정규화데이터!G149</f>
        <v>119000</v>
      </c>
      <c r="H149" s="3">
        <f>정규화데이터!H149</f>
        <v>119000</v>
      </c>
      <c r="I149" s="3">
        <f>정규화데이터!I149</f>
        <v>82110</v>
      </c>
      <c r="J149" s="3">
        <f>정규화데이터!J149</f>
        <v>108181.81818181818</v>
      </c>
      <c r="K149" s="25">
        <f>정규화데이터!K149</f>
        <v>61496</v>
      </c>
      <c r="L149" s="25">
        <f>정규화데이터!L149</f>
        <v>61496</v>
      </c>
      <c r="M149" s="21">
        <f t="shared" si="4"/>
        <v>46685.818181818177</v>
      </c>
      <c r="N149" s="52">
        <f t="shared" si="5"/>
        <v>0.43154957983193276</v>
      </c>
    </row>
    <row r="150" spans="1:14" x14ac:dyDescent="0.3">
      <c r="A150" t="str">
        <f>정규화데이터!A150</f>
        <v>SK스토아</v>
      </c>
      <c r="B150">
        <f>정규화데이터!B150</f>
        <v>20260205994107</v>
      </c>
      <c r="C150" t="str">
        <f>정규화데이터!C150</f>
        <v>[워커힐]워커힐 고메 시그니처 양념 본갈비 8팩</v>
      </c>
      <c r="D150">
        <f>정규화데이터!D150</f>
        <v>58481090</v>
      </c>
      <c r="E150" s="16" t="str">
        <f>정규화데이터!E150</f>
        <v>SKU001</v>
      </c>
      <c r="F150" s="3">
        <f>정규화데이터!F150</f>
        <v>1</v>
      </c>
      <c r="G150" s="3">
        <f>정규화데이터!G150</f>
        <v>119000</v>
      </c>
      <c r="H150" s="3">
        <f>정규화데이터!H150</f>
        <v>119000</v>
      </c>
      <c r="I150" s="3">
        <f>정규화데이터!I150</f>
        <v>82110</v>
      </c>
      <c r="J150" s="3">
        <f>정규화데이터!J150</f>
        <v>108181.81818181818</v>
      </c>
      <c r="K150" s="25">
        <f>정규화데이터!K150</f>
        <v>61496</v>
      </c>
      <c r="L150" s="25">
        <f>정규화데이터!L150</f>
        <v>61496</v>
      </c>
      <c r="M150" s="21">
        <f t="shared" si="4"/>
        <v>46685.818181818177</v>
      </c>
      <c r="N150" s="52">
        <f t="shared" si="5"/>
        <v>0.43154957983193276</v>
      </c>
    </row>
    <row r="151" spans="1:14" x14ac:dyDescent="0.3">
      <c r="A151" t="str">
        <f>정규화데이터!A151</f>
        <v>SK스토아</v>
      </c>
      <c r="B151">
        <f>정규화데이터!B151</f>
        <v>20260205995032</v>
      </c>
      <c r="C151" t="str">
        <f>정규화데이터!C151</f>
        <v>[워커힐]워커힐 고메 시그니처 양념 본갈비 8팩</v>
      </c>
      <c r="D151">
        <f>정규화데이터!D151</f>
        <v>58481090</v>
      </c>
      <c r="E151" s="16" t="str">
        <f>정규화데이터!E151</f>
        <v>SKU001</v>
      </c>
      <c r="F151" s="3">
        <f>정규화데이터!F151</f>
        <v>1</v>
      </c>
      <c r="G151" s="3">
        <f>정규화데이터!G151</f>
        <v>119000</v>
      </c>
      <c r="H151" s="3">
        <f>정규화데이터!H151</f>
        <v>119000</v>
      </c>
      <c r="I151" s="3">
        <f>정규화데이터!I151</f>
        <v>82110</v>
      </c>
      <c r="J151" s="3">
        <f>정규화데이터!J151</f>
        <v>108181.81818181818</v>
      </c>
      <c r="K151" s="25">
        <f>정규화데이터!K151</f>
        <v>61496</v>
      </c>
      <c r="L151" s="25">
        <f>정규화데이터!L151</f>
        <v>61496</v>
      </c>
      <c r="M151" s="21">
        <f t="shared" si="4"/>
        <v>46685.818181818177</v>
      </c>
      <c r="N151" s="52">
        <f t="shared" si="5"/>
        <v>0.43154957983193276</v>
      </c>
    </row>
    <row r="152" spans="1:14" x14ac:dyDescent="0.3">
      <c r="A152" t="str">
        <f>정규화데이터!A152</f>
        <v>SK스토아</v>
      </c>
      <c r="B152">
        <f>정규화데이터!B152</f>
        <v>20260205995095</v>
      </c>
      <c r="C152" t="str">
        <f>정규화데이터!C152</f>
        <v>[워커힐]워커힐 고메 시그니처 양념 본갈비 8팩</v>
      </c>
      <c r="D152">
        <f>정규화데이터!D152</f>
        <v>58481090</v>
      </c>
      <c r="E152" s="16" t="str">
        <f>정규화데이터!E152</f>
        <v>SKU001</v>
      </c>
      <c r="F152" s="3">
        <f>정규화데이터!F152</f>
        <v>1</v>
      </c>
      <c r="G152" s="3">
        <f>정규화데이터!G152</f>
        <v>119000</v>
      </c>
      <c r="H152" s="3">
        <f>정규화데이터!H152</f>
        <v>119000</v>
      </c>
      <c r="I152" s="3">
        <f>정규화데이터!I152</f>
        <v>82110</v>
      </c>
      <c r="J152" s="3">
        <f>정규화데이터!J152</f>
        <v>108181.81818181818</v>
      </c>
      <c r="K152" s="25">
        <f>정규화데이터!K152</f>
        <v>61496</v>
      </c>
      <c r="L152" s="25">
        <f>정규화데이터!L152</f>
        <v>61496</v>
      </c>
      <c r="M152" s="21">
        <f t="shared" si="4"/>
        <v>46685.818181818177</v>
      </c>
      <c r="N152" s="52">
        <f t="shared" si="5"/>
        <v>0.43154957983193276</v>
      </c>
    </row>
    <row r="153" spans="1:14" x14ac:dyDescent="0.3">
      <c r="A153" t="str">
        <f>정규화데이터!A153</f>
        <v>SK스토아</v>
      </c>
      <c r="B153">
        <f>정규화데이터!B153</f>
        <v>20260205994275</v>
      </c>
      <c r="C153" t="str">
        <f>정규화데이터!C153</f>
        <v>[워커힐]워커힐 고메 시그니처 양념 본갈비 8팩</v>
      </c>
      <c r="D153">
        <f>정규화데이터!D153</f>
        <v>58481090</v>
      </c>
      <c r="E153" s="16" t="str">
        <f>정규화데이터!E153</f>
        <v>SKU001</v>
      </c>
      <c r="F153" s="3">
        <f>정규화데이터!F153</f>
        <v>1</v>
      </c>
      <c r="G153" s="3">
        <f>정규화데이터!G153</f>
        <v>119000</v>
      </c>
      <c r="H153" s="3">
        <f>정규화데이터!H153</f>
        <v>119000</v>
      </c>
      <c r="I153" s="3">
        <f>정규화데이터!I153</f>
        <v>82110</v>
      </c>
      <c r="J153" s="3">
        <f>정규화데이터!J153</f>
        <v>108181.81818181818</v>
      </c>
      <c r="K153" s="25">
        <f>정규화데이터!K153</f>
        <v>61496</v>
      </c>
      <c r="L153" s="25">
        <f>정규화데이터!L153</f>
        <v>61496</v>
      </c>
      <c r="M153" s="21">
        <f t="shared" si="4"/>
        <v>46685.818181818177</v>
      </c>
      <c r="N153" s="52">
        <f t="shared" si="5"/>
        <v>0.43154957983193276</v>
      </c>
    </row>
    <row r="154" spans="1:14" x14ac:dyDescent="0.3">
      <c r="A154" t="str">
        <f>정규화데이터!A154</f>
        <v>SK스토아</v>
      </c>
      <c r="B154">
        <f>정규화데이터!B154</f>
        <v>20260205994238</v>
      </c>
      <c r="C154" t="str">
        <f>정규화데이터!C154</f>
        <v>[워커힐]워커힐 고메 시그니처 양념 본갈비 8팩</v>
      </c>
      <c r="D154">
        <f>정규화데이터!D154</f>
        <v>58481090</v>
      </c>
      <c r="E154" s="16" t="str">
        <f>정규화데이터!E154</f>
        <v>SKU001</v>
      </c>
      <c r="F154" s="3">
        <f>정규화데이터!F154</f>
        <v>1</v>
      </c>
      <c r="G154" s="3">
        <f>정규화데이터!G154</f>
        <v>119000</v>
      </c>
      <c r="H154" s="3">
        <f>정규화데이터!H154</f>
        <v>119000</v>
      </c>
      <c r="I154" s="3">
        <f>정규화데이터!I154</f>
        <v>82110</v>
      </c>
      <c r="J154" s="3">
        <f>정규화데이터!J154</f>
        <v>108181.81818181818</v>
      </c>
      <c r="K154" s="25">
        <f>정규화데이터!K154</f>
        <v>61496</v>
      </c>
      <c r="L154" s="25">
        <f>정규화데이터!L154</f>
        <v>61496</v>
      </c>
      <c r="M154" s="21">
        <f t="shared" si="4"/>
        <v>46685.818181818177</v>
      </c>
      <c r="N154" s="52">
        <f t="shared" si="5"/>
        <v>0.43154957983193276</v>
      </c>
    </row>
    <row r="155" spans="1:14" x14ac:dyDescent="0.3">
      <c r="A155" t="str">
        <f>정규화데이터!A155</f>
        <v>SK스토아</v>
      </c>
      <c r="B155">
        <f>정규화데이터!B155</f>
        <v>20260206629059</v>
      </c>
      <c r="C155" t="str">
        <f>정규화데이터!C155</f>
        <v>[워커힐]워커힐 고메 시그니처 양념 본갈비 8팩</v>
      </c>
      <c r="D155">
        <f>정규화데이터!D155</f>
        <v>58481090</v>
      </c>
      <c r="E155" s="16" t="str">
        <f>정규화데이터!E155</f>
        <v>SKU001</v>
      </c>
      <c r="F155" s="3">
        <f>정규화데이터!F155</f>
        <v>1</v>
      </c>
      <c r="G155" s="3">
        <f>정규화데이터!G155</f>
        <v>119000</v>
      </c>
      <c r="H155" s="3">
        <f>정규화데이터!H155</f>
        <v>119000</v>
      </c>
      <c r="I155" s="3">
        <f>정규화데이터!I155</f>
        <v>82110</v>
      </c>
      <c r="J155" s="3">
        <f>정규화데이터!J155</f>
        <v>108181.81818181818</v>
      </c>
      <c r="K155" s="25">
        <f>정규화데이터!K155</f>
        <v>61496</v>
      </c>
      <c r="L155" s="25">
        <f>정규화데이터!L155</f>
        <v>61496</v>
      </c>
      <c r="M155" s="21">
        <f t="shared" si="4"/>
        <v>46685.818181818177</v>
      </c>
      <c r="N155" s="52">
        <f t="shared" si="5"/>
        <v>0.43154957983193276</v>
      </c>
    </row>
    <row r="156" spans="1:14" x14ac:dyDescent="0.3">
      <c r="A156" t="str">
        <f>정규화데이터!A156</f>
        <v>SK스토아</v>
      </c>
      <c r="B156">
        <f>정규화데이터!B156</f>
        <v>20260205997716</v>
      </c>
      <c r="C156" t="str">
        <f>정규화데이터!C156</f>
        <v>[워커힐]워커힐 고메 시그니처 양념 본갈비 8팩</v>
      </c>
      <c r="D156">
        <f>정규화데이터!D156</f>
        <v>58481090</v>
      </c>
      <c r="E156" s="16" t="str">
        <f>정규화데이터!E156</f>
        <v>SKU001</v>
      </c>
      <c r="F156" s="3">
        <f>정규화데이터!F156</f>
        <v>1</v>
      </c>
      <c r="G156" s="3">
        <f>정규화데이터!G156</f>
        <v>119000</v>
      </c>
      <c r="H156" s="3">
        <f>정규화데이터!H156</f>
        <v>114000</v>
      </c>
      <c r="I156" s="3">
        <f>정규화데이터!I156</f>
        <v>82110</v>
      </c>
      <c r="J156" s="3">
        <f>정규화데이터!J156</f>
        <v>103636.36363636365</v>
      </c>
      <c r="K156" s="25">
        <f>정규화데이터!K156</f>
        <v>61496</v>
      </c>
      <c r="L156" s="25">
        <f>정규화데이터!L156</f>
        <v>61496</v>
      </c>
      <c r="M156" s="21">
        <f t="shared" si="4"/>
        <v>42140.363636363647</v>
      </c>
      <c r="N156" s="52">
        <f t="shared" si="5"/>
        <v>0.40661754385964921</v>
      </c>
    </row>
    <row r="157" spans="1:14" x14ac:dyDescent="0.3">
      <c r="A157" t="str">
        <f>정규화데이터!A157</f>
        <v>SK스토아</v>
      </c>
      <c r="B157">
        <f>정규화데이터!B157</f>
        <v>20260205994854</v>
      </c>
      <c r="C157" t="str">
        <f>정규화데이터!C157</f>
        <v>[워커힐]워커힐 고메 시그니처 양념 본갈비 8팩</v>
      </c>
      <c r="D157">
        <f>정규화데이터!D157</f>
        <v>58481090</v>
      </c>
      <c r="E157" s="16" t="str">
        <f>정규화데이터!E157</f>
        <v>SKU001</v>
      </c>
      <c r="F157" s="3">
        <f>정규화데이터!F157</f>
        <v>1</v>
      </c>
      <c r="G157" s="3">
        <f>정규화데이터!G157</f>
        <v>119000</v>
      </c>
      <c r="H157" s="3">
        <f>정규화데이터!H157</f>
        <v>119000</v>
      </c>
      <c r="I157" s="3">
        <f>정규화데이터!I157</f>
        <v>82110</v>
      </c>
      <c r="J157" s="3">
        <f>정규화데이터!J157</f>
        <v>108181.81818181818</v>
      </c>
      <c r="K157" s="25">
        <f>정규화데이터!K157</f>
        <v>61496</v>
      </c>
      <c r="L157" s="25">
        <f>정규화데이터!L157</f>
        <v>61496</v>
      </c>
      <c r="M157" s="21">
        <f t="shared" si="4"/>
        <v>46685.818181818177</v>
      </c>
      <c r="N157" s="52">
        <f t="shared" si="5"/>
        <v>0.43154957983193276</v>
      </c>
    </row>
    <row r="158" spans="1:14" x14ac:dyDescent="0.3">
      <c r="A158" t="str">
        <f>정규화데이터!A158</f>
        <v>SK스토아</v>
      </c>
      <c r="B158">
        <f>정규화데이터!B158</f>
        <v>20260205995046</v>
      </c>
      <c r="C158" t="str">
        <f>정규화데이터!C158</f>
        <v>[워커힐]워커힐 고메 시그니처 양념 본갈비 8팩</v>
      </c>
      <c r="D158">
        <f>정규화데이터!D158</f>
        <v>58481090</v>
      </c>
      <c r="E158" s="16" t="str">
        <f>정규화데이터!E158</f>
        <v>SKU001</v>
      </c>
      <c r="F158" s="3">
        <f>정규화데이터!F158</f>
        <v>1</v>
      </c>
      <c r="G158" s="3">
        <f>정규화데이터!G158</f>
        <v>119000</v>
      </c>
      <c r="H158" s="3">
        <f>정규화데이터!H158</f>
        <v>119000</v>
      </c>
      <c r="I158" s="3">
        <f>정규화데이터!I158</f>
        <v>82110</v>
      </c>
      <c r="J158" s="3">
        <f>정규화데이터!J158</f>
        <v>108181.81818181818</v>
      </c>
      <c r="K158" s="25">
        <f>정규화데이터!K158</f>
        <v>61496</v>
      </c>
      <c r="L158" s="25">
        <f>정규화데이터!L158</f>
        <v>61496</v>
      </c>
      <c r="M158" s="21">
        <f t="shared" si="4"/>
        <v>46685.818181818177</v>
      </c>
      <c r="N158" s="52">
        <f t="shared" si="5"/>
        <v>0.43154957983193276</v>
      </c>
    </row>
    <row r="159" spans="1:14" x14ac:dyDescent="0.3">
      <c r="A159" t="str">
        <f>정규화데이터!A159</f>
        <v>SK스토아</v>
      </c>
      <c r="B159">
        <f>정규화데이터!B159</f>
        <v>20260205992812</v>
      </c>
      <c r="C159" t="str">
        <f>정규화데이터!C159</f>
        <v>[워커힐]워커힐 고메 시그니처 양념 본갈비 8팩</v>
      </c>
      <c r="D159">
        <f>정규화데이터!D159</f>
        <v>58481090</v>
      </c>
      <c r="E159" s="16" t="str">
        <f>정규화데이터!E159</f>
        <v>SKU001</v>
      </c>
      <c r="F159" s="3">
        <f>정규화데이터!F159</f>
        <v>1</v>
      </c>
      <c r="G159" s="3">
        <f>정규화데이터!G159</f>
        <v>119000</v>
      </c>
      <c r="H159" s="3">
        <f>정규화데이터!H159</f>
        <v>119000</v>
      </c>
      <c r="I159" s="3">
        <f>정규화데이터!I159</f>
        <v>82110</v>
      </c>
      <c r="J159" s="3">
        <f>정규화데이터!J159</f>
        <v>108181.81818181818</v>
      </c>
      <c r="K159" s="25">
        <f>정규화데이터!K159</f>
        <v>61496</v>
      </c>
      <c r="L159" s="25">
        <f>정규화데이터!L159</f>
        <v>61496</v>
      </c>
      <c r="M159" s="21">
        <f t="shared" si="4"/>
        <v>46685.818181818177</v>
      </c>
      <c r="N159" s="52">
        <f t="shared" si="5"/>
        <v>0.43154957983193276</v>
      </c>
    </row>
    <row r="160" spans="1:14" x14ac:dyDescent="0.3">
      <c r="A160" t="str">
        <f>정규화데이터!A160</f>
        <v>SK스토아</v>
      </c>
      <c r="B160">
        <f>정규화데이터!B160</f>
        <v>20260205993048</v>
      </c>
      <c r="C160" t="str">
        <f>정규화데이터!C160</f>
        <v>[워커힐]워커힐 고메 시그니처 양념 본갈비 8팩</v>
      </c>
      <c r="D160">
        <f>정규화데이터!D160</f>
        <v>58481090</v>
      </c>
      <c r="E160" s="16" t="str">
        <f>정규화데이터!E160</f>
        <v>SKU001</v>
      </c>
      <c r="F160" s="3">
        <f>정규화데이터!F160</f>
        <v>1</v>
      </c>
      <c r="G160" s="3">
        <f>정규화데이터!G160</f>
        <v>119000</v>
      </c>
      <c r="H160" s="3">
        <f>정규화데이터!H160</f>
        <v>119000</v>
      </c>
      <c r="I160" s="3">
        <f>정규화데이터!I160</f>
        <v>82110</v>
      </c>
      <c r="J160" s="3">
        <f>정규화데이터!J160</f>
        <v>108181.81818181818</v>
      </c>
      <c r="K160" s="25">
        <f>정규화데이터!K160</f>
        <v>61496</v>
      </c>
      <c r="L160" s="25">
        <f>정규화데이터!L160</f>
        <v>61496</v>
      </c>
      <c r="M160" s="21">
        <f t="shared" si="4"/>
        <v>46685.818181818177</v>
      </c>
      <c r="N160" s="52">
        <f t="shared" si="5"/>
        <v>0.43154957983193276</v>
      </c>
    </row>
    <row r="161" spans="1:14" x14ac:dyDescent="0.3">
      <c r="A161" t="str">
        <f>정규화데이터!A161</f>
        <v>SK스토아</v>
      </c>
      <c r="B161">
        <f>정규화데이터!B161</f>
        <v>20260205993092</v>
      </c>
      <c r="C161" t="str">
        <f>정규화데이터!C161</f>
        <v>[워커힐]워커힐 고메 시그니처 양념 본갈비 8팩</v>
      </c>
      <c r="D161">
        <f>정규화데이터!D161</f>
        <v>58481090</v>
      </c>
      <c r="E161" s="16" t="str">
        <f>정규화데이터!E161</f>
        <v>SKU001</v>
      </c>
      <c r="F161" s="3">
        <f>정규화데이터!F161</f>
        <v>1</v>
      </c>
      <c r="G161" s="3">
        <f>정규화데이터!G161</f>
        <v>119000</v>
      </c>
      <c r="H161" s="3">
        <f>정규화데이터!H161</f>
        <v>119000</v>
      </c>
      <c r="I161" s="3">
        <f>정규화데이터!I161</f>
        <v>82110</v>
      </c>
      <c r="J161" s="3">
        <f>정규화데이터!J161</f>
        <v>108181.81818181818</v>
      </c>
      <c r="K161" s="25">
        <f>정규화데이터!K161</f>
        <v>61496</v>
      </c>
      <c r="L161" s="25">
        <f>정규화데이터!L161</f>
        <v>61496</v>
      </c>
      <c r="M161" s="21">
        <f t="shared" si="4"/>
        <v>46685.818181818177</v>
      </c>
      <c r="N161" s="52">
        <f t="shared" si="5"/>
        <v>0.43154957983193276</v>
      </c>
    </row>
    <row r="162" spans="1:14" x14ac:dyDescent="0.3">
      <c r="A162" t="str">
        <f>정규화데이터!A162</f>
        <v>SK스토아</v>
      </c>
      <c r="B162">
        <f>정규화데이터!B162</f>
        <v>20260205993598</v>
      </c>
      <c r="C162" t="str">
        <f>정규화데이터!C162</f>
        <v>[워커힐]워커힐 고메 시그니처 양념 본갈비 8팩</v>
      </c>
      <c r="D162">
        <f>정규화데이터!D162</f>
        <v>58481090</v>
      </c>
      <c r="E162" s="16" t="str">
        <f>정규화데이터!E162</f>
        <v>SKU001</v>
      </c>
      <c r="F162" s="3">
        <f>정규화데이터!F162</f>
        <v>1</v>
      </c>
      <c r="G162" s="3">
        <f>정규화데이터!G162</f>
        <v>119000</v>
      </c>
      <c r="H162" s="3">
        <f>정규화데이터!H162</f>
        <v>119000</v>
      </c>
      <c r="I162" s="3">
        <f>정규화데이터!I162</f>
        <v>82110</v>
      </c>
      <c r="J162" s="3">
        <f>정규화데이터!J162</f>
        <v>108181.81818181818</v>
      </c>
      <c r="K162" s="25">
        <f>정규화데이터!K162</f>
        <v>61496</v>
      </c>
      <c r="L162" s="25">
        <f>정규화데이터!L162</f>
        <v>61496</v>
      </c>
      <c r="M162" s="21">
        <f t="shared" si="4"/>
        <v>46685.818181818177</v>
      </c>
      <c r="N162" s="52">
        <f t="shared" si="5"/>
        <v>0.43154957983193276</v>
      </c>
    </row>
    <row r="163" spans="1:14" x14ac:dyDescent="0.3">
      <c r="A163" t="str">
        <f>정규화데이터!A163</f>
        <v>SK스토아</v>
      </c>
      <c r="B163">
        <f>정규화데이터!B163</f>
        <v>20260205995045</v>
      </c>
      <c r="C163" t="str">
        <f>정규화데이터!C163</f>
        <v>[워커힐]워커힐 고메 시그니처 양념 본갈비 8팩</v>
      </c>
      <c r="D163">
        <f>정규화데이터!D163</f>
        <v>58481090</v>
      </c>
      <c r="E163" s="16" t="str">
        <f>정규화데이터!E163</f>
        <v>SKU001</v>
      </c>
      <c r="F163" s="3">
        <f>정규화데이터!F163</f>
        <v>1</v>
      </c>
      <c r="G163" s="3">
        <f>정규화데이터!G163</f>
        <v>119000</v>
      </c>
      <c r="H163" s="3">
        <f>정규화데이터!H163</f>
        <v>119000</v>
      </c>
      <c r="I163" s="3">
        <f>정규화데이터!I163</f>
        <v>82110</v>
      </c>
      <c r="J163" s="3">
        <f>정규화데이터!J163</f>
        <v>108181.81818181818</v>
      </c>
      <c r="K163" s="25">
        <f>정규화데이터!K163</f>
        <v>61496</v>
      </c>
      <c r="L163" s="25">
        <f>정규화데이터!L163</f>
        <v>61496</v>
      </c>
      <c r="M163" s="21">
        <f t="shared" si="4"/>
        <v>46685.818181818177</v>
      </c>
      <c r="N163" s="52">
        <f t="shared" si="5"/>
        <v>0.43154957983193276</v>
      </c>
    </row>
    <row r="164" spans="1:14" x14ac:dyDescent="0.3">
      <c r="A164" t="str">
        <f>정규화데이터!A164</f>
        <v>SK스토아</v>
      </c>
      <c r="B164">
        <f>정규화데이터!B164</f>
        <v>20260205993918</v>
      </c>
      <c r="C164" t="str">
        <f>정규화데이터!C164</f>
        <v>[워커힐]워커힐 고메 시그니처 양념 본갈비 8팩</v>
      </c>
      <c r="D164">
        <f>정규화데이터!D164</f>
        <v>58481090</v>
      </c>
      <c r="E164" s="16" t="str">
        <f>정규화데이터!E164</f>
        <v>SKU001</v>
      </c>
      <c r="F164" s="3">
        <f>정규화데이터!F164</f>
        <v>1</v>
      </c>
      <c r="G164" s="3">
        <f>정규화데이터!G164</f>
        <v>119000</v>
      </c>
      <c r="H164" s="3">
        <f>정규화데이터!H164</f>
        <v>99960</v>
      </c>
      <c r="I164" s="3">
        <f>정규화데이터!I164</f>
        <v>82110</v>
      </c>
      <c r="J164" s="3">
        <f>정규화데이터!J164</f>
        <v>90872.727272727265</v>
      </c>
      <c r="K164" s="25">
        <f>정규화데이터!K164</f>
        <v>61496</v>
      </c>
      <c r="L164" s="25">
        <f>정규화데이터!L164</f>
        <v>61496</v>
      </c>
      <c r="M164" s="21">
        <f t="shared" si="4"/>
        <v>29376.727272727265</v>
      </c>
      <c r="N164" s="52">
        <f t="shared" si="5"/>
        <v>0.32327330932372944</v>
      </c>
    </row>
    <row r="165" spans="1:14" x14ac:dyDescent="0.3">
      <c r="A165" t="str">
        <f>정규화데이터!A165</f>
        <v>SK스토아</v>
      </c>
      <c r="B165">
        <f>정규화데이터!B165</f>
        <v>20260205995159</v>
      </c>
      <c r="C165" t="str">
        <f>정규화데이터!C165</f>
        <v>[워커힐]워커힐 고메 시그니처 양념 본갈비 8팩</v>
      </c>
      <c r="D165">
        <f>정규화데이터!D165</f>
        <v>58481090</v>
      </c>
      <c r="E165" s="16" t="str">
        <f>정규화데이터!E165</f>
        <v>SKU001</v>
      </c>
      <c r="F165" s="3">
        <f>정규화데이터!F165</f>
        <v>1</v>
      </c>
      <c r="G165" s="3">
        <f>정규화데이터!G165</f>
        <v>119000</v>
      </c>
      <c r="H165" s="3">
        <f>정규화데이터!H165</f>
        <v>119000</v>
      </c>
      <c r="I165" s="3">
        <f>정규화데이터!I165</f>
        <v>82110</v>
      </c>
      <c r="J165" s="3">
        <f>정규화데이터!J165</f>
        <v>108181.81818181818</v>
      </c>
      <c r="K165" s="25">
        <f>정규화데이터!K165</f>
        <v>61496</v>
      </c>
      <c r="L165" s="25">
        <f>정규화데이터!L165</f>
        <v>61496</v>
      </c>
      <c r="M165" s="21">
        <f t="shared" si="4"/>
        <v>46685.818181818177</v>
      </c>
      <c r="N165" s="52">
        <f t="shared" si="5"/>
        <v>0.43154957983193276</v>
      </c>
    </row>
    <row r="166" spans="1:14" x14ac:dyDescent="0.3">
      <c r="A166" t="str">
        <f>정규화데이터!A166</f>
        <v>SK스토아</v>
      </c>
      <c r="B166">
        <f>정규화데이터!B166</f>
        <v>20260205995312</v>
      </c>
      <c r="C166" t="str">
        <f>정규화데이터!C166</f>
        <v>[워커힐]워커힐 고메 시그니처 양념 본갈비 8팩</v>
      </c>
      <c r="D166">
        <f>정규화데이터!D166</f>
        <v>58481090</v>
      </c>
      <c r="E166" s="16" t="str">
        <f>정규화데이터!E166</f>
        <v>SKU001</v>
      </c>
      <c r="F166" s="3">
        <f>정규화데이터!F166</f>
        <v>1</v>
      </c>
      <c r="G166" s="3">
        <f>정규화데이터!G166</f>
        <v>119000</v>
      </c>
      <c r="H166" s="3">
        <f>정규화데이터!H166</f>
        <v>119000</v>
      </c>
      <c r="I166" s="3">
        <f>정규화데이터!I166</f>
        <v>82110</v>
      </c>
      <c r="J166" s="3">
        <f>정규화데이터!J166</f>
        <v>108181.81818181818</v>
      </c>
      <c r="K166" s="25">
        <f>정규화데이터!K166</f>
        <v>61496</v>
      </c>
      <c r="L166" s="25">
        <f>정규화데이터!L166</f>
        <v>61496</v>
      </c>
      <c r="M166" s="21">
        <f t="shared" si="4"/>
        <v>46685.818181818177</v>
      </c>
      <c r="N166" s="52">
        <f t="shared" si="5"/>
        <v>0.43154957983193276</v>
      </c>
    </row>
    <row r="167" spans="1:14" x14ac:dyDescent="0.3">
      <c r="A167" t="str">
        <f>정규화데이터!A167</f>
        <v>SK스토아</v>
      </c>
      <c r="B167">
        <f>정규화데이터!B167</f>
        <v>20260205994825</v>
      </c>
      <c r="C167" t="str">
        <f>정규화데이터!C167</f>
        <v>[워커힐]워커힐 고메 시그니처 양념 본갈비 8팩</v>
      </c>
      <c r="D167">
        <f>정규화데이터!D167</f>
        <v>58481090</v>
      </c>
      <c r="E167" s="16" t="str">
        <f>정규화데이터!E167</f>
        <v>SKU001</v>
      </c>
      <c r="F167" s="3">
        <f>정규화데이터!F167</f>
        <v>1</v>
      </c>
      <c r="G167" s="3">
        <f>정규화데이터!G167</f>
        <v>119000</v>
      </c>
      <c r="H167" s="3">
        <f>정규화데이터!H167</f>
        <v>119000</v>
      </c>
      <c r="I167" s="3">
        <f>정규화데이터!I167</f>
        <v>82110</v>
      </c>
      <c r="J167" s="3">
        <f>정규화데이터!J167</f>
        <v>108181.81818181818</v>
      </c>
      <c r="K167" s="25">
        <f>정규화데이터!K167</f>
        <v>61496</v>
      </c>
      <c r="L167" s="25">
        <f>정규화데이터!L167</f>
        <v>61496</v>
      </c>
      <c r="M167" s="21">
        <f t="shared" si="4"/>
        <v>46685.818181818177</v>
      </c>
      <c r="N167" s="52">
        <f t="shared" si="5"/>
        <v>0.43154957983193276</v>
      </c>
    </row>
    <row r="168" spans="1:14" x14ac:dyDescent="0.3">
      <c r="A168" t="str">
        <f>정규화데이터!A168</f>
        <v>SK스토아</v>
      </c>
      <c r="B168">
        <f>정규화데이터!B168</f>
        <v>20260205994949</v>
      </c>
      <c r="C168" t="str">
        <f>정규화데이터!C168</f>
        <v>[워커힐]워커힐 고메 시그니처 양념 본갈비 8팩</v>
      </c>
      <c r="D168">
        <f>정규화데이터!D168</f>
        <v>58481090</v>
      </c>
      <c r="E168" s="16" t="str">
        <f>정규화데이터!E168</f>
        <v>SKU001</v>
      </c>
      <c r="F168" s="3">
        <f>정규화데이터!F168</f>
        <v>1</v>
      </c>
      <c r="G168" s="3">
        <f>정규화데이터!G168</f>
        <v>119000</v>
      </c>
      <c r="H168" s="3">
        <f>정규화데이터!H168</f>
        <v>103550</v>
      </c>
      <c r="I168" s="3">
        <f>정규화데이터!I168</f>
        <v>82110</v>
      </c>
      <c r="J168" s="3">
        <f>정규화데이터!J168</f>
        <v>94136.363636363647</v>
      </c>
      <c r="K168" s="25">
        <f>정규화데이터!K168</f>
        <v>61496</v>
      </c>
      <c r="L168" s="25">
        <f>정규화데이터!L168</f>
        <v>61496</v>
      </c>
      <c r="M168" s="21">
        <f t="shared" si="4"/>
        <v>32640.363636363647</v>
      </c>
      <c r="N168" s="52">
        <f t="shared" si="5"/>
        <v>0.3467349106711734</v>
      </c>
    </row>
    <row r="169" spans="1:14" x14ac:dyDescent="0.3">
      <c r="A169" t="str">
        <f>정규화데이터!A169</f>
        <v>SK스토아</v>
      </c>
      <c r="B169">
        <f>정규화데이터!B169</f>
        <v>20260205994979</v>
      </c>
      <c r="C169" t="str">
        <f>정규화데이터!C169</f>
        <v>[워커힐]워커힐 고메 시그니처 양념 본갈비 8팩</v>
      </c>
      <c r="D169">
        <f>정규화데이터!D169</f>
        <v>58481090</v>
      </c>
      <c r="E169" s="16" t="str">
        <f>정규화데이터!E169</f>
        <v>SKU001</v>
      </c>
      <c r="F169" s="3">
        <f>정규화데이터!F169</f>
        <v>1</v>
      </c>
      <c r="G169" s="3">
        <f>정규화데이터!G169</f>
        <v>119000</v>
      </c>
      <c r="H169" s="3">
        <f>정규화데이터!H169</f>
        <v>119000</v>
      </c>
      <c r="I169" s="3">
        <f>정규화데이터!I169</f>
        <v>82110</v>
      </c>
      <c r="J169" s="3">
        <f>정규화데이터!J169</f>
        <v>108181.81818181818</v>
      </c>
      <c r="K169" s="25">
        <f>정규화데이터!K169</f>
        <v>61496</v>
      </c>
      <c r="L169" s="25">
        <f>정규화데이터!L169</f>
        <v>61496</v>
      </c>
      <c r="M169" s="21">
        <f t="shared" si="4"/>
        <v>46685.818181818177</v>
      </c>
      <c r="N169" s="52">
        <f t="shared" si="5"/>
        <v>0.43154957983193276</v>
      </c>
    </row>
    <row r="170" spans="1:14" x14ac:dyDescent="0.3">
      <c r="A170" t="str">
        <f>정규화데이터!A170</f>
        <v>SK스토아</v>
      </c>
      <c r="B170">
        <f>정규화데이터!B170</f>
        <v>20260205993513</v>
      </c>
      <c r="C170" t="str">
        <f>정규화데이터!C170</f>
        <v>[워커힐]워커힐 고메 시그니처 양념 본갈비 8팩</v>
      </c>
      <c r="D170">
        <f>정규화데이터!D170</f>
        <v>58481090</v>
      </c>
      <c r="E170" s="16" t="str">
        <f>정규화데이터!E170</f>
        <v>SKU001</v>
      </c>
      <c r="F170" s="3">
        <f>정규화데이터!F170</f>
        <v>1</v>
      </c>
      <c r="G170" s="3">
        <f>정규화데이터!G170</f>
        <v>119000</v>
      </c>
      <c r="H170" s="3">
        <f>정규화데이터!H170</f>
        <v>96390</v>
      </c>
      <c r="I170" s="3">
        <f>정규화데이터!I170</f>
        <v>82110</v>
      </c>
      <c r="J170" s="3">
        <f>정규화데이터!J170</f>
        <v>87627.272727272721</v>
      </c>
      <c r="K170" s="25">
        <f>정규화데이터!K170</f>
        <v>61496</v>
      </c>
      <c r="L170" s="25">
        <f>정규화데이터!L170</f>
        <v>61496</v>
      </c>
      <c r="M170" s="21">
        <f t="shared" si="4"/>
        <v>26131.272727272721</v>
      </c>
      <c r="N170" s="52">
        <f t="shared" si="5"/>
        <v>0.29820935781720093</v>
      </c>
    </row>
    <row r="171" spans="1:14" x14ac:dyDescent="0.3">
      <c r="A171" t="str">
        <f>정규화데이터!A171</f>
        <v>SK스토아</v>
      </c>
      <c r="B171">
        <f>정규화데이터!B171</f>
        <v>20260205995604</v>
      </c>
      <c r="C171" t="str">
        <f>정규화데이터!C171</f>
        <v>[워커힐]워커힐 고메 시그니처 양념 본갈비 8팩</v>
      </c>
      <c r="D171">
        <f>정규화데이터!D171</f>
        <v>58481090</v>
      </c>
      <c r="E171" s="16" t="str">
        <f>정규화데이터!E171</f>
        <v>SKU001</v>
      </c>
      <c r="F171" s="3">
        <f>정규화데이터!F171</f>
        <v>1</v>
      </c>
      <c r="G171" s="3">
        <f>정규화데이터!G171</f>
        <v>119000</v>
      </c>
      <c r="H171" s="3">
        <f>정규화데이터!H171</f>
        <v>119000</v>
      </c>
      <c r="I171" s="3">
        <f>정규화데이터!I171</f>
        <v>82110</v>
      </c>
      <c r="J171" s="3">
        <f>정규화데이터!J171</f>
        <v>108181.81818181818</v>
      </c>
      <c r="K171" s="25">
        <f>정규화데이터!K171</f>
        <v>61496</v>
      </c>
      <c r="L171" s="25">
        <f>정규화데이터!L171</f>
        <v>61496</v>
      </c>
      <c r="M171" s="21">
        <f t="shared" si="4"/>
        <v>46685.818181818177</v>
      </c>
      <c r="N171" s="52">
        <f t="shared" si="5"/>
        <v>0.43154957983193276</v>
      </c>
    </row>
    <row r="172" spans="1:14" x14ac:dyDescent="0.3">
      <c r="A172" t="str">
        <f>정규화데이터!A172</f>
        <v>SK스토아</v>
      </c>
      <c r="B172">
        <f>정규화데이터!B172</f>
        <v>20260205995517</v>
      </c>
      <c r="C172" t="str">
        <f>정규화데이터!C172</f>
        <v>[워커힐]워커힐 고메 시그니처 양념 본갈비 8팩</v>
      </c>
      <c r="D172">
        <f>정규화데이터!D172</f>
        <v>58481090</v>
      </c>
      <c r="E172" s="16" t="str">
        <f>정규화데이터!E172</f>
        <v>SKU001</v>
      </c>
      <c r="F172" s="3">
        <f>정규화데이터!F172</f>
        <v>1</v>
      </c>
      <c r="G172" s="3">
        <f>정규화데이터!G172</f>
        <v>119000</v>
      </c>
      <c r="H172" s="3">
        <f>정규화데이터!H172</f>
        <v>105910</v>
      </c>
      <c r="I172" s="3">
        <f>정규화데이터!I172</f>
        <v>82110</v>
      </c>
      <c r="J172" s="3">
        <f>정규화데이터!J172</f>
        <v>96281.818181818177</v>
      </c>
      <c r="K172" s="25">
        <f>정규화데이터!K172</f>
        <v>61496</v>
      </c>
      <c r="L172" s="25">
        <f>정규화데이터!L172</f>
        <v>61496</v>
      </c>
      <c r="M172" s="21">
        <f t="shared" si="4"/>
        <v>34785.818181818177</v>
      </c>
      <c r="N172" s="52">
        <f t="shared" si="5"/>
        <v>0.36129166273250868</v>
      </c>
    </row>
    <row r="173" spans="1:14" x14ac:dyDescent="0.3">
      <c r="A173" t="str">
        <f>정규화데이터!A173</f>
        <v>SK스토아</v>
      </c>
      <c r="B173">
        <f>정규화데이터!B173</f>
        <v>20260205995098</v>
      </c>
      <c r="C173" t="str">
        <f>정규화데이터!C173</f>
        <v>[워커힐]워커힐 고메 시그니처 양념 본갈비 8팩</v>
      </c>
      <c r="D173">
        <f>정규화데이터!D173</f>
        <v>58481090</v>
      </c>
      <c r="E173" s="16" t="str">
        <f>정규화데이터!E173</f>
        <v>SKU001</v>
      </c>
      <c r="F173" s="3">
        <f>정규화데이터!F173</f>
        <v>1</v>
      </c>
      <c r="G173" s="3">
        <f>정규화데이터!G173</f>
        <v>119000</v>
      </c>
      <c r="H173" s="3">
        <f>정규화데이터!H173</f>
        <v>119000</v>
      </c>
      <c r="I173" s="3">
        <f>정규화데이터!I173</f>
        <v>82110</v>
      </c>
      <c r="J173" s="3">
        <f>정규화데이터!J173</f>
        <v>108181.81818181818</v>
      </c>
      <c r="K173" s="25">
        <f>정규화데이터!K173</f>
        <v>61496</v>
      </c>
      <c r="L173" s="25">
        <f>정규화데이터!L173</f>
        <v>61496</v>
      </c>
      <c r="M173" s="21">
        <f t="shared" si="4"/>
        <v>46685.818181818177</v>
      </c>
      <c r="N173" s="52">
        <f t="shared" si="5"/>
        <v>0.43154957983193276</v>
      </c>
    </row>
    <row r="174" spans="1:14" x14ac:dyDescent="0.3">
      <c r="A174" t="str">
        <f>정규화데이터!A174</f>
        <v>SK스토아</v>
      </c>
      <c r="B174">
        <f>정규화데이터!B174</f>
        <v>20260205994449</v>
      </c>
      <c r="C174" t="str">
        <f>정규화데이터!C174</f>
        <v>[워커힐]워커힐 고메 시그니처 양념 본갈비 8팩</v>
      </c>
      <c r="D174">
        <f>정규화데이터!D174</f>
        <v>58481090</v>
      </c>
      <c r="E174" s="16" t="str">
        <f>정규화데이터!E174</f>
        <v>SKU001</v>
      </c>
      <c r="F174" s="3">
        <f>정규화데이터!F174</f>
        <v>1</v>
      </c>
      <c r="G174" s="3">
        <f>정규화데이터!G174</f>
        <v>119000</v>
      </c>
      <c r="H174" s="3">
        <f>정규화데이터!H174</f>
        <v>119000</v>
      </c>
      <c r="I174" s="3">
        <f>정규화데이터!I174</f>
        <v>82110</v>
      </c>
      <c r="J174" s="3">
        <f>정규화데이터!J174</f>
        <v>108181.81818181818</v>
      </c>
      <c r="K174" s="25">
        <f>정규화데이터!K174</f>
        <v>61496</v>
      </c>
      <c r="L174" s="25">
        <f>정규화데이터!L174</f>
        <v>61496</v>
      </c>
      <c r="M174" s="21">
        <f t="shared" si="4"/>
        <v>46685.818181818177</v>
      </c>
      <c r="N174" s="52">
        <f t="shared" si="5"/>
        <v>0.43154957983193276</v>
      </c>
    </row>
    <row r="175" spans="1:14" x14ac:dyDescent="0.3">
      <c r="A175" t="str">
        <f>정규화데이터!A175</f>
        <v>SK스토아</v>
      </c>
      <c r="B175">
        <f>정규화데이터!B175</f>
        <v>20260205993692</v>
      </c>
      <c r="C175" t="str">
        <f>정규화데이터!C175</f>
        <v>[워커힐]워커힐 고메 시그니처 양념 본갈비 8팩</v>
      </c>
      <c r="D175">
        <f>정규화데이터!D175</f>
        <v>58481090</v>
      </c>
      <c r="E175" s="16" t="str">
        <f>정규화데이터!E175</f>
        <v>SKU001</v>
      </c>
      <c r="F175" s="3">
        <f>정규화데이터!F175</f>
        <v>1</v>
      </c>
      <c r="G175" s="3">
        <f>정규화데이터!G175</f>
        <v>119000</v>
      </c>
      <c r="H175" s="3">
        <f>정규화데이터!H175</f>
        <v>119000</v>
      </c>
      <c r="I175" s="3">
        <f>정규화데이터!I175</f>
        <v>82110</v>
      </c>
      <c r="J175" s="3">
        <f>정규화데이터!J175</f>
        <v>108181.81818181818</v>
      </c>
      <c r="K175" s="25">
        <f>정규화데이터!K175</f>
        <v>61496</v>
      </c>
      <c r="L175" s="25">
        <f>정규화데이터!L175</f>
        <v>61496</v>
      </c>
      <c r="M175" s="21">
        <f t="shared" si="4"/>
        <v>46685.818181818177</v>
      </c>
      <c r="N175" s="52">
        <f t="shared" si="5"/>
        <v>0.43154957983193276</v>
      </c>
    </row>
    <row r="176" spans="1:14" x14ac:dyDescent="0.3">
      <c r="A176" t="str">
        <f>정규화데이터!A176</f>
        <v>SK스토아</v>
      </c>
      <c r="B176">
        <f>정규화데이터!B176</f>
        <v>20260205994013</v>
      </c>
      <c r="C176" t="str">
        <f>정규화데이터!C176</f>
        <v>[워커힐]워커힐 고메 시그니처 양념 본갈비 8팩</v>
      </c>
      <c r="D176">
        <f>정규화데이터!D176</f>
        <v>58481090</v>
      </c>
      <c r="E176" s="16" t="str">
        <f>정규화데이터!E176</f>
        <v>SKU001</v>
      </c>
      <c r="F176" s="3">
        <f>정규화데이터!F176</f>
        <v>1</v>
      </c>
      <c r="G176" s="3">
        <f>정규화데이터!G176</f>
        <v>119000</v>
      </c>
      <c r="H176" s="3">
        <f>정규화데이터!H176</f>
        <v>113050</v>
      </c>
      <c r="I176" s="3">
        <f>정규화데이터!I176</f>
        <v>82110</v>
      </c>
      <c r="J176" s="3">
        <f>정규화데이터!J176</f>
        <v>102772.72727272726</v>
      </c>
      <c r="K176" s="25">
        <f>정규화데이터!K176</f>
        <v>61496</v>
      </c>
      <c r="L176" s="25">
        <f>정규화데이터!L176</f>
        <v>61496</v>
      </c>
      <c r="M176" s="21">
        <f t="shared" si="4"/>
        <v>41276.727272727265</v>
      </c>
      <c r="N176" s="52">
        <f t="shared" si="5"/>
        <v>0.40163113666519235</v>
      </c>
    </row>
    <row r="177" spans="1:14" x14ac:dyDescent="0.3">
      <c r="A177" t="str">
        <f>정규화데이터!A177</f>
        <v>SK스토아</v>
      </c>
      <c r="B177">
        <f>정규화데이터!B177</f>
        <v>20260205993305</v>
      </c>
      <c r="C177" t="str">
        <f>정규화데이터!C177</f>
        <v>[워커힐]워커힐 고메 시그니처 양념 본갈비 8팩</v>
      </c>
      <c r="D177">
        <f>정규화데이터!D177</f>
        <v>58481090</v>
      </c>
      <c r="E177" s="16" t="str">
        <f>정규화데이터!E177</f>
        <v>SKU001</v>
      </c>
      <c r="F177" s="3">
        <f>정규화데이터!F177</f>
        <v>1</v>
      </c>
      <c r="G177" s="3">
        <f>정규화데이터!G177</f>
        <v>119000</v>
      </c>
      <c r="H177" s="3">
        <f>정규화데이터!H177</f>
        <v>113050</v>
      </c>
      <c r="I177" s="3">
        <f>정규화데이터!I177</f>
        <v>82110</v>
      </c>
      <c r="J177" s="3">
        <f>정규화데이터!J177</f>
        <v>102772.72727272726</v>
      </c>
      <c r="K177" s="25">
        <f>정규화데이터!K177</f>
        <v>61496</v>
      </c>
      <c r="L177" s="25">
        <f>정규화데이터!L177</f>
        <v>61496</v>
      </c>
      <c r="M177" s="21">
        <f t="shared" si="4"/>
        <v>41276.727272727265</v>
      </c>
      <c r="N177" s="52">
        <f t="shared" si="5"/>
        <v>0.40163113666519235</v>
      </c>
    </row>
    <row r="178" spans="1:14" x14ac:dyDescent="0.3">
      <c r="A178" t="str">
        <f>정규화데이터!A178</f>
        <v>SK스토아</v>
      </c>
      <c r="B178">
        <f>정규화데이터!B178</f>
        <v>20260205992338</v>
      </c>
      <c r="C178" t="str">
        <f>정규화데이터!C178</f>
        <v>[워커힐]워커힐 고메 시그니처 양념 본갈비 8팩</v>
      </c>
      <c r="D178">
        <f>정규화데이터!D178</f>
        <v>58481090</v>
      </c>
      <c r="E178" s="16" t="str">
        <f>정규화데이터!E178</f>
        <v>SKU001</v>
      </c>
      <c r="F178" s="3">
        <f>정규화데이터!F178</f>
        <v>1</v>
      </c>
      <c r="G178" s="3">
        <f>정규화데이터!G178</f>
        <v>119000</v>
      </c>
      <c r="H178" s="3">
        <f>정규화데이터!H178</f>
        <v>119000</v>
      </c>
      <c r="I178" s="3">
        <f>정규화데이터!I178</f>
        <v>82110</v>
      </c>
      <c r="J178" s="3">
        <f>정규화데이터!J178</f>
        <v>108181.81818181818</v>
      </c>
      <c r="K178" s="25">
        <f>정규화데이터!K178</f>
        <v>61496</v>
      </c>
      <c r="L178" s="25">
        <f>정규화데이터!L178</f>
        <v>61496</v>
      </c>
      <c r="M178" s="21">
        <f t="shared" si="4"/>
        <v>46685.818181818177</v>
      </c>
      <c r="N178" s="52">
        <f t="shared" si="5"/>
        <v>0.43154957983193276</v>
      </c>
    </row>
    <row r="179" spans="1:14" x14ac:dyDescent="0.3">
      <c r="A179" t="str">
        <f>정규화데이터!A179</f>
        <v>SK스토아</v>
      </c>
      <c r="B179">
        <f>정규화데이터!B179</f>
        <v>20260205992763</v>
      </c>
      <c r="C179" t="str">
        <f>정규화데이터!C179</f>
        <v>[워커힐]워커힐 고메 시그니처 양념 본갈비 8팩</v>
      </c>
      <c r="D179">
        <f>정규화데이터!D179</f>
        <v>58481090</v>
      </c>
      <c r="E179" s="16" t="str">
        <f>정규화데이터!E179</f>
        <v>SKU001</v>
      </c>
      <c r="F179" s="3">
        <f>정규화데이터!F179</f>
        <v>1</v>
      </c>
      <c r="G179" s="3">
        <f>정규화데이터!G179</f>
        <v>119000</v>
      </c>
      <c r="H179" s="3">
        <f>정규화데이터!H179</f>
        <v>119000</v>
      </c>
      <c r="I179" s="3">
        <f>정규화데이터!I179</f>
        <v>82110</v>
      </c>
      <c r="J179" s="3">
        <f>정규화데이터!J179</f>
        <v>108181.81818181818</v>
      </c>
      <c r="K179" s="25">
        <f>정규화데이터!K179</f>
        <v>61496</v>
      </c>
      <c r="L179" s="25">
        <f>정규화데이터!L179</f>
        <v>61496</v>
      </c>
      <c r="M179" s="21">
        <f t="shared" si="4"/>
        <v>46685.818181818177</v>
      </c>
      <c r="N179" s="52">
        <f t="shared" si="5"/>
        <v>0.43154957983193276</v>
      </c>
    </row>
    <row r="180" spans="1:14" x14ac:dyDescent="0.3">
      <c r="A180" t="str">
        <f>정규화데이터!A180</f>
        <v>SK스토아</v>
      </c>
      <c r="B180">
        <f>정규화데이터!B180</f>
        <v>20260205992914</v>
      </c>
      <c r="C180" t="str">
        <f>정규화데이터!C180</f>
        <v>[워커힐]워커힐 고메 시그니처 양념 본갈비 8팩</v>
      </c>
      <c r="D180">
        <f>정규화데이터!D180</f>
        <v>58481090</v>
      </c>
      <c r="E180" s="16" t="str">
        <f>정규화데이터!E180</f>
        <v>SKU001</v>
      </c>
      <c r="F180" s="3">
        <f>정규화데이터!F180</f>
        <v>1</v>
      </c>
      <c r="G180" s="3">
        <f>정규화데이터!G180</f>
        <v>119000</v>
      </c>
      <c r="H180" s="3">
        <f>정규화데이터!H180</f>
        <v>119000</v>
      </c>
      <c r="I180" s="3">
        <f>정규화데이터!I180</f>
        <v>82110</v>
      </c>
      <c r="J180" s="3">
        <f>정규화데이터!J180</f>
        <v>108181.81818181818</v>
      </c>
      <c r="K180" s="25">
        <f>정규화데이터!K180</f>
        <v>61496</v>
      </c>
      <c r="L180" s="25">
        <f>정규화데이터!L180</f>
        <v>61496</v>
      </c>
      <c r="M180" s="21">
        <f t="shared" si="4"/>
        <v>46685.818181818177</v>
      </c>
      <c r="N180" s="52">
        <f t="shared" si="5"/>
        <v>0.43154957983193276</v>
      </c>
    </row>
    <row r="181" spans="1:14" x14ac:dyDescent="0.3">
      <c r="A181" t="str">
        <f>정규화데이터!A181</f>
        <v>SK스토아</v>
      </c>
      <c r="B181">
        <f>정규화데이터!B181</f>
        <v>20260205992756</v>
      </c>
      <c r="C181" t="str">
        <f>정규화데이터!C181</f>
        <v>[워커힐]워커힐 고메 시그니처 양념 본갈비 8팩</v>
      </c>
      <c r="D181">
        <f>정규화데이터!D181</f>
        <v>58481090</v>
      </c>
      <c r="E181" s="16" t="str">
        <f>정규화데이터!E181</f>
        <v>SKU001</v>
      </c>
      <c r="F181" s="3">
        <f>정규화데이터!F181</f>
        <v>2</v>
      </c>
      <c r="G181" s="3">
        <f>정규화데이터!G181</f>
        <v>119000</v>
      </c>
      <c r="H181" s="3">
        <f>정규화데이터!H181</f>
        <v>192780</v>
      </c>
      <c r="I181" s="3">
        <f>정규화데이터!I181</f>
        <v>164220</v>
      </c>
      <c r="J181" s="3">
        <f>정규화데이터!J181</f>
        <v>175254.54545454544</v>
      </c>
      <c r="K181" s="25">
        <f>정규화데이터!K181</f>
        <v>61496</v>
      </c>
      <c r="L181" s="25">
        <f>정규화데이터!L181</f>
        <v>122992</v>
      </c>
      <c r="M181" s="21">
        <f t="shared" si="4"/>
        <v>52262.545454545441</v>
      </c>
      <c r="N181" s="52">
        <f t="shared" si="5"/>
        <v>0.29820935781720093</v>
      </c>
    </row>
    <row r="182" spans="1:14" x14ac:dyDescent="0.3">
      <c r="A182" t="str">
        <f>정규화데이터!A182</f>
        <v>SK스토아</v>
      </c>
      <c r="B182">
        <f>정규화데이터!B182</f>
        <v>20260205993968</v>
      </c>
      <c r="C182" t="str">
        <f>정규화데이터!C182</f>
        <v>[워커힐]워커힐 고메 시그니처 양념 본갈비 8팩</v>
      </c>
      <c r="D182">
        <f>정규화데이터!D182</f>
        <v>58481090</v>
      </c>
      <c r="E182" s="16" t="str">
        <f>정규화데이터!E182</f>
        <v>SKU001</v>
      </c>
      <c r="F182" s="3">
        <f>정규화데이터!F182</f>
        <v>1</v>
      </c>
      <c r="G182" s="3">
        <f>정규화데이터!G182</f>
        <v>119000</v>
      </c>
      <c r="H182" s="3">
        <f>정규화데이터!H182</f>
        <v>119000</v>
      </c>
      <c r="I182" s="3">
        <f>정규화데이터!I182</f>
        <v>82110</v>
      </c>
      <c r="J182" s="3">
        <f>정규화데이터!J182</f>
        <v>108181.81818181818</v>
      </c>
      <c r="K182" s="25">
        <f>정규화데이터!K182</f>
        <v>61496</v>
      </c>
      <c r="L182" s="25">
        <f>정규화데이터!L182</f>
        <v>61496</v>
      </c>
      <c r="M182" s="21">
        <f t="shared" si="4"/>
        <v>46685.818181818177</v>
      </c>
      <c r="N182" s="52">
        <f t="shared" si="5"/>
        <v>0.43154957983193276</v>
      </c>
    </row>
    <row r="183" spans="1:14" x14ac:dyDescent="0.3">
      <c r="A183" t="str">
        <f>정규화데이터!A183</f>
        <v>SK스토아</v>
      </c>
      <c r="B183">
        <f>정규화데이터!B183</f>
        <v>20260205994732</v>
      </c>
      <c r="C183" t="str">
        <f>정규화데이터!C183</f>
        <v>[워커힐]워커힐 고메 시그니처 양념 본갈비 8팩</v>
      </c>
      <c r="D183">
        <f>정규화데이터!D183</f>
        <v>58481090</v>
      </c>
      <c r="E183" s="16" t="str">
        <f>정규화데이터!E183</f>
        <v>SKU001</v>
      </c>
      <c r="F183" s="3">
        <f>정규화데이터!F183</f>
        <v>1</v>
      </c>
      <c r="G183" s="3">
        <f>정규화데이터!G183</f>
        <v>119000</v>
      </c>
      <c r="H183" s="3">
        <f>정규화데이터!H183</f>
        <v>119000</v>
      </c>
      <c r="I183" s="3">
        <f>정규화데이터!I183</f>
        <v>82110</v>
      </c>
      <c r="J183" s="3">
        <f>정규화데이터!J183</f>
        <v>108181.81818181818</v>
      </c>
      <c r="K183" s="25">
        <f>정규화데이터!K183</f>
        <v>61496</v>
      </c>
      <c r="L183" s="25">
        <f>정규화데이터!L183</f>
        <v>61496</v>
      </c>
      <c r="M183" s="21">
        <f t="shared" si="4"/>
        <v>46685.818181818177</v>
      </c>
      <c r="N183" s="52">
        <f t="shared" si="5"/>
        <v>0.43154957983193276</v>
      </c>
    </row>
    <row r="184" spans="1:14" x14ac:dyDescent="0.3">
      <c r="A184" t="str">
        <f>정규화데이터!A184</f>
        <v>SK스토아</v>
      </c>
      <c r="B184">
        <f>정규화데이터!B184</f>
        <v>20260205994658</v>
      </c>
      <c r="C184" t="str">
        <f>정규화데이터!C184</f>
        <v>[워커힐]워커힐 고메 시그니처 양념 본갈비 8팩</v>
      </c>
      <c r="D184">
        <f>정규화데이터!D184</f>
        <v>58481090</v>
      </c>
      <c r="E184" s="16" t="str">
        <f>정규화데이터!E184</f>
        <v>SKU001</v>
      </c>
      <c r="F184" s="3">
        <f>정규화데이터!F184</f>
        <v>1</v>
      </c>
      <c r="G184" s="3">
        <f>정규화데이터!G184</f>
        <v>119000</v>
      </c>
      <c r="H184" s="3">
        <f>정규화데이터!H184</f>
        <v>119000</v>
      </c>
      <c r="I184" s="3">
        <f>정규화데이터!I184</f>
        <v>82110</v>
      </c>
      <c r="J184" s="3">
        <f>정규화데이터!J184</f>
        <v>108181.81818181818</v>
      </c>
      <c r="K184" s="25">
        <f>정규화데이터!K184</f>
        <v>61496</v>
      </c>
      <c r="L184" s="25">
        <f>정규화데이터!L184</f>
        <v>61496</v>
      </c>
      <c r="M184" s="21">
        <f t="shared" si="4"/>
        <v>46685.818181818177</v>
      </c>
      <c r="N184" s="52">
        <f t="shared" si="5"/>
        <v>0.43154957983193276</v>
      </c>
    </row>
    <row r="185" spans="1:14" x14ac:dyDescent="0.3">
      <c r="A185" t="str">
        <f>정규화데이터!A185</f>
        <v>SK스토아</v>
      </c>
      <c r="B185">
        <f>정규화데이터!B185</f>
        <v>20260205994878</v>
      </c>
      <c r="C185" t="str">
        <f>정규화데이터!C185</f>
        <v>[워커힐]워커힐 고메 시그니처 양념 본갈비 8팩</v>
      </c>
      <c r="D185">
        <f>정규화데이터!D185</f>
        <v>58481090</v>
      </c>
      <c r="E185" s="16" t="str">
        <f>정규화데이터!E185</f>
        <v>SKU001</v>
      </c>
      <c r="F185" s="3">
        <f>정규화데이터!F185</f>
        <v>1</v>
      </c>
      <c r="G185" s="3">
        <f>정규화데이터!G185</f>
        <v>119000</v>
      </c>
      <c r="H185" s="3">
        <f>정규화데이터!H185</f>
        <v>113050</v>
      </c>
      <c r="I185" s="3">
        <f>정규화데이터!I185</f>
        <v>82110</v>
      </c>
      <c r="J185" s="3">
        <f>정규화데이터!J185</f>
        <v>102772.72727272726</v>
      </c>
      <c r="K185" s="25">
        <f>정규화데이터!K185</f>
        <v>61496</v>
      </c>
      <c r="L185" s="25">
        <f>정규화데이터!L185</f>
        <v>61496</v>
      </c>
      <c r="M185" s="21">
        <f t="shared" si="4"/>
        <v>41276.727272727265</v>
      </c>
      <c r="N185" s="52">
        <f t="shared" si="5"/>
        <v>0.40163113666519235</v>
      </c>
    </row>
    <row r="186" spans="1:14" x14ac:dyDescent="0.3">
      <c r="A186" t="str">
        <f>정규화데이터!A186</f>
        <v>SK스토아</v>
      </c>
      <c r="B186">
        <f>정규화데이터!B186</f>
        <v>20260205996662</v>
      </c>
      <c r="C186" t="str">
        <f>정규화데이터!C186</f>
        <v>[워커힐]워커힐 고메 시그니처 양념 본갈비 8팩</v>
      </c>
      <c r="D186">
        <f>정규화데이터!D186</f>
        <v>58481090</v>
      </c>
      <c r="E186" s="16" t="str">
        <f>정규화데이터!E186</f>
        <v>SKU001</v>
      </c>
      <c r="F186" s="3">
        <f>정규화데이터!F186</f>
        <v>1</v>
      </c>
      <c r="G186" s="3">
        <f>정규화데이터!G186</f>
        <v>119000</v>
      </c>
      <c r="H186" s="3">
        <f>정규화데이터!H186</f>
        <v>109000</v>
      </c>
      <c r="I186" s="3">
        <f>정규화데이터!I186</f>
        <v>82110</v>
      </c>
      <c r="J186" s="3">
        <f>정규화데이터!J186</f>
        <v>99090.909090909074</v>
      </c>
      <c r="K186" s="25">
        <f>정규화데이터!K186</f>
        <v>61496</v>
      </c>
      <c r="L186" s="25">
        <f>정규화데이터!L186</f>
        <v>61496</v>
      </c>
      <c r="M186" s="21">
        <f t="shared" si="4"/>
        <v>37594.909090909074</v>
      </c>
      <c r="N186" s="52">
        <f t="shared" si="5"/>
        <v>0.3793981651376146</v>
      </c>
    </row>
    <row r="187" spans="1:14" x14ac:dyDescent="0.3">
      <c r="A187" t="str">
        <f>정규화데이터!A187</f>
        <v>SK스토아</v>
      </c>
      <c r="B187">
        <f>정규화데이터!B187</f>
        <v>20260205994173</v>
      </c>
      <c r="C187" t="str">
        <f>정규화데이터!C187</f>
        <v>[워커힐]워커힐 고메 시그니처 양념 본갈비 8팩</v>
      </c>
      <c r="D187">
        <f>정규화데이터!D187</f>
        <v>58481090</v>
      </c>
      <c r="E187" s="16" t="str">
        <f>정규화데이터!E187</f>
        <v>SKU001</v>
      </c>
      <c r="F187" s="3">
        <f>정규화데이터!F187</f>
        <v>1</v>
      </c>
      <c r="G187" s="3">
        <f>정규화데이터!G187</f>
        <v>119000</v>
      </c>
      <c r="H187" s="3">
        <f>정규화데이터!H187</f>
        <v>105910</v>
      </c>
      <c r="I187" s="3">
        <f>정규화데이터!I187</f>
        <v>82110</v>
      </c>
      <c r="J187" s="3">
        <f>정규화데이터!J187</f>
        <v>96281.818181818177</v>
      </c>
      <c r="K187" s="25">
        <f>정규화데이터!K187</f>
        <v>61496</v>
      </c>
      <c r="L187" s="25">
        <f>정규화데이터!L187</f>
        <v>61496</v>
      </c>
      <c r="M187" s="21">
        <f t="shared" si="4"/>
        <v>34785.818181818177</v>
      </c>
      <c r="N187" s="52">
        <f t="shared" si="5"/>
        <v>0.36129166273250868</v>
      </c>
    </row>
    <row r="188" spans="1:14" x14ac:dyDescent="0.3">
      <c r="A188" t="str">
        <f>정규화데이터!A188</f>
        <v>SK스토아</v>
      </c>
      <c r="B188">
        <f>정규화데이터!B188</f>
        <v>20260205992741</v>
      </c>
      <c r="C188" t="str">
        <f>정규화데이터!C188</f>
        <v>[워커힐]워커힐 고메 시그니처 양념 본갈비 8팩</v>
      </c>
      <c r="D188">
        <f>정규화데이터!D188</f>
        <v>58481090</v>
      </c>
      <c r="E188" s="16" t="str">
        <f>정규화데이터!E188</f>
        <v>SKU001</v>
      </c>
      <c r="F188" s="3">
        <f>정규화데이터!F188</f>
        <v>1</v>
      </c>
      <c r="G188" s="3">
        <f>정규화데이터!G188</f>
        <v>119000</v>
      </c>
      <c r="H188" s="3">
        <f>정규화데이터!H188</f>
        <v>119000</v>
      </c>
      <c r="I188" s="3">
        <f>정규화데이터!I188</f>
        <v>82110</v>
      </c>
      <c r="J188" s="3">
        <f>정규화데이터!J188</f>
        <v>108181.81818181818</v>
      </c>
      <c r="K188" s="25">
        <f>정규화데이터!K188</f>
        <v>61496</v>
      </c>
      <c r="L188" s="25">
        <f>정규화데이터!L188</f>
        <v>61496</v>
      </c>
      <c r="M188" s="21">
        <f t="shared" si="4"/>
        <v>46685.818181818177</v>
      </c>
      <c r="N188" s="52">
        <f t="shared" si="5"/>
        <v>0.43154957983193276</v>
      </c>
    </row>
    <row r="189" spans="1:14" x14ac:dyDescent="0.3">
      <c r="A189" t="str">
        <f>정규화데이터!A189</f>
        <v>SK스토아</v>
      </c>
      <c r="B189">
        <f>정규화데이터!B189</f>
        <v>20260205992734</v>
      </c>
      <c r="C189" t="str">
        <f>정규화데이터!C189</f>
        <v>[워커힐]워커힐 고메 시그니처 양념 본갈비 8팩</v>
      </c>
      <c r="D189">
        <f>정규화데이터!D189</f>
        <v>58481090</v>
      </c>
      <c r="E189" s="16" t="str">
        <f>정규화데이터!E189</f>
        <v>SKU001</v>
      </c>
      <c r="F189" s="3">
        <f>정규화데이터!F189</f>
        <v>1</v>
      </c>
      <c r="G189" s="3">
        <f>정규화데이터!G189</f>
        <v>119000</v>
      </c>
      <c r="H189" s="3">
        <f>정규화데이터!H189</f>
        <v>119000</v>
      </c>
      <c r="I189" s="3">
        <f>정규화데이터!I189</f>
        <v>82110</v>
      </c>
      <c r="J189" s="3">
        <f>정규화데이터!J189</f>
        <v>108181.81818181818</v>
      </c>
      <c r="K189" s="25">
        <f>정규화데이터!K189</f>
        <v>61496</v>
      </c>
      <c r="L189" s="25">
        <f>정규화데이터!L189</f>
        <v>61496</v>
      </c>
      <c r="M189" s="21">
        <f t="shared" si="4"/>
        <v>46685.818181818177</v>
      </c>
      <c r="N189" s="52">
        <f t="shared" si="5"/>
        <v>0.43154957983193276</v>
      </c>
    </row>
    <row r="190" spans="1:14" x14ac:dyDescent="0.3">
      <c r="A190" t="str">
        <f>정규화데이터!A190</f>
        <v>SK스토아</v>
      </c>
      <c r="B190">
        <f>정규화데이터!B190</f>
        <v>20260205992797</v>
      </c>
      <c r="C190" t="str">
        <f>정규화데이터!C190</f>
        <v>[워커힐]워커힐 고메 시그니처 양념 본갈비 8팩</v>
      </c>
      <c r="D190">
        <f>정규화데이터!D190</f>
        <v>58481090</v>
      </c>
      <c r="E190" s="16" t="str">
        <f>정규화데이터!E190</f>
        <v>SKU001</v>
      </c>
      <c r="F190" s="3">
        <f>정규화데이터!F190</f>
        <v>1</v>
      </c>
      <c r="G190" s="3">
        <f>정규화데이터!G190</f>
        <v>119000</v>
      </c>
      <c r="H190" s="3">
        <f>정규화데이터!H190</f>
        <v>105910</v>
      </c>
      <c r="I190" s="3">
        <f>정규화데이터!I190</f>
        <v>82110</v>
      </c>
      <c r="J190" s="3">
        <f>정규화데이터!J190</f>
        <v>96281.818181818177</v>
      </c>
      <c r="K190" s="25">
        <f>정규화데이터!K190</f>
        <v>61496</v>
      </c>
      <c r="L190" s="25">
        <f>정규화데이터!L190</f>
        <v>61496</v>
      </c>
      <c r="M190" s="21">
        <f t="shared" si="4"/>
        <v>34785.818181818177</v>
      </c>
      <c r="N190" s="52">
        <f t="shared" si="5"/>
        <v>0.36129166273250868</v>
      </c>
    </row>
    <row r="191" spans="1:14" x14ac:dyDescent="0.3">
      <c r="A191" t="str">
        <f>정규화데이터!A191</f>
        <v>SK스토아</v>
      </c>
      <c r="B191">
        <f>정규화데이터!B191</f>
        <v>20260205994648</v>
      </c>
      <c r="C191" t="str">
        <f>정규화데이터!C191</f>
        <v>[워커힐]워커힐 고메 시그니처 양념 본갈비 8팩</v>
      </c>
      <c r="D191">
        <f>정규화데이터!D191</f>
        <v>58481090</v>
      </c>
      <c r="E191" s="16" t="str">
        <f>정규화데이터!E191</f>
        <v>SKU001</v>
      </c>
      <c r="F191" s="3">
        <f>정규화데이터!F191</f>
        <v>1</v>
      </c>
      <c r="G191" s="3">
        <f>정규화데이터!G191</f>
        <v>119000</v>
      </c>
      <c r="H191" s="3">
        <f>정규화데이터!H191</f>
        <v>119000</v>
      </c>
      <c r="I191" s="3">
        <f>정규화데이터!I191</f>
        <v>82110</v>
      </c>
      <c r="J191" s="3">
        <f>정규화데이터!J191</f>
        <v>108181.81818181818</v>
      </c>
      <c r="K191" s="25">
        <f>정규화데이터!K191</f>
        <v>61496</v>
      </c>
      <c r="L191" s="25">
        <f>정규화데이터!L191</f>
        <v>61496</v>
      </c>
      <c r="M191" s="21">
        <f t="shared" si="4"/>
        <v>46685.818181818177</v>
      </c>
      <c r="N191" s="52">
        <f t="shared" si="5"/>
        <v>0.43154957983193276</v>
      </c>
    </row>
    <row r="192" spans="1:14" x14ac:dyDescent="0.3">
      <c r="A192" t="str">
        <f>정규화데이터!A192</f>
        <v>SK스토아</v>
      </c>
      <c r="B192">
        <f>정규화데이터!B192</f>
        <v>20260205995119</v>
      </c>
      <c r="C192" t="str">
        <f>정규화데이터!C192</f>
        <v>[워커힐]워커힐 고메 시그니처 양념 본갈비 8팩</v>
      </c>
      <c r="D192">
        <f>정규화데이터!D192</f>
        <v>58481090</v>
      </c>
      <c r="E192" s="16" t="str">
        <f>정규화데이터!E192</f>
        <v>SKU001</v>
      </c>
      <c r="F192" s="3">
        <f>정규화데이터!F192</f>
        <v>1</v>
      </c>
      <c r="G192" s="3">
        <f>정규화데이터!G192</f>
        <v>119000</v>
      </c>
      <c r="H192" s="3">
        <f>정규화데이터!H192</f>
        <v>109000</v>
      </c>
      <c r="I192" s="3">
        <f>정규화데이터!I192</f>
        <v>82110</v>
      </c>
      <c r="J192" s="3">
        <f>정규화데이터!J192</f>
        <v>99090.909090909074</v>
      </c>
      <c r="K192" s="25">
        <f>정규화데이터!K192</f>
        <v>61496</v>
      </c>
      <c r="L192" s="25">
        <f>정규화데이터!L192</f>
        <v>61496</v>
      </c>
      <c r="M192" s="21">
        <f t="shared" si="4"/>
        <v>37594.909090909074</v>
      </c>
      <c r="N192" s="52">
        <f t="shared" si="5"/>
        <v>0.3793981651376146</v>
      </c>
    </row>
    <row r="193" spans="1:14" x14ac:dyDescent="0.3">
      <c r="A193" t="str">
        <f>정규화데이터!A193</f>
        <v>SK스토아</v>
      </c>
      <c r="B193">
        <f>정규화데이터!B193</f>
        <v>20260205994118</v>
      </c>
      <c r="C193" t="str">
        <f>정규화데이터!C193</f>
        <v>[워커힐]워커힐 고메 시그니처 양념 본갈비 8팩</v>
      </c>
      <c r="D193">
        <f>정규화데이터!D193</f>
        <v>58481090</v>
      </c>
      <c r="E193" s="16" t="str">
        <f>정규화데이터!E193</f>
        <v>SKU001</v>
      </c>
      <c r="F193" s="3">
        <f>정규화데이터!F193</f>
        <v>1</v>
      </c>
      <c r="G193" s="3">
        <f>정규화데이터!G193</f>
        <v>119000</v>
      </c>
      <c r="H193" s="3">
        <f>정규화데이터!H193</f>
        <v>119000</v>
      </c>
      <c r="I193" s="3">
        <f>정규화데이터!I193</f>
        <v>82110</v>
      </c>
      <c r="J193" s="3">
        <f>정규화데이터!J193</f>
        <v>108181.81818181818</v>
      </c>
      <c r="K193" s="25">
        <f>정규화데이터!K193</f>
        <v>61496</v>
      </c>
      <c r="L193" s="25">
        <f>정규화데이터!L193</f>
        <v>61496</v>
      </c>
      <c r="M193" s="21">
        <f t="shared" si="4"/>
        <v>46685.818181818177</v>
      </c>
      <c r="N193" s="52">
        <f t="shared" si="5"/>
        <v>0.43154957983193276</v>
      </c>
    </row>
    <row r="194" spans="1:14" x14ac:dyDescent="0.3">
      <c r="A194" t="str">
        <f>정규화데이터!A194</f>
        <v>SK스토아</v>
      </c>
      <c r="B194">
        <f>정규화데이터!B194</f>
        <v>20260205993710</v>
      </c>
      <c r="C194" t="str">
        <f>정규화데이터!C194</f>
        <v>[워커힐]워커힐 고메 시그니처 양념 본갈비 8팩</v>
      </c>
      <c r="D194">
        <f>정규화데이터!D194</f>
        <v>58481090</v>
      </c>
      <c r="E194" s="16" t="str">
        <f>정규화데이터!E194</f>
        <v>SKU001</v>
      </c>
      <c r="F194" s="3">
        <f>정규화데이터!F194</f>
        <v>1</v>
      </c>
      <c r="G194" s="3">
        <f>정규화데이터!G194</f>
        <v>119000</v>
      </c>
      <c r="H194" s="3">
        <f>정규화데이터!H194</f>
        <v>119000</v>
      </c>
      <c r="I194" s="3">
        <f>정규화데이터!I194</f>
        <v>82110</v>
      </c>
      <c r="J194" s="3">
        <f>정규화데이터!J194</f>
        <v>108181.81818181818</v>
      </c>
      <c r="K194" s="25">
        <f>정규화데이터!K194</f>
        <v>61496</v>
      </c>
      <c r="L194" s="25">
        <f>정규화데이터!L194</f>
        <v>61496</v>
      </c>
      <c r="M194" s="21">
        <f t="shared" si="4"/>
        <v>46685.818181818177</v>
      </c>
      <c r="N194" s="52">
        <f t="shared" si="5"/>
        <v>0.43154957983193276</v>
      </c>
    </row>
    <row r="195" spans="1:14" x14ac:dyDescent="0.3">
      <c r="A195" t="str">
        <f>정규화데이터!A195</f>
        <v>SK스토아</v>
      </c>
      <c r="B195">
        <f>정규화데이터!B195</f>
        <v>20260205993710</v>
      </c>
      <c r="C195" t="str">
        <f>정규화데이터!C195</f>
        <v>[워커힐]워커힐 고메 시그니처 양념 본갈비 8팩</v>
      </c>
      <c r="D195">
        <f>정규화데이터!D195</f>
        <v>58481090</v>
      </c>
      <c r="E195" s="16" t="str">
        <f>정규화데이터!E195</f>
        <v>SKU001</v>
      </c>
      <c r="F195" s="3">
        <f>정규화데이터!F195</f>
        <v>1</v>
      </c>
      <c r="G195" s="3">
        <f>정규화데이터!G195</f>
        <v>119000</v>
      </c>
      <c r="H195" s="3">
        <f>정규화데이터!H195</f>
        <v>119000</v>
      </c>
      <c r="I195" s="3">
        <f>정규화데이터!I195</f>
        <v>82110</v>
      </c>
      <c r="J195" s="3">
        <f>정규화데이터!J195</f>
        <v>108181.81818181818</v>
      </c>
      <c r="K195" s="25">
        <f>정규화데이터!K195</f>
        <v>61496</v>
      </c>
      <c r="L195" s="25">
        <f>정규화데이터!L195</f>
        <v>61496</v>
      </c>
      <c r="M195" s="21">
        <f t="shared" ref="M195:M258" si="6">J195-L195</f>
        <v>46685.818181818177</v>
      </c>
      <c r="N195" s="52">
        <f t="shared" ref="N195:N258" si="7">IF(J195=0,0,M195/J195)</f>
        <v>0.43154957983193276</v>
      </c>
    </row>
    <row r="196" spans="1:14" x14ac:dyDescent="0.3">
      <c r="A196" t="str">
        <f>정규화데이터!A196</f>
        <v>SK스토아</v>
      </c>
      <c r="B196">
        <f>정규화데이터!B196</f>
        <v>20260205994226</v>
      </c>
      <c r="C196" t="str">
        <f>정규화데이터!C196</f>
        <v>[워커힐]워커힐 고메 시그니처 양념 본갈비 8팩</v>
      </c>
      <c r="D196">
        <f>정규화데이터!D196</f>
        <v>58481090</v>
      </c>
      <c r="E196" s="16" t="str">
        <f>정규화데이터!E196</f>
        <v>SKU001</v>
      </c>
      <c r="F196" s="3">
        <f>정규화데이터!F196</f>
        <v>1</v>
      </c>
      <c r="G196" s="3">
        <f>정규화데이터!G196</f>
        <v>119000</v>
      </c>
      <c r="H196" s="3">
        <f>정규화데이터!H196</f>
        <v>119000</v>
      </c>
      <c r="I196" s="3">
        <f>정규화데이터!I196</f>
        <v>82110</v>
      </c>
      <c r="J196" s="3">
        <f>정규화데이터!J196</f>
        <v>108181.81818181818</v>
      </c>
      <c r="K196" s="25">
        <f>정규화데이터!K196</f>
        <v>61496</v>
      </c>
      <c r="L196" s="25">
        <f>정규화데이터!L196</f>
        <v>61496</v>
      </c>
      <c r="M196" s="21">
        <f t="shared" si="6"/>
        <v>46685.818181818177</v>
      </c>
      <c r="N196" s="52">
        <f t="shared" si="7"/>
        <v>0.43154957983193276</v>
      </c>
    </row>
    <row r="197" spans="1:14" x14ac:dyDescent="0.3">
      <c r="A197" t="str">
        <f>정규화데이터!A197</f>
        <v>SK스토아</v>
      </c>
      <c r="B197">
        <f>정규화데이터!B197</f>
        <v>20260205995392</v>
      </c>
      <c r="C197" t="str">
        <f>정규화데이터!C197</f>
        <v>[워커힐]워커힐 고메 시그니처 양념 본갈비 8팩</v>
      </c>
      <c r="D197">
        <f>정규화데이터!D197</f>
        <v>58481090</v>
      </c>
      <c r="E197" s="16" t="str">
        <f>정규화데이터!E197</f>
        <v>SKU001</v>
      </c>
      <c r="F197" s="3">
        <f>정규화데이터!F197</f>
        <v>1</v>
      </c>
      <c r="G197" s="3">
        <f>정규화데이터!G197</f>
        <v>119000</v>
      </c>
      <c r="H197" s="3">
        <f>정규화데이터!H197</f>
        <v>119000</v>
      </c>
      <c r="I197" s="3">
        <f>정규화데이터!I197</f>
        <v>82110</v>
      </c>
      <c r="J197" s="3">
        <f>정규화데이터!J197</f>
        <v>108181.81818181818</v>
      </c>
      <c r="K197" s="25">
        <f>정규화데이터!K197</f>
        <v>61496</v>
      </c>
      <c r="L197" s="25">
        <f>정규화데이터!L197</f>
        <v>61496</v>
      </c>
      <c r="M197" s="21">
        <f t="shared" si="6"/>
        <v>46685.818181818177</v>
      </c>
      <c r="N197" s="52">
        <f t="shared" si="7"/>
        <v>0.43154957983193276</v>
      </c>
    </row>
    <row r="198" spans="1:14" x14ac:dyDescent="0.3">
      <c r="A198" t="str">
        <f>정규화데이터!A198</f>
        <v>SK스토아</v>
      </c>
      <c r="B198">
        <f>정규화데이터!B198</f>
        <v>20260205994445</v>
      </c>
      <c r="C198" t="str">
        <f>정규화데이터!C198</f>
        <v>[워커힐]워커힐 고메 시그니처 양념 본갈비 8팩</v>
      </c>
      <c r="D198">
        <f>정규화데이터!D198</f>
        <v>58481090</v>
      </c>
      <c r="E198" s="16" t="str">
        <f>정규화데이터!E198</f>
        <v>SKU001</v>
      </c>
      <c r="F198" s="3">
        <f>정규화데이터!F198</f>
        <v>1</v>
      </c>
      <c r="G198" s="3">
        <f>정규화데이터!G198</f>
        <v>119000</v>
      </c>
      <c r="H198" s="3">
        <f>정규화데이터!H198</f>
        <v>119000</v>
      </c>
      <c r="I198" s="3">
        <f>정규화데이터!I198</f>
        <v>82110</v>
      </c>
      <c r="J198" s="3">
        <f>정규화데이터!J198</f>
        <v>108181.81818181818</v>
      </c>
      <c r="K198" s="25">
        <f>정규화데이터!K198</f>
        <v>61496</v>
      </c>
      <c r="L198" s="25">
        <f>정규화데이터!L198</f>
        <v>61496</v>
      </c>
      <c r="M198" s="21">
        <f t="shared" si="6"/>
        <v>46685.818181818177</v>
      </c>
      <c r="N198" s="52">
        <f t="shared" si="7"/>
        <v>0.43154957983193276</v>
      </c>
    </row>
    <row r="199" spans="1:14" x14ac:dyDescent="0.3">
      <c r="A199" t="str">
        <f>정규화데이터!A199</f>
        <v>SK스토아</v>
      </c>
      <c r="B199">
        <f>정규화데이터!B199</f>
        <v>20260205994636</v>
      </c>
      <c r="C199" t="str">
        <f>정규화데이터!C199</f>
        <v>[워커힐]워커힐 고메 시그니처 양념 본갈비 8팩</v>
      </c>
      <c r="D199">
        <f>정규화데이터!D199</f>
        <v>58481090</v>
      </c>
      <c r="E199" s="16" t="str">
        <f>정규화데이터!E199</f>
        <v>SKU001</v>
      </c>
      <c r="F199" s="3">
        <f>정규화데이터!F199</f>
        <v>1</v>
      </c>
      <c r="G199" s="3">
        <f>정규화데이터!G199</f>
        <v>119000</v>
      </c>
      <c r="H199" s="3">
        <f>정규화데이터!H199</f>
        <v>119000</v>
      </c>
      <c r="I199" s="3">
        <f>정규화데이터!I199</f>
        <v>82110</v>
      </c>
      <c r="J199" s="3">
        <f>정규화데이터!J199</f>
        <v>108181.81818181818</v>
      </c>
      <c r="K199" s="25">
        <f>정규화데이터!K199</f>
        <v>61496</v>
      </c>
      <c r="L199" s="25">
        <f>정규화데이터!L199</f>
        <v>61496</v>
      </c>
      <c r="M199" s="21">
        <f t="shared" si="6"/>
        <v>46685.818181818177</v>
      </c>
      <c r="N199" s="52">
        <f t="shared" si="7"/>
        <v>0.43154957983193276</v>
      </c>
    </row>
    <row r="200" spans="1:14" x14ac:dyDescent="0.3">
      <c r="A200" t="str">
        <f>정규화데이터!A200</f>
        <v>SK스토아</v>
      </c>
      <c r="B200">
        <f>정규화데이터!B200</f>
        <v>20260205993543</v>
      </c>
      <c r="C200" t="str">
        <f>정규화데이터!C200</f>
        <v>[워커힐]워커힐 고메 시그니처 양념 본갈비 8팩</v>
      </c>
      <c r="D200">
        <f>정규화데이터!D200</f>
        <v>58481090</v>
      </c>
      <c r="E200" s="16" t="str">
        <f>정규화데이터!E200</f>
        <v>SKU001</v>
      </c>
      <c r="F200" s="3">
        <f>정규화데이터!F200</f>
        <v>1</v>
      </c>
      <c r="G200" s="3">
        <f>정규화데이터!G200</f>
        <v>119000</v>
      </c>
      <c r="H200" s="3">
        <f>정규화데이터!H200</f>
        <v>119000</v>
      </c>
      <c r="I200" s="3">
        <f>정규화데이터!I200</f>
        <v>82110</v>
      </c>
      <c r="J200" s="3">
        <f>정규화데이터!J200</f>
        <v>108181.81818181818</v>
      </c>
      <c r="K200" s="25">
        <f>정규화데이터!K200</f>
        <v>61496</v>
      </c>
      <c r="L200" s="25">
        <f>정규화데이터!L200</f>
        <v>61496</v>
      </c>
      <c r="M200" s="21">
        <f t="shared" si="6"/>
        <v>46685.818181818177</v>
      </c>
      <c r="N200" s="52">
        <f t="shared" si="7"/>
        <v>0.43154957983193276</v>
      </c>
    </row>
    <row r="201" spans="1:14" x14ac:dyDescent="0.3">
      <c r="A201" t="str">
        <f>정규화데이터!A201</f>
        <v>SK스토아</v>
      </c>
      <c r="B201">
        <f>정규화데이터!B201</f>
        <v>20260205994834</v>
      </c>
      <c r="C201" t="str">
        <f>정규화데이터!C201</f>
        <v>[워커힐]워커힐 고메 시그니처 양념 본갈비 8팩</v>
      </c>
      <c r="D201">
        <f>정규화데이터!D201</f>
        <v>58481090</v>
      </c>
      <c r="E201" s="16" t="str">
        <f>정규화데이터!E201</f>
        <v>SKU001</v>
      </c>
      <c r="F201" s="3">
        <f>정규화데이터!F201</f>
        <v>1</v>
      </c>
      <c r="G201" s="3">
        <f>정규화데이터!G201</f>
        <v>119000</v>
      </c>
      <c r="H201" s="3">
        <f>정규화데이터!H201</f>
        <v>119000</v>
      </c>
      <c r="I201" s="3">
        <f>정규화데이터!I201</f>
        <v>82110</v>
      </c>
      <c r="J201" s="3">
        <f>정규화데이터!J201</f>
        <v>108181.81818181818</v>
      </c>
      <c r="K201" s="25">
        <f>정규화데이터!K201</f>
        <v>61496</v>
      </c>
      <c r="L201" s="25">
        <f>정규화데이터!L201</f>
        <v>61496</v>
      </c>
      <c r="M201" s="21">
        <f t="shared" si="6"/>
        <v>46685.818181818177</v>
      </c>
      <c r="N201" s="52">
        <f t="shared" si="7"/>
        <v>0.43154957983193276</v>
      </c>
    </row>
    <row r="202" spans="1:14" x14ac:dyDescent="0.3">
      <c r="A202" t="str">
        <f>정규화데이터!A202</f>
        <v>SK스토아</v>
      </c>
      <c r="B202">
        <f>정규화데이터!B202</f>
        <v>20260205993877</v>
      </c>
      <c r="C202" t="str">
        <f>정규화데이터!C202</f>
        <v>[워커힐]워커힐 고메 시그니처 양념 본갈비 8팩</v>
      </c>
      <c r="D202">
        <f>정규화데이터!D202</f>
        <v>58481090</v>
      </c>
      <c r="E202" s="16" t="str">
        <f>정규화데이터!E202</f>
        <v>SKU001</v>
      </c>
      <c r="F202" s="3">
        <f>정규화데이터!F202</f>
        <v>1</v>
      </c>
      <c r="G202" s="3">
        <f>정규화데이터!G202</f>
        <v>119000</v>
      </c>
      <c r="H202" s="3">
        <f>정규화데이터!H202</f>
        <v>119000</v>
      </c>
      <c r="I202" s="3">
        <f>정규화데이터!I202</f>
        <v>82110</v>
      </c>
      <c r="J202" s="3">
        <f>정규화데이터!J202</f>
        <v>108181.81818181818</v>
      </c>
      <c r="K202" s="25">
        <f>정규화데이터!K202</f>
        <v>61496</v>
      </c>
      <c r="L202" s="25">
        <f>정규화데이터!L202</f>
        <v>61496</v>
      </c>
      <c r="M202" s="21">
        <f t="shared" si="6"/>
        <v>46685.818181818177</v>
      </c>
      <c r="N202" s="52">
        <f t="shared" si="7"/>
        <v>0.43154957983193276</v>
      </c>
    </row>
    <row r="203" spans="1:14" x14ac:dyDescent="0.3">
      <c r="A203" t="str">
        <f>정규화데이터!A203</f>
        <v>SK스토아</v>
      </c>
      <c r="B203">
        <f>정규화데이터!B203</f>
        <v>20260205993908</v>
      </c>
      <c r="C203" t="str">
        <f>정규화데이터!C203</f>
        <v>[워커힐]워커힐 고메 시그니처 양념 본갈비 8팩</v>
      </c>
      <c r="D203">
        <f>정규화데이터!D203</f>
        <v>58481090</v>
      </c>
      <c r="E203" s="16" t="str">
        <f>정규화데이터!E203</f>
        <v>SKU001</v>
      </c>
      <c r="F203" s="3">
        <f>정규화데이터!F203</f>
        <v>1</v>
      </c>
      <c r="G203" s="3">
        <f>정규화데이터!G203</f>
        <v>119000</v>
      </c>
      <c r="H203" s="3">
        <f>정규화데이터!H203</f>
        <v>119000</v>
      </c>
      <c r="I203" s="3">
        <f>정규화데이터!I203</f>
        <v>82110</v>
      </c>
      <c r="J203" s="3">
        <f>정규화데이터!J203</f>
        <v>108181.81818181818</v>
      </c>
      <c r="K203" s="25">
        <f>정규화데이터!K203</f>
        <v>61496</v>
      </c>
      <c r="L203" s="25">
        <f>정규화데이터!L203</f>
        <v>61496</v>
      </c>
      <c r="M203" s="21">
        <f t="shared" si="6"/>
        <v>46685.818181818177</v>
      </c>
      <c r="N203" s="52">
        <f t="shared" si="7"/>
        <v>0.43154957983193276</v>
      </c>
    </row>
    <row r="204" spans="1:14" x14ac:dyDescent="0.3">
      <c r="A204" t="str">
        <f>정규화데이터!A204</f>
        <v>SK스토아</v>
      </c>
      <c r="B204">
        <f>정규화데이터!B204</f>
        <v>20260205993875</v>
      </c>
      <c r="C204" t="str">
        <f>정규화데이터!C204</f>
        <v>[워커힐]워커힐 고메 시그니처 양념 본갈비 8팩</v>
      </c>
      <c r="D204">
        <f>정규화데이터!D204</f>
        <v>58481090</v>
      </c>
      <c r="E204" s="16" t="str">
        <f>정규화데이터!E204</f>
        <v>SKU001</v>
      </c>
      <c r="F204" s="3">
        <f>정규화데이터!F204</f>
        <v>1</v>
      </c>
      <c r="G204" s="3">
        <f>정규화데이터!G204</f>
        <v>119000</v>
      </c>
      <c r="H204" s="3">
        <f>정규화데이터!H204</f>
        <v>113050</v>
      </c>
      <c r="I204" s="3">
        <f>정규화데이터!I204</f>
        <v>82110</v>
      </c>
      <c r="J204" s="3">
        <f>정규화데이터!J204</f>
        <v>102772.72727272726</v>
      </c>
      <c r="K204" s="25">
        <f>정규화데이터!K204</f>
        <v>61496</v>
      </c>
      <c r="L204" s="25">
        <f>정규화데이터!L204</f>
        <v>61496</v>
      </c>
      <c r="M204" s="21">
        <f t="shared" si="6"/>
        <v>41276.727272727265</v>
      </c>
      <c r="N204" s="52">
        <f t="shared" si="7"/>
        <v>0.40163113666519235</v>
      </c>
    </row>
    <row r="205" spans="1:14" x14ac:dyDescent="0.3">
      <c r="A205" t="str">
        <f>정규화데이터!A205</f>
        <v>SK스토아</v>
      </c>
      <c r="B205">
        <f>정규화데이터!B205</f>
        <v>20260205993960</v>
      </c>
      <c r="C205" t="str">
        <f>정규화데이터!C205</f>
        <v>[워커힐]워커힐 고메 시그니처 양념 본갈비 8팩</v>
      </c>
      <c r="D205">
        <f>정규화데이터!D205</f>
        <v>58481090</v>
      </c>
      <c r="E205" s="16" t="str">
        <f>정규화데이터!E205</f>
        <v>SKU001</v>
      </c>
      <c r="F205" s="3">
        <f>정규화데이터!F205</f>
        <v>1</v>
      </c>
      <c r="G205" s="3">
        <f>정규화데이터!G205</f>
        <v>119000</v>
      </c>
      <c r="H205" s="3">
        <f>정규화데이터!H205</f>
        <v>119000</v>
      </c>
      <c r="I205" s="3">
        <f>정규화데이터!I205</f>
        <v>82110</v>
      </c>
      <c r="J205" s="3">
        <f>정규화데이터!J205</f>
        <v>108181.81818181818</v>
      </c>
      <c r="K205" s="25">
        <f>정규화데이터!K205</f>
        <v>61496</v>
      </c>
      <c r="L205" s="25">
        <f>정규화데이터!L205</f>
        <v>61496</v>
      </c>
      <c r="M205" s="21">
        <f t="shared" si="6"/>
        <v>46685.818181818177</v>
      </c>
      <c r="N205" s="52">
        <f t="shared" si="7"/>
        <v>0.43154957983193276</v>
      </c>
    </row>
    <row r="206" spans="1:14" x14ac:dyDescent="0.3">
      <c r="A206" t="str">
        <f>정규화데이터!A206</f>
        <v>SK스토아</v>
      </c>
      <c r="B206">
        <f>정규화데이터!B206</f>
        <v>20260205992628</v>
      </c>
      <c r="C206" t="str">
        <f>정규화데이터!C206</f>
        <v>[워커힐]워커힐 고메 시그니처 양념 본갈비 8팩</v>
      </c>
      <c r="D206">
        <f>정규화데이터!D206</f>
        <v>58481090</v>
      </c>
      <c r="E206" s="16" t="str">
        <f>정규화데이터!E206</f>
        <v>SKU001</v>
      </c>
      <c r="F206" s="3">
        <f>정규화데이터!F206</f>
        <v>1</v>
      </c>
      <c r="G206" s="3">
        <f>정규화데이터!G206</f>
        <v>119000</v>
      </c>
      <c r="H206" s="3">
        <f>정규화데이터!H206</f>
        <v>119000</v>
      </c>
      <c r="I206" s="3">
        <f>정규화데이터!I206</f>
        <v>82110</v>
      </c>
      <c r="J206" s="3">
        <f>정규화데이터!J206</f>
        <v>108181.81818181818</v>
      </c>
      <c r="K206" s="25">
        <f>정규화데이터!K206</f>
        <v>61496</v>
      </c>
      <c r="L206" s="25">
        <f>정규화데이터!L206</f>
        <v>61496</v>
      </c>
      <c r="M206" s="21">
        <f t="shared" si="6"/>
        <v>46685.818181818177</v>
      </c>
      <c r="N206" s="52">
        <f t="shared" si="7"/>
        <v>0.43154957983193276</v>
      </c>
    </row>
    <row r="207" spans="1:14" x14ac:dyDescent="0.3">
      <c r="A207" t="str">
        <f>정규화데이터!A207</f>
        <v>SK스토아</v>
      </c>
      <c r="B207">
        <f>정규화데이터!B207</f>
        <v>20260205992776</v>
      </c>
      <c r="C207" t="str">
        <f>정규화데이터!C207</f>
        <v>[워커힐]워커힐 고메 시그니처 양념 본갈비 8팩</v>
      </c>
      <c r="D207">
        <f>정규화데이터!D207</f>
        <v>58481090</v>
      </c>
      <c r="E207" s="16" t="str">
        <f>정규화데이터!E207</f>
        <v>SKU001</v>
      </c>
      <c r="F207" s="3">
        <f>정규화데이터!F207</f>
        <v>1</v>
      </c>
      <c r="G207" s="3">
        <f>정규화데이터!G207</f>
        <v>119000</v>
      </c>
      <c r="H207" s="3">
        <f>정규화데이터!H207</f>
        <v>119000</v>
      </c>
      <c r="I207" s="3">
        <f>정규화데이터!I207</f>
        <v>82110</v>
      </c>
      <c r="J207" s="3">
        <f>정규화데이터!J207</f>
        <v>108181.81818181818</v>
      </c>
      <c r="K207" s="25">
        <f>정규화데이터!K207</f>
        <v>61496</v>
      </c>
      <c r="L207" s="25">
        <f>정규화데이터!L207</f>
        <v>61496</v>
      </c>
      <c r="M207" s="21">
        <f t="shared" si="6"/>
        <v>46685.818181818177</v>
      </c>
      <c r="N207" s="52">
        <f t="shared" si="7"/>
        <v>0.43154957983193276</v>
      </c>
    </row>
    <row r="208" spans="1:14" x14ac:dyDescent="0.3">
      <c r="A208" t="str">
        <f>정규화데이터!A208</f>
        <v>SK스토아</v>
      </c>
      <c r="B208">
        <f>정규화데이터!B208</f>
        <v>20260205992776</v>
      </c>
      <c r="C208" t="str">
        <f>정규화데이터!C208</f>
        <v>[워커힐]워커힐 고메 시그니처 양념 본갈비 8팩</v>
      </c>
      <c r="D208">
        <f>정규화데이터!D208</f>
        <v>58481090</v>
      </c>
      <c r="E208" s="16" t="str">
        <f>정규화데이터!E208</f>
        <v>SKU001</v>
      </c>
      <c r="F208" s="3">
        <f>정규화데이터!F208</f>
        <v>1</v>
      </c>
      <c r="G208" s="3">
        <f>정규화데이터!G208</f>
        <v>119000</v>
      </c>
      <c r="H208" s="3">
        <f>정규화데이터!H208</f>
        <v>119000</v>
      </c>
      <c r="I208" s="3">
        <f>정규화데이터!I208</f>
        <v>82110</v>
      </c>
      <c r="J208" s="3">
        <f>정규화데이터!J208</f>
        <v>108181.81818181818</v>
      </c>
      <c r="K208" s="25">
        <f>정규화데이터!K208</f>
        <v>61496</v>
      </c>
      <c r="L208" s="25">
        <f>정규화데이터!L208</f>
        <v>61496</v>
      </c>
      <c r="M208" s="21">
        <f t="shared" si="6"/>
        <v>46685.818181818177</v>
      </c>
      <c r="N208" s="52">
        <f t="shared" si="7"/>
        <v>0.43154957983193276</v>
      </c>
    </row>
    <row r="209" spans="1:14" x14ac:dyDescent="0.3">
      <c r="A209" t="str">
        <f>정규화데이터!A209</f>
        <v>SK스토아</v>
      </c>
      <c r="B209">
        <f>정규화데이터!B209</f>
        <v>20260205992904</v>
      </c>
      <c r="C209" t="str">
        <f>정규화데이터!C209</f>
        <v>[워커힐]워커힐 고메 시그니처 양념 본갈비 8팩</v>
      </c>
      <c r="D209">
        <f>정규화데이터!D209</f>
        <v>58481090</v>
      </c>
      <c r="E209" s="16" t="str">
        <f>정규화데이터!E209</f>
        <v>SKU001</v>
      </c>
      <c r="F209" s="3">
        <f>정규화데이터!F209</f>
        <v>1</v>
      </c>
      <c r="G209" s="3">
        <f>정규화데이터!G209</f>
        <v>119000</v>
      </c>
      <c r="H209" s="3">
        <f>정규화데이터!H209</f>
        <v>119000</v>
      </c>
      <c r="I209" s="3">
        <f>정규화데이터!I209</f>
        <v>82110</v>
      </c>
      <c r="J209" s="3">
        <f>정규화데이터!J209</f>
        <v>108181.81818181818</v>
      </c>
      <c r="K209" s="25">
        <f>정규화데이터!K209</f>
        <v>61496</v>
      </c>
      <c r="L209" s="25">
        <f>정규화데이터!L209</f>
        <v>61496</v>
      </c>
      <c r="M209" s="21">
        <f t="shared" si="6"/>
        <v>46685.818181818177</v>
      </c>
      <c r="N209" s="52">
        <f t="shared" si="7"/>
        <v>0.43154957983193276</v>
      </c>
    </row>
    <row r="210" spans="1:14" x14ac:dyDescent="0.3">
      <c r="A210" t="str">
        <f>정규화데이터!A210</f>
        <v>SK스토아</v>
      </c>
      <c r="B210">
        <f>정규화데이터!B210</f>
        <v>20260205992898</v>
      </c>
      <c r="C210" t="str">
        <f>정규화데이터!C210</f>
        <v>[워커힐]워커힐 고메 시그니처 양념 본갈비 8팩</v>
      </c>
      <c r="D210">
        <f>정규화데이터!D210</f>
        <v>58481090</v>
      </c>
      <c r="E210" s="16" t="str">
        <f>정규화데이터!E210</f>
        <v>SKU001</v>
      </c>
      <c r="F210" s="3">
        <f>정규화데이터!F210</f>
        <v>1</v>
      </c>
      <c r="G210" s="3">
        <f>정규화데이터!G210</f>
        <v>119000</v>
      </c>
      <c r="H210" s="3">
        <f>정규화데이터!H210</f>
        <v>113050</v>
      </c>
      <c r="I210" s="3">
        <f>정규화데이터!I210</f>
        <v>82110</v>
      </c>
      <c r="J210" s="3">
        <f>정규화데이터!J210</f>
        <v>102772.72727272726</v>
      </c>
      <c r="K210" s="25">
        <f>정규화데이터!K210</f>
        <v>61496</v>
      </c>
      <c r="L210" s="25">
        <f>정규화데이터!L210</f>
        <v>61496</v>
      </c>
      <c r="M210" s="21">
        <f t="shared" si="6"/>
        <v>41276.727272727265</v>
      </c>
      <c r="N210" s="52">
        <f t="shared" si="7"/>
        <v>0.40163113666519235</v>
      </c>
    </row>
    <row r="211" spans="1:14" x14ac:dyDescent="0.3">
      <c r="A211" t="str">
        <f>정규화데이터!A211</f>
        <v>SK스토아</v>
      </c>
      <c r="B211">
        <f>정규화데이터!B211</f>
        <v>20260205993183</v>
      </c>
      <c r="C211" t="str">
        <f>정규화데이터!C211</f>
        <v>[워커힐]워커힐 고메 시그니처 양념 본갈비 8팩</v>
      </c>
      <c r="D211">
        <f>정규화데이터!D211</f>
        <v>58481090</v>
      </c>
      <c r="E211" s="16" t="str">
        <f>정규화데이터!E211</f>
        <v>SKU001</v>
      </c>
      <c r="F211" s="3">
        <f>정규화데이터!F211</f>
        <v>1</v>
      </c>
      <c r="G211" s="3">
        <f>정규화데이터!G211</f>
        <v>119000</v>
      </c>
      <c r="H211" s="3">
        <f>정규화데이터!H211</f>
        <v>119000</v>
      </c>
      <c r="I211" s="3">
        <f>정규화데이터!I211</f>
        <v>82110</v>
      </c>
      <c r="J211" s="3">
        <f>정규화데이터!J211</f>
        <v>108181.81818181818</v>
      </c>
      <c r="K211" s="25">
        <f>정규화데이터!K211</f>
        <v>61496</v>
      </c>
      <c r="L211" s="25">
        <f>정규화데이터!L211</f>
        <v>61496</v>
      </c>
      <c r="M211" s="21">
        <f t="shared" si="6"/>
        <v>46685.818181818177</v>
      </c>
      <c r="N211" s="52">
        <f t="shared" si="7"/>
        <v>0.43154957983193276</v>
      </c>
    </row>
    <row r="212" spans="1:14" x14ac:dyDescent="0.3">
      <c r="A212" t="str">
        <f>정규화데이터!A212</f>
        <v>SK스토아</v>
      </c>
      <c r="B212">
        <f>정규화데이터!B212</f>
        <v>20260205993148</v>
      </c>
      <c r="C212" t="str">
        <f>정규화데이터!C212</f>
        <v>[워커힐]워커힐 고메 시그니처 양념 본갈비 8팩</v>
      </c>
      <c r="D212">
        <f>정규화데이터!D212</f>
        <v>58481090</v>
      </c>
      <c r="E212" s="16" t="str">
        <f>정규화데이터!E212</f>
        <v>SKU001</v>
      </c>
      <c r="F212" s="3">
        <f>정규화데이터!F212</f>
        <v>1</v>
      </c>
      <c r="G212" s="3">
        <f>정규화데이터!G212</f>
        <v>119000</v>
      </c>
      <c r="H212" s="3">
        <f>정규화데이터!H212</f>
        <v>119000</v>
      </c>
      <c r="I212" s="3">
        <f>정규화데이터!I212</f>
        <v>82110</v>
      </c>
      <c r="J212" s="3">
        <f>정규화데이터!J212</f>
        <v>108181.81818181818</v>
      </c>
      <c r="K212" s="25">
        <f>정규화데이터!K212</f>
        <v>61496</v>
      </c>
      <c r="L212" s="25">
        <f>정규화데이터!L212</f>
        <v>61496</v>
      </c>
      <c r="M212" s="21">
        <f t="shared" si="6"/>
        <v>46685.818181818177</v>
      </c>
      <c r="N212" s="52">
        <f t="shared" si="7"/>
        <v>0.43154957983193276</v>
      </c>
    </row>
    <row r="213" spans="1:14" x14ac:dyDescent="0.3">
      <c r="A213" t="str">
        <f>정규화데이터!A213</f>
        <v>SK스토아</v>
      </c>
      <c r="B213">
        <f>정규화데이터!B213</f>
        <v>20260205993058</v>
      </c>
      <c r="C213" t="str">
        <f>정규화데이터!C213</f>
        <v>[워커힐]워커힐 고메 시그니처 양념 본갈비 8팩</v>
      </c>
      <c r="D213">
        <f>정규화데이터!D213</f>
        <v>58481090</v>
      </c>
      <c r="E213" s="16" t="str">
        <f>정규화데이터!E213</f>
        <v>SKU001</v>
      </c>
      <c r="F213" s="3">
        <f>정규화데이터!F213</f>
        <v>1</v>
      </c>
      <c r="G213" s="3">
        <f>정규화데이터!G213</f>
        <v>119000</v>
      </c>
      <c r="H213" s="3">
        <f>정규화데이터!H213</f>
        <v>119000</v>
      </c>
      <c r="I213" s="3">
        <f>정규화데이터!I213</f>
        <v>82110</v>
      </c>
      <c r="J213" s="3">
        <f>정규화데이터!J213</f>
        <v>108181.81818181818</v>
      </c>
      <c r="K213" s="25">
        <f>정규화데이터!K213</f>
        <v>61496</v>
      </c>
      <c r="L213" s="25">
        <f>정규화데이터!L213</f>
        <v>61496</v>
      </c>
      <c r="M213" s="21">
        <f t="shared" si="6"/>
        <v>46685.818181818177</v>
      </c>
      <c r="N213" s="52">
        <f t="shared" si="7"/>
        <v>0.43154957983193276</v>
      </c>
    </row>
    <row r="214" spans="1:14" x14ac:dyDescent="0.3">
      <c r="A214" t="str">
        <f>정규화데이터!A214</f>
        <v>SK스토아</v>
      </c>
      <c r="B214">
        <f>정규화데이터!B214</f>
        <v>20260205996079</v>
      </c>
      <c r="C214" t="str">
        <f>정규화데이터!C214</f>
        <v>[워커힐]워커힐 고메 시그니처 양념 본갈비 8팩</v>
      </c>
      <c r="D214">
        <f>정규화데이터!D214</f>
        <v>58481090</v>
      </c>
      <c r="E214" s="16" t="str">
        <f>정규화데이터!E214</f>
        <v>SKU001</v>
      </c>
      <c r="F214" s="3">
        <f>정규화데이터!F214</f>
        <v>1</v>
      </c>
      <c r="G214" s="3">
        <f>정규화데이터!G214</f>
        <v>119000</v>
      </c>
      <c r="H214" s="3">
        <f>정규화데이터!H214</f>
        <v>119000</v>
      </c>
      <c r="I214" s="3">
        <f>정규화데이터!I214</f>
        <v>82110</v>
      </c>
      <c r="J214" s="3">
        <f>정규화데이터!J214</f>
        <v>108181.81818181818</v>
      </c>
      <c r="K214" s="25">
        <f>정규화데이터!K214</f>
        <v>61496</v>
      </c>
      <c r="L214" s="25">
        <f>정규화데이터!L214</f>
        <v>61496</v>
      </c>
      <c r="M214" s="21">
        <f t="shared" si="6"/>
        <v>46685.818181818177</v>
      </c>
      <c r="N214" s="52">
        <f t="shared" si="7"/>
        <v>0.43154957983193276</v>
      </c>
    </row>
    <row r="215" spans="1:14" x14ac:dyDescent="0.3">
      <c r="A215" t="str">
        <f>정규화데이터!A215</f>
        <v>SK스토아</v>
      </c>
      <c r="B215">
        <f>정규화데이터!B215</f>
        <v>20260205993619</v>
      </c>
      <c r="C215" t="str">
        <f>정규화데이터!C215</f>
        <v>[워커힐]워커힐 고메 시그니처 양념 본갈비 8팩</v>
      </c>
      <c r="D215">
        <f>정규화데이터!D215</f>
        <v>58481090</v>
      </c>
      <c r="E215" s="16" t="str">
        <f>정규화데이터!E215</f>
        <v>SKU001</v>
      </c>
      <c r="F215" s="3">
        <f>정규화데이터!F215</f>
        <v>1</v>
      </c>
      <c r="G215" s="3">
        <f>정규화데이터!G215</f>
        <v>119000</v>
      </c>
      <c r="H215" s="3">
        <f>정규화데이터!H215</f>
        <v>119000</v>
      </c>
      <c r="I215" s="3">
        <f>정규화데이터!I215</f>
        <v>82110</v>
      </c>
      <c r="J215" s="3">
        <f>정규화데이터!J215</f>
        <v>108181.81818181818</v>
      </c>
      <c r="K215" s="25">
        <f>정규화데이터!K215</f>
        <v>61496</v>
      </c>
      <c r="L215" s="25">
        <f>정규화데이터!L215</f>
        <v>61496</v>
      </c>
      <c r="M215" s="21">
        <f t="shared" si="6"/>
        <v>46685.818181818177</v>
      </c>
      <c r="N215" s="52">
        <f t="shared" si="7"/>
        <v>0.43154957983193276</v>
      </c>
    </row>
    <row r="216" spans="1:14" x14ac:dyDescent="0.3">
      <c r="A216" t="str">
        <f>정규화데이터!A216</f>
        <v>SK스토아</v>
      </c>
      <c r="B216">
        <f>정규화데이터!B216</f>
        <v>20260205994384</v>
      </c>
      <c r="C216" t="str">
        <f>정규화데이터!C216</f>
        <v>[워커힐]워커힐 고메 시그니처 양념 본갈비 8팩</v>
      </c>
      <c r="D216">
        <f>정규화데이터!D216</f>
        <v>58481090</v>
      </c>
      <c r="E216" s="16" t="str">
        <f>정규화데이터!E216</f>
        <v>SKU001</v>
      </c>
      <c r="F216" s="3">
        <f>정규화데이터!F216</f>
        <v>1</v>
      </c>
      <c r="G216" s="3">
        <f>정규화데이터!G216</f>
        <v>119000</v>
      </c>
      <c r="H216" s="3">
        <f>정규화데이터!H216</f>
        <v>105910</v>
      </c>
      <c r="I216" s="3">
        <f>정규화데이터!I216</f>
        <v>82110</v>
      </c>
      <c r="J216" s="3">
        <f>정규화데이터!J216</f>
        <v>96281.818181818177</v>
      </c>
      <c r="K216" s="25">
        <f>정규화데이터!K216</f>
        <v>61496</v>
      </c>
      <c r="L216" s="25">
        <f>정규화데이터!L216</f>
        <v>61496</v>
      </c>
      <c r="M216" s="21">
        <f t="shared" si="6"/>
        <v>34785.818181818177</v>
      </c>
      <c r="N216" s="52">
        <f t="shared" si="7"/>
        <v>0.36129166273250868</v>
      </c>
    </row>
    <row r="217" spans="1:14" x14ac:dyDescent="0.3">
      <c r="A217" t="str">
        <f>정규화데이터!A217</f>
        <v>SK스토아</v>
      </c>
      <c r="B217">
        <f>정규화데이터!B217</f>
        <v>20260205994642</v>
      </c>
      <c r="C217" t="str">
        <f>정규화데이터!C217</f>
        <v>[워커힐]워커힐 고메 시그니처 양념 본갈비 8팩</v>
      </c>
      <c r="D217">
        <f>정규화데이터!D217</f>
        <v>58481090</v>
      </c>
      <c r="E217" s="16" t="str">
        <f>정규화데이터!E217</f>
        <v>SKU001</v>
      </c>
      <c r="F217" s="3">
        <f>정규화데이터!F217</f>
        <v>1</v>
      </c>
      <c r="G217" s="3">
        <f>정규화데이터!G217</f>
        <v>119000</v>
      </c>
      <c r="H217" s="3">
        <f>정규화데이터!H217</f>
        <v>119000</v>
      </c>
      <c r="I217" s="3">
        <f>정규화데이터!I217</f>
        <v>82110</v>
      </c>
      <c r="J217" s="3">
        <f>정규화데이터!J217</f>
        <v>108181.81818181818</v>
      </c>
      <c r="K217" s="25">
        <f>정규화데이터!K217</f>
        <v>61496</v>
      </c>
      <c r="L217" s="25">
        <f>정규화데이터!L217</f>
        <v>61496</v>
      </c>
      <c r="M217" s="21">
        <f t="shared" si="6"/>
        <v>46685.818181818177</v>
      </c>
      <c r="N217" s="52">
        <f t="shared" si="7"/>
        <v>0.43154957983193276</v>
      </c>
    </row>
    <row r="218" spans="1:14" x14ac:dyDescent="0.3">
      <c r="A218" t="str">
        <f>정규화데이터!A218</f>
        <v>SK스토아</v>
      </c>
      <c r="B218">
        <f>정규화데이터!B218</f>
        <v>20260205993790</v>
      </c>
      <c r="C218" t="str">
        <f>정규화데이터!C218</f>
        <v>[워커힐]워커힐 고메 시그니처 양념 본갈비 8팩</v>
      </c>
      <c r="D218">
        <f>정규화데이터!D218</f>
        <v>58481090</v>
      </c>
      <c r="E218" s="16" t="str">
        <f>정규화데이터!E218</f>
        <v>SKU001</v>
      </c>
      <c r="F218" s="3">
        <f>정규화데이터!F218</f>
        <v>1</v>
      </c>
      <c r="G218" s="3">
        <f>정규화데이터!G218</f>
        <v>119000</v>
      </c>
      <c r="H218" s="3">
        <f>정규화데이터!H218</f>
        <v>119000</v>
      </c>
      <c r="I218" s="3">
        <f>정규화데이터!I218</f>
        <v>82110</v>
      </c>
      <c r="J218" s="3">
        <f>정규화데이터!J218</f>
        <v>108181.81818181818</v>
      </c>
      <c r="K218" s="25">
        <f>정규화데이터!K218</f>
        <v>61496</v>
      </c>
      <c r="L218" s="25">
        <f>정규화데이터!L218</f>
        <v>61496</v>
      </c>
      <c r="M218" s="21">
        <f t="shared" si="6"/>
        <v>46685.818181818177</v>
      </c>
      <c r="N218" s="52">
        <f t="shared" si="7"/>
        <v>0.43154957983193276</v>
      </c>
    </row>
    <row r="219" spans="1:14" x14ac:dyDescent="0.3">
      <c r="A219" t="str">
        <f>정규화데이터!A219</f>
        <v>SK스토아</v>
      </c>
      <c r="B219">
        <f>정규화데이터!B219</f>
        <v>20260205993178</v>
      </c>
      <c r="C219" t="str">
        <f>정규화데이터!C219</f>
        <v>[워커힐]워커힐 고메 시그니처 양념 본갈비 8팩</v>
      </c>
      <c r="D219">
        <f>정규화데이터!D219</f>
        <v>58481090</v>
      </c>
      <c r="E219" s="16" t="str">
        <f>정규화데이터!E219</f>
        <v>SKU001</v>
      </c>
      <c r="F219" s="3">
        <f>정규화데이터!F219</f>
        <v>1</v>
      </c>
      <c r="G219" s="3">
        <f>정규화데이터!G219</f>
        <v>119000</v>
      </c>
      <c r="H219" s="3">
        <f>정규화데이터!H219</f>
        <v>109000</v>
      </c>
      <c r="I219" s="3">
        <f>정규화데이터!I219</f>
        <v>82110</v>
      </c>
      <c r="J219" s="3">
        <f>정규화데이터!J219</f>
        <v>99090.909090909074</v>
      </c>
      <c r="K219" s="25">
        <f>정규화데이터!K219</f>
        <v>61496</v>
      </c>
      <c r="L219" s="25">
        <f>정규화데이터!L219</f>
        <v>61496</v>
      </c>
      <c r="M219" s="21">
        <f t="shared" si="6"/>
        <v>37594.909090909074</v>
      </c>
      <c r="N219" s="52">
        <f t="shared" si="7"/>
        <v>0.3793981651376146</v>
      </c>
    </row>
    <row r="220" spans="1:14" x14ac:dyDescent="0.3">
      <c r="A220" t="str">
        <f>정규화데이터!A220</f>
        <v>SK스토아</v>
      </c>
      <c r="B220">
        <f>정규화데이터!B220</f>
        <v>20260205995500</v>
      </c>
      <c r="C220" t="str">
        <f>정규화데이터!C220</f>
        <v>[워커힐]워커힐 고메 시그니처 양념 본갈비 8팩</v>
      </c>
      <c r="D220">
        <f>정규화데이터!D220</f>
        <v>58481090</v>
      </c>
      <c r="E220" s="16" t="str">
        <f>정규화데이터!E220</f>
        <v>SKU001</v>
      </c>
      <c r="F220" s="3">
        <f>정규화데이터!F220</f>
        <v>1</v>
      </c>
      <c r="G220" s="3">
        <f>정규화데이터!G220</f>
        <v>119000</v>
      </c>
      <c r="H220" s="3">
        <f>정규화데이터!H220</f>
        <v>119000</v>
      </c>
      <c r="I220" s="3">
        <f>정규화데이터!I220</f>
        <v>82110</v>
      </c>
      <c r="J220" s="3">
        <f>정규화데이터!J220</f>
        <v>108181.81818181818</v>
      </c>
      <c r="K220" s="25">
        <f>정규화데이터!K220</f>
        <v>61496</v>
      </c>
      <c r="L220" s="25">
        <f>정규화데이터!L220</f>
        <v>61496</v>
      </c>
      <c r="M220" s="21">
        <f t="shared" si="6"/>
        <v>46685.818181818177</v>
      </c>
      <c r="N220" s="52">
        <f t="shared" si="7"/>
        <v>0.43154957983193276</v>
      </c>
    </row>
    <row r="221" spans="1:14" x14ac:dyDescent="0.3">
      <c r="A221" t="str">
        <f>정규화데이터!A221</f>
        <v>SK스토아</v>
      </c>
      <c r="B221">
        <f>정규화데이터!B221</f>
        <v>20260205995571</v>
      </c>
      <c r="C221" t="str">
        <f>정규화데이터!C221</f>
        <v>[워커힐]워커힐 고메 시그니처 양념 본갈비 8팩</v>
      </c>
      <c r="D221">
        <f>정규화데이터!D221</f>
        <v>58481090</v>
      </c>
      <c r="E221" s="16" t="str">
        <f>정규화데이터!E221</f>
        <v>SKU001</v>
      </c>
      <c r="F221" s="3">
        <f>정규화데이터!F221</f>
        <v>1</v>
      </c>
      <c r="G221" s="3">
        <f>정규화데이터!G221</f>
        <v>119000</v>
      </c>
      <c r="H221" s="3">
        <f>정규화데이터!H221</f>
        <v>101150</v>
      </c>
      <c r="I221" s="3">
        <f>정규화데이터!I221</f>
        <v>82110</v>
      </c>
      <c r="J221" s="3">
        <f>정규화데이터!J221</f>
        <v>91954.545454545441</v>
      </c>
      <c r="K221" s="25">
        <f>정규화데이터!K221</f>
        <v>61496</v>
      </c>
      <c r="L221" s="25">
        <f>정규화데이터!L221</f>
        <v>61496</v>
      </c>
      <c r="M221" s="21">
        <f t="shared" si="6"/>
        <v>30458.545454545441</v>
      </c>
      <c r="N221" s="52">
        <f t="shared" si="7"/>
        <v>0.33123479980227377</v>
      </c>
    </row>
    <row r="222" spans="1:14" x14ac:dyDescent="0.3">
      <c r="A222" t="str">
        <f>정규화데이터!A222</f>
        <v>SK스토아</v>
      </c>
      <c r="B222">
        <f>정규화데이터!B222</f>
        <v>20260205994980</v>
      </c>
      <c r="C222" t="str">
        <f>정규화데이터!C222</f>
        <v>[워커힐]워커힐 고메 시그니처 양념 본갈비 8팩</v>
      </c>
      <c r="D222">
        <f>정규화데이터!D222</f>
        <v>58481090</v>
      </c>
      <c r="E222" s="16" t="str">
        <f>정규화데이터!E222</f>
        <v>SKU001</v>
      </c>
      <c r="F222" s="3">
        <f>정규화데이터!F222</f>
        <v>1</v>
      </c>
      <c r="G222" s="3">
        <f>정규화데이터!G222</f>
        <v>119000</v>
      </c>
      <c r="H222" s="3">
        <f>정규화데이터!H222</f>
        <v>119000</v>
      </c>
      <c r="I222" s="3">
        <f>정규화데이터!I222</f>
        <v>82110</v>
      </c>
      <c r="J222" s="3">
        <f>정규화데이터!J222</f>
        <v>108181.81818181818</v>
      </c>
      <c r="K222" s="25">
        <f>정규화데이터!K222</f>
        <v>61496</v>
      </c>
      <c r="L222" s="25">
        <f>정규화데이터!L222</f>
        <v>61496</v>
      </c>
      <c r="M222" s="21">
        <f t="shared" si="6"/>
        <v>46685.818181818177</v>
      </c>
      <c r="N222" s="52">
        <f t="shared" si="7"/>
        <v>0.43154957983193276</v>
      </c>
    </row>
    <row r="223" spans="1:14" x14ac:dyDescent="0.3">
      <c r="A223" t="str">
        <f>정규화데이터!A223</f>
        <v>SK스토아</v>
      </c>
      <c r="B223">
        <f>정규화데이터!B223</f>
        <v>20260205992733</v>
      </c>
      <c r="C223" t="str">
        <f>정규화데이터!C223</f>
        <v>[워커힐]워커힐 고메 시그니처 양념 본갈비 8팩</v>
      </c>
      <c r="D223">
        <f>정규화데이터!D223</f>
        <v>58481090</v>
      </c>
      <c r="E223" s="16" t="str">
        <f>정규화데이터!E223</f>
        <v>SKU001</v>
      </c>
      <c r="F223" s="3">
        <f>정규화데이터!F223</f>
        <v>1</v>
      </c>
      <c r="G223" s="3">
        <f>정규화데이터!G223</f>
        <v>119000</v>
      </c>
      <c r="H223" s="3">
        <f>정규화데이터!H223</f>
        <v>119000</v>
      </c>
      <c r="I223" s="3">
        <f>정규화데이터!I223</f>
        <v>82110</v>
      </c>
      <c r="J223" s="3">
        <f>정규화데이터!J223</f>
        <v>108181.81818181818</v>
      </c>
      <c r="K223" s="25">
        <f>정규화데이터!K223</f>
        <v>61496</v>
      </c>
      <c r="L223" s="25">
        <f>정규화데이터!L223</f>
        <v>61496</v>
      </c>
      <c r="M223" s="21">
        <f t="shared" si="6"/>
        <v>46685.818181818177</v>
      </c>
      <c r="N223" s="52">
        <f t="shared" si="7"/>
        <v>0.43154957983193276</v>
      </c>
    </row>
    <row r="224" spans="1:14" x14ac:dyDescent="0.3">
      <c r="A224" t="str">
        <f>정규화데이터!A224</f>
        <v>SK스토아</v>
      </c>
      <c r="B224">
        <f>정규화데이터!B224</f>
        <v>20260205992956</v>
      </c>
      <c r="C224" t="str">
        <f>정규화데이터!C224</f>
        <v>[워커힐]워커힐 고메 시그니처 양념 본갈비 8팩</v>
      </c>
      <c r="D224">
        <f>정규화데이터!D224</f>
        <v>58481090</v>
      </c>
      <c r="E224" s="16" t="str">
        <f>정규화데이터!E224</f>
        <v>SKU001</v>
      </c>
      <c r="F224" s="3">
        <f>정규화데이터!F224</f>
        <v>1</v>
      </c>
      <c r="G224" s="3">
        <f>정규화데이터!G224</f>
        <v>119000</v>
      </c>
      <c r="H224" s="3">
        <f>정규화데이터!H224</f>
        <v>119000</v>
      </c>
      <c r="I224" s="3">
        <f>정규화데이터!I224</f>
        <v>82110</v>
      </c>
      <c r="J224" s="3">
        <f>정규화데이터!J224</f>
        <v>108181.81818181818</v>
      </c>
      <c r="K224" s="25">
        <f>정규화데이터!K224</f>
        <v>61496</v>
      </c>
      <c r="L224" s="25">
        <f>정규화데이터!L224</f>
        <v>61496</v>
      </c>
      <c r="M224" s="21">
        <f t="shared" si="6"/>
        <v>46685.818181818177</v>
      </c>
      <c r="N224" s="52">
        <f t="shared" si="7"/>
        <v>0.43154957983193276</v>
      </c>
    </row>
    <row r="225" spans="1:14" x14ac:dyDescent="0.3">
      <c r="A225" t="str">
        <f>정규화데이터!A225</f>
        <v>SK스토아</v>
      </c>
      <c r="B225">
        <f>정규화데이터!B225</f>
        <v>20260205994593</v>
      </c>
      <c r="C225" t="str">
        <f>정규화데이터!C225</f>
        <v>[워커힐]워커힐 고메 시그니처 양념 본갈비 8팩</v>
      </c>
      <c r="D225">
        <f>정규화데이터!D225</f>
        <v>58481090</v>
      </c>
      <c r="E225" s="16" t="str">
        <f>정규화데이터!E225</f>
        <v>SKU001</v>
      </c>
      <c r="F225" s="3">
        <f>정규화데이터!F225</f>
        <v>1</v>
      </c>
      <c r="G225" s="3">
        <f>정규화데이터!G225</f>
        <v>119000</v>
      </c>
      <c r="H225" s="3">
        <f>정규화데이터!H225</f>
        <v>119000</v>
      </c>
      <c r="I225" s="3">
        <f>정규화데이터!I225</f>
        <v>82110</v>
      </c>
      <c r="J225" s="3">
        <f>정규화데이터!J225</f>
        <v>108181.81818181818</v>
      </c>
      <c r="K225" s="25">
        <f>정규화데이터!K225</f>
        <v>61496</v>
      </c>
      <c r="L225" s="25">
        <f>정규화데이터!L225</f>
        <v>61496</v>
      </c>
      <c r="M225" s="21">
        <f t="shared" si="6"/>
        <v>46685.818181818177</v>
      </c>
      <c r="N225" s="52">
        <f t="shared" si="7"/>
        <v>0.43154957983193276</v>
      </c>
    </row>
    <row r="226" spans="1:14" x14ac:dyDescent="0.3">
      <c r="A226" t="str">
        <f>정규화데이터!A226</f>
        <v>SK스토아</v>
      </c>
      <c r="B226">
        <f>정규화데이터!B226</f>
        <v>20260205994146</v>
      </c>
      <c r="C226" t="str">
        <f>정규화데이터!C226</f>
        <v>[워커힐]워커힐 고메 시그니처 양념 본갈비 8팩</v>
      </c>
      <c r="D226">
        <f>정규화데이터!D226</f>
        <v>58481090</v>
      </c>
      <c r="E226" s="16" t="str">
        <f>정규화데이터!E226</f>
        <v>SKU001</v>
      </c>
      <c r="F226" s="3">
        <f>정규화데이터!F226</f>
        <v>1</v>
      </c>
      <c r="G226" s="3">
        <f>정규화데이터!G226</f>
        <v>119000</v>
      </c>
      <c r="H226" s="3">
        <f>정규화데이터!H226</f>
        <v>119000</v>
      </c>
      <c r="I226" s="3">
        <f>정규화데이터!I226</f>
        <v>82110</v>
      </c>
      <c r="J226" s="3">
        <f>정규화데이터!J226</f>
        <v>108181.81818181818</v>
      </c>
      <c r="K226" s="25">
        <f>정규화데이터!K226</f>
        <v>61496</v>
      </c>
      <c r="L226" s="25">
        <f>정규화데이터!L226</f>
        <v>61496</v>
      </c>
      <c r="M226" s="21">
        <f t="shared" si="6"/>
        <v>46685.818181818177</v>
      </c>
      <c r="N226" s="52">
        <f t="shared" si="7"/>
        <v>0.43154957983193276</v>
      </c>
    </row>
    <row r="227" spans="1:14" x14ac:dyDescent="0.3">
      <c r="A227" t="str">
        <f>정규화데이터!A227</f>
        <v>SK스토아</v>
      </c>
      <c r="B227">
        <f>정규화데이터!B227</f>
        <v>20260205993672</v>
      </c>
      <c r="C227" t="str">
        <f>정규화데이터!C227</f>
        <v>[워커힐]워커힐 고메 시그니처 양념 본갈비 8팩</v>
      </c>
      <c r="D227">
        <f>정규화데이터!D227</f>
        <v>58481090</v>
      </c>
      <c r="E227" s="16" t="str">
        <f>정규화데이터!E227</f>
        <v>SKU001</v>
      </c>
      <c r="F227" s="3">
        <f>정규화데이터!F227</f>
        <v>1</v>
      </c>
      <c r="G227" s="3">
        <f>정규화데이터!G227</f>
        <v>119000</v>
      </c>
      <c r="H227" s="3">
        <f>정규화데이터!H227</f>
        <v>119000</v>
      </c>
      <c r="I227" s="3">
        <f>정규화데이터!I227</f>
        <v>82110</v>
      </c>
      <c r="J227" s="3">
        <f>정규화데이터!J227</f>
        <v>108181.81818181818</v>
      </c>
      <c r="K227" s="25">
        <f>정규화데이터!K227</f>
        <v>61496</v>
      </c>
      <c r="L227" s="25">
        <f>정규화데이터!L227</f>
        <v>61496</v>
      </c>
      <c r="M227" s="21">
        <f t="shared" si="6"/>
        <v>46685.818181818177</v>
      </c>
      <c r="N227" s="52">
        <f t="shared" si="7"/>
        <v>0.43154957983193276</v>
      </c>
    </row>
    <row r="228" spans="1:14" x14ac:dyDescent="0.3">
      <c r="A228" t="str">
        <f>정규화데이터!A228</f>
        <v>SK스토아</v>
      </c>
      <c r="B228">
        <f>정규화데이터!B228</f>
        <v>20260205994792</v>
      </c>
      <c r="C228" t="str">
        <f>정규화데이터!C228</f>
        <v>[워커힐]워커힐 고메 시그니처 양념 본갈비 8팩</v>
      </c>
      <c r="D228">
        <f>정규화데이터!D228</f>
        <v>58481090</v>
      </c>
      <c r="E228" s="16" t="str">
        <f>정규화데이터!E228</f>
        <v>SKU001</v>
      </c>
      <c r="F228" s="3">
        <f>정규화데이터!F228</f>
        <v>1</v>
      </c>
      <c r="G228" s="3">
        <f>정규화데이터!G228</f>
        <v>119000</v>
      </c>
      <c r="H228" s="3">
        <f>정규화데이터!H228</f>
        <v>119000</v>
      </c>
      <c r="I228" s="3">
        <f>정규화데이터!I228</f>
        <v>82110</v>
      </c>
      <c r="J228" s="3">
        <f>정규화데이터!J228</f>
        <v>108181.81818181818</v>
      </c>
      <c r="K228" s="25">
        <f>정규화데이터!K228</f>
        <v>61496</v>
      </c>
      <c r="L228" s="25">
        <f>정규화데이터!L228</f>
        <v>61496</v>
      </c>
      <c r="M228" s="21">
        <f t="shared" si="6"/>
        <v>46685.818181818177</v>
      </c>
      <c r="N228" s="52">
        <f t="shared" si="7"/>
        <v>0.43154957983193276</v>
      </c>
    </row>
    <row r="229" spans="1:14" x14ac:dyDescent="0.3">
      <c r="A229" t="str">
        <f>정규화데이터!A229</f>
        <v>SK스토아</v>
      </c>
      <c r="B229">
        <f>정규화데이터!B229</f>
        <v>20260205994934</v>
      </c>
      <c r="C229" t="str">
        <f>정규화데이터!C229</f>
        <v>[워커힐]워커힐 고메 시그니처 양념 본갈비 8팩</v>
      </c>
      <c r="D229">
        <f>정규화데이터!D229</f>
        <v>58481090</v>
      </c>
      <c r="E229" s="16" t="str">
        <f>정규화데이터!E229</f>
        <v>SKU001</v>
      </c>
      <c r="F229" s="3">
        <f>정규화데이터!F229</f>
        <v>1</v>
      </c>
      <c r="G229" s="3">
        <f>정규화데이터!G229</f>
        <v>119000</v>
      </c>
      <c r="H229" s="3">
        <f>정규화데이터!H229</f>
        <v>119000</v>
      </c>
      <c r="I229" s="3">
        <f>정규화데이터!I229</f>
        <v>82110</v>
      </c>
      <c r="J229" s="3">
        <f>정규화데이터!J229</f>
        <v>108181.81818181818</v>
      </c>
      <c r="K229" s="25">
        <f>정규화데이터!K229</f>
        <v>61496</v>
      </c>
      <c r="L229" s="25">
        <f>정규화데이터!L229</f>
        <v>61496</v>
      </c>
      <c r="M229" s="21">
        <f t="shared" si="6"/>
        <v>46685.818181818177</v>
      </c>
      <c r="N229" s="52">
        <f t="shared" si="7"/>
        <v>0.43154957983193276</v>
      </c>
    </row>
    <row r="230" spans="1:14" x14ac:dyDescent="0.3">
      <c r="A230" t="str">
        <f>정규화데이터!A230</f>
        <v>SK스토아</v>
      </c>
      <c r="B230">
        <f>정규화데이터!B230</f>
        <v>20260205993519</v>
      </c>
      <c r="C230" t="str">
        <f>정규화데이터!C230</f>
        <v>[워커힐]워커힐 고메 시그니처 양념 본갈비 8팩</v>
      </c>
      <c r="D230">
        <f>정규화데이터!D230</f>
        <v>58481090</v>
      </c>
      <c r="E230" s="16" t="str">
        <f>정규화데이터!E230</f>
        <v>SKU001</v>
      </c>
      <c r="F230" s="3">
        <f>정규화데이터!F230</f>
        <v>1</v>
      </c>
      <c r="G230" s="3">
        <f>정규화데이터!G230</f>
        <v>119000</v>
      </c>
      <c r="H230" s="3">
        <f>정규화데이터!H230</f>
        <v>99960</v>
      </c>
      <c r="I230" s="3">
        <f>정규화데이터!I230</f>
        <v>82110</v>
      </c>
      <c r="J230" s="3">
        <f>정규화데이터!J230</f>
        <v>90872.727272727265</v>
      </c>
      <c r="K230" s="25">
        <f>정규화데이터!K230</f>
        <v>61496</v>
      </c>
      <c r="L230" s="25">
        <f>정규화데이터!L230</f>
        <v>61496</v>
      </c>
      <c r="M230" s="21">
        <f t="shared" si="6"/>
        <v>29376.727272727265</v>
      </c>
      <c r="N230" s="52">
        <f t="shared" si="7"/>
        <v>0.32327330932372944</v>
      </c>
    </row>
    <row r="231" spans="1:14" x14ac:dyDescent="0.3">
      <c r="A231" t="str">
        <f>정규화데이터!A231</f>
        <v>SK스토아</v>
      </c>
      <c r="B231">
        <f>정규화데이터!B231</f>
        <v>20260205992372</v>
      </c>
      <c r="C231" t="str">
        <f>정규화데이터!C231</f>
        <v>[워커힐]워커힐 고메 시그니처 양념 본갈비 8팩</v>
      </c>
      <c r="D231">
        <f>정규화데이터!D231</f>
        <v>58481090</v>
      </c>
      <c r="E231" s="16" t="str">
        <f>정규화데이터!E231</f>
        <v>SKU001</v>
      </c>
      <c r="F231" s="3">
        <f>정규화데이터!F231</f>
        <v>2</v>
      </c>
      <c r="G231" s="3">
        <f>정규화데이터!G231</f>
        <v>119000</v>
      </c>
      <c r="H231" s="3">
        <f>정규화데이터!H231</f>
        <v>238000</v>
      </c>
      <c r="I231" s="3">
        <f>정규화데이터!I231</f>
        <v>164220</v>
      </c>
      <c r="J231" s="3">
        <f>정규화데이터!J231</f>
        <v>216363.63636363635</v>
      </c>
      <c r="K231" s="25">
        <f>정규화데이터!K231</f>
        <v>61496</v>
      </c>
      <c r="L231" s="25">
        <f>정규화데이터!L231</f>
        <v>122992</v>
      </c>
      <c r="M231" s="21">
        <f t="shared" si="6"/>
        <v>93371.636363636353</v>
      </c>
      <c r="N231" s="52">
        <f t="shared" si="7"/>
        <v>0.43154957983193276</v>
      </c>
    </row>
    <row r="232" spans="1:14" x14ac:dyDescent="0.3">
      <c r="A232" t="str">
        <f>정규화데이터!A232</f>
        <v>SK스토아</v>
      </c>
      <c r="B232">
        <f>정규화데이터!B232</f>
        <v>20260205994821</v>
      </c>
      <c r="C232" t="str">
        <f>정규화데이터!C232</f>
        <v>[워커힐]워커힐 고메 시그니처 양념 본갈비 8팩</v>
      </c>
      <c r="D232">
        <f>정규화데이터!D232</f>
        <v>58481090</v>
      </c>
      <c r="E232" s="16" t="str">
        <f>정규화데이터!E232</f>
        <v>SKU001</v>
      </c>
      <c r="F232" s="3">
        <f>정규화데이터!F232</f>
        <v>1</v>
      </c>
      <c r="G232" s="3">
        <f>정규화데이터!G232</f>
        <v>119000</v>
      </c>
      <c r="H232" s="3">
        <f>정규화데이터!H232</f>
        <v>119000</v>
      </c>
      <c r="I232" s="3">
        <f>정규화데이터!I232</f>
        <v>82110</v>
      </c>
      <c r="J232" s="3">
        <f>정규화데이터!J232</f>
        <v>108181.81818181818</v>
      </c>
      <c r="K232" s="25">
        <f>정규화데이터!K232</f>
        <v>61496</v>
      </c>
      <c r="L232" s="25">
        <f>정규화데이터!L232</f>
        <v>61496</v>
      </c>
      <c r="M232" s="21">
        <f t="shared" si="6"/>
        <v>46685.818181818177</v>
      </c>
      <c r="N232" s="52">
        <f t="shared" si="7"/>
        <v>0.43154957983193276</v>
      </c>
    </row>
    <row r="233" spans="1:14" x14ac:dyDescent="0.3">
      <c r="A233" t="str">
        <f>정규화데이터!A233</f>
        <v>SK스토아</v>
      </c>
      <c r="B233">
        <f>정규화데이터!B233</f>
        <v>20260205994969</v>
      </c>
      <c r="C233" t="str">
        <f>정규화데이터!C233</f>
        <v>[워커힐]워커힐 고메 시그니처 양념 본갈비 8팩</v>
      </c>
      <c r="D233">
        <f>정규화데이터!D233</f>
        <v>58481090</v>
      </c>
      <c r="E233" s="16" t="str">
        <f>정규화데이터!E233</f>
        <v>SKU001</v>
      </c>
      <c r="F233" s="3">
        <f>정규화데이터!F233</f>
        <v>1</v>
      </c>
      <c r="G233" s="3">
        <f>정규화데이터!G233</f>
        <v>119000</v>
      </c>
      <c r="H233" s="3">
        <f>정규화데이터!H233</f>
        <v>119000</v>
      </c>
      <c r="I233" s="3">
        <f>정규화데이터!I233</f>
        <v>82110</v>
      </c>
      <c r="J233" s="3">
        <f>정규화데이터!J233</f>
        <v>108181.81818181818</v>
      </c>
      <c r="K233" s="25">
        <f>정규화데이터!K233</f>
        <v>61496</v>
      </c>
      <c r="L233" s="25">
        <f>정규화데이터!L233</f>
        <v>61496</v>
      </c>
      <c r="M233" s="21">
        <f t="shared" si="6"/>
        <v>46685.818181818177</v>
      </c>
      <c r="N233" s="52">
        <f t="shared" si="7"/>
        <v>0.43154957983193276</v>
      </c>
    </row>
    <row r="234" spans="1:14" x14ac:dyDescent="0.3">
      <c r="A234" t="str">
        <f>정규화데이터!A234</f>
        <v>SK스토아</v>
      </c>
      <c r="B234">
        <f>정규화데이터!B234</f>
        <v>20260205994017</v>
      </c>
      <c r="C234" t="str">
        <f>정규화데이터!C234</f>
        <v>[워커힐]워커힐 고메 시그니처 양념 본갈비 8팩</v>
      </c>
      <c r="D234">
        <f>정규화데이터!D234</f>
        <v>58481090</v>
      </c>
      <c r="E234" s="16" t="str">
        <f>정규화데이터!E234</f>
        <v>SKU001</v>
      </c>
      <c r="F234" s="3">
        <f>정규화데이터!F234</f>
        <v>1</v>
      </c>
      <c r="G234" s="3">
        <f>정규화데이터!G234</f>
        <v>119000</v>
      </c>
      <c r="H234" s="3">
        <f>정규화데이터!H234</f>
        <v>113050</v>
      </c>
      <c r="I234" s="3">
        <f>정규화데이터!I234</f>
        <v>82110</v>
      </c>
      <c r="J234" s="3">
        <f>정규화데이터!J234</f>
        <v>102772.72727272726</v>
      </c>
      <c r="K234" s="25">
        <f>정규화데이터!K234</f>
        <v>61496</v>
      </c>
      <c r="L234" s="25">
        <f>정규화데이터!L234</f>
        <v>61496</v>
      </c>
      <c r="M234" s="21">
        <f t="shared" si="6"/>
        <v>41276.727272727265</v>
      </c>
      <c r="N234" s="52">
        <f t="shared" si="7"/>
        <v>0.40163113666519235</v>
      </c>
    </row>
    <row r="235" spans="1:14" x14ac:dyDescent="0.3">
      <c r="A235" t="str">
        <f>정규화데이터!A235</f>
        <v>SK스토아</v>
      </c>
      <c r="B235">
        <f>정규화데이터!B235</f>
        <v>20260205994011</v>
      </c>
      <c r="C235" t="str">
        <f>정규화데이터!C235</f>
        <v>[워커힐]워커힐 고메 시그니처 양념 본갈비 8팩</v>
      </c>
      <c r="D235">
        <f>정규화데이터!D235</f>
        <v>58481090</v>
      </c>
      <c r="E235" s="16" t="str">
        <f>정규화데이터!E235</f>
        <v>SKU001</v>
      </c>
      <c r="F235" s="3">
        <f>정규화데이터!F235</f>
        <v>1</v>
      </c>
      <c r="G235" s="3">
        <f>정규화데이터!G235</f>
        <v>119000</v>
      </c>
      <c r="H235" s="3">
        <f>정규화데이터!H235</f>
        <v>119000</v>
      </c>
      <c r="I235" s="3">
        <f>정규화데이터!I235</f>
        <v>82110</v>
      </c>
      <c r="J235" s="3">
        <f>정규화데이터!J235</f>
        <v>108181.81818181818</v>
      </c>
      <c r="K235" s="25">
        <f>정규화데이터!K235</f>
        <v>61496</v>
      </c>
      <c r="L235" s="25">
        <f>정규화데이터!L235</f>
        <v>61496</v>
      </c>
      <c r="M235" s="21">
        <f t="shared" si="6"/>
        <v>46685.818181818177</v>
      </c>
      <c r="N235" s="52">
        <f t="shared" si="7"/>
        <v>0.43154957983193276</v>
      </c>
    </row>
    <row r="236" spans="1:14" x14ac:dyDescent="0.3">
      <c r="A236" t="str">
        <f>정규화데이터!A236</f>
        <v>SK스토아</v>
      </c>
      <c r="B236">
        <f>정규화데이터!B236</f>
        <v>20260205994772</v>
      </c>
      <c r="C236" t="str">
        <f>정규화데이터!C236</f>
        <v>[워커힐]워커힐 고메 시그니처 양념 본갈비 8팩</v>
      </c>
      <c r="D236">
        <f>정규화데이터!D236</f>
        <v>58481090</v>
      </c>
      <c r="E236" s="16" t="str">
        <f>정규화데이터!E236</f>
        <v>SKU001</v>
      </c>
      <c r="F236" s="3">
        <f>정규화데이터!F236</f>
        <v>1</v>
      </c>
      <c r="G236" s="3">
        <f>정규화데이터!G236</f>
        <v>119000</v>
      </c>
      <c r="H236" s="3">
        <f>정규화데이터!H236</f>
        <v>119000</v>
      </c>
      <c r="I236" s="3">
        <f>정규화데이터!I236</f>
        <v>82110</v>
      </c>
      <c r="J236" s="3">
        <f>정규화데이터!J236</f>
        <v>108181.81818181818</v>
      </c>
      <c r="K236" s="25">
        <f>정규화데이터!K236</f>
        <v>61496</v>
      </c>
      <c r="L236" s="25">
        <f>정규화데이터!L236</f>
        <v>61496</v>
      </c>
      <c r="M236" s="21">
        <f t="shared" si="6"/>
        <v>46685.818181818177</v>
      </c>
      <c r="N236" s="52">
        <f t="shared" si="7"/>
        <v>0.43154957983193276</v>
      </c>
    </row>
    <row r="237" spans="1:14" x14ac:dyDescent="0.3">
      <c r="A237" t="str">
        <f>정규화데이터!A237</f>
        <v>SK스토아</v>
      </c>
      <c r="B237">
        <f>정규화데이터!B237</f>
        <v>20260205994841</v>
      </c>
      <c r="C237" t="str">
        <f>정규화데이터!C237</f>
        <v>[워커힐]워커힐 고메 시그니처 양념 본갈비 8팩</v>
      </c>
      <c r="D237">
        <f>정규화데이터!D237</f>
        <v>58481090</v>
      </c>
      <c r="E237" s="16" t="str">
        <f>정규화데이터!E237</f>
        <v>SKU001</v>
      </c>
      <c r="F237" s="3">
        <f>정규화데이터!F237</f>
        <v>1</v>
      </c>
      <c r="G237" s="3">
        <f>정규화데이터!G237</f>
        <v>119000</v>
      </c>
      <c r="H237" s="3">
        <f>정규화데이터!H237</f>
        <v>109000</v>
      </c>
      <c r="I237" s="3">
        <f>정규화데이터!I237</f>
        <v>82110</v>
      </c>
      <c r="J237" s="3">
        <f>정규화데이터!J237</f>
        <v>99090.909090909074</v>
      </c>
      <c r="K237" s="25">
        <f>정규화데이터!K237</f>
        <v>61496</v>
      </c>
      <c r="L237" s="25">
        <f>정규화데이터!L237</f>
        <v>61496</v>
      </c>
      <c r="M237" s="21">
        <f t="shared" si="6"/>
        <v>37594.909090909074</v>
      </c>
      <c r="N237" s="52">
        <f t="shared" si="7"/>
        <v>0.3793981651376146</v>
      </c>
    </row>
    <row r="238" spans="1:14" x14ac:dyDescent="0.3">
      <c r="A238" t="str">
        <f>정규화데이터!A238</f>
        <v>SK스토아</v>
      </c>
      <c r="B238">
        <f>정규화데이터!B238</f>
        <v>20260205993648</v>
      </c>
      <c r="C238" t="str">
        <f>정규화데이터!C238</f>
        <v>[워커힐]워커힐 고메 시그니처 양념 본갈비 8팩</v>
      </c>
      <c r="D238">
        <f>정규화데이터!D238</f>
        <v>58481090</v>
      </c>
      <c r="E238" s="16" t="str">
        <f>정규화데이터!E238</f>
        <v>SKU001</v>
      </c>
      <c r="F238" s="3">
        <f>정규화데이터!F238</f>
        <v>1</v>
      </c>
      <c r="G238" s="3">
        <f>정규화데이터!G238</f>
        <v>119000</v>
      </c>
      <c r="H238" s="3">
        <f>정규화데이터!H238</f>
        <v>119000</v>
      </c>
      <c r="I238" s="3">
        <f>정규화데이터!I238</f>
        <v>82110</v>
      </c>
      <c r="J238" s="3">
        <f>정규화데이터!J238</f>
        <v>108181.81818181818</v>
      </c>
      <c r="K238" s="25">
        <f>정규화데이터!K238</f>
        <v>61496</v>
      </c>
      <c r="L238" s="25">
        <f>정규화데이터!L238</f>
        <v>61496</v>
      </c>
      <c r="M238" s="21">
        <f t="shared" si="6"/>
        <v>46685.818181818177</v>
      </c>
      <c r="N238" s="52">
        <f t="shared" si="7"/>
        <v>0.43154957983193276</v>
      </c>
    </row>
    <row r="239" spans="1:14" x14ac:dyDescent="0.3">
      <c r="A239" t="str">
        <f>정규화데이터!A239</f>
        <v>SK스토아</v>
      </c>
      <c r="B239">
        <f>정규화데이터!B239</f>
        <v>20260205992386</v>
      </c>
      <c r="C239" t="str">
        <f>정규화데이터!C239</f>
        <v>[워커힐]워커힐 고메 시그니처 양념 본갈비 8팩</v>
      </c>
      <c r="D239">
        <f>정규화데이터!D239</f>
        <v>58481090</v>
      </c>
      <c r="E239" s="16" t="str">
        <f>정규화데이터!E239</f>
        <v>SKU001</v>
      </c>
      <c r="F239" s="3">
        <f>정규화데이터!F239</f>
        <v>1</v>
      </c>
      <c r="G239" s="3">
        <f>정규화데이터!G239</f>
        <v>119000</v>
      </c>
      <c r="H239" s="3">
        <f>정규화데이터!H239</f>
        <v>119000</v>
      </c>
      <c r="I239" s="3">
        <f>정규화데이터!I239</f>
        <v>82110</v>
      </c>
      <c r="J239" s="3">
        <f>정규화데이터!J239</f>
        <v>108181.81818181818</v>
      </c>
      <c r="K239" s="25">
        <f>정규화데이터!K239</f>
        <v>61496</v>
      </c>
      <c r="L239" s="25">
        <f>정규화데이터!L239</f>
        <v>61496</v>
      </c>
      <c r="M239" s="21">
        <f t="shared" si="6"/>
        <v>46685.818181818177</v>
      </c>
      <c r="N239" s="52">
        <f t="shared" si="7"/>
        <v>0.43154957983193276</v>
      </c>
    </row>
    <row r="240" spans="1:14" x14ac:dyDescent="0.3">
      <c r="A240" t="str">
        <f>정규화데이터!A240</f>
        <v>SK스토아</v>
      </c>
      <c r="B240">
        <f>정규화데이터!B240</f>
        <v>20260205995406</v>
      </c>
      <c r="C240" t="str">
        <f>정규화데이터!C240</f>
        <v>[워커힐]워커힐 고메 시그니처 양념 본갈비 8팩</v>
      </c>
      <c r="D240">
        <f>정규화데이터!D240</f>
        <v>58481090</v>
      </c>
      <c r="E240" s="16" t="str">
        <f>정규화데이터!E240</f>
        <v>SKU001</v>
      </c>
      <c r="F240" s="3">
        <f>정규화데이터!F240</f>
        <v>1</v>
      </c>
      <c r="G240" s="3">
        <f>정규화데이터!G240</f>
        <v>119000</v>
      </c>
      <c r="H240" s="3">
        <f>정규화데이터!H240</f>
        <v>119000</v>
      </c>
      <c r="I240" s="3">
        <f>정규화데이터!I240</f>
        <v>82110</v>
      </c>
      <c r="J240" s="3">
        <f>정규화데이터!J240</f>
        <v>108181.81818181818</v>
      </c>
      <c r="K240" s="25">
        <f>정규화데이터!K240</f>
        <v>61496</v>
      </c>
      <c r="L240" s="25">
        <f>정규화데이터!L240</f>
        <v>61496</v>
      </c>
      <c r="M240" s="21">
        <f t="shared" si="6"/>
        <v>46685.818181818177</v>
      </c>
      <c r="N240" s="52">
        <f t="shared" si="7"/>
        <v>0.43154957983193276</v>
      </c>
    </row>
    <row r="241" spans="1:14" x14ac:dyDescent="0.3">
      <c r="A241" t="str">
        <f>정규화데이터!A241</f>
        <v>SK스토아</v>
      </c>
      <c r="B241">
        <f>정규화데이터!B241</f>
        <v>20260205993902</v>
      </c>
      <c r="C241" t="str">
        <f>정규화데이터!C241</f>
        <v>[워커힐]워커힐 고메 시그니처 양념 본갈비 8팩</v>
      </c>
      <c r="D241">
        <f>정규화데이터!D241</f>
        <v>58481090</v>
      </c>
      <c r="E241" s="16" t="str">
        <f>정규화데이터!E241</f>
        <v>SKU001</v>
      </c>
      <c r="F241" s="3">
        <f>정규화데이터!F241</f>
        <v>1</v>
      </c>
      <c r="G241" s="3">
        <f>정규화데이터!G241</f>
        <v>119000</v>
      </c>
      <c r="H241" s="3">
        <f>정규화데이터!H241</f>
        <v>113050</v>
      </c>
      <c r="I241" s="3">
        <f>정규화데이터!I241</f>
        <v>82110</v>
      </c>
      <c r="J241" s="3">
        <f>정규화데이터!J241</f>
        <v>102772.72727272726</v>
      </c>
      <c r="K241" s="25">
        <f>정규화데이터!K241</f>
        <v>61496</v>
      </c>
      <c r="L241" s="25">
        <f>정규화데이터!L241</f>
        <v>61496</v>
      </c>
      <c r="M241" s="21">
        <f t="shared" si="6"/>
        <v>41276.727272727265</v>
      </c>
      <c r="N241" s="52">
        <f t="shared" si="7"/>
        <v>0.40163113666519235</v>
      </c>
    </row>
    <row r="242" spans="1:14" x14ac:dyDescent="0.3">
      <c r="A242" t="str">
        <f>정규화데이터!A242</f>
        <v>SK스토아</v>
      </c>
      <c r="B242">
        <f>정규화데이터!B242</f>
        <v>20260205995112</v>
      </c>
      <c r="C242" t="str">
        <f>정규화데이터!C242</f>
        <v>[워커힐]워커힐 고메 시그니처 양념 본갈비 8팩</v>
      </c>
      <c r="D242">
        <f>정규화데이터!D242</f>
        <v>58481090</v>
      </c>
      <c r="E242" s="16" t="str">
        <f>정규화데이터!E242</f>
        <v>SKU001</v>
      </c>
      <c r="F242" s="3">
        <f>정규화데이터!F242</f>
        <v>1</v>
      </c>
      <c r="G242" s="3">
        <f>정규화데이터!G242</f>
        <v>119000</v>
      </c>
      <c r="H242" s="3">
        <f>정규화데이터!H242</f>
        <v>119000</v>
      </c>
      <c r="I242" s="3">
        <f>정규화데이터!I242</f>
        <v>82110</v>
      </c>
      <c r="J242" s="3">
        <f>정규화데이터!J242</f>
        <v>108181.81818181818</v>
      </c>
      <c r="K242" s="25">
        <f>정규화데이터!K242</f>
        <v>61496</v>
      </c>
      <c r="L242" s="25">
        <f>정규화데이터!L242</f>
        <v>61496</v>
      </c>
      <c r="M242" s="21">
        <f t="shared" si="6"/>
        <v>46685.818181818177</v>
      </c>
      <c r="N242" s="52">
        <f t="shared" si="7"/>
        <v>0.43154957983193276</v>
      </c>
    </row>
    <row r="243" spans="1:14" x14ac:dyDescent="0.3">
      <c r="A243" t="str">
        <f>정규화데이터!A243</f>
        <v>SK스토아</v>
      </c>
      <c r="B243">
        <f>정규화데이터!B243</f>
        <v>20260205992636</v>
      </c>
      <c r="C243" t="str">
        <f>정규화데이터!C243</f>
        <v>[워커힐]워커힐 고메 시그니처 양념 본갈비 8팩</v>
      </c>
      <c r="D243">
        <f>정규화데이터!D243</f>
        <v>58481090</v>
      </c>
      <c r="E243" s="16" t="str">
        <f>정규화데이터!E243</f>
        <v>SKU001</v>
      </c>
      <c r="F243" s="3">
        <f>정규화데이터!F243</f>
        <v>1</v>
      </c>
      <c r="G243" s="3">
        <f>정규화데이터!G243</f>
        <v>119000</v>
      </c>
      <c r="H243" s="3">
        <f>정규화데이터!H243</f>
        <v>119000</v>
      </c>
      <c r="I243" s="3">
        <f>정규화데이터!I243</f>
        <v>82110</v>
      </c>
      <c r="J243" s="3">
        <f>정규화데이터!J243</f>
        <v>108181.81818181818</v>
      </c>
      <c r="K243" s="25">
        <f>정규화데이터!K243</f>
        <v>61496</v>
      </c>
      <c r="L243" s="25">
        <f>정규화데이터!L243</f>
        <v>61496</v>
      </c>
      <c r="M243" s="21">
        <f t="shared" si="6"/>
        <v>46685.818181818177</v>
      </c>
      <c r="N243" s="52">
        <f t="shared" si="7"/>
        <v>0.43154957983193276</v>
      </c>
    </row>
    <row r="244" spans="1:14" x14ac:dyDescent="0.3">
      <c r="A244" t="str">
        <f>정규화데이터!A244</f>
        <v>SK스토아</v>
      </c>
      <c r="B244">
        <f>정규화데이터!B244</f>
        <v>20260205993892</v>
      </c>
      <c r="C244" t="str">
        <f>정규화데이터!C244</f>
        <v>[워커힐]워커힐 고메 시그니처 양념 본갈비 8팩</v>
      </c>
      <c r="D244">
        <f>정규화데이터!D244</f>
        <v>58481090</v>
      </c>
      <c r="E244" s="16" t="str">
        <f>정규화데이터!E244</f>
        <v>SKU001</v>
      </c>
      <c r="F244" s="3">
        <f>정규화데이터!F244</f>
        <v>1</v>
      </c>
      <c r="G244" s="3">
        <f>정규화데이터!G244</f>
        <v>119000</v>
      </c>
      <c r="H244" s="3">
        <f>정규화데이터!H244</f>
        <v>119000</v>
      </c>
      <c r="I244" s="3">
        <f>정규화데이터!I244</f>
        <v>82110</v>
      </c>
      <c r="J244" s="3">
        <f>정규화데이터!J244</f>
        <v>108181.81818181818</v>
      </c>
      <c r="K244" s="25">
        <f>정규화데이터!K244</f>
        <v>61496</v>
      </c>
      <c r="L244" s="25">
        <f>정규화데이터!L244</f>
        <v>61496</v>
      </c>
      <c r="M244" s="21">
        <f t="shared" si="6"/>
        <v>46685.818181818177</v>
      </c>
      <c r="N244" s="52">
        <f t="shared" si="7"/>
        <v>0.43154957983193276</v>
      </c>
    </row>
    <row r="245" spans="1:14" x14ac:dyDescent="0.3">
      <c r="A245" t="str">
        <f>정규화데이터!A245</f>
        <v>SK스토아</v>
      </c>
      <c r="B245">
        <f>정규화데이터!B245</f>
        <v>20260205994997</v>
      </c>
      <c r="C245" t="str">
        <f>정규화데이터!C245</f>
        <v>[워커힐]워커힐 고메 시그니처 양념 본갈비 8팩</v>
      </c>
      <c r="D245">
        <f>정규화데이터!D245</f>
        <v>58481090</v>
      </c>
      <c r="E245" s="16" t="str">
        <f>정규화데이터!E245</f>
        <v>SKU001</v>
      </c>
      <c r="F245" s="3">
        <f>정규화데이터!F245</f>
        <v>1</v>
      </c>
      <c r="G245" s="3">
        <f>정규화데이터!G245</f>
        <v>119000</v>
      </c>
      <c r="H245" s="3">
        <f>정규화데이터!H245</f>
        <v>107350</v>
      </c>
      <c r="I245" s="3">
        <f>정규화데이터!I245</f>
        <v>82110</v>
      </c>
      <c r="J245" s="3">
        <f>정규화데이터!J245</f>
        <v>97590.909090909074</v>
      </c>
      <c r="K245" s="25">
        <f>정규화데이터!K245</f>
        <v>61496</v>
      </c>
      <c r="L245" s="25">
        <f>정규화데이터!L245</f>
        <v>61496</v>
      </c>
      <c r="M245" s="21">
        <f t="shared" si="6"/>
        <v>36094.909090909074</v>
      </c>
      <c r="N245" s="52">
        <f t="shared" si="7"/>
        <v>0.36985933861201664</v>
      </c>
    </row>
    <row r="246" spans="1:14" x14ac:dyDescent="0.3">
      <c r="A246" t="str">
        <f>정규화데이터!A246</f>
        <v>SK스토아</v>
      </c>
      <c r="B246">
        <f>정규화데이터!B246</f>
        <v>20260205993878</v>
      </c>
      <c r="C246" t="str">
        <f>정규화데이터!C246</f>
        <v>[워커힐]워커힐 고메 시그니처 양념 본갈비 8팩</v>
      </c>
      <c r="D246">
        <f>정규화데이터!D246</f>
        <v>58481090</v>
      </c>
      <c r="E246" s="16" t="str">
        <f>정규화데이터!E246</f>
        <v>SKU001</v>
      </c>
      <c r="F246" s="3">
        <f>정규화데이터!F246</f>
        <v>2</v>
      </c>
      <c r="G246" s="3">
        <f>정규화데이터!G246</f>
        <v>119000</v>
      </c>
      <c r="H246" s="3">
        <f>정규화데이터!H246</f>
        <v>238000</v>
      </c>
      <c r="I246" s="3">
        <f>정규화데이터!I246</f>
        <v>164220</v>
      </c>
      <c r="J246" s="3">
        <f>정규화데이터!J246</f>
        <v>216363.63636363635</v>
      </c>
      <c r="K246" s="25">
        <f>정규화데이터!K246</f>
        <v>61496</v>
      </c>
      <c r="L246" s="25">
        <f>정규화데이터!L246</f>
        <v>122992</v>
      </c>
      <c r="M246" s="21">
        <f t="shared" si="6"/>
        <v>93371.636363636353</v>
      </c>
      <c r="N246" s="52">
        <f t="shared" si="7"/>
        <v>0.43154957983193276</v>
      </c>
    </row>
    <row r="247" spans="1:14" x14ac:dyDescent="0.3">
      <c r="A247" t="str">
        <f>정규화데이터!A247</f>
        <v>SK스토아</v>
      </c>
      <c r="B247">
        <f>정규화데이터!B247</f>
        <v>20260205993394</v>
      </c>
      <c r="C247" t="str">
        <f>정규화데이터!C247</f>
        <v>[워커힐]워커힐 고메 시그니처 양념 본갈비 8팩</v>
      </c>
      <c r="D247">
        <f>정규화데이터!D247</f>
        <v>58481090</v>
      </c>
      <c r="E247" s="16" t="str">
        <f>정규화데이터!E247</f>
        <v>SKU001</v>
      </c>
      <c r="F247" s="3">
        <f>정규화데이터!F247</f>
        <v>1</v>
      </c>
      <c r="G247" s="3">
        <f>정규화데이터!G247</f>
        <v>119000</v>
      </c>
      <c r="H247" s="3">
        <f>정규화데이터!H247</f>
        <v>119000</v>
      </c>
      <c r="I247" s="3">
        <f>정규화데이터!I247</f>
        <v>82110</v>
      </c>
      <c r="J247" s="3">
        <f>정규화데이터!J247</f>
        <v>108181.81818181818</v>
      </c>
      <c r="K247" s="25">
        <f>정규화데이터!K247</f>
        <v>61496</v>
      </c>
      <c r="L247" s="25">
        <f>정규화데이터!L247</f>
        <v>61496</v>
      </c>
      <c r="M247" s="21">
        <f t="shared" si="6"/>
        <v>46685.818181818177</v>
      </c>
      <c r="N247" s="52">
        <f t="shared" si="7"/>
        <v>0.43154957983193276</v>
      </c>
    </row>
    <row r="248" spans="1:14" x14ac:dyDescent="0.3">
      <c r="A248" t="str">
        <f>정규화데이터!A248</f>
        <v>SK스토아</v>
      </c>
      <c r="B248">
        <f>정규화데이터!B248</f>
        <v>20260205993490</v>
      </c>
      <c r="C248" t="str">
        <f>정규화데이터!C248</f>
        <v>[워커힐]워커힐 고메 시그니처 양념 본갈비 8팩</v>
      </c>
      <c r="D248">
        <f>정규화데이터!D248</f>
        <v>58481090</v>
      </c>
      <c r="E248" s="16" t="str">
        <f>정규화데이터!E248</f>
        <v>SKU001</v>
      </c>
      <c r="F248" s="3">
        <f>정규화데이터!F248</f>
        <v>1</v>
      </c>
      <c r="G248" s="3">
        <f>정규화데이터!G248</f>
        <v>119000</v>
      </c>
      <c r="H248" s="3">
        <f>정규화데이터!H248</f>
        <v>119000</v>
      </c>
      <c r="I248" s="3">
        <f>정규화데이터!I248</f>
        <v>82110</v>
      </c>
      <c r="J248" s="3">
        <f>정규화데이터!J248</f>
        <v>108181.81818181818</v>
      </c>
      <c r="K248" s="25">
        <f>정규화데이터!K248</f>
        <v>61496</v>
      </c>
      <c r="L248" s="25">
        <f>정규화데이터!L248</f>
        <v>61496</v>
      </c>
      <c r="M248" s="21">
        <f t="shared" si="6"/>
        <v>46685.818181818177</v>
      </c>
      <c r="N248" s="52">
        <f t="shared" si="7"/>
        <v>0.43154957983193276</v>
      </c>
    </row>
    <row r="249" spans="1:14" x14ac:dyDescent="0.3">
      <c r="A249" t="str">
        <f>정규화데이터!A249</f>
        <v>SK스토아</v>
      </c>
      <c r="B249">
        <f>정규화데이터!B249</f>
        <v>20260205992805</v>
      </c>
      <c r="C249" t="str">
        <f>정규화데이터!C249</f>
        <v>[워커힐]워커힐 고메 시그니처 양념 본갈비 8팩</v>
      </c>
      <c r="D249">
        <f>정규화데이터!D249</f>
        <v>58481090</v>
      </c>
      <c r="E249" s="16" t="str">
        <f>정규화데이터!E249</f>
        <v>SKU001</v>
      </c>
      <c r="F249" s="3">
        <f>정규화데이터!F249</f>
        <v>1</v>
      </c>
      <c r="G249" s="3">
        <f>정규화데이터!G249</f>
        <v>119000</v>
      </c>
      <c r="H249" s="3">
        <f>정규화데이터!H249</f>
        <v>119000</v>
      </c>
      <c r="I249" s="3">
        <f>정규화데이터!I249</f>
        <v>82110</v>
      </c>
      <c r="J249" s="3">
        <f>정규화데이터!J249</f>
        <v>108181.81818181818</v>
      </c>
      <c r="K249" s="25">
        <f>정규화데이터!K249</f>
        <v>61496</v>
      </c>
      <c r="L249" s="25">
        <f>정규화데이터!L249</f>
        <v>61496</v>
      </c>
      <c r="M249" s="21">
        <f t="shared" si="6"/>
        <v>46685.818181818177</v>
      </c>
      <c r="N249" s="52">
        <f t="shared" si="7"/>
        <v>0.43154957983193276</v>
      </c>
    </row>
    <row r="250" spans="1:14" x14ac:dyDescent="0.3">
      <c r="A250" t="str">
        <f>정규화데이터!A250</f>
        <v>SK스토아</v>
      </c>
      <c r="B250">
        <f>정규화데이터!B250</f>
        <v>20260205993167</v>
      </c>
      <c r="C250" t="str">
        <f>정규화데이터!C250</f>
        <v>[워커힐]워커힐 고메 시그니처 양념 본갈비 8팩</v>
      </c>
      <c r="D250">
        <f>정규화데이터!D250</f>
        <v>58481090</v>
      </c>
      <c r="E250" s="16" t="str">
        <f>정규화데이터!E250</f>
        <v>SKU001</v>
      </c>
      <c r="F250" s="3">
        <f>정규화데이터!F250</f>
        <v>1</v>
      </c>
      <c r="G250" s="3">
        <f>정규화데이터!G250</f>
        <v>119000</v>
      </c>
      <c r="H250" s="3">
        <f>정규화데이터!H250</f>
        <v>119000</v>
      </c>
      <c r="I250" s="3">
        <f>정규화데이터!I250</f>
        <v>82110</v>
      </c>
      <c r="J250" s="3">
        <f>정규화데이터!J250</f>
        <v>108181.81818181818</v>
      </c>
      <c r="K250" s="25">
        <f>정규화데이터!K250</f>
        <v>61496</v>
      </c>
      <c r="L250" s="25">
        <f>정규화데이터!L250</f>
        <v>61496</v>
      </c>
      <c r="M250" s="21">
        <f t="shared" si="6"/>
        <v>46685.818181818177</v>
      </c>
      <c r="N250" s="52">
        <f t="shared" si="7"/>
        <v>0.43154957983193276</v>
      </c>
    </row>
    <row r="251" spans="1:14" x14ac:dyDescent="0.3">
      <c r="A251" t="str">
        <f>정규화데이터!A251</f>
        <v>SK스토아</v>
      </c>
      <c r="B251">
        <f>정규화데이터!B251</f>
        <v>20260206639164</v>
      </c>
      <c r="C251" t="str">
        <f>정규화데이터!C251</f>
        <v>[워커힐]워커힐 고메 시그니처 양념 본갈비 8팩</v>
      </c>
      <c r="D251">
        <f>정규화데이터!D251</f>
        <v>58481090</v>
      </c>
      <c r="E251" s="16" t="str">
        <f>정규화데이터!E251</f>
        <v>SKU001</v>
      </c>
      <c r="F251" s="3">
        <f>정규화데이터!F251</f>
        <v>1</v>
      </c>
      <c r="G251" s="3">
        <f>정규화데이터!G251</f>
        <v>119000</v>
      </c>
      <c r="H251" s="3">
        <f>정규화데이터!H251</f>
        <v>101150</v>
      </c>
      <c r="I251" s="3">
        <f>정규화데이터!I251</f>
        <v>82110</v>
      </c>
      <c r="J251" s="3">
        <f>정규화데이터!J251</f>
        <v>91954.545454545441</v>
      </c>
      <c r="K251" s="25">
        <f>정규화데이터!K251</f>
        <v>61496</v>
      </c>
      <c r="L251" s="25">
        <f>정규화데이터!L251</f>
        <v>61496</v>
      </c>
      <c r="M251" s="21">
        <f t="shared" si="6"/>
        <v>30458.545454545441</v>
      </c>
      <c r="N251" s="52">
        <f t="shared" si="7"/>
        <v>0.33123479980227377</v>
      </c>
    </row>
    <row r="252" spans="1:14" x14ac:dyDescent="0.3">
      <c r="A252" t="str">
        <f>정규화데이터!A252</f>
        <v>SK스토아</v>
      </c>
      <c r="B252">
        <f>정규화데이터!B252</f>
        <v>20260205994965</v>
      </c>
      <c r="C252" t="str">
        <f>정규화데이터!C252</f>
        <v>[워커힐]워커힐 고메 시그니처 양념 본갈비 8팩</v>
      </c>
      <c r="D252">
        <f>정규화데이터!D252</f>
        <v>58481090</v>
      </c>
      <c r="E252" s="16" t="str">
        <f>정규화데이터!E252</f>
        <v>SKU001</v>
      </c>
      <c r="F252" s="3">
        <f>정규화데이터!F252</f>
        <v>1</v>
      </c>
      <c r="G252" s="3">
        <f>정규화데이터!G252</f>
        <v>119000</v>
      </c>
      <c r="H252" s="3">
        <f>정규화데이터!H252</f>
        <v>119000</v>
      </c>
      <c r="I252" s="3">
        <f>정규화데이터!I252</f>
        <v>82110</v>
      </c>
      <c r="J252" s="3">
        <f>정규화데이터!J252</f>
        <v>108181.81818181818</v>
      </c>
      <c r="K252" s="25">
        <f>정규화데이터!K252</f>
        <v>61496</v>
      </c>
      <c r="L252" s="25">
        <f>정규화데이터!L252</f>
        <v>61496</v>
      </c>
      <c r="M252" s="21">
        <f t="shared" si="6"/>
        <v>46685.818181818177</v>
      </c>
      <c r="N252" s="52">
        <f t="shared" si="7"/>
        <v>0.43154957983193276</v>
      </c>
    </row>
    <row r="253" spans="1:14" x14ac:dyDescent="0.3">
      <c r="A253" t="str">
        <f>정규화데이터!A253</f>
        <v>SK스토아</v>
      </c>
      <c r="B253">
        <f>정규화데이터!B253</f>
        <v>20260205995226</v>
      </c>
      <c r="C253" t="str">
        <f>정규화데이터!C253</f>
        <v>[워커힐]워커힐 고메 시그니처 양념 본갈비 8팩</v>
      </c>
      <c r="D253">
        <f>정규화데이터!D253</f>
        <v>58481090</v>
      </c>
      <c r="E253" s="16" t="str">
        <f>정규화데이터!E253</f>
        <v>SKU001</v>
      </c>
      <c r="F253" s="3">
        <f>정규화데이터!F253</f>
        <v>1</v>
      </c>
      <c r="G253" s="3">
        <f>정규화데이터!G253</f>
        <v>119000</v>
      </c>
      <c r="H253" s="3">
        <f>정규화데이터!H253</f>
        <v>119000</v>
      </c>
      <c r="I253" s="3">
        <f>정규화데이터!I253</f>
        <v>82110</v>
      </c>
      <c r="J253" s="3">
        <f>정규화데이터!J253</f>
        <v>108181.81818181818</v>
      </c>
      <c r="K253" s="25">
        <f>정규화데이터!K253</f>
        <v>61496</v>
      </c>
      <c r="L253" s="25">
        <f>정규화데이터!L253</f>
        <v>61496</v>
      </c>
      <c r="M253" s="21">
        <f t="shared" si="6"/>
        <v>46685.818181818177</v>
      </c>
      <c r="N253" s="52">
        <f t="shared" si="7"/>
        <v>0.43154957983193276</v>
      </c>
    </row>
    <row r="254" spans="1:14" x14ac:dyDescent="0.3">
      <c r="A254" t="str">
        <f>정규화데이터!A254</f>
        <v>SK스토아</v>
      </c>
      <c r="B254">
        <f>정규화데이터!B254</f>
        <v>20260205995451</v>
      </c>
      <c r="C254" t="str">
        <f>정규화데이터!C254</f>
        <v>[워커힐]워커힐 고메 시그니처 양념 본갈비 8팩</v>
      </c>
      <c r="D254">
        <f>정규화데이터!D254</f>
        <v>58481090</v>
      </c>
      <c r="E254" s="16" t="str">
        <f>정규화데이터!E254</f>
        <v>SKU001</v>
      </c>
      <c r="F254" s="3">
        <f>정규화데이터!F254</f>
        <v>1</v>
      </c>
      <c r="G254" s="3">
        <f>정규화데이터!G254</f>
        <v>119000</v>
      </c>
      <c r="H254" s="3">
        <f>정규화데이터!H254</f>
        <v>119000</v>
      </c>
      <c r="I254" s="3">
        <f>정규화데이터!I254</f>
        <v>82110</v>
      </c>
      <c r="J254" s="3">
        <f>정규화데이터!J254</f>
        <v>108181.81818181818</v>
      </c>
      <c r="K254" s="25">
        <f>정규화데이터!K254</f>
        <v>61496</v>
      </c>
      <c r="L254" s="25">
        <f>정규화데이터!L254</f>
        <v>61496</v>
      </c>
      <c r="M254" s="21">
        <f t="shared" si="6"/>
        <v>46685.818181818177</v>
      </c>
      <c r="N254" s="52">
        <f t="shared" si="7"/>
        <v>0.43154957983193276</v>
      </c>
    </row>
    <row r="255" spans="1:14" x14ac:dyDescent="0.3">
      <c r="A255" t="str">
        <f>정규화데이터!A255</f>
        <v>SK스토아</v>
      </c>
      <c r="B255">
        <f>정규화데이터!B255</f>
        <v>20260205995408</v>
      </c>
      <c r="C255" t="str">
        <f>정규화데이터!C255</f>
        <v>[워커힐]워커힐 고메 시그니처 양념 본갈비 8팩</v>
      </c>
      <c r="D255">
        <f>정규화데이터!D255</f>
        <v>58481090</v>
      </c>
      <c r="E255" s="16" t="str">
        <f>정규화데이터!E255</f>
        <v>SKU001</v>
      </c>
      <c r="F255" s="3">
        <f>정규화데이터!F255</f>
        <v>1</v>
      </c>
      <c r="G255" s="3">
        <f>정규화데이터!G255</f>
        <v>119000</v>
      </c>
      <c r="H255" s="3">
        <f>정규화데이터!H255</f>
        <v>119000</v>
      </c>
      <c r="I255" s="3">
        <f>정규화데이터!I255</f>
        <v>82110</v>
      </c>
      <c r="J255" s="3">
        <f>정규화데이터!J255</f>
        <v>108181.81818181818</v>
      </c>
      <c r="K255" s="25">
        <f>정규화데이터!K255</f>
        <v>61496</v>
      </c>
      <c r="L255" s="25">
        <f>정규화데이터!L255</f>
        <v>61496</v>
      </c>
      <c r="M255" s="21">
        <f t="shared" si="6"/>
        <v>46685.818181818177</v>
      </c>
      <c r="N255" s="52">
        <f t="shared" si="7"/>
        <v>0.43154957983193276</v>
      </c>
    </row>
    <row r="256" spans="1:14" x14ac:dyDescent="0.3">
      <c r="A256" t="str">
        <f>정규화데이터!A256</f>
        <v>SK스토아</v>
      </c>
      <c r="B256">
        <f>정규화데이터!B256</f>
        <v>20260205995252</v>
      </c>
      <c r="C256" t="str">
        <f>정규화데이터!C256</f>
        <v>[워커힐]워커힐 고메 시그니처 양념 본갈비 8팩</v>
      </c>
      <c r="D256">
        <f>정규화데이터!D256</f>
        <v>58481090</v>
      </c>
      <c r="E256" s="16" t="str">
        <f>정규화데이터!E256</f>
        <v>SKU001</v>
      </c>
      <c r="F256" s="3">
        <f>정규화데이터!F256</f>
        <v>1</v>
      </c>
      <c r="G256" s="3">
        <f>정규화데이터!G256</f>
        <v>119000</v>
      </c>
      <c r="H256" s="3">
        <f>정규화데이터!H256</f>
        <v>119000</v>
      </c>
      <c r="I256" s="3">
        <f>정규화데이터!I256</f>
        <v>82110</v>
      </c>
      <c r="J256" s="3">
        <f>정규화데이터!J256</f>
        <v>108181.81818181818</v>
      </c>
      <c r="K256" s="25">
        <f>정규화데이터!K256</f>
        <v>61496</v>
      </c>
      <c r="L256" s="25">
        <f>정규화데이터!L256</f>
        <v>61496</v>
      </c>
      <c r="M256" s="21">
        <f t="shared" si="6"/>
        <v>46685.818181818177</v>
      </c>
      <c r="N256" s="52">
        <f t="shared" si="7"/>
        <v>0.43154957983193276</v>
      </c>
    </row>
    <row r="257" spans="1:14" x14ac:dyDescent="0.3">
      <c r="A257" t="str">
        <f>정규화데이터!A257</f>
        <v>SK스토아</v>
      </c>
      <c r="B257">
        <f>정규화데이터!B257</f>
        <v>20260205995543</v>
      </c>
      <c r="C257" t="str">
        <f>정규화데이터!C257</f>
        <v>[워커힐]워커힐 고메 시그니처 양념 본갈비 8팩</v>
      </c>
      <c r="D257">
        <f>정규화데이터!D257</f>
        <v>58481090</v>
      </c>
      <c r="E257" s="16" t="str">
        <f>정규화데이터!E257</f>
        <v>SKU001</v>
      </c>
      <c r="F257" s="3">
        <f>정규화데이터!F257</f>
        <v>1</v>
      </c>
      <c r="G257" s="3">
        <f>정규화데이터!G257</f>
        <v>119000</v>
      </c>
      <c r="H257" s="3">
        <f>정규화데이터!H257</f>
        <v>119000</v>
      </c>
      <c r="I257" s="3">
        <f>정규화데이터!I257</f>
        <v>82110</v>
      </c>
      <c r="J257" s="3">
        <f>정규화데이터!J257</f>
        <v>108181.81818181818</v>
      </c>
      <c r="K257" s="25">
        <f>정규화데이터!K257</f>
        <v>61496</v>
      </c>
      <c r="L257" s="25">
        <f>정규화데이터!L257</f>
        <v>61496</v>
      </c>
      <c r="M257" s="21">
        <f t="shared" si="6"/>
        <v>46685.818181818177</v>
      </c>
      <c r="N257" s="52">
        <f t="shared" si="7"/>
        <v>0.43154957983193276</v>
      </c>
    </row>
    <row r="258" spans="1:14" x14ac:dyDescent="0.3">
      <c r="A258" t="str">
        <f>정규화데이터!A258</f>
        <v>SK스토아</v>
      </c>
      <c r="B258">
        <f>정규화데이터!B258</f>
        <v>20260205995557</v>
      </c>
      <c r="C258" t="str">
        <f>정규화데이터!C258</f>
        <v>[워커힐]워커힐 고메 시그니처 양념 본갈비 8팩</v>
      </c>
      <c r="D258">
        <f>정규화데이터!D258</f>
        <v>58481090</v>
      </c>
      <c r="E258" s="16" t="str">
        <f>정규화데이터!E258</f>
        <v>SKU001</v>
      </c>
      <c r="F258" s="3">
        <f>정규화데이터!F258</f>
        <v>1</v>
      </c>
      <c r="G258" s="3">
        <f>정규화데이터!G258</f>
        <v>119000</v>
      </c>
      <c r="H258" s="3">
        <f>정규화데이터!H258</f>
        <v>119000</v>
      </c>
      <c r="I258" s="3">
        <f>정규화데이터!I258</f>
        <v>82110</v>
      </c>
      <c r="J258" s="3">
        <f>정규화데이터!J258</f>
        <v>108181.81818181818</v>
      </c>
      <c r="K258" s="25">
        <f>정규화데이터!K258</f>
        <v>61496</v>
      </c>
      <c r="L258" s="25">
        <f>정규화데이터!L258</f>
        <v>61496</v>
      </c>
      <c r="M258" s="21">
        <f t="shared" si="6"/>
        <v>46685.818181818177</v>
      </c>
      <c r="N258" s="52">
        <f t="shared" si="7"/>
        <v>0.43154957983193276</v>
      </c>
    </row>
    <row r="259" spans="1:14" x14ac:dyDescent="0.3">
      <c r="A259" t="str">
        <f>정규화데이터!A259</f>
        <v>SK스토아</v>
      </c>
      <c r="B259">
        <f>정규화데이터!B259</f>
        <v>20260205995144</v>
      </c>
      <c r="C259" t="str">
        <f>정규화데이터!C259</f>
        <v>[워커힐]워커힐 고메 시그니처 양념 본갈비 8팩</v>
      </c>
      <c r="D259">
        <f>정규화데이터!D259</f>
        <v>58481090</v>
      </c>
      <c r="E259" s="16" t="str">
        <f>정규화데이터!E259</f>
        <v>SKU001</v>
      </c>
      <c r="F259" s="3">
        <f>정규화데이터!F259</f>
        <v>1</v>
      </c>
      <c r="G259" s="3">
        <f>정규화데이터!G259</f>
        <v>119000</v>
      </c>
      <c r="H259" s="3">
        <f>정규화데이터!H259</f>
        <v>119000</v>
      </c>
      <c r="I259" s="3">
        <f>정규화데이터!I259</f>
        <v>82110</v>
      </c>
      <c r="J259" s="3">
        <f>정규화데이터!J259</f>
        <v>108181.81818181818</v>
      </c>
      <c r="K259" s="25">
        <f>정규화데이터!K259</f>
        <v>61496</v>
      </c>
      <c r="L259" s="25">
        <f>정규화데이터!L259</f>
        <v>61496</v>
      </c>
      <c r="M259" s="21">
        <f t="shared" ref="M259:M322" si="8">J259-L259</f>
        <v>46685.818181818177</v>
      </c>
      <c r="N259" s="52">
        <f t="shared" ref="N259:N322" si="9">IF(J259=0,0,M259/J259)</f>
        <v>0.43154957983193276</v>
      </c>
    </row>
    <row r="260" spans="1:14" x14ac:dyDescent="0.3">
      <c r="A260" t="str">
        <f>정규화데이터!A260</f>
        <v>SK스토아</v>
      </c>
      <c r="B260">
        <f>정규화데이터!B260</f>
        <v>20260205993754</v>
      </c>
      <c r="C260" t="str">
        <f>정규화데이터!C260</f>
        <v>[워커힐]워커힐 고메 시그니처 양념 본갈비 8팩</v>
      </c>
      <c r="D260">
        <f>정규화데이터!D260</f>
        <v>58481090</v>
      </c>
      <c r="E260" s="16" t="str">
        <f>정규화데이터!E260</f>
        <v>SKU001</v>
      </c>
      <c r="F260" s="3">
        <f>정규화데이터!F260</f>
        <v>1</v>
      </c>
      <c r="G260" s="3">
        <f>정규화데이터!G260</f>
        <v>119000</v>
      </c>
      <c r="H260" s="3">
        <f>정규화데이터!H260</f>
        <v>119000</v>
      </c>
      <c r="I260" s="3">
        <f>정규화데이터!I260</f>
        <v>82110</v>
      </c>
      <c r="J260" s="3">
        <f>정규화데이터!J260</f>
        <v>108181.81818181818</v>
      </c>
      <c r="K260" s="25">
        <f>정규화데이터!K260</f>
        <v>61496</v>
      </c>
      <c r="L260" s="25">
        <f>정규화데이터!L260</f>
        <v>61496</v>
      </c>
      <c r="M260" s="21">
        <f t="shared" si="8"/>
        <v>46685.818181818177</v>
      </c>
      <c r="N260" s="52">
        <f t="shared" si="9"/>
        <v>0.43154957983193276</v>
      </c>
    </row>
    <row r="261" spans="1:14" x14ac:dyDescent="0.3">
      <c r="A261" t="str">
        <f>정규화데이터!A261</f>
        <v>SK스토아</v>
      </c>
      <c r="B261">
        <f>정규화데이터!B261</f>
        <v>20260205994732</v>
      </c>
      <c r="C261" t="str">
        <f>정규화데이터!C261</f>
        <v>[워커힐]워커힐 고메 시그니처 양념 본갈비 8팩</v>
      </c>
      <c r="D261">
        <f>정규화데이터!D261</f>
        <v>58481090</v>
      </c>
      <c r="E261" s="16" t="str">
        <f>정규화데이터!E261</f>
        <v>SKU001</v>
      </c>
      <c r="F261" s="3">
        <f>정규화데이터!F261</f>
        <v>1</v>
      </c>
      <c r="G261" s="3">
        <f>정규화데이터!G261</f>
        <v>119000</v>
      </c>
      <c r="H261" s="3">
        <f>정규화데이터!H261</f>
        <v>119000</v>
      </c>
      <c r="I261" s="3">
        <f>정규화데이터!I261</f>
        <v>82110</v>
      </c>
      <c r="J261" s="3">
        <f>정규화데이터!J261</f>
        <v>108181.81818181818</v>
      </c>
      <c r="K261" s="25">
        <f>정규화데이터!K261</f>
        <v>61496</v>
      </c>
      <c r="L261" s="25">
        <f>정규화데이터!L261</f>
        <v>61496</v>
      </c>
      <c r="M261" s="21">
        <f t="shared" si="8"/>
        <v>46685.818181818177</v>
      </c>
      <c r="N261" s="52">
        <f t="shared" si="9"/>
        <v>0.43154957983193276</v>
      </c>
    </row>
    <row r="262" spans="1:14" x14ac:dyDescent="0.3">
      <c r="A262" t="str">
        <f>정규화데이터!A262</f>
        <v>SK스토아</v>
      </c>
      <c r="B262">
        <f>정규화데이터!B262</f>
        <v>20260205994833</v>
      </c>
      <c r="C262" t="str">
        <f>정규화데이터!C262</f>
        <v>[워커힐]워커힐 고메 시그니처 양념 본갈비 8팩</v>
      </c>
      <c r="D262">
        <f>정규화데이터!D262</f>
        <v>58481090</v>
      </c>
      <c r="E262" s="16" t="str">
        <f>정규화데이터!E262</f>
        <v>SKU001</v>
      </c>
      <c r="F262" s="3">
        <f>정규화데이터!F262</f>
        <v>1</v>
      </c>
      <c r="G262" s="3">
        <f>정규화데이터!G262</f>
        <v>119000</v>
      </c>
      <c r="H262" s="3">
        <f>정규화데이터!H262</f>
        <v>119000</v>
      </c>
      <c r="I262" s="3">
        <f>정규화데이터!I262</f>
        <v>82110</v>
      </c>
      <c r="J262" s="3">
        <f>정규화데이터!J262</f>
        <v>108181.81818181818</v>
      </c>
      <c r="K262" s="25">
        <f>정규화데이터!K262</f>
        <v>61496</v>
      </c>
      <c r="L262" s="25">
        <f>정규화데이터!L262</f>
        <v>61496</v>
      </c>
      <c r="M262" s="21">
        <f t="shared" si="8"/>
        <v>46685.818181818177</v>
      </c>
      <c r="N262" s="52">
        <f t="shared" si="9"/>
        <v>0.43154957983193276</v>
      </c>
    </row>
    <row r="263" spans="1:14" x14ac:dyDescent="0.3">
      <c r="A263" t="str">
        <f>정규화데이터!A263</f>
        <v>SK스토아</v>
      </c>
      <c r="B263">
        <f>정규화데이터!B263</f>
        <v>20260205994879</v>
      </c>
      <c r="C263" t="str">
        <f>정규화데이터!C263</f>
        <v>[워커힐]워커힐 고메 시그니처 양념 본갈비 8팩</v>
      </c>
      <c r="D263">
        <f>정규화데이터!D263</f>
        <v>58481090</v>
      </c>
      <c r="E263" s="16" t="str">
        <f>정규화데이터!E263</f>
        <v>SKU001</v>
      </c>
      <c r="F263" s="3">
        <f>정규화데이터!F263</f>
        <v>1</v>
      </c>
      <c r="G263" s="3">
        <f>정규화데이터!G263</f>
        <v>119000</v>
      </c>
      <c r="H263" s="3">
        <f>정규화데이터!H263</f>
        <v>119000</v>
      </c>
      <c r="I263" s="3">
        <f>정규화데이터!I263</f>
        <v>82110</v>
      </c>
      <c r="J263" s="3">
        <f>정규화데이터!J263</f>
        <v>108181.81818181818</v>
      </c>
      <c r="K263" s="25">
        <f>정규화데이터!K263</f>
        <v>61496</v>
      </c>
      <c r="L263" s="25">
        <f>정규화데이터!L263</f>
        <v>61496</v>
      </c>
      <c r="M263" s="21">
        <f t="shared" si="8"/>
        <v>46685.818181818177</v>
      </c>
      <c r="N263" s="52">
        <f t="shared" si="9"/>
        <v>0.43154957983193276</v>
      </c>
    </row>
    <row r="264" spans="1:14" x14ac:dyDescent="0.3">
      <c r="A264" t="str">
        <f>정규화데이터!A264</f>
        <v>SK스토아</v>
      </c>
      <c r="B264">
        <f>정규화데이터!B264</f>
        <v>20260205994922</v>
      </c>
      <c r="C264" t="str">
        <f>정규화데이터!C264</f>
        <v>[워커힐]워커힐 고메 시그니처 양념 본갈비 8팩</v>
      </c>
      <c r="D264">
        <f>정규화데이터!D264</f>
        <v>58481090</v>
      </c>
      <c r="E264" s="16" t="str">
        <f>정규화데이터!E264</f>
        <v>SKU001</v>
      </c>
      <c r="F264" s="3">
        <f>정규화데이터!F264</f>
        <v>1</v>
      </c>
      <c r="G264" s="3">
        <f>정규화데이터!G264</f>
        <v>119000</v>
      </c>
      <c r="H264" s="3">
        <f>정규화데이터!H264</f>
        <v>119000</v>
      </c>
      <c r="I264" s="3">
        <f>정규화데이터!I264</f>
        <v>82110</v>
      </c>
      <c r="J264" s="3">
        <f>정규화데이터!J264</f>
        <v>108181.81818181818</v>
      </c>
      <c r="K264" s="25">
        <f>정규화데이터!K264</f>
        <v>61496</v>
      </c>
      <c r="L264" s="25">
        <f>정규화데이터!L264</f>
        <v>61496</v>
      </c>
      <c r="M264" s="21">
        <f t="shared" si="8"/>
        <v>46685.818181818177</v>
      </c>
      <c r="N264" s="52">
        <f t="shared" si="9"/>
        <v>0.43154957983193276</v>
      </c>
    </row>
    <row r="265" spans="1:14" x14ac:dyDescent="0.3">
      <c r="A265" t="str">
        <f>정규화데이터!A265</f>
        <v>SK스토아</v>
      </c>
      <c r="B265">
        <f>정규화데이터!B265</f>
        <v>20260205993720</v>
      </c>
      <c r="C265" t="str">
        <f>정규화데이터!C265</f>
        <v>[워커힐]워커힐 고메 시그니처 양념 본갈비 8팩</v>
      </c>
      <c r="D265">
        <f>정규화데이터!D265</f>
        <v>58481090</v>
      </c>
      <c r="E265" s="16" t="str">
        <f>정규화데이터!E265</f>
        <v>SKU001</v>
      </c>
      <c r="F265" s="3">
        <f>정규화데이터!F265</f>
        <v>1</v>
      </c>
      <c r="G265" s="3">
        <f>정규화데이터!G265</f>
        <v>119000</v>
      </c>
      <c r="H265" s="3">
        <f>정규화데이터!H265</f>
        <v>119000</v>
      </c>
      <c r="I265" s="3">
        <f>정규화데이터!I265</f>
        <v>82110</v>
      </c>
      <c r="J265" s="3">
        <f>정규화데이터!J265</f>
        <v>108181.81818181818</v>
      </c>
      <c r="K265" s="25">
        <f>정규화데이터!K265</f>
        <v>61496</v>
      </c>
      <c r="L265" s="25">
        <f>정규화데이터!L265</f>
        <v>61496</v>
      </c>
      <c r="M265" s="21">
        <f t="shared" si="8"/>
        <v>46685.818181818177</v>
      </c>
      <c r="N265" s="52">
        <f t="shared" si="9"/>
        <v>0.43154957983193276</v>
      </c>
    </row>
    <row r="266" spans="1:14" x14ac:dyDescent="0.3">
      <c r="A266" t="str">
        <f>정규화데이터!A266</f>
        <v>SK스토아</v>
      </c>
      <c r="B266">
        <f>정규화데이터!B266</f>
        <v>20260205993936</v>
      </c>
      <c r="C266" t="str">
        <f>정규화데이터!C266</f>
        <v>[워커힐]워커힐 고메 시그니처 양념 본갈비 8팩</v>
      </c>
      <c r="D266">
        <f>정규화데이터!D266</f>
        <v>58481090</v>
      </c>
      <c r="E266" s="16" t="str">
        <f>정규화데이터!E266</f>
        <v>SKU001</v>
      </c>
      <c r="F266" s="3">
        <f>정규화데이터!F266</f>
        <v>1</v>
      </c>
      <c r="G266" s="3">
        <f>정규화데이터!G266</f>
        <v>119000</v>
      </c>
      <c r="H266" s="3">
        <f>정규화데이터!H266</f>
        <v>119000</v>
      </c>
      <c r="I266" s="3">
        <f>정규화데이터!I266</f>
        <v>82110</v>
      </c>
      <c r="J266" s="3">
        <f>정규화데이터!J266</f>
        <v>108181.81818181818</v>
      </c>
      <c r="K266" s="25">
        <f>정규화데이터!K266</f>
        <v>61496</v>
      </c>
      <c r="L266" s="25">
        <f>정규화데이터!L266</f>
        <v>61496</v>
      </c>
      <c r="M266" s="21">
        <f t="shared" si="8"/>
        <v>46685.818181818177</v>
      </c>
      <c r="N266" s="52">
        <f t="shared" si="9"/>
        <v>0.43154957983193276</v>
      </c>
    </row>
    <row r="267" spans="1:14" x14ac:dyDescent="0.3">
      <c r="A267" t="str">
        <f>정규화데이터!A267</f>
        <v>SK스토아</v>
      </c>
      <c r="B267">
        <f>정규화데이터!B267</f>
        <v>20260205993350</v>
      </c>
      <c r="C267" t="str">
        <f>정규화데이터!C267</f>
        <v>[워커힐]워커힐 고메 시그니처 양념 본갈비 8팩</v>
      </c>
      <c r="D267">
        <f>정규화데이터!D267</f>
        <v>58481090</v>
      </c>
      <c r="E267" s="16" t="str">
        <f>정규화데이터!E267</f>
        <v>SKU001</v>
      </c>
      <c r="F267" s="3">
        <f>정규화데이터!F267</f>
        <v>1</v>
      </c>
      <c r="G267" s="3">
        <f>정규화데이터!G267</f>
        <v>119000</v>
      </c>
      <c r="H267" s="3">
        <f>정규화데이터!H267</f>
        <v>109000</v>
      </c>
      <c r="I267" s="3">
        <f>정규화데이터!I267</f>
        <v>82110</v>
      </c>
      <c r="J267" s="3">
        <f>정규화데이터!J267</f>
        <v>99090.909090909074</v>
      </c>
      <c r="K267" s="25">
        <f>정규화데이터!K267</f>
        <v>61496</v>
      </c>
      <c r="L267" s="25">
        <f>정규화데이터!L267</f>
        <v>61496</v>
      </c>
      <c r="M267" s="21">
        <f t="shared" si="8"/>
        <v>37594.909090909074</v>
      </c>
      <c r="N267" s="52">
        <f t="shared" si="9"/>
        <v>0.3793981651376146</v>
      </c>
    </row>
    <row r="268" spans="1:14" x14ac:dyDescent="0.3">
      <c r="A268" t="str">
        <f>정규화데이터!A268</f>
        <v>SK스토아</v>
      </c>
      <c r="B268">
        <f>정규화데이터!B268</f>
        <v>20260205992637</v>
      </c>
      <c r="C268" t="str">
        <f>정규화데이터!C268</f>
        <v>[워커힐]워커힐 고메 시그니처 양념 본갈비 8팩</v>
      </c>
      <c r="D268">
        <f>정규화데이터!D268</f>
        <v>58481090</v>
      </c>
      <c r="E268" s="16" t="str">
        <f>정규화데이터!E268</f>
        <v>SKU001</v>
      </c>
      <c r="F268" s="3">
        <f>정규화데이터!F268</f>
        <v>1</v>
      </c>
      <c r="G268" s="3">
        <f>정규화데이터!G268</f>
        <v>119000</v>
      </c>
      <c r="H268" s="3">
        <f>정규화데이터!H268</f>
        <v>119000</v>
      </c>
      <c r="I268" s="3">
        <f>정규화데이터!I268</f>
        <v>82110</v>
      </c>
      <c r="J268" s="3">
        <f>정규화데이터!J268</f>
        <v>108181.81818181818</v>
      </c>
      <c r="K268" s="25">
        <f>정규화데이터!K268</f>
        <v>61496</v>
      </c>
      <c r="L268" s="25">
        <f>정규화데이터!L268</f>
        <v>61496</v>
      </c>
      <c r="M268" s="21">
        <f t="shared" si="8"/>
        <v>46685.818181818177</v>
      </c>
      <c r="N268" s="52">
        <f t="shared" si="9"/>
        <v>0.43154957983193276</v>
      </c>
    </row>
    <row r="269" spans="1:14" x14ac:dyDescent="0.3">
      <c r="A269" t="str">
        <f>정규화데이터!A269</f>
        <v>SK스토아</v>
      </c>
      <c r="B269">
        <f>정규화데이터!B269</f>
        <v>20260205992663</v>
      </c>
      <c r="C269" t="str">
        <f>정규화데이터!C269</f>
        <v>[워커힐]워커힐 고메 시그니처 양념 본갈비 8팩</v>
      </c>
      <c r="D269">
        <f>정규화데이터!D269</f>
        <v>58481090</v>
      </c>
      <c r="E269" s="16" t="str">
        <f>정규화데이터!E269</f>
        <v>SKU001</v>
      </c>
      <c r="F269" s="3">
        <f>정규화데이터!F269</f>
        <v>1</v>
      </c>
      <c r="G269" s="3">
        <f>정규화데이터!G269</f>
        <v>119000</v>
      </c>
      <c r="H269" s="3">
        <f>정규화데이터!H269</f>
        <v>119000</v>
      </c>
      <c r="I269" s="3">
        <f>정규화데이터!I269</f>
        <v>82110</v>
      </c>
      <c r="J269" s="3">
        <f>정규화데이터!J269</f>
        <v>108181.81818181818</v>
      </c>
      <c r="K269" s="25">
        <f>정규화데이터!K269</f>
        <v>61496</v>
      </c>
      <c r="L269" s="25">
        <f>정규화데이터!L269</f>
        <v>61496</v>
      </c>
      <c r="M269" s="21">
        <f t="shared" si="8"/>
        <v>46685.818181818177</v>
      </c>
      <c r="N269" s="52">
        <f t="shared" si="9"/>
        <v>0.43154957983193276</v>
      </c>
    </row>
    <row r="270" spans="1:14" x14ac:dyDescent="0.3">
      <c r="A270" t="str">
        <f>정규화데이터!A270</f>
        <v>SK스토아</v>
      </c>
      <c r="B270">
        <f>정규화데이터!B270</f>
        <v>20260205992791</v>
      </c>
      <c r="C270" t="str">
        <f>정규화데이터!C270</f>
        <v>[워커힐]워커힐 고메 시그니처 양념 본갈비 8팩</v>
      </c>
      <c r="D270">
        <f>정규화데이터!D270</f>
        <v>58481090</v>
      </c>
      <c r="E270" s="16" t="str">
        <f>정규화데이터!E270</f>
        <v>SKU001</v>
      </c>
      <c r="F270" s="3">
        <f>정규화데이터!F270</f>
        <v>1</v>
      </c>
      <c r="G270" s="3">
        <f>정규화데이터!G270</f>
        <v>119000</v>
      </c>
      <c r="H270" s="3">
        <f>정규화데이터!H270</f>
        <v>119000</v>
      </c>
      <c r="I270" s="3">
        <f>정규화데이터!I270</f>
        <v>82110</v>
      </c>
      <c r="J270" s="3">
        <f>정규화데이터!J270</f>
        <v>108181.81818181818</v>
      </c>
      <c r="K270" s="25">
        <f>정규화데이터!K270</f>
        <v>61496</v>
      </c>
      <c r="L270" s="25">
        <f>정규화데이터!L270</f>
        <v>61496</v>
      </c>
      <c r="M270" s="21">
        <f t="shared" si="8"/>
        <v>46685.818181818177</v>
      </c>
      <c r="N270" s="52">
        <f t="shared" si="9"/>
        <v>0.43154957983193276</v>
      </c>
    </row>
    <row r="271" spans="1:14" x14ac:dyDescent="0.3">
      <c r="A271" t="str">
        <f>정규화데이터!A271</f>
        <v>SK스토아</v>
      </c>
      <c r="B271">
        <f>정규화데이터!B271</f>
        <v>20260205992861</v>
      </c>
      <c r="C271" t="str">
        <f>정규화데이터!C271</f>
        <v>[워커힐]워커힐 고메 시그니처 양념 본갈비 8팩</v>
      </c>
      <c r="D271">
        <f>정규화데이터!D271</f>
        <v>58481090</v>
      </c>
      <c r="E271" s="16" t="str">
        <f>정규화데이터!E271</f>
        <v>SKU001</v>
      </c>
      <c r="F271" s="3">
        <f>정규화데이터!F271</f>
        <v>1</v>
      </c>
      <c r="G271" s="3">
        <f>정규화데이터!G271</f>
        <v>119000</v>
      </c>
      <c r="H271" s="3">
        <f>정규화데이터!H271</f>
        <v>119000</v>
      </c>
      <c r="I271" s="3">
        <f>정규화데이터!I271</f>
        <v>82110</v>
      </c>
      <c r="J271" s="3">
        <f>정규화데이터!J271</f>
        <v>108181.81818181818</v>
      </c>
      <c r="K271" s="25">
        <f>정규화데이터!K271</f>
        <v>61496</v>
      </c>
      <c r="L271" s="25">
        <f>정규화데이터!L271</f>
        <v>61496</v>
      </c>
      <c r="M271" s="21">
        <f t="shared" si="8"/>
        <v>46685.818181818177</v>
      </c>
      <c r="N271" s="52">
        <f t="shared" si="9"/>
        <v>0.43154957983193276</v>
      </c>
    </row>
    <row r="272" spans="1:14" x14ac:dyDescent="0.3">
      <c r="A272" t="str">
        <f>정규화데이터!A272</f>
        <v>SK스토아</v>
      </c>
      <c r="B272">
        <f>정규화데이터!B272</f>
        <v>20260205993182</v>
      </c>
      <c r="C272" t="str">
        <f>정규화데이터!C272</f>
        <v>[워커힐]워커힐 고메 시그니처 양념 본갈비 8팩</v>
      </c>
      <c r="D272">
        <f>정규화데이터!D272</f>
        <v>58481090</v>
      </c>
      <c r="E272" s="16" t="str">
        <f>정규화데이터!E272</f>
        <v>SKU001</v>
      </c>
      <c r="F272" s="3">
        <f>정규화데이터!F272</f>
        <v>1</v>
      </c>
      <c r="G272" s="3">
        <f>정규화데이터!G272</f>
        <v>119000</v>
      </c>
      <c r="H272" s="3">
        <f>정규화데이터!H272</f>
        <v>119000</v>
      </c>
      <c r="I272" s="3">
        <f>정규화데이터!I272</f>
        <v>82110</v>
      </c>
      <c r="J272" s="3">
        <f>정규화데이터!J272</f>
        <v>108181.81818181818</v>
      </c>
      <c r="K272" s="25">
        <f>정규화데이터!K272</f>
        <v>61496</v>
      </c>
      <c r="L272" s="25">
        <f>정규화데이터!L272</f>
        <v>61496</v>
      </c>
      <c r="M272" s="21">
        <f t="shared" si="8"/>
        <v>46685.818181818177</v>
      </c>
      <c r="N272" s="52">
        <f t="shared" si="9"/>
        <v>0.43154957983193276</v>
      </c>
    </row>
    <row r="273" spans="1:14" x14ac:dyDescent="0.3">
      <c r="A273" t="str">
        <f>정규화데이터!A273</f>
        <v>SK스토아</v>
      </c>
      <c r="B273">
        <f>정규화데이터!B273</f>
        <v>20260205993222</v>
      </c>
      <c r="C273" t="str">
        <f>정규화데이터!C273</f>
        <v>[워커힐]워커힐 고메 시그니처 양념 본갈비 8팩</v>
      </c>
      <c r="D273">
        <f>정규화데이터!D273</f>
        <v>58481090</v>
      </c>
      <c r="E273" s="16" t="str">
        <f>정규화데이터!E273</f>
        <v>SKU001</v>
      </c>
      <c r="F273" s="3">
        <f>정규화데이터!F273</f>
        <v>1</v>
      </c>
      <c r="G273" s="3">
        <f>정규화데이터!G273</f>
        <v>119000</v>
      </c>
      <c r="H273" s="3">
        <f>정규화데이터!H273</f>
        <v>119000</v>
      </c>
      <c r="I273" s="3">
        <f>정규화데이터!I273</f>
        <v>82110</v>
      </c>
      <c r="J273" s="3">
        <f>정규화데이터!J273</f>
        <v>108181.81818181818</v>
      </c>
      <c r="K273" s="25">
        <f>정규화데이터!K273</f>
        <v>61496</v>
      </c>
      <c r="L273" s="25">
        <f>정규화데이터!L273</f>
        <v>61496</v>
      </c>
      <c r="M273" s="21">
        <f t="shared" si="8"/>
        <v>46685.818181818177</v>
      </c>
      <c r="N273" s="52">
        <f t="shared" si="9"/>
        <v>0.43154957983193276</v>
      </c>
    </row>
    <row r="274" spans="1:14" x14ac:dyDescent="0.3">
      <c r="A274" t="str">
        <f>정규화데이터!A274</f>
        <v>SK스토아</v>
      </c>
      <c r="B274">
        <f>정규화데이터!B274</f>
        <v>20260205993549</v>
      </c>
      <c r="C274" t="str">
        <f>정규화데이터!C274</f>
        <v>[워커힐]워커힐 고메 시그니처 양념 본갈비 8팩</v>
      </c>
      <c r="D274">
        <f>정규화데이터!D274</f>
        <v>58481090</v>
      </c>
      <c r="E274" s="16" t="str">
        <f>정규화데이터!E274</f>
        <v>SKU001</v>
      </c>
      <c r="F274" s="3">
        <f>정규화데이터!F274</f>
        <v>1</v>
      </c>
      <c r="G274" s="3">
        <f>정규화데이터!G274</f>
        <v>119000</v>
      </c>
      <c r="H274" s="3">
        <f>정규화데이터!H274</f>
        <v>119000</v>
      </c>
      <c r="I274" s="3">
        <f>정규화데이터!I274</f>
        <v>82110</v>
      </c>
      <c r="J274" s="3">
        <f>정규화데이터!J274</f>
        <v>108181.81818181818</v>
      </c>
      <c r="K274" s="25">
        <f>정규화데이터!K274</f>
        <v>61496</v>
      </c>
      <c r="L274" s="25">
        <f>정규화데이터!L274</f>
        <v>61496</v>
      </c>
      <c r="M274" s="21">
        <f t="shared" si="8"/>
        <v>46685.818181818177</v>
      </c>
      <c r="N274" s="52">
        <f t="shared" si="9"/>
        <v>0.43154957983193276</v>
      </c>
    </row>
    <row r="275" spans="1:14" x14ac:dyDescent="0.3">
      <c r="A275" t="str">
        <f>정규화데이터!A275</f>
        <v>SK스토아</v>
      </c>
      <c r="B275">
        <f>정규화데이터!B275</f>
        <v>20260205992690</v>
      </c>
      <c r="C275" t="str">
        <f>정규화데이터!C275</f>
        <v>[워커힐]워커힐 고메 시그니처 양념 본갈비 8팩</v>
      </c>
      <c r="D275">
        <f>정규화데이터!D275</f>
        <v>58481090</v>
      </c>
      <c r="E275" s="16" t="str">
        <f>정규화데이터!E275</f>
        <v>SKU001</v>
      </c>
      <c r="F275" s="3">
        <f>정규화데이터!F275</f>
        <v>1</v>
      </c>
      <c r="G275" s="3">
        <f>정규화데이터!G275</f>
        <v>119000</v>
      </c>
      <c r="H275" s="3">
        <f>정규화데이터!H275</f>
        <v>119000</v>
      </c>
      <c r="I275" s="3">
        <f>정규화데이터!I275</f>
        <v>82110</v>
      </c>
      <c r="J275" s="3">
        <f>정규화데이터!J275</f>
        <v>108181.81818181818</v>
      </c>
      <c r="K275" s="25">
        <f>정규화데이터!K275</f>
        <v>61496</v>
      </c>
      <c r="L275" s="25">
        <f>정규화데이터!L275</f>
        <v>61496</v>
      </c>
      <c r="M275" s="21">
        <f t="shared" si="8"/>
        <v>46685.818181818177</v>
      </c>
      <c r="N275" s="52">
        <f t="shared" si="9"/>
        <v>0.43154957983193276</v>
      </c>
    </row>
    <row r="276" spans="1:14" x14ac:dyDescent="0.3">
      <c r="A276" t="str">
        <f>정규화데이터!A276</f>
        <v>SK스토아</v>
      </c>
      <c r="B276">
        <f>정규화데이터!B276</f>
        <v>20260205995551</v>
      </c>
      <c r="C276" t="str">
        <f>정규화데이터!C276</f>
        <v>[워커힐]워커힐 고메 시그니처 양념 본갈비 8팩</v>
      </c>
      <c r="D276">
        <f>정규화데이터!D276</f>
        <v>58481090</v>
      </c>
      <c r="E276" s="16" t="str">
        <f>정규화데이터!E276</f>
        <v>SKU001</v>
      </c>
      <c r="F276" s="3">
        <f>정규화데이터!F276</f>
        <v>1</v>
      </c>
      <c r="G276" s="3">
        <f>정규화데이터!G276</f>
        <v>119000</v>
      </c>
      <c r="H276" s="3">
        <f>정규화데이터!H276</f>
        <v>119000</v>
      </c>
      <c r="I276" s="3">
        <f>정규화데이터!I276</f>
        <v>82110</v>
      </c>
      <c r="J276" s="3">
        <f>정규화데이터!J276</f>
        <v>108181.81818181818</v>
      </c>
      <c r="K276" s="25">
        <f>정규화데이터!K276</f>
        <v>61496</v>
      </c>
      <c r="L276" s="25">
        <f>정규화데이터!L276</f>
        <v>61496</v>
      </c>
      <c r="M276" s="21">
        <f t="shared" si="8"/>
        <v>46685.818181818177</v>
      </c>
      <c r="N276" s="52">
        <f t="shared" si="9"/>
        <v>0.43154957983193276</v>
      </c>
    </row>
    <row r="277" spans="1:14" x14ac:dyDescent="0.3">
      <c r="A277" t="str">
        <f>정규화데이터!A277</f>
        <v>SK스토아</v>
      </c>
      <c r="B277">
        <f>정규화데이터!B277</f>
        <v>20260205995626</v>
      </c>
      <c r="C277" t="str">
        <f>정규화데이터!C277</f>
        <v>[워커힐]워커힐 고메 시그니처 양념 본갈비 8팩</v>
      </c>
      <c r="D277">
        <f>정규화데이터!D277</f>
        <v>58481090</v>
      </c>
      <c r="E277" s="16" t="str">
        <f>정규화데이터!E277</f>
        <v>SKU001</v>
      </c>
      <c r="F277" s="3">
        <f>정규화데이터!F277</f>
        <v>1</v>
      </c>
      <c r="G277" s="3">
        <f>정규화데이터!G277</f>
        <v>119000</v>
      </c>
      <c r="H277" s="3">
        <f>정규화데이터!H277</f>
        <v>119000</v>
      </c>
      <c r="I277" s="3">
        <f>정규화데이터!I277</f>
        <v>82110</v>
      </c>
      <c r="J277" s="3">
        <f>정규화데이터!J277</f>
        <v>108181.81818181818</v>
      </c>
      <c r="K277" s="25">
        <f>정규화데이터!K277</f>
        <v>61496</v>
      </c>
      <c r="L277" s="25">
        <f>정규화데이터!L277</f>
        <v>61496</v>
      </c>
      <c r="M277" s="21">
        <f t="shared" si="8"/>
        <v>46685.818181818177</v>
      </c>
      <c r="N277" s="52">
        <f t="shared" si="9"/>
        <v>0.43154957983193276</v>
      </c>
    </row>
    <row r="278" spans="1:14" x14ac:dyDescent="0.3">
      <c r="A278" t="str">
        <f>정규화데이터!A278</f>
        <v>SK스토아</v>
      </c>
      <c r="B278">
        <f>정규화데이터!B278</f>
        <v>20260205996241</v>
      </c>
      <c r="C278" t="str">
        <f>정규화데이터!C278</f>
        <v>[워커힐]워커힐 고메 시그니처 양념 본갈비 8팩</v>
      </c>
      <c r="D278">
        <f>정규화데이터!D278</f>
        <v>58481090</v>
      </c>
      <c r="E278" s="16" t="str">
        <f>정규화데이터!E278</f>
        <v>SKU001</v>
      </c>
      <c r="F278" s="3">
        <f>정규화데이터!F278</f>
        <v>1</v>
      </c>
      <c r="G278" s="3">
        <f>정규화데이터!G278</f>
        <v>119000</v>
      </c>
      <c r="H278" s="3">
        <f>정규화데이터!H278</f>
        <v>119000</v>
      </c>
      <c r="I278" s="3">
        <f>정규화데이터!I278</f>
        <v>82110</v>
      </c>
      <c r="J278" s="3">
        <f>정규화데이터!J278</f>
        <v>108181.81818181818</v>
      </c>
      <c r="K278" s="25">
        <f>정규화데이터!K278</f>
        <v>61496</v>
      </c>
      <c r="L278" s="25">
        <f>정규화데이터!L278</f>
        <v>61496</v>
      </c>
      <c r="M278" s="21">
        <f t="shared" si="8"/>
        <v>46685.818181818177</v>
      </c>
      <c r="N278" s="52">
        <f t="shared" si="9"/>
        <v>0.43154957983193276</v>
      </c>
    </row>
    <row r="279" spans="1:14" x14ac:dyDescent="0.3">
      <c r="A279" t="str">
        <f>정규화데이터!A279</f>
        <v>SK스토아</v>
      </c>
      <c r="B279">
        <f>정규화데이터!B279</f>
        <v>20260205994016</v>
      </c>
      <c r="C279" t="str">
        <f>정규화데이터!C279</f>
        <v>[워커힐]워커힐 고메 시그니처 양념 본갈비 8팩</v>
      </c>
      <c r="D279">
        <f>정규화데이터!D279</f>
        <v>58481090</v>
      </c>
      <c r="E279" s="16" t="str">
        <f>정규화데이터!E279</f>
        <v>SKU001</v>
      </c>
      <c r="F279" s="3">
        <f>정규화데이터!F279</f>
        <v>1</v>
      </c>
      <c r="G279" s="3">
        <f>정규화데이터!G279</f>
        <v>119000</v>
      </c>
      <c r="H279" s="3">
        <f>정규화데이터!H279</f>
        <v>119000</v>
      </c>
      <c r="I279" s="3">
        <f>정규화데이터!I279</f>
        <v>82110</v>
      </c>
      <c r="J279" s="3">
        <f>정규화데이터!J279</f>
        <v>108181.81818181818</v>
      </c>
      <c r="K279" s="25">
        <f>정규화데이터!K279</f>
        <v>61496</v>
      </c>
      <c r="L279" s="25">
        <f>정규화데이터!L279</f>
        <v>61496</v>
      </c>
      <c r="M279" s="21">
        <f t="shared" si="8"/>
        <v>46685.818181818177</v>
      </c>
      <c r="N279" s="52">
        <f t="shared" si="9"/>
        <v>0.43154957983193276</v>
      </c>
    </row>
    <row r="280" spans="1:14" x14ac:dyDescent="0.3">
      <c r="A280" t="str">
        <f>정규화데이터!A280</f>
        <v>SK스토아</v>
      </c>
      <c r="B280">
        <f>정규화데이터!B280</f>
        <v>20260205994157</v>
      </c>
      <c r="C280" t="str">
        <f>정규화데이터!C280</f>
        <v>[워커힐]워커힐 고메 시그니처 양념 본갈비 8팩</v>
      </c>
      <c r="D280">
        <f>정규화데이터!D280</f>
        <v>58481090</v>
      </c>
      <c r="E280" s="16" t="str">
        <f>정규화데이터!E280</f>
        <v>SKU001</v>
      </c>
      <c r="F280" s="3">
        <f>정규화데이터!F280</f>
        <v>1</v>
      </c>
      <c r="G280" s="3">
        <f>정규화데이터!G280</f>
        <v>119000</v>
      </c>
      <c r="H280" s="3">
        <f>정규화데이터!H280</f>
        <v>119000</v>
      </c>
      <c r="I280" s="3">
        <f>정규화데이터!I280</f>
        <v>82110</v>
      </c>
      <c r="J280" s="3">
        <f>정규화데이터!J280</f>
        <v>108181.81818181818</v>
      </c>
      <c r="K280" s="25">
        <f>정규화데이터!K280</f>
        <v>61496</v>
      </c>
      <c r="L280" s="25">
        <f>정규화데이터!L280</f>
        <v>61496</v>
      </c>
      <c r="M280" s="21">
        <f t="shared" si="8"/>
        <v>46685.818181818177</v>
      </c>
      <c r="N280" s="52">
        <f t="shared" si="9"/>
        <v>0.43154957983193276</v>
      </c>
    </row>
    <row r="281" spans="1:14" x14ac:dyDescent="0.3">
      <c r="A281" t="str">
        <f>정규화데이터!A281</f>
        <v>SK스토아</v>
      </c>
      <c r="B281">
        <f>정규화데이터!B281</f>
        <v>20260205995268</v>
      </c>
      <c r="C281" t="str">
        <f>정규화데이터!C281</f>
        <v>[워커힐]워커힐 고메 시그니처 양념 본갈비 8팩</v>
      </c>
      <c r="D281">
        <f>정규화데이터!D281</f>
        <v>58481090</v>
      </c>
      <c r="E281" s="16" t="str">
        <f>정규화데이터!E281</f>
        <v>SKU001</v>
      </c>
      <c r="F281" s="3">
        <f>정규화데이터!F281</f>
        <v>1</v>
      </c>
      <c r="G281" s="3">
        <f>정규화데이터!G281</f>
        <v>119000</v>
      </c>
      <c r="H281" s="3">
        <f>정규화데이터!H281</f>
        <v>119000</v>
      </c>
      <c r="I281" s="3">
        <f>정규화데이터!I281</f>
        <v>82110</v>
      </c>
      <c r="J281" s="3">
        <f>정규화데이터!J281</f>
        <v>108181.81818181818</v>
      </c>
      <c r="K281" s="25">
        <f>정규화데이터!K281</f>
        <v>61496</v>
      </c>
      <c r="L281" s="25">
        <f>정규화데이터!L281</f>
        <v>61496</v>
      </c>
      <c r="M281" s="21">
        <f t="shared" si="8"/>
        <v>46685.818181818177</v>
      </c>
      <c r="N281" s="52">
        <f t="shared" si="9"/>
        <v>0.43154957983193276</v>
      </c>
    </row>
    <row r="282" spans="1:14" x14ac:dyDescent="0.3">
      <c r="A282" t="str">
        <f>정규화데이터!A282</f>
        <v>SK스토아</v>
      </c>
      <c r="B282">
        <f>정규화데이터!B282</f>
        <v>20260205994486</v>
      </c>
      <c r="C282" t="str">
        <f>정규화데이터!C282</f>
        <v>[워커힐]워커힐 고메 시그니처 양념 본갈비 8팩</v>
      </c>
      <c r="D282">
        <f>정규화데이터!D282</f>
        <v>58481090</v>
      </c>
      <c r="E282" s="16" t="str">
        <f>정규화데이터!E282</f>
        <v>SKU001</v>
      </c>
      <c r="F282" s="3">
        <f>정규화데이터!F282</f>
        <v>1</v>
      </c>
      <c r="G282" s="3">
        <f>정규화데이터!G282</f>
        <v>119000</v>
      </c>
      <c r="H282" s="3">
        <f>정규화데이터!H282</f>
        <v>119000</v>
      </c>
      <c r="I282" s="3">
        <f>정규화데이터!I282</f>
        <v>82110</v>
      </c>
      <c r="J282" s="3">
        <f>정규화데이터!J282</f>
        <v>108181.81818181818</v>
      </c>
      <c r="K282" s="25">
        <f>정규화데이터!K282</f>
        <v>61496</v>
      </c>
      <c r="L282" s="25">
        <f>정규화데이터!L282</f>
        <v>61496</v>
      </c>
      <c r="M282" s="21">
        <f t="shared" si="8"/>
        <v>46685.818181818177</v>
      </c>
      <c r="N282" s="52">
        <f t="shared" si="9"/>
        <v>0.43154957983193276</v>
      </c>
    </row>
    <row r="283" spans="1:14" x14ac:dyDescent="0.3">
      <c r="A283" t="str">
        <f>정규화데이터!A283</f>
        <v>SK스토아</v>
      </c>
      <c r="B283">
        <f>정규화데이터!B283</f>
        <v>20260205994744</v>
      </c>
      <c r="C283" t="str">
        <f>정규화데이터!C283</f>
        <v>[워커힐]워커힐 고메 시그니처 양념 본갈비 8팩</v>
      </c>
      <c r="D283">
        <f>정규화데이터!D283</f>
        <v>58481090</v>
      </c>
      <c r="E283" s="16" t="str">
        <f>정규화데이터!E283</f>
        <v>SKU001</v>
      </c>
      <c r="F283" s="3">
        <f>정규화데이터!F283</f>
        <v>1</v>
      </c>
      <c r="G283" s="3">
        <f>정규화데이터!G283</f>
        <v>119000</v>
      </c>
      <c r="H283" s="3">
        <f>정규화데이터!H283</f>
        <v>99960</v>
      </c>
      <c r="I283" s="3">
        <f>정규화데이터!I283</f>
        <v>82110</v>
      </c>
      <c r="J283" s="3">
        <f>정규화데이터!J283</f>
        <v>90872.727272727265</v>
      </c>
      <c r="K283" s="25">
        <f>정규화데이터!K283</f>
        <v>61496</v>
      </c>
      <c r="L283" s="25">
        <f>정규화데이터!L283</f>
        <v>61496</v>
      </c>
      <c r="M283" s="21">
        <f t="shared" si="8"/>
        <v>29376.727272727265</v>
      </c>
      <c r="N283" s="52">
        <f t="shared" si="9"/>
        <v>0.32327330932372944</v>
      </c>
    </row>
    <row r="284" spans="1:14" x14ac:dyDescent="0.3">
      <c r="A284" t="str">
        <f>정규화데이터!A284</f>
        <v>SK스토아</v>
      </c>
      <c r="B284">
        <f>정규화데이터!B284</f>
        <v>20260205992679</v>
      </c>
      <c r="C284" t="str">
        <f>정규화데이터!C284</f>
        <v>[워커힐]워커힐 고메 시그니처 양념 본갈비 8팩</v>
      </c>
      <c r="D284">
        <f>정규화데이터!D284</f>
        <v>58481090</v>
      </c>
      <c r="E284" s="16" t="str">
        <f>정규화데이터!E284</f>
        <v>SKU001</v>
      </c>
      <c r="F284" s="3">
        <f>정규화데이터!F284</f>
        <v>1</v>
      </c>
      <c r="G284" s="3">
        <f>정규화데이터!G284</f>
        <v>119000</v>
      </c>
      <c r="H284" s="3">
        <f>정규화데이터!H284</f>
        <v>119000</v>
      </c>
      <c r="I284" s="3">
        <f>정규화데이터!I284</f>
        <v>82110</v>
      </c>
      <c r="J284" s="3">
        <f>정규화데이터!J284</f>
        <v>108181.81818181818</v>
      </c>
      <c r="K284" s="25">
        <f>정규화데이터!K284</f>
        <v>61496</v>
      </c>
      <c r="L284" s="25">
        <f>정규화데이터!L284</f>
        <v>61496</v>
      </c>
      <c r="M284" s="21">
        <f t="shared" si="8"/>
        <v>46685.818181818177</v>
      </c>
      <c r="N284" s="52">
        <f t="shared" si="9"/>
        <v>0.43154957983193276</v>
      </c>
    </row>
    <row r="285" spans="1:14" x14ac:dyDescent="0.3">
      <c r="A285" t="str">
        <f>정규화데이터!A285</f>
        <v>SK스토아</v>
      </c>
      <c r="B285">
        <f>정규화데이터!B285</f>
        <v>20260205992794</v>
      </c>
      <c r="C285" t="str">
        <f>정규화데이터!C285</f>
        <v>[워커힐]워커힐 고메 시그니처 양념 본갈비 8팩</v>
      </c>
      <c r="D285">
        <f>정규화데이터!D285</f>
        <v>58481090</v>
      </c>
      <c r="E285" s="16" t="str">
        <f>정규화데이터!E285</f>
        <v>SKU001</v>
      </c>
      <c r="F285" s="3">
        <f>정규화데이터!F285</f>
        <v>1</v>
      </c>
      <c r="G285" s="3">
        <f>정규화데이터!G285</f>
        <v>119000</v>
      </c>
      <c r="H285" s="3">
        <f>정규화데이터!H285</f>
        <v>119000</v>
      </c>
      <c r="I285" s="3">
        <f>정규화데이터!I285</f>
        <v>82110</v>
      </c>
      <c r="J285" s="3">
        <f>정규화데이터!J285</f>
        <v>108181.81818181818</v>
      </c>
      <c r="K285" s="25">
        <f>정규화데이터!K285</f>
        <v>61496</v>
      </c>
      <c r="L285" s="25">
        <f>정규화데이터!L285</f>
        <v>61496</v>
      </c>
      <c r="M285" s="21">
        <f t="shared" si="8"/>
        <v>46685.818181818177</v>
      </c>
      <c r="N285" s="52">
        <f t="shared" si="9"/>
        <v>0.43154957983193276</v>
      </c>
    </row>
    <row r="286" spans="1:14" x14ac:dyDescent="0.3">
      <c r="A286" t="str">
        <f>정규화데이터!A286</f>
        <v>SK스토아</v>
      </c>
      <c r="B286">
        <f>정규화데이터!B286</f>
        <v>20260205992734</v>
      </c>
      <c r="C286" t="str">
        <f>정규화데이터!C286</f>
        <v>[워커힐]워커힐 고메 시그니처 양념 본갈비 8팩</v>
      </c>
      <c r="D286">
        <f>정규화데이터!D286</f>
        <v>58481090</v>
      </c>
      <c r="E286" s="16" t="str">
        <f>정규화데이터!E286</f>
        <v>SKU001</v>
      </c>
      <c r="F286" s="3">
        <f>정규화데이터!F286</f>
        <v>1</v>
      </c>
      <c r="G286" s="3">
        <f>정규화데이터!G286</f>
        <v>119000</v>
      </c>
      <c r="H286" s="3">
        <f>정규화데이터!H286</f>
        <v>119000</v>
      </c>
      <c r="I286" s="3">
        <f>정규화데이터!I286</f>
        <v>82110</v>
      </c>
      <c r="J286" s="3">
        <f>정규화데이터!J286</f>
        <v>108181.81818181818</v>
      </c>
      <c r="K286" s="25">
        <f>정규화데이터!K286</f>
        <v>61496</v>
      </c>
      <c r="L286" s="25">
        <f>정규화데이터!L286</f>
        <v>61496</v>
      </c>
      <c r="M286" s="21">
        <f t="shared" si="8"/>
        <v>46685.818181818177</v>
      </c>
      <c r="N286" s="52">
        <f t="shared" si="9"/>
        <v>0.43154957983193276</v>
      </c>
    </row>
    <row r="287" spans="1:14" x14ac:dyDescent="0.3">
      <c r="A287" t="str">
        <f>정규화데이터!A287</f>
        <v>SK스토아</v>
      </c>
      <c r="B287">
        <f>정규화데이터!B287</f>
        <v>20260205992738</v>
      </c>
      <c r="C287" t="str">
        <f>정규화데이터!C287</f>
        <v>[워커힐]워커힐 고메 시그니처 양념 본갈비 8팩</v>
      </c>
      <c r="D287">
        <f>정규화데이터!D287</f>
        <v>58481090</v>
      </c>
      <c r="E287" s="16" t="str">
        <f>정규화데이터!E287</f>
        <v>SKU001</v>
      </c>
      <c r="F287" s="3">
        <f>정규화데이터!F287</f>
        <v>1</v>
      </c>
      <c r="G287" s="3">
        <f>정규화데이터!G287</f>
        <v>119000</v>
      </c>
      <c r="H287" s="3">
        <f>정규화데이터!H287</f>
        <v>119000</v>
      </c>
      <c r="I287" s="3">
        <f>정규화데이터!I287</f>
        <v>82110</v>
      </c>
      <c r="J287" s="3">
        <f>정규화데이터!J287</f>
        <v>108181.81818181818</v>
      </c>
      <c r="K287" s="25">
        <f>정규화데이터!K287</f>
        <v>61496</v>
      </c>
      <c r="L287" s="25">
        <f>정규화데이터!L287</f>
        <v>61496</v>
      </c>
      <c r="M287" s="21">
        <f t="shared" si="8"/>
        <v>46685.818181818177</v>
      </c>
      <c r="N287" s="52">
        <f t="shared" si="9"/>
        <v>0.43154957983193276</v>
      </c>
    </row>
    <row r="288" spans="1:14" x14ac:dyDescent="0.3">
      <c r="A288" t="str">
        <f>정규화데이터!A288</f>
        <v>SK스토아</v>
      </c>
      <c r="B288">
        <f>정규화데이터!B288</f>
        <v>20260205992986</v>
      </c>
      <c r="C288" t="str">
        <f>정규화데이터!C288</f>
        <v>[워커힐]워커힐 고메 시그니처 양념 본갈비 8팩</v>
      </c>
      <c r="D288">
        <f>정규화데이터!D288</f>
        <v>58481090</v>
      </c>
      <c r="E288" s="16" t="str">
        <f>정규화데이터!E288</f>
        <v>SKU001</v>
      </c>
      <c r="F288" s="3">
        <f>정규화데이터!F288</f>
        <v>1</v>
      </c>
      <c r="G288" s="3">
        <f>정규화데이터!G288</f>
        <v>119000</v>
      </c>
      <c r="H288" s="3">
        <f>정규화데이터!H288</f>
        <v>119000</v>
      </c>
      <c r="I288" s="3">
        <f>정규화데이터!I288</f>
        <v>82110</v>
      </c>
      <c r="J288" s="3">
        <f>정규화데이터!J288</f>
        <v>108181.81818181818</v>
      </c>
      <c r="K288" s="25">
        <f>정규화데이터!K288</f>
        <v>61496</v>
      </c>
      <c r="L288" s="25">
        <f>정규화데이터!L288</f>
        <v>61496</v>
      </c>
      <c r="M288" s="21">
        <f t="shared" si="8"/>
        <v>46685.818181818177</v>
      </c>
      <c r="N288" s="52">
        <f t="shared" si="9"/>
        <v>0.43154957983193276</v>
      </c>
    </row>
    <row r="289" spans="1:14" x14ac:dyDescent="0.3">
      <c r="A289" t="str">
        <f>정규화데이터!A289</f>
        <v>SK스토아</v>
      </c>
      <c r="B289">
        <f>정규화데이터!B289</f>
        <v>20260205995135</v>
      </c>
      <c r="C289" t="str">
        <f>정규화데이터!C289</f>
        <v>[워커힐]워커힐 고메 시그니처 양념 본갈비 8팩</v>
      </c>
      <c r="D289">
        <f>정규화데이터!D289</f>
        <v>58481090</v>
      </c>
      <c r="E289" s="16" t="str">
        <f>정규화데이터!E289</f>
        <v>SKU001</v>
      </c>
      <c r="F289" s="3">
        <f>정규화데이터!F289</f>
        <v>1</v>
      </c>
      <c r="G289" s="3">
        <f>정규화데이터!G289</f>
        <v>119000</v>
      </c>
      <c r="H289" s="3">
        <f>정규화데이터!H289</f>
        <v>119000</v>
      </c>
      <c r="I289" s="3">
        <f>정규화데이터!I289</f>
        <v>82110</v>
      </c>
      <c r="J289" s="3">
        <f>정규화데이터!J289</f>
        <v>108181.81818181818</v>
      </c>
      <c r="K289" s="25">
        <f>정규화데이터!K289</f>
        <v>61496</v>
      </c>
      <c r="L289" s="25">
        <f>정규화데이터!L289</f>
        <v>61496</v>
      </c>
      <c r="M289" s="21">
        <f t="shared" si="8"/>
        <v>46685.818181818177</v>
      </c>
      <c r="N289" s="52">
        <f t="shared" si="9"/>
        <v>0.43154957983193276</v>
      </c>
    </row>
    <row r="290" spans="1:14" x14ac:dyDescent="0.3">
      <c r="A290" t="str">
        <f>정규화데이터!A290</f>
        <v>SK스토아</v>
      </c>
      <c r="B290">
        <f>정규화데이터!B290</f>
        <v>20260205995051</v>
      </c>
      <c r="C290" t="str">
        <f>정규화데이터!C290</f>
        <v>[워커힐]워커힐 고메 시그니처 양념 본갈비 8팩</v>
      </c>
      <c r="D290">
        <f>정규화데이터!D290</f>
        <v>58481090</v>
      </c>
      <c r="E290" s="16" t="str">
        <f>정규화데이터!E290</f>
        <v>SKU001</v>
      </c>
      <c r="F290" s="3">
        <f>정규화데이터!F290</f>
        <v>1</v>
      </c>
      <c r="G290" s="3">
        <f>정규화데이터!G290</f>
        <v>119000</v>
      </c>
      <c r="H290" s="3">
        <f>정규화데이터!H290</f>
        <v>113050</v>
      </c>
      <c r="I290" s="3">
        <f>정규화데이터!I290</f>
        <v>82110</v>
      </c>
      <c r="J290" s="3">
        <f>정규화데이터!J290</f>
        <v>102772.72727272726</v>
      </c>
      <c r="K290" s="25">
        <f>정규화데이터!K290</f>
        <v>61496</v>
      </c>
      <c r="L290" s="25">
        <f>정규화데이터!L290</f>
        <v>61496</v>
      </c>
      <c r="M290" s="21">
        <f t="shared" si="8"/>
        <v>41276.727272727265</v>
      </c>
      <c r="N290" s="52">
        <f t="shared" si="9"/>
        <v>0.40163113666519235</v>
      </c>
    </row>
    <row r="291" spans="1:14" x14ac:dyDescent="0.3">
      <c r="A291" t="str">
        <f>정규화데이터!A291</f>
        <v>SK스토아</v>
      </c>
      <c r="B291">
        <f>정규화데이터!B291</f>
        <v>20260205995178</v>
      </c>
      <c r="C291" t="str">
        <f>정규화데이터!C291</f>
        <v>[워커힐]워커힐 고메 시그니처 양념 본갈비 8팩</v>
      </c>
      <c r="D291">
        <f>정규화데이터!D291</f>
        <v>58481090</v>
      </c>
      <c r="E291" s="16" t="str">
        <f>정규화데이터!E291</f>
        <v>SKU001</v>
      </c>
      <c r="F291" s="3">
        <f>정규화데이터!F291</f>
        <v>1</v>
      </c>
      <c r="G291" s="3">
        <f>정규화데이터!G291</f>
        <v>119000</v>
      </c>
      <c r="H291" s="3">
        <f>정규화데이터!H291</f>
        <v>119000</v>
      </c>
      <c r="I291" s="3">
        <f>정규화데이터!I291</f>
        <v>82110</v>
      </c>
      <c r="J291" s="3">
        <f>정규화데이터!J291</f>
        <v>108181.81818181818</v>
      </c>
      <c r="K291" s="25">
        <f>정규화데이터!K291</f>
        <v>61496</v>
      </c>
      <c r="L291" s="25">
        <f>정규화데이터!L291</f>
        <v>61496</v>
      </c>
      <c r="M291" s="21">
        <f t="shared" si="8"/>
        <v>46685.818181818177</v>
      </c>
      <c r="N291" s="52">
        <f t="shared" si="9"/>
        <v>0.43154957983193276</v>
      </c>
    </row>
    <row r="292" spans="1:14" x14ac:dyDescent="0.3">
      <c r="A292" t="str">
        <f>정규화데이터!A292</f>
        <v>SK스토아</v>
      </c>
      <c r="B292">
        <f>정규화데이터!B292</f>
        <v>20260205995310</v>
      </c>
      <c r="C292" t="str">
        <f>정규화데이터!C292</f>
        <v>[워커힐]워커힐 고메 시그니처 양념 본갈비 8팩</v>
      </c>
      <c r="D292">
        <f>정규화데이터!D292</f>
        <v>58481090</v>
      </c>
      <c r="E292" s="16" t="str">
        <f>정규화데이터!E292</f>
        <v>SKU001</v>
      </c>
      <c r="F292" s="3">
        <f>정규화데이터!F292</f>
        <v>1</v>
      </c>
      <c r="G292" s="3">
        <f>정규화데이터!G292</f>
        <v>119000</v>
      </c>
      <c r="H292" s="3">
        <f>정규화데이터!H292</f>
        <v>119000</v>
      </c>
      <c r="I292" s="3">
        <f>정규화데이터!I292</f>
        <v>82110</v>
      </c>
      <c r="J292" s="3">
        <f>정규화데이터!J292</f>
        <v>108181.81818181818</v>
      </c>
      <c r="K292" s="25">
        <f>정규화데이터!K292</f>
        <v>61496</v>
      </c>
      <c r="L292" s="25">
        <f>정규화데이터!L292</f>
        <v>61496</v>
      </c>
      <c r="M292" s="21">
        <f t="shared" si="8"/>
        <v>46685.818181818177</v>
      </c>
      <c r="N292" s="52">
        <f t="shared" si="9"/>
        <v>0.43154957983193276</v>
      </c>
    </row>
    <row r="293" spans="1:14" x14ac:dyDescent="0.3">
      <c r="A293" t="str">
        <f>정규화데이터!A293</f>
        <v>SK스토아</v>
      </c>
      <c r="B293">
        <f>정규화데이터!B293</f>
        <v>20260205994627</v>
      </c>
      <c r="C293" t="str">
        <f>정규화데이터!C293</f>
        <v>[워커힐]워커힐 고메 시그니처 양념 본갈비 8팩</v>
      </c>
      <c r="D293">
        <f>정규화데이터!D293</f>
        <v>58481090</v>
      </c>
      <c r="E293" s="16" t="str">
        <f>정규화데이터!E293</f>
        <v>SKU001</v>
      </c>
      <c r="F293" s="3">
        <f>정규화데이터!F293</f>
        <v>1</v>
      </c>
      <c r="G293" s="3">
        <f>정규화데이터!G293</f>
        <v>119000</v>
      </c>
      <c r="H293" s="3">
        <f>정규화데이터!H293</f>
        <v>119000</v>
      </c>
      <c r="I293" s="3">
        <f>정규화데이터!I293</f>
        <v>82110</v>
      </c>
      <c r="J293" s="3">
        <f>정규화데이터!J293</f>
        <v>108181.81818181818</v>
      </c>
      <c r="K293" s="25">
        <f>정규화데이터!K293</f>
        <v>61496</v>
      </c>
      <c r="L293" s="25">
        <f>정규화데이터!L293</f>
        <v>61496</v>
      </c>
      <c r="M293" s="21">
        <f t="shared" si="8"/>
        <v>46685.818181818177</v>
      </c>
      <c r="N293" s="52">
        <f t="shared" si="9"/>
        <v>0.43154957983193276</v>
      </c>
    </row>
    <row r="294" spans="1:14" x14ac:dyDescent="0.3">
      <c r="A294" t="str">
        <f>정규화데이터!A294</f>
        <v>SK스토아</v>
      </c>
      <c r="B294">
        <f>정규화데이터!B294</f>
        <v>20260205992706</v>
      </c>
      <c r="C294" t="str">
        <f>정규화데이터!C294</f>
        <v>[워커힐]워커힐 고메 시그니처 양념 본갈비 8팩</v>
      </c>
      <c r="D294">
        <f>정규화데이터!D294</f>
        <v>58481090</v>
      </c>
      <c r="E294" s="16" t="str">
        <f>정규화데이터!E294</f>
        <v>SKU001</v>
      </c>
      <c r="F294" s="3">
        <f>정규화데이터!F294</f>
        <v>1</v>
      </c>
      <c r="G294" s="3">
        <f>정규화데이터!G294</f>
        <v>119000</v>
      </c>
      <c r="H294" s="3">
        <f>정규화데이터!H294</f>
        <v>101150</v>
      </c>
      <c r="I294" s="3">
        <f>정규화데이터!I294</f>
        <v>82110</v>
      </c>
      <c r="J294" s="3">
        <f>정규화데이터!J294</f>
        <v>91954.545454545441</v>
      </c>
      <c r="K294" s="25">
        <f>정규화데이터!K294</f>
        <v>61496</v>
      </c>
      <c r="L294" s="25">
        <f>정규화데이터!L294</f>
        <v>61496</v>
      </c>
      <c r="M294" s="21">
        <f t="shared" si="8"/>
        <v>30458.545454545441</v>
      </c>
      <c r="N294" s="52">
        <f t="shared" si="9"/>
        <v>0.33123479980227377</v>
      </c>
    </row>
    <row r="295" spans="1:14" x14ac:dyDescent="0.3">
      <c r="A295" t="str">
        <f>정규화데이터!A295</f>
        <v>SK스토아</v>
      </c>
      <c r="B295">
        <f>정규화데이터!B295</f>
        <v>20260205992897</v>
      </c>
      <c r="C295" t="str">
        <f>정규화데이터!C295</f>
        <v>[워커힐]워커힐 고메 시그니처 양념 본갈비 8팩</v>
      </c>
      <c r="D295">
        <f>정규화데이터!D295</f>
        <v>58481090</v>
      </c>
      <c r="E295" s="16" t="str">
        <f>정규화데이터!E295</f>
        <v>SKU001</v>
      </c>
      <c r="F295" s="3">
        <f>정규화데이터!F295</f>
        <v>1</v>
      </c>
      <c r="G295" s="3">
        <f>정규화데이터!G295</f>
        <v>119000</v>
      </c>
      <c r="H295" s="3">
        <f>정규화데이터!H295</f>
        <v>96390</v>
      </c>
      <c r="I295" s="3">
        <f>정규화데이터!I295</f>
        <v>82110</v>
      </c>
      <c r="J295" s="3">
        <f>정규화데이터!J295</f>
        <v>87627.272727272721</v>
      </c>
      <c r="K295" s="25">
        <f>정규화데이터!K295</f>
        <v>61496</v>
      </c>
      <c r="L295" s="25">
        <f>정규화데이터!L295</f>
        <v>61496</v>
      </c>
      <c r="M295" s="21">
        <f t="shared" si="8"/>
        <v>26131.272727272721</v>
      </c>
      <c r="N295" s="52">
        <f t="shared" si="9"/>
        <v>0.29820935781720093</v>
      </c>
    </row>
    <row r="296" spans="1:14" x14ac:dyDescent="0.3">
      <c r="A296" t="str">
        <f>정규화데이터!A296</f>
        <v>SK스토아</v>
      </c>
      <c r="B296">
        <f>정규화데이터!B296</f>
        <v>20260205994669</v>
      </c>
      <c r="C296" t="str">
        <f>정규화데이터!C296</f>
        <v>[워커힐]워커힐 고메 시그니처 양념 본갈비 8팩</v>
      </c>
      <c r="D296">
        <f>정규화데이터!D296</f>
        <v>58481090</v>
      </c>
      <c r="E296" s="16" t="str">
        <f>정규화데이터!E296</f>
        <v>SKU001</v>
      </c>
      <c r="F296" s="3">
        <f>정규화데이터!F296</f>
        <v>1</v>
      </c>
      <c r="G296" s="3">
        <f>정규화데이터!G296</f>
        <v>119000</v>
      </c>
      <c r="H296" s="3">
        <f>정규화데이터!H296</f>
        <v>119000</v>
      </c>
      <c r="I296" s="3">
        <f>정규화데이터!I296</f>
        <v>82110</v>
      </c>
      <c r="J296" s="3">
        <f>정규화데이터!J296</f>
        <v>108181.81818181818</v>
      </c>
      <c r="K296" s="25">
        <f>정규화데이터!K296</f>
        <v>61496</v>
      </c>
      <c r="L296" s="25">
        <f>정규화데이터!L296</f>
        <v>61496</v>
      </c>
      <c r="M296" s="21">
        <f t="shared" si="8"/>
        <v>46685.818181818177</v>
      </c>
      <c r="N296" s="52">
        <f t="shared" si="9"/>
        <v>0.43154957983193276</v>
      </c>
    </row>
    <row r="297" spans="1:14" x14ac:dyDescent="0.3">
      <c r="A297" t="str">
        <f>정규화데이터!A297</f>
        <v>SK스토아</v>
      </c>
      <c r="B297">
        <f>정규화데이터!B297</f>
        <v>20260205993830</v>
      </c>
      <c r="C297" t="str">
        <f>정규화데이터!C297</f>
        <v>[워커힐]워커힐 고메 시그니처 양념 본갈비 8팩</v>
      </c>
      <c r="D297">
        <f>정규화데이터!D297</f>
        <v>58481090</v>
      </c>
      <c r="E297" s="16" t="str">
        <f>정규화데이터!E297</f>
        <v>SKU001</v>
      </c>
      <c r="F297" s="3">
        <f>정규화데이터!F297</f>
        <v>1</v>
      </c>
      <c r="G297" s="3">
        <f>정규화데이터!G297</f>
        <v>119000</v>
      </c>
      <c r="H297" s="3">
        <f>정규화데이터!H297</f>
        <v>119000</v>
      </c>
      <c r="I297" s="3">
        <f>정규화데이터!I297</f>
        <v>82110</v>
      </c>
      <c r="J297" s="3">
        <f>정규화데이터!J297</f>
        <v>108181.81818181818</v>
      </c>
      <c r="K297" s="25">
        <f>정규화데이터!K297</f>
        <v>61496</v>
      </c>
      <c r="L297" s="25">
        <f>정규화데이터!L297</f>
        <v>61496</v>
      </c>
      <c r="M297" s="21">
        <f t="shared" si="8"/>
        <v>46685.818181818177</v>
      </c>
      <c r="N297" s="52">
        <f t="shared" si="9"/>
        <v>0.43154957983193276</v>
      </c>
    </row>
    <row r="298" spans="1:14" x14ac:dyDescent="0.3">
      <c r="A298" t="str">
        <f>정규화데이터!A298</f>
        <v>SK스토아</v>
      </c>
      <c r="B298">
        <f>정규화데이터!B298</f>
        <v>20260205993830</v>
      </c>
      <c r="C298" t="str">
        <f>정규화데이터!C298</f>
        <v>[워커힐]워커힐 고메 시그니처 양념 본갈비 8팩</v>
      </c>
      <c r="D298">
        <f>정규화데이터!D298</f>
        <v>58481090</v>
      </c>
      <c r="E298" s="16" t="str">
        <f>정규화데이터!E298</f>
        <v>SKU001</v>
      </c>
      <c r="F298" s="3">
        <f>정규화데이터!F298</f>
        <v>1</v>
      </c>
      <c r="G298" s="3">
        <f>정규화데이터!G298</f>
        <v>119000</v>
      </c>
      <c r="H298" s="3">
        <f>정규화데이터!H298</f>
        <v>119000</v>
      </c>
      <c r="I298" s="3">
        <f>정규화데이터!I298</f>
        <v>82110</v>
      </c>
      <c r="J298" s="3">
        <f>정규화데이터!J298</f>
        <v>108181.81818181818</v>
      </c>
      <c r="K298" s="25">
        <f>정규화데이터!K298</f>
        <v>61496</v>
      </c>
      <c r="L298" s="25">
        <f>정규화데이터!L298</f>
        <v>61496</v>
      </c>
      <c r="M298" s="21">
        <f t="shared" si="8"/>
        <v>46685.818181818177</v>
      </c>
      <c r="N298" s="52">
        <f t="shared" si="9"/>
        <v>0.43154957983193276</v>
      </c>
    </row>
    <row r="299" spans="1:14" x14ac:dyDescent="0.3">
      <c r="A299" t="str">
        <f>정규화데이터!A299</f>
        <v>SK스토아</v>
      </c>
      <c r="B299">
        <f>정규화데이터!B299</f>
        <v>20260205993426</v>
      </c>
      <c r="C299" t="str">
        <f>정규화데이터!C299</f>
        <v>[워커힐]워커힐 고메 시그니처 양념 본갈비 8팩</v>
      </c>
      <c r="D299">
        <f>정규화데이터!D299</f>
        <v>58481090</v>
      </c>
      <c r="E299" s="16" t="str">
        <f>정규화데이터!E299</f>
        <v>SKU001</v>
      </c>
      <c r="F299" s="3">
        <f>정규화데이터!F299</f>
        <v>1</v>
      </c>
      <c r="G299" s="3">
        <f>정규화데이터!G299</f>
        <v>119000</v>
      </c>
      <c r="H299" s="3">
        <f>정규화데이터!H299</f>
        <v>119000</v>
      </c>
      <c r="I299" s="3">
        <f>정규화데이터!I299</f>
        <v>82110</v>
      </c>
      <c r="J299" s="3">
        <f>정규화데이터!J299</f>
        <v>108181.81818181818</v>
      </c>
      <c r="K299" s="25">
        <f>정규화데이터!K299</f>
        <v>61496</v>
      </c>
      <c r="L299" s="25">
        <f>정규화데이터!L299</f>
        <v>61496</v>
      </c>
      <c r="M299" s="21">
        <f t="shared" si="8"/>
        <v>46685.818181818177</v>
      </c>
      <c r="N299" s="52">
        <f t="shared" si="9"/>
        <v>0.43154957983193276</v>
      </c>
    </row>
    <row r="300" spans="1:14" x14ac:dyDescent="0.3">
      <c r="A300" t="str">
        <f>정규화데이터!A300</f>
        <v>SK스토아</v>
      </c>
      <c r="B300">
        <f>정규화데이터!B300</f>
        <v>20260205993231</v>
      </c>
      <c r="C300" t="str">
        <f>정규화데이터!C300</f>
        <v>[워커힐]워커힐 고메 시그니처 양념 본갈비 8팩</v>
      </c>
      <c r="D300">
        <f>정규화데이터!D300</f>
        <v>58481090</v>
      </c>
      <c r="E300" s="16" t="str">
        <f>정규화데이터!E300</f>
        <v>SKU001</v>
      </c>
      <c r="F300" s="3">
        <f>정규화데이터!F300</f>
        <v>1</v>
      </c>
      <c r="G300" s="3">
        <f>정규화데이터!G300</f>
        <v>119000</v>
      </c>
      <c r="H300" s="3">
        <f>정규화데이터!H300</f>
        <v>119000</v>
      </c>
      <c r="I300" s="3">
        <f>정규화데이터!I300</f>
        <v>82110</v>
      </c>
      <c r="J300" s="3">
        <f>정규화데이터!J300</f>
        <v>108181.81818181818</v>
      </c>
      <c r="K300" s="25">
        <f>정규화데이터!K300</f>
        <v>61496</v>
      </c>
      <c r="L300" s="25">
        <f>정규화데이터!L300</f>
        <v>61496</v>
      </c>
      <c r="M300" s="21">
        <f t="shared" si="8"/>
        <v>46685.818181818177</v>
      </c>
      <c r="N300" s="52">
        <f t="shared" si="9"/>
        <v>0.43154957983193276</v>
      </c>
    </row>
    <row r="301" spans="1:14" x14ac:dyDescent="0.3">
      <c r="A301" t="str">
        <f>정규화데이터!A301</f>
        <v>SK스토아</v>
      </c>
      <c r="B301">
        <f>정규화데이터!B301</f>
        <v>20260205995033</v>
      </c>
      <c r="C301" t="str">
        <f>정규화데이터!C301</f>
        <v>[워커힐]워커힐 고메 시그니처 양념 본갈비 8팩</v>
      </c>
      <c r="D301">
        <f>정규화데이터!D301</f>
        <v>58481090</v>
      </c>
      <c r="E301" s="16" t="str">
        <f>정규화데이터!E301</f>
        <v>SKU001</v>
      </c>
      <c r="F301" s="3">
        <f>정규화데이터!F301</f>
        <v>1</v>
      </c>
      <c r="G301" s="3">
        <f>정규화데이터!G301</f>
        <v>119000</v>
      </c>
      <c r="H301" s="3">
        <f>정규화데이터!H301</f>
        <v>119000</v>
      </c>
      <c r="I301" s="3">
        <f>정규화데이터!I301</f>
        <v>82110</v>
      </c>
      <c r="J301" s="3">
        <f>정규화데이터!J301</f>
        <v>108181.81818181818</v>
      </c>
      <c r="K301" s="25">
        <f>정규화데이터!K301</f>
        <v>61496</v>
      </c>
      <c r="L301" s="25">
        <f>정규화데이터!L301</f>
        <v>61496</v>
      </c>
      <c r="M301" s="21">
        <f t="shared" si="8"/>
        <v>46685.818181818177</v>
      </c>
      <c r="N301" s="52">
        <f t="shared" si="9"/>
        <v>0.43154957983193276</v>
      </c>
    </row>
    <row r="302" spans="1:14" x14ac:dyDescent="0.3">
      <c r="A302" t="str">
        <f>정규화데이터!A302</f>
        <v>SK스토아</v>
      </c>
      <c r="B302">
        <f>정규화데이터!B302</f>
        <v>20260205994734</v>
      </c>
      <c r="C302" t="str">
        <f>정규화데이터!C302</f>
        <v>[워커힐]워커힐 고메 시그니처 양념 본갈비 8팩</v>
      </c>
      <c r="D302">
        <f>정규화데이터!D302</f>
        <v>58481090</v>
      </c>
      <c r="E302" s="16" t="str">
        <f>정규화데이터!E302</f>
        <v>SKU001</v>
      </c>
      <c r="F302" s="3">
        <f>정규화데이터!F302</f>
        <v>1</v>
      </c>
      <c r="G302" s="3">
        <f>정규화데이터!G302</f>
        <v>119000</v>
      </c>
      <c r="H302" s="3">
        <f>정규화데이터!H302</f>
        <v>119000</v>
      </c>
      <c r="I302" s="3">
        <f>정규화데이터!I302</f>
        <v>82110</v>
      </c>
      <c r="J302" s="3">
        <f>정규화데이터!J302</f>
        <v>108181.81818181818</v>
      </c>
      <c r="K302" s="25">
        <f>정규화데이터!K302</f>
        <v>61496</v>
      </c>
      <c r="L302" s="25">
        <f>정규화데이터!L302</f>
        <v>61496</v>
      </c>
      <c r="M302" s="21">
        <f t="shared" si="8"/>
        <v>46685.818181818177</v>
      </c>
      <c r="N302" s="52">
        <f t="shared" si="9"/>
        <v>0.43154957983193276</v>
      </c>
    </row>
    <row r="303" spans="1:14" x14ac:dyDescent="0.3">
      <c r="A303" t="str">
        <f>정규화데이터!A303</f>
        <v>SK스토아</v>
      </c>
      <c r="B303">
        <f>정규화데이터!B303</f>
        <v>20260205005878</v>
      </c>
      <c r="C303" t="str">
        <f>정규화데이터!C303</f>
        <v>[워커힐]워커힐 고메 시그니처 양념 본갈비 8팩</v>
      </c>
      <c r="D303">
        <f>정규화데이터!D303</f>
        <v>58481090</v>
      </c>
      <c r="E303" s="16" t="str">
        <f>정규화데이터!E303</f>
        <v>SKU001</v>
      </c>
      <c r="F303" s="3">
        <f>정규화데이터!F303</f>
        <v>1</v>
      </c>
      <c r="G303" s="3">
        <f>정규화데이터!G303</f>
        <v>119000</v>
      </c>
      <c r="H303" s="3">
        <f>정규화데이터!H303</f>
        <v>113050</v>
      </c>
      <c r="I303" s="3">
        <f>정규화데이터!I303</f>
        <v>82110</v>
      </c>
      <c r="J303" s="3">
        <f>정규화데이터!J303</f>
        <v>102772.72727272726</v>
      </c>
      <c r="K303" s="25">
        <f>정규화데이터!K303</f>
        <v>61496</v>
      </c>
      <c r="L303" s="25">
        <f>정규화데이터!L303</f>
        <v>61496</v>
      </c>
      <c r="M303" s="21">
        <f t="shared" si="8"/>
        <v>41276.727272727265</v>
      </c>
      <c r="N303" s="52">
        <f t="shared" si="9"/>
        <v>0.40163113666519235</v>
      </c>
    </row>
    <row r="304" spans="1:14" x14ac:dyDescent="0.3">
      <c r="A304" t="str">
        <f>정규화데이터!A304</f>
        <v>SK스토아</v>
      </c>
      <c r="B304">
        <f>정규화데이터!B304</f>
        <v>20260205002209</v>
      </c>
      <c r="C304" t="str">
        <f>정규화데이터!C304</f>
        <v>[워커힐]워커힐 고메 시그니처 양념 본갈비 8팩</v>
      </c>
      <c r="D304">
        <f>정규화데이터!D304</f>
        <v>58481090</v>
      </c>
      <c r="E304" s="16" t="str">
        <f>정규화데이터!E304</f>
        <v>SKU001</v>
      </c>
      <c r="F304" s="3">
        <f>정규화데이터!F304</f>
        <v>1</v>
      </c>
      <c r="G304" s="3">
        <f>정규화데이터!G304</f>
        <v>119000</v>
      </c>
      <c r="H304" s="3">
        <f>정규화데이터!H304</f>
        <v>119000</v>
      </c>
      <c r="I304" s="3">
        <f>정규화데이터!I304</f>
        <v>82110</v>
      </c>
      <c r="J304" s="3">
        <f>정규화데이터!J304</f>
        <v>108181.81818181818</v>
      </c>
      <c r="K304" s="25">
        <f>정규화데이터!K304</f>
        <v>61496</v>
      </c>
      <c r="L304" s="25">
        <f>정규화데이터!L304</f>
        <v>61496</v>
      </c>
      <c r="M304" s="21">
        <f t="shared" si="8"/>
        <v>46685.818181818177</v>
      </c>
      <c r="N304" s="52">
        <f t="shared" si="9"/>
        <v>0.43154957983193276</v>
      </c>
    </row>
    <row r="305" spans="1:14" x14ac:dyDescent="0.3">
      <c r="A305" t="str">
        <f>정규화데이터!A305</f>
        <v>SK스토아</v>
      </c>
      <c r="B305">
        <f>정규화데이터!B305</f>
        <v>20260205994403</v>
      </c>
      <c r="C305" t="str">
        <f>정규화데이터!C305</f>
        <v>[워커힐]워커힐 고메 시그니처 양념 본갈비 8팩</v>
      </c>
      <c r="D305">
        <f>정규화데이터!D305</f>
        <v>58481090</v>
      </c>
      <c r="E305" s="16" t="str">
        <f>정규화데이터!E305</f>
        <v>SKU001</v>
      </c>
      <c r="F305" s="3">
        <f>정규화데이터!F305</f>
        <v>1</v>
      </c>
      <c r="G305" s="3">
        <f>정규화데이터!G305</f>
        <v>119000</v>
      </c>
      <c r="H305" s="3">
        <f>정규화데이터!H305</f>
        <v>119000</v>
      </c>
      <c r="I305" s="3">
        <f>정규화데이터!I305</f>
        <v>82110</v>
      </c>
      <c r="J305" s="3">
        <f>정규화데이터!J305</f>
        <v>108181.81818181818</v>
      </c>
      <c r="K305" s="25">
        <f>정규화데이터!K305</f>
        <v>61496</v>
      </c>
      <c r="L305" s="25">
        <f>정규화데이터!L305</f>
        <v>61496</v>
      </c>
      <c r="M305" s="21">
        <f t="shared" si="8"/>
        <v>46685.818181818177</v>
      </c>
      <c r="N305" s="52">
        <f t="shared" si="9"/>
        <v>0.43154957983193276</v>
      </c>
    </row>
    <row r="306" spans="1:14" x14ac:dyDescent="0.3">
      <c r="A306" t="str">
        <f>정규화데이터!A306</f>
        <v>SK스토아</v>
      </c>
      <c r="B306">
        <f>정규화데이터!B306</f>
        <v>20260205993716</v>
      </c>
      <c r="C306" t="str">
        <f>정규화데이터!C306</f>
        <v>[워커힐]워커힐 고메 시그니처 양념 본갈비 8팩</v>
      </c>
      <c r="D306">
        <f>정규화데이터!D306</f>
        <v>58481090</v>
      </c>
      <c r="E306" s="16" t="str">
        <f>정규화데이터!E306</f>
        <v>SKU001</v>
      </c>
      <c r="F306" s="3">
        <f>정규화데이터!F306</f>
        <v>1</v>
      </c>
      <c r="G306" s="3">
        <f>정규화데이터!G306</f>
        <v>119000</v>
      </c>
      <c r="H306" s="3">
        <f>정규화데이터!H306</f>
        <v>119000</v>
      </c>
      <c r="I306" s="3">
        <f>정규화데이터!I306</f>
        <v>82110</v>
      </c>
      <c r="J306" s="3">
        <f>정규화데이터!J306</f>
        <v>108181.81818181818</v>
      </c>
      <c r="K306" s="25">
        <f>정규화데이터!K306</f>
        <v>61496</v>
      </c>
      <c r="L306" s="25">
        <f>정규화데이터!L306</f>
        <v>61496</v>
      </c>
      <c r="M306" s="21">
        <f t="shared" si="8"/>
        <v>46685.818181818177</v>
      </c>
      <c r="N306" s="52">
        <f t="shared" si="9"/>
        <v>0.43154957983193276</v>
      </c>
    </row>
    <row r="307" spans="1:14" x14ac:dyDescent="0.3">
      <c r="A307" t="str">
        <f>정규화데이터!A307</f>
        <v>SK스토아</v>
      </c>
      <c r="B307">
        <f>정규화데이터!B307</f>
        <v>20260205994897</v>
      </c>
      <c r="C307" t="str">
        <f>정규화데이터!C307</f>
        <v>[워커힐]워커힐 고메 시그니처 양념 본갈비 8팩</v>
      </c>
      <c r="D307">
        <f>정규화데이터!D307</f>
        <v>58481090</v>
      </c>
      <c r="E307" s="16" t="str">
        <f>정규화데이터!E307</f>
        <v>SKU001</v>
      </c>
      <c r="F307" s="3">
        <f>정규화데이터!F307</f>
        <v>1</v>
      </c>
      <c r="G307" s="3">
        <f>정규화데이터!G307</f>
        <v>119000</v>
      </c>
      <c r="H307" s="3">
        <f>정규화데이터!H307</f>
        <v>119000</v>
      </c>
      <c r="I307" s="3">
        <f>정규화데이터!I307</f>
        <v>82110</v>
      </c>
      <c r="J307" s="3">
        <f>정규화데이터!J307</f>
        <v>108181.81818181818</v>
      </c>
      <c r="K307" s="25">
        <f>정규화데이터!K307</f>
        <v>61496</v>
      </c>
      <c r="L307" s="25">
        <f>정규화데이터!L307</f>
        <v>61496</v>
      </c>
      <c r="M307" s="21">
        <f t="shared" si="8"/>
        <v>46685.818181818177</v>
      </c>
      <c r="N307" s="52">
        <f t="shared" si="9"/>
        <v>0.43154957983193276</v>
      </c>
    </row>
    <row r="308" spans="1:14" x14ac:dyDescent="0.3">
      <c r="A308" t="str">
        <f>정규화데이터!A308</f>
        <v>SK스토아</v>
      </c>
      <c r="B308">
        <f>정규화데이터!B308</f>
        <v>20260205995346</v>
      </c>
      <c r="C308" t="str">
        <f>정규화데이터!C308</f>
        <v>[워커힐]워커힐 고메 시그니처 양념 본갈비 8팩</v>
      </c>
      <c r="D308">
        <f>정규화데이터!D308</f>
        <v>58481090</v>
      </c>
      <c r="E308" s="16" t="str">
        <f>정규화데이터!E308</f>
        <v>SKU001</v>
      </c>
      <c r="F308" s="3">
        <f>정규화데이터!F308</f>
        <v>1</v>
      </c>
      <c r="G308" s="3">
        <f>정규화데이터!G308</f>
        <v>119000</v>
      </c>
      <c r="H308" s="3">
        <f>정규화데이터!H308</f>
        <v>119000</v>
      </c>
      <c r="I308" s="3">
        <f>정규화데이터!I308</f>
        <v>82110</v>
      </c>
      <c r="J308" s="3">
        <f>정규화데이터!J308</f>
        <v>108181.81818181818</v>
      </c>
      <c r="K308" s="25">
        <f>정규화데이터!K308</f>
        <v>61496</v>
      </c>
      <c r="L308" s="25">
        <f>정규화데이터!L308</f>
        <v>61496</v>
      </c>
      <c r="M308" s="21">
        <f t="shared" si="8"/>
        <v>46685.818181818177</v>
      </c>
      <c r="N308" s="52">
        <f t="shared" si="9"/>
        <v>0.43154957983193276</v>
      </c>
    </row>
    <row r="309" spans="1:14" x14ac:dyDescent="0.3">
      <c r="A309" t="str">
        <f>정규화데이터!A309</f>
        <v>SK스토아</v>
      </c>
      <c r="B309">
        <f>정규화데이터!B309</f>
        <v>20260205994059</v>
      </c>
      <c r="C309" t="str">
        <f>정규화데이터!C309</f>
        <v>[워커힐]워커힐 고메 시그니처 양념 본갈비 8팩</v>
      </c>
      <c r="D309">
        <f>정규화데이터!D309</f>
        <v>58481090</v>
      </c>
      <c r="E309" s="16" t="str">
        <f>정규화데이터!E309</f>
        <v>SKU001</v>
      </c>
      <c r="F309" s="3">
        <f>정규화데이터!F309</f>
        <v>1</v>
      </c>
      <c r="G309" s="3">
        <f>정규화데이터!G309</f>
        <v>119000</v>
      </c>
      <c r="H309" s="3">
        <f>정규화데이터!H309</f>
        <v>109000</v>
      </c>
      <c r="I309" s="3">
        <f>정규화데이터!I309</f>
        <v>82110</v>
      </c>
      <c r="J309" s="3">
        <f>정규화데이터!J309</f>
        <v>99090.909090909074</v>
      </c>
      <c r="K309" s="25">
        <f>정규화데이터!K309</f>
        <v>61496</v>
      </c>
      <c r="L309" s="25">
        <f>정규화데이터!L309</f>
        <v>61496</v>
      </c>
      <c r="M309" s="21">
        <f t="shared" si="8"/>
        <v>37594.909090909074</v>
      </c>
      <c r="N309" s="52">
        <f t="shared" si="9"/>
        <v>0.3793981651376146</v>
      </c>
    </row>
    <row r="310" spans="1:14" x14ac:dyDescent="0.3">
      <c r="A310" t="str">
        <f>정규화데이터!A310</f>
        <v>SK스토아</v>
      </c>
      <c r="B310">
        <f>정규화데이터!B310</f>
        <v>20260205994147</v>
      </c>
      <c r="C310" t="str">
        <f>정규화데이터!C310</f>
        <v>[워커힐]워커힐 고메 시그니처 양념 본갈비 8팩</v>
      </c>
      <c r="D310">
        <f>정규화데이터!D310</f>
        <v>58481090</v>
      </c>
      <c r="E310" s="16" t="str">
        <f>정규화데이터!E310</f>
        <v>SKU001</v>
      </c>
      <c r="F310" s="3">
        <f>정규화데이터!F310</f>
        <v>1</v>
      </c>
      <c r="G310" s="3">
        <f>정규화데이터!G310</f>
        <v>119000</v>
      </c>
      <c r="H310" s="3">
        <f>정규화데이터!H310</f>
        <v>119000</v>
      </c>
      <c r="I310" s="3">
        <f>정규화데이터!I310</f>
        <v>82110</v>
      </c>
      <c r="J310" s="3">
        <f>정규화데이터!J310</f>
        <v>108181.81818181818</v>
      </c>
      <c r="K310" s="25">
        <f>정규화데이터!K310</f>
        <v>61496</v>
      </c>
      <c r="L310" s="25">
        <f>정규화데이터!L310</f>
        <v>61496</v>
      </c>
      <c r="M310" s="21">
        <f t="shared" si="8"/>
        <v>46685.818181818177</v>
      </c>
      <c r="N310" s="52">
        <f t="shared" si="9"/>
        <v>0.43154957983193276</v>
      </c>
    </row>
    <row r="311" spans="1:14" x14ac:dyDescent="0.3">
      <c r="A311" t="str">
        <f>정규화데이터!A311</f>
        <v>SK스토아</v>
      </c>
      <c r="B311">
        <f>정규화데이터!B311</f>
        <v>20260205993758</v>
      </c>
      <c r="C311" t="str">
        <f>정규화데이터!C311</f>
        <v>[워커힐]워커힐 고메 시그니처 양념 본갈비 8팩</v>
      </c>
      <c r="D311">
        <f>정규화데이터!D311</f>
        <v>58481090</v>
      </c>
      <c r="E311" s="16" t="str">
        <f>정규화데이터!E311</f>
        <v>SKU001</v>
      </c>
      <c r="F311" s="3">
        <f>정규화데이터!F311</f>
        <v>1</v>
      </c>
      <c r="G311" s="3">
        <f>정규화데이터!G311</f>
        <v>119000</v>
      </c>
      <c r="H311" s="3">
        <f>정규화데이터!H311</f>
        <v>119000</v>
      </c>
      <c r="I311" s="3">
        <f>정규화데이터!I311</f>
        <v>82110</v>
      </c>
      <c r="J311" s="3">
        <f>정규화데이터!J311</f>
        <v>108181.81818181818</v>
      </c>
      <c r="K311" s="25">
        <f>정규화데이터!K311</f>
        <v>61496</v>
      </c>
      <c r="L311" s="25">
        <f>정규화데이터!L311</f>
        <v>61496</v>
      </c>
      <c r="M311" s="21">
        <f t="shared" si="8"/>
        <v>46685.818181818177</v>
      </c>
      <c r="N311" s="52">
        <f t="shared" si="9"/>
        <v>0.43154957983193276</v>
      </c>
    </row>
    <row r="312" spans="1:14" x14ac:dyDescent="0.3">
      <c r="A312" t="str">
        <f>정규화데이터!A312</f>
        <v>SK스토아</v>
      </c>
      <c r="B312">
        <f>정규화데이터!B312</f>
        <v>20260205994158</v>
      </c>
      <c r="C312" t="str">
        <f>정규화데이터!C312</f>
        <v>[워커힐]워커힐 고메 시그니처 양념 본갈비 8팩</v>
      </c>
      <c r="D312">
        <f>정규화데이터!D312</f>
        <v>58481090</v>
      </c>
      <c r="E312" s="16" t="str">
        <f>정규화데이터!E312</f>
        <v>SKU001</v>
      </c>
      <c r="F312" s="3">
        <f>정규화데이터!F312</f>
        <v>1</v>
      </c>
      <c r="G312" s="3">
        <f>정규화데이터!G312</f>
        <v>119000</v>
      </c>
      <c r="H312" s="3">
        <f>정규화데이터!H312</f>
        <v>119000</v>
      </c>
      <c r="I312" s="3">
        <f>정규화데이터!I312</f>
        <v>82110</v>
      </c>
      <c r="J312" s="3">
        <f>정규화데이터!J312</f>
        <v>108181.81818181818</v>
      </c>
      <c r="K312" s="25">
        <f>정규화데이터!K312</f>
        <v>61496</v>
      </c>
      <c r="L312" s="25">
        <f>정규화데이터!L312</f>
        <v>61496</v>
      </c>
      <c r="M312" s="21">
        <f t="shared" si="8"/>
        <v>46685.818181818177</v>
      </c>
      <c r="N312" s="52">
        <f t="shared" si="9"/>
        <v>0.43154957983193276</v>
      </c>
    </row>
    <row r="313" spans="1:14" x14ac:dyDescent="0.3">
      <c r="A313" t="str">
        <f>정규화데이터!A313</f>
        <v>SK스토아</v>
      </c>
      <c r="B313">
        <f>정규화데이터!B313</f>
        <v>20260205994158</v>
      </c>
      <c r="C313" t="str">
        <f>정규화데이터!C313</f>
        <v>[워커힐]워커힐 고메 시그니처 양념 본갈비 8팩</v>
      </c>
      <c r="D313">
        <f>정규화데이터!D313</f>
        <v>58481090</v>
      </c>
      <c r="E313" s="16" t="str">
        <f>정규화데이터!E313</f>
        <v>SKU001</v>
      </c>
      <c r="F313" s="3">
        <f>정규화데이터!F313</f>
        <v>1</v>
      </c>
      <c r="G313" s="3">
        <f>정규화데이터!G313</f>
        <v>119000</v>
      </c>
      <c r="H313" s="3">
        <f>정규화데이터!H313</f>
        <v>119000</v>
      </c>
      <c r="I313" s="3">
        <f>정규화데이터!I313</f>
        <v>82110</v>
      </c>
      <c r="J313" s="3">
        <f>정규화데이터!J313</f>
        <v>108181.81818181818</v>
      </c>
      <c r="K313" s="25">
        <f>정규화데이터!K313</f>
        <v>61496</v>
      </c>
      <c r="L313" s="25">
        <f>정규화데이터!L313</f>
        <v>61496</v>
      </c>
      <c r="M313" s="21">
        <f t="shared" si="8"/>
        <v>46685.818181818177</v>
      </c>
      <c r="N313" s="52">
        <f t="shared" si="9"/>
        <v>0.43154957983193276</v>
      </c>
    </row>
    <row r="314" spans="1:14" x14ac:dyDescent="0.3">
      <c r="A314" t="str">
        <f>정규화데이터!A314</f>
        <v>SK스토아</v>
      </c>
      <c r="B314">
        <f>정규화데이터!B314</f>
        <v>20260205993463</v>
      </c>
      <c r="C314" t="str">
        <f>정규화데이터!C314</f>
        <v>[워커힐]워커힐 고메 시그니처 양념 본갈비 8팩</v>
      </c>
      <c r="D314">
        <f>정규화데이터!D314</f>
        <v>58481090</v>
      </c>
      <c r="E314" s="16" t="str">
        <f>정규화데이터!E314</f>
        <v>SKU001</v>
      </c>
      <c r="F314" s="3">
        <f>정규화데이터!F314</f>
        <v>1</v>
      </c>
      <c r="G314" s="3">
        <f>정규화데이터!G314</f>
        <v>119000</v>
      </c>
      <c r="H314" s="3">
        <f>정규화데이터!H314</f>
        <v>119000</v>
      </c>
      <c r="I314" s="3">
        <f>정규화데이터!I314</f>
        <v>82110</v>
      </c>
      <c r="J314" s="3">
        <f>정규화데이터!J314</f>
        <v>108181.81818181818</v>
      </c>
      <c r="K314" s="25">
        <f>정규화데이터!K314</f>
        <v>61496</v>
      </c>
      <c r="L314" s="25">
        <f>정규화데이터!L314</f>
        <v>61496</v>
      </c>
      <c r="M314" s="21">
        <f t="shared" si="8"/>
        <v>46685.818181818177</v>
      </c>
      <c r="N314" s="52">
        <f t="shared" si="9"/>
        <v>0.43154957983193276</v>
      </c>
    </row>
    <row r="315" spans="1:14" x14ac:dyDescent="0.3">
      <c r="A315" t="str">
        <f>정규화데이터!A315</f>
        <v>SK스토아</v>
      </c>
      <c r="B315">
        <f>정규화데이터!B315</f>
        <v>20260205994122</v>
      </c>
      <c r="C315" t="str">
        <f>정규화데이터!C315</f>
        <v>[워커힐]워커힐 고메 시그니처 양념 본갈비 8팩</v>
      </c>
      <c r="D315">
        <f>정규화데이터!D315</f>
        <v>58481090</v>
      </c>
      <c r="E315" s="16" t="str">
        <f>정규화데이터!E315</f>
        <v>SKU001</v>
      </c>
      <c r="F315" s="3">
        <f>정규화데이터!F315</f>
        <v>1</v>
      </c>
      <c r="G315" s="3">
        <f>정규화데이터!G315</f>
        <v>119000</v>
      </c>
      <c r="H315" s="3">
        <f>정규화데이터!H315</f>
        <v>119000</v>
      </c>
      <c r="I315" s="3">
        <f>정규화데이터!I315</f>
        <v>82110</v>
      </c>
      <c r="J315" s="3">
        <f>정규화데이터!J315</f>
        <v>108181.81818181818</v>
      </c>
      <c r="K315" s="25">
        <f>정규화데이터!K315</f>
        <v>61496</v>
      </c>
      <c r="L315" s="25">
        <f>정규화데이터!L315</f>
        <v>61496</v>
      </c>
      <c r="M315" s="21">
        <f t="shared" si="8"/>
        <v>46685.818181818177</v>
      </c>
      <c r="N315" s="52">
        <f t="shared" si="9"/>
        <v>0.43154957983193276</v>
      </c>
    </row>
    <row r="316" spans="1:14" x14ac:dyDescent="0.3">
      <c r="A316" t="str">
        <f>정규화데이터!A316</f>
        <v>SK스토아</v>
      </c>
      <c r="B316">
        <f>정규화데이터!B316</f>
        <v>20260205995057</v>
      </c>
      <c r="C316" t="str">
        <f>정규화데이터!C316</f>
        <v>[워커힐]워커힐 고메 시그니처 양념 본갈비 8팩</v>
      </c>
      <c r="D316">
        <f>정규화데이터!D316</f>
        <v>58481090</v>
      </c>
      <c r="E316" s="16" t="str">
        <f>정규화데이터!E316</f>
        <v>SKU001</v>
      </c>
      <c r="F316" s="3">
        <f>정규화데이터!F316</f>
        <v>1</v>
      </c>
      <c r="G316" s="3">
        <f>정규화데이터!G316</f>
        <v>119000</v>
      </c>
      <c r="H316" s="3">
        <f>정규화데이터!H316</f>
        <v>109000</v>
      </c>
      <c r="I316" s="3">
        <f>정규화데이터!I316</f>
        <v>82110</v>
      </c>
      <c r="J316" s="3">
        <f>정규화데이터!J316</f>
        <v>99090.909090909074</v>
      </c>
      <c r="K316" s="25">
        <f>정규화데이터!K316</f>
        <v>61496</v>
      </c>
      <c r="L316" s="25">
        <f>정규화데이터!L316</f>
        <v>61496</v>
      </c>
      <c r="M316" s="21">
        <f t="shared" si="8"/>
        <v>37594.909090909074</v>
      </c>
      <c r="N316" s="52">
        <f t="shared" si="9"/>
        <v>0.3793981651376146</v>
      </c>
    </row>
    <row r="317" spans="1:14" x14ac:dyDescent="0.3">
      <c r="A317" t="str">
        <f>정규화데이터!A317</f>
        <v>SK스토아</v>
      </c>
      <c r="B317">
        <f>정규화데이터!B317</f>
        <v>20260205994528</v>
      </c>
      <c r="C317" t="str">
        <f>정규화데이터!C317</f>
        <v>[워커힐]워커힐 고메 시그니처 양념 본갈비 8팩</v>
      </c>
      <c r="D317">
        <f>정규화데이터!D317</f>
        <v>58481090</v>
      </c>
      <c r="E317" s="16" t="str">
        <f>정규화데이터!E317</f>
        <v>SKU001</v>
      </c>
      <c r="F317" s="3">
        <f>정규화데이터!F317</f>
        <v>1</v>
      </c>
      <c r="G317" s="3">
        <f>정규화데이터!G317</f>
        <v>119000</v>
      </c>
      <c r="H317" s="3">
        <f>정규화데이터!H317</f>
        <v>119000</v>
      </c>
      <c r="I317" s="3">
        <f>정규화데이터!I317</f>
        <v>82110</v>
      </c>
      <c r="J317" s="3">
        <f>정규화데이터!J317</f>
        <v>108181.81818181818</v>
      </c>
      <c r="K317" s="25">
        <f>정규화데이터!K317</f>
        <v>61496</v>
      </c>
      <c r="L317" s="25">
        <f>정규화데이터!L317</f>
        <v>61496</v>
      </c>
      <c r="M317" s="21">
        <f t="shared" si="8"/>
        <v>46685.818181818177</v>
      </c>
      <c r="N317" s="52">
        <f t="shared" si="9"/>
        <v>0.43154957983193276</v>
      </c>
    </row>
    <row r="318" spans="1:14" x14ac:dyDescent="0.3">
      <c r="A318" t="str">
        <f>정규화데이터!A318</f>
        <v>SK스토아</v>
      </c>
      <c r="B318">
        <f>정규화데이터!B318</f>
        <v>20260205993913</v>
      </c>
      <c r="C318" t="str">
        <f>정규화데이터!C318</f>
        <v>[워커힐]워커힐 고메 시그니처 양념 본갈비 8팩</v>
      </c>
      <c r="D318">
        <f>정규화데이터!D318</f>
        <v>58481090</v>
      </c>
      <c r="E318" s="16" t="str">
        <f>정규화데이터!E318</f>
        <v>SKU001</v>
      </c>
      <c r="F318" s="3">
        <f>정규화데이터!F318</f>
        <v>1</v>
      </c>
      <c r="G318" s="3">
        <f>정규화데이터!G318</f>
        <v>119000</v>
      </c>
      <c r="H318" s="3">
        <f>정규화데이터!H318</f>
        <v>109000</v>
      </c>
      <c r="I318" s="3">
        <f>정규화데이터!I318</f>
        <v>82110</v>
      </c>
      <c r="J318" s="3">
        <f>정규화데이터!J318</f>
        <v>99090.909090909074</v>
      </c>
      <c r="K318" s="25">
        <f>정규화데이터!K318</f>
        <v>61496</v>
      </c>
      <c r="L318" s="25">
        <f>정규화데이터!L318</f>
        <v>61496</v>
      </c>
      <c r="M318" s="21">
        <f t="shared" si="8"/>
        <v>37594.909090909074</v>
      </c>
      <c r="N318" s="52">
        <f t="shared" si="9"/>
        <v>0.3793981651376146</v>
      </c>
    </row>
    <row r="319" spans="1:14" x14ac:dyDescent="0.3">
      <c r="A319" t="str">
        <f>정규화데이터!A319</f>
        <v>SK스토아</v>
      </c>
      <c r="B319">
        <f>정규화데이터!B319</f>
        <v>20260205994535</v>
      </c>
      <c r="C319" t="str">
        <f>정규화데이터!C319</f>
        <v>[워커힐]워커힐 고메 시그니처 양념 본갈비 8팩</v>
      </c>
      <c r="D319">
        <f>정규화데이터!D319</f>
        <v>58481090</v>
      </c>
      <c r="E319" s="16" t="str">
        <f>정규화데이터!E319</f>
        <v>SKU001</v>
      </c>
      <c r="F319" s="3">
        <f>정규화데이터!F319</f>
        <v>2</v>
      </c>
      <c r="G319" s="3">
        <f>정규화데이터!G319</f>
        <v>119000</v>
      </c>
      <c r="H319" s="3">
        <f>정규화데이터!H319</f>
        <v>238000</v>
      </c>
      <c r="I319" s="3">
        <f>정규화데이터!I319</f>
        <v>164220</v>
      </c>
      <c r="J319" s="3">
        <f>정규화데이터!J319</f>
        <v>216363.63636363635</v>
      </c>
      <c r="K319" s="25">
        <f>정규화데이터!K319</f>
        <v>61496</v>
      </c>
      <c r="L319" s="25">
        <f>정규화데이터!L319</f>
        <v>122992</v>
      </c>
      <c r="M319" s="21">
        <f t="shared" si="8"/>
        <v>93371.636363636353</v>
      </c>
      <c r="N319" s="52">
        <f t="shared" si="9"/>
        <v>0.43154957983193276</v>
      </c>
    </row>
    <row r="320" spans="1:14" x14ac:dyDescent="0.3">
      <c r="A320" t="str">
        <f>정규화데이터!A320</f>
        <v>SK스토아</v>
      </c>
      <c r="B320">
        <f>정규화데이터!B320</f>
        <v>20260205994836</v>
      </c>
      <c r="C320" t="str">
        <f>정규화데이터!C320</f>
        <v>[워커힐]워커힐 고메 시그니처 양념 본갈비 8팩</v>
      </c>
      <c r="D320">
        <f>정규화데이터!D320</f>
        <v>58481090</v>
      </c>
      <c r="E320" s="16" t="str">
        <f>정규화데이터!E320</f>
        <v>SKU001</v>
      </c>
      <c r="F320" s="3">
        <f>정규화데이터!F320</f>
        <v>1</v>
      </c>
      <c r="G320" s="3">
        <f>정규화데이터!G320</f>
        <v>119000</v>
      </c>
      <c r="H320" s="3">
        <f>정규화데이터!H320</f>
        <v>119000</v>
      </c>
      <c r="I320" s="3">
        <f>정규화데이터!I320</f>
        <v>82110</v>
      </c>
      <c r="J320" s="3">
        <f>정규화데이터!J320</f>
        <v>108181.81818181818</v>
      </c>
      <c r="K320" s="25">
        <f>정규화데이터!K320</f>
        <v>61496</v>
      </c>
      <c r="L320" s="25">
        <f>정규화데이터!L320</f>
        <v>61496</v>
      </c>
      <c r="M320" s="21">
        <f t="shared" si="8"/>
        <v>46685.818181818177</v>
      </c>
      <c r="N320" s="52">
        <f t="shared" si="9"/>
        <v>0.43154957983193276</v>
      </c>
    </row>
    <row r="321" spans="1:14" x14ac:dyDescent="0.3">
      <c r="A321" t="str">
        <f>정규화데이터!A321</f>
        <v>SK스토아</v>
      </c>
      <c r="B321">
        <f>정규화데이터!B321</f>
        <v>20260205994447</v>
      </c>
      <c r="C321" t="str">
        <f>정규화데이터!C321</f>
        <v>[워커힐]워커힐 고메 시그니처 양념 본갈비 8팩</v>
      </c>
      <c r="D321">
        <f>정규화데이터!D321</f>
        <v>58481090</v>
      </c>
      <c r="E321" s="16" t="str">
        <f>정규화데이터!E321</f>
        <v>SKU001</v>
      </c>
      <c r="F321" s="3">
        <f>정규화데이터!F321</f>
        <v>1</v>
      </c>
      <c r="G321" s="3">
        <f>정규화데이터!G321</f>
        <v>119000</v>
      </c>
      <c r="H321" s="3">
        <f>정규화데이터!H321</f>
        <v>119000</v>
      </c>
      <c r="I321" s="3">
        <f>정규화데이터!I321</f>
        <v>82110</v>
      </c>
      <c r="J321" s="3">
        <f>정규화데이터!J321</f>
        <v>108181.81818181818</v>
      </c>
      <c r="K321" s="25">
        <f>정규화데이터!K321</f>
        <v>61496</v>
      </c>
      <c r="L321" s="25">
        <f>정규화데이터!L321</f>
        <v>61496</v>
      </c>
      <c r="M321" s="21">
        <f t="shared" si="8"/>
        <v>46685.818181818177</v>
      </c>
      <c r="N321" s="52">
        <f t="shared" si="9"/>
        <v>0.43154957983193276</v>
      </c>
    </row>
    <row r="322" spans="1:14" x14ac:dyDescent="0.3">
      <c r="A322" t="str">
        <f>정규화데이터!A322</f>
        <v>SK스토아</v>
      </c>
      <c r="B322">
        <f>정규화데이터!B322</f>
        <v>20260205995071</v>
      </c>
      <c r="C322" t="str">
        <f>정규화데이터!C322</f>
        <v>[워커힐]워커힐 고메 시그니처 양념 본갈비 8팩</v>
      </c>
      <c r="D322">
        <f>정규화데이터!D322</f>
        <v>58481090</v>
      </c>
      <c r="E322" s="16" t="str">
        <f>정규화데이터!E322</f>
        <v>SKU001</v>
      </c>
      <c r="F322" s="3">
        <f>정규화데이터!F322</f>
        <v>1</v>
      </c>
      <c r="G322" s="3">
        <f>정규화데이터!G322</f>
        <v>119000</v>
      </c>
      <c r="H322" s="3">
        <f>정규화데이터!H322</f>
        <v>119000</v>
      </c>
      <c r="I322" s="3">
        <f>정규화데이터!I322</f>
        <v>82110</v>
      </c>
      <c r="J322" s="3">
        <f>정규화데이터!J322</f>
        <v>108181.81818181818</v>
      </c>
      <c r="K322" s="25">
        <f>정규화데이터!K322</f>
        <v>61496</v>
      </c>
      <c r="L322" s="25">
        <f>정규화데이터!L322</f>
        <v>61496</v>
      </c>
      <c r="M322" s="21">
        <f t="shared" si="8"/>
        <v>46685.818181818177</v>
      </c>
      <c r="N322" s="52">
        <f t="shared" si="9"/>
        <v>0.43154957983193276</v>
      </c>
    </row>
    <row r="323" spans="1:14" x14ac:dyDescent="0.3">
      <c r="A323" t="str">
        <f>정규화데이터!A323</f>
        <v>SK스토아</v>
      </c>
      <c r="B323">
        <f>정규화데이터!B323</f>
        <v>20260205994350</v>
      </c>
      <c r="C323" t="str">
        <f>정규화데이터!C323</f>
        <v>[워커힐]워커힐 고메 시그니처 양념 본갈비 8팩</v>
      </c>
      <c r="D323">
        <f>정규화데이터!D323</f>
        <v>58481090</v>
      </c>
      <c r="E323" s="16" t="str">
        <f>정규화데이터!E323</f>
        <v>SKU001</v>
      </c>
      <c r="F323" s="3">
        <f>정규화데이터!F323</f>
        <v>1</v>
      </c>
      <c r="G323" s="3">
        <f>정규화데이터!G323</f>
        <v>119000</v>
      </c>
      <c r="H323" s="3">
        <f>정규화데이터!H323</f>
        <v>119000</v>
      </c>
      <c r="I323" s="3">
        <f>정규화데이터!I323</f>
        <v>82110</v>
      </c>
      <c r="J323" s="3">
        <f>정규화데이터!J323</f>
        <v>108181.81818181818</v>
      </c>
      <c r="K323" s="25">
        <f>정규화데이터!K323</f>
        <v>61496</v>
      </c>
      <c r="L323" s="25">
        <f>정규화데이터!L323</f>
        <v>61496</v>
      </c>
      <c r="M323" s="21">
        <f t="shared" ref="M323:M386" si="10">J323-L323</f>
        <v>46685.818181818177</v>
      </c>
      <c r="N323" s="52">
        <f t="shared" ref="N323:N386" si="11">IF(J323=0,0,M323/J323)</f>
        <v>0.43154957983193276</v>
      </c>
    </row>
    <row r="324" spans="1:14" x14ac:dyDescent="0.3">
      <c r="A324" t="str">
        <f>정규화데이터!A324</f>
        <v>SK스토아</v>
      </c>
      <c r="B324">
        <f>정규화데이터!B324</f>
        <v>20260205992509</v>
      </c>
      <c r="C324" t="str">
        <f>정규화데이터!C324</f>
        <v>[워커힐]워커힐 고메 시그니처 양념 본갈비 8팩</v>
      </c>
      <c r="D324">
        <f>정규화데이터!D324</f>
        <v>58481090</v>
      </c>
      <c r="E324" s="16" t="str">
        <f>정규화데이터!E324</f>
        <v>SKU001</v>
      </c>
      <c r="F324" s="3">
        <f>정규화데이터!F324</f>
        <v>1</v>
      </c>
      <c r="G324" s="3">
        <f>정규화데이터!G324</f>
        <v>119000</v>
      </c>
      <c r="H324" s="3">
        <f>정규화데이터!H324</f>
        <v>119000</v>
      </c>
      <c r="I324" s="3">
        <f>정규화데이터!I324</f>
        <v>82110</v>
      </c>
      <c r="J324" s="3">
        <f>정규화데이터!J324</f>
        <v>108181.81818181818</v>
      </c>
      <c r="K324" s="25">
        <f>정규화데이터!K324</f>
        <v>61496</v>
      </c>
      <c r="L324" s="25">
        <f>정규화데이터!L324</f>
        <v>61496</v>
      </c>
      <c r="M324" s="21">
        <f t="shared" si="10"/>
        <v>46685.818181818177</v>
      </c>
      <c r="N324" s="52">
        <f t="shared" si="11"/>
        <v>0.43154957983193276</v>
      </c>
    </row>
    <row r="325" spans="1:14" x14ac:dyDescent="0.3">
      <c r="A325" t="str">
        <f>정규화데이터!A325</f>
        <v>SK스토아</v>
      </c>
      <c r="B325">
        <f>정규화데이터!B325</f>
        <v>20260205995352</v>
      </c>
      <c r="C325" t="str">
        <f>정규화데이터!C325</f>
        <v>[워커힐]워커힐 고메 시그니처 양념 본갈비 8팩</v>
      </c>
      <c r="D325">
        <f>정규화데이터!D325</f>
        <v>58481090</v>
      </c>
      <c r="E325" s="16" t="str">
        <f>정규화데이터!E325</f>
        <v>SKU001</v>
      </c>
      <c r="F325" s="3">
        <f>정규화데이터!F325</f>
        <v>1</v>
      </c>
      <c r="G325" s="3">
        <f>정규화데이터!G325</f>
        <v>119000</v>
      </c>
      <c r="H325" s="3">
        <f>정규화데이터!H325</f>
        <v>119000</v>
      </c>
      <c r="I325" s="3">
        <f>정규화데이터!I325</f>
        <v>82110</v>
      </c>
      <c r="J325" s="3">
        <f>정규화데이터!J325</f>
        <v>108181.81818181818</v>
      </c>
      <c r="K325" s="25">
        <f>정규화데이터!K325</f>
        <v>61496</v>
      </c>
      <c r="L325" s="25">
        <f>정규화데이터!L325</f>
        <v>61496</v>
      </c>
      <c r="M325" s="21">
        <f t="shared" si="10"/>
        <v>46685.818181818177</v>
      </c>
      <c r="N325" s="52">
        <f t="shared" si="11"/>
        <v>0.43154957983193276</v>
      </c>
    </row>
    <row r="326" spans="1:14" x14ac:dyDescent="0.3">
      <c r="A326" t="str">
        <f>정규화데이터!A326</f>
        <v>SK스토아</v>
      </c>
      <c r="B326">
        <f>정규화데이터!B326</f>
        <v>20260205995384</v>
      </c>
      <c r="C326" t="str">
        <f>정규화데이터!C326</f>
        <v>[워커힐]워커힐 고메 시그니처 양념 본갈비 8팩</v>
      </c>
      <c r="D326">
        <f>정규화데이터!D326</f>
        <v>58481090</v>
      </c>
      <c r="E326" s="16" t="str">
        <f>정규화데이터!E326</f>
        <v>SKU001</v>
      </c>
      <c r="F326" s="3">
        <f>정규화데이터!F326</f>
        <v>1</v>
      </c>
      <c r="G326" s="3">
        <f>정규화데이터!G326</f>
        <v>119000</v>
      </c>
      <c r="H326" s="3">
        <f>정규화데이터!H326</f>
        <v>119000</v>
      </c>
      <c r="I326" s="3">
        <f>정규화데이터!I326</f>
        <v>82110</v>
      </c>
      <c r="J326" s="3">
        <f>정규화데이터!J326</f>
        <v>108181.81818181818</v>
      </c>
      <c r="K326" s="25">
        <f>정규화데이터!K326</f>
        <v>61496</v>
      </c>
      <c r="L326" s="25">
        <f>정규화데이터!L326</f>
        <v>61496</v>
      </c>
      <c r="M326" s="21">
        <f t="shared" si="10"/>
        <v>46685.818181818177</v>
      </c>
      <c r="N326" s="52">
        <f t="shared" si="11"/>
        <v>0.43154957983193276</v>
      </c>
    </row>
    <row r="327" spans="1:14" x14ac:dyDescent="0.3">
      <c r="A327" t="str">
        <f>정규화데이터!A327</f>
        <v>SK스토아</v>
      </c>
      <c r="B327">
        <f>정규화데이터!B327</f>
        <v>20260205994156</v>
      </c>
      <c r="C327" t="str">
        <f>정규화데이터!C327</f>
        <v>[워커힐]워커힐 고메 시그니처 양념 본갈비 8팩</v>
      </c>
      <c r="D327">
        <f>정규화데이터!D327</f>
        <v>58481090</v>
      </c>
      <c r="E327" s="16" t="str">
        <f>정규화데이터!E327</f>
        <v>SKU001</v>
      </c>
      <c r="F327" s="3">
        <f>정규화데이터!F327</f>
        <v>1</v>
      </c>
      <c r="G327" s="3">
        <f>정규화데이터!G327</f>
        <v>119000</v>
      </c>
      <c r="H327" s="3">
        <f>정규화데이터!H327</f>
        <v>119000</v>
      </c>
      <c r="I327" s="3">
        <f>정규화데이터!I327</f>
        <v>82110</v>
      </c>
      <c r="J327" s="3">
        <f>정규화데이터!J327</f>
        <v>108181.81818181818</v>
      </c>
      <c r="K327" s="25">
        <f>정규화데이터!K327</f>
        <v>61496</v>
      </c>
      <c r="L327" s="25">
        <f>정규화데이터!L327</f>
        <v>61496</v>
      </c>
      <c r="M327" s="21">
        <f t="shared" si="10"/>
        <v>46685.818181818177</v>
      </c>
      <c r="N327" s="52">
        <f t="shared" si="11"/>
        <v>0.43154957983193276</v>
      </c>
    </row>
    <row r="328" spans="1:14" x14ac:dyDescent="0.3">
      <c r="A328" t="str">
        <f>정규화데이터!A328</f>
        <v>SK스토아</v>
      </c>
      <c r="B328">
        <f>정규화데이터!B328</f>
        <v>20260205995064</v>
      </c>
      <c r="C328" t="str">
        <f>정규화데이터!C328</f>
        <v>[워커힐]워커힐 고메 시그니처 양념 본갈비 8팩</v>
      </c>
      <c r="D328">
        <f>정규화데이터!D328</f>
        <v>58481090</v>
      </c>
      <c r="E328" s="16" t="str">
        <f>정규화데이터!E328</f>
        <v>SKU001</v>
      </c>
      <c r="F328" s="3">
        <f>정규화데이터!F328</f>
        <v>1</v>
      </c>
      <c r="G328" s="3">
        <f>정규화데이터!G328</f>
        <v>119000</v>
      </c>
      <c r="H328" s="3">
        <f>정규화데이터!H328</f>
        <v>119000</v>
      </c>
      <c r="I328" s="3">
        <f>정규화데이터!I328</f>
        <v>82110</v>
      </c>
      <c r="J328" s="3">
        <f>정규화데이터!J328</f>
        <v>108181.81818181818</v>
      </c>
      <c r="K328" s="25">
        <f>정규화데이터!K328</f>
        <v>61496</v>
      </c>
      <c r="L328" s="25">
        <f>정규화데이터!L328</f>
        <v>61496</v>
      </c>
      <c r="M328" s="21">
        <f t="shared" si="10"/>
        <v>46685.818181818177</v>
      </c>
      <c r="N328" s="52">
        <f t="shared" si="11"/>
        <v>0.43154957983193276</v>
      </c>
    </row>
    <row r="329" spans="1:14" x14ac:dyDescent="0.3">
      <c r="A329" t="str">
        <f>정규화데이터!A329</f>
        <v>SK스토아</v>
      </c>
      <c r="B329">
        <f>정규화데이터!B329</f>
        <v>20260205995094</v>
      </c>
      <c r="C329" t="str">
        <f>정규화데이터!C329</f>
        <v>[워커힐]워커힐 고메 시그니처 양념 본갈비 8팩</v>
      </c>
      <c r="D329">
        <f>정규화데이터!D329</f>
        <v>58481090</v>
      </c>
      <c r="E329" s="16" t="str">
        <f>정규화데이터!E329</f>
        <v>SKU001</v>
      </c>
      <c r="F329" s="3">
        <f>정규화데이터!F329</f>
        <v>1</v>
      </c>
      <c r="G329" s="3">
        <f>정규화데이터!G329</f>
        <v>119000</v>
      </c>
      <c r="H329" s="3">
        <f>정규화데이터!H329</f>
        <v>119000</v>
      </c>
      <c r="I329" s="3">
        <f>정규화데이터!I329</f>
        <v>82110</v>
      </c>
      <c r="J329" s="3">
        <f>정규화데이터!J329</f>
        <v>108181.81818181818</v>
      </c>
      <c r="K329" s="25">
        <f>정규화데이터!K329</f>
        <v>61496</v>
      </c>
      <c r="L329" s="25">
        <f>정규화데이터!L329</f>
        <v>61496</v>
      </c>
      <c r="M329" s="21">
        <f t="shared" si="10"/>
        <v>46685.818181818177</v>
      </c>
      <c r="N329" s="52">
        <f t="shared" si="11"/>
        <v>0.43154957983193276</v>
      </c>
    </row>
    <row r="330" spans="1:14" x14ac:dyDescent="0.3">
      <c r="A330" t="str">
        <f>정규화데이터!A330</f>
        <v>SK스토아</v>
      </c>
      <c r="B330">
        <f>정규화데이터!B330</f>
        <v>20260205995405</v>
      </c>
      <c r="C330" t="str">
        <f>정규화데이터!C330</f>
        <v>[워커힐]워커힐 고메 시그니처 양념 본갈비 8팩</v>
      </c>
      <c r="D330">
        <f>정규화데이터!D330</f>
        <v>58481090</v>
      </c>
      <c r="E330" s="16" t="str">
        <f>정규화데이터!E330</f>
        <v>SKU001</v>
      </c>
      <c r="F330" s="3">
        <f>정규화데이터!F330</f>
        <v>1</v>
      </c>
      <c r="G330" s="3">
        <f>정규화데이터!G330</f>
        <v>119000</v>
      </c>
      <c r="H330" s="3">
        <f>정규화데이터!H330</f>
        <v>119000</v>
      </c>
      <c r="I330" s="3">
        <f>정규화데이터!I330</f>
        <v>82110</v>
      </c>
      <c r="J330" s="3">
        <f>정규화데이터!J330</f>
        <v>108181.81818181818</v>
      </c>
      <c r="K330" s="25">
        <f>정규화데이터!K330</f>
        <v>61496</v>
      </c>
      <c r="L330" s="25">
        <f>정규화데이터!L330</f>
        <v>61496</v>
      </c>
      <c r="M330" s="21">
        <f t="shared" si="10"/>
        <v>46685.818181818177</v>
      </c>
      <c r="N330" s="52">
        <f t="shared" si="11"/>
        <v>0.43154957983193276</v>
      </c>
    </row>
    <row r="331" spans="1:14" x14ac:dyDescent="0.3">
      <c r="A331" t="str">
        <f>정규화데이터!A331</f>
        <v>SK스토아</v>
      </c>
      <c r="B331">
        <f>정규화데이터!B331</f>
        <v>20260205995039</v>
      </c>
      <c r="C331" t="str">
        <f>정규화데이터!C331</f>
        <v>[워커힐]워커힐 고메 시그니처 양념 본갈비 8팩</v>
      </c>
      <c r="D331">
        <f>정규화데이터!D331</f>
        <v>58481090</v>
      </c>
      <c r="E331" s="16" t="str">
        <f>정규화데이터!E331</f>
        <v>SKU001</v>
      </c>
      <c r="F331" s="3">
        <f>정규화데이터!F331</f>
        <v>1</v>
      </c>
      <c r="G331" s="3">
        <f>정규화데이터!G331</f>
        <v>119000</v>
      </c>
      <c r="H331" s="3">
        <f>정규화데이터!H331</f>
        <v>119000</v>
      </c>
      <c r="I331" s="3">
        <f>정규화데이터!I331</f>
        <v>82110</v>
      </c>
      <c r="J331" s="3">
        <f>정규화데이터!J331</f>
        <v>108181.81818181818</v>
      </c>
      <c r="K331" s="25">
        <f>정규화데이터!K331</f>
        <v>61496</v>
      </c>
      <c r="L331" s="25">
        <f>정규화데이터!L331</f>
        <v>61496</v>
      </c>
      <c r="M331" s="21">
        <f t="shared" si="10"/>
        <v>46685.818181818177</v>
      </c>
      <c r="N331" s="52">
        <f t="shared" si="11"/>
        <v>0.43154957983193276</v>
      </c>
    </row>
    <row r="332" spans="1:14" x14ac:dyDescent="0.3">
      <c r="A332" t="str">
        <f>정규화데이터!A332</f>
        <v>SK스토아</v>
      </c>
      <c r="B332">
        <f>정규화데이터!B332</f>
        <v>20260205994153</v>
      </c>
      <c r="C332" t="str">
        <f>정규화데이터!C332</f>
        <v>[워커힐]워커힐 고메 시그니처 양념 본갈비 8팩</v>
      </c>
      <c r="D332">
        <f>정규화데이터!D332</f>
        <v>58481090</v>
      </c>
      <c r="E332" s="16" t="str">
        <f>정규화데이터!E332</f>
        <v>SKU001</v>
      </c>
      <c r="F332" s="3">
        <f>정규화데이터!F332</f>
        <v>1</v>
      </c>
      <c r="G332" s="3">
        <f>정규화데이터!G332</f>
        <v>119000</v>
      </c>
      <c r="H332" s="3">
        <f>정규화데이터!H332</f>
        <v>119000</v>
      </c>
      <c r="I332" s="3">
        <f>정규화데이터!I332</f>
        <v>82110</v>
      </c>
      <c r="J332" s="3">
        <f>정규화데이터!J332</f>
        <v>108181.81818181818</v>
      </c>
      <c r="K332" s="25">
        <f>정규화데이터!K332</f>
        <v>61496</v>
      </c>
      <c r="L332" s="25">
        <f>정규화데이터!L332</f>
        <v>61496</v>
      </c>
      <c r="M332" s="21">
        <f t="shared" si="10"/>
        <v>46685.818181818177</v>
      </c>
      <c r="N332" s="52">
        <f t="shared" si="11"/>
        <v>0.43154957983193276</v>
      </c>
    </row>
    <row r="333" spans="1:14" x14ac:dyDescent="0.3">
      <c r="A333" t="str">
        <f>정규화데이터!A333</f>
        <v>SK스토아</v>
      </c>
      <c r="B333">
        <f>정규화데이터!B333</f>
        <v>20260205994151</v>
      </c>
      <c r="C333" t="str">
        <f>정규화데이터!C333</f>
        <v>[워커힐]워커힐 고메 시그니처 양념 본갈비 8팩</v>
      </c>
      <c r="D333">
        <f>정규화데이터!D333</f>
        <v>58481090</v>
      </c>
      <c r="E333" s="16" t="str">
        <f>정규화데이터!E333</f>
        <v>SKU001</v>
      </c>
      <c r="F333" s="3">
        <f>정규화데이터!F333</f>
        <v>1</v>
      </c>
      <c r="G333" s="3">
        <f>정규화데이터!G333</f>
        <v>119000</v>
      </c>
      <c r="H333" s="3">
        <f>정규화데이터!H333</f>
        <v>119000</v>
      </c>
      <c r="I333" s="3">
        <f>정규화데이터!I333</f>
        <v>82110</v>
      </c>
      <c r="J333" s="3">
        <f>정규화데이터!J333</f>
        <v>108181.81818181818</v>
      </c>
      <c r="K333" s="25">
        <f>정규화데이터!K333</f>
        <v>61496</v>
      </c>
      <c r="L333" s="25">
        <f>정규화데이터!L333</f>
        <v>61496</v>
      </c>
      <c r="M333" s="21">
        <f t="shared" si="10"/>
        <v>46685.818181818177</v>
      </c>
      <c r="N333" s="52">
        <f t="shared" si="11"/>
        <v>0.43154957983193276</v>
      </c>
    </row>
    <row r="334" spans="1:14" x14ac:dyDescent="0.3">
      <c r="A334" t="str">
        <f>정규화데이터!A334</f>
        <v>SK스토아</v>
      </c>
      <c r="B334">
        <f>정규화데이터!B334</f>
        <v>20260205994805</v>
      </c>
      <c r="C334" t="str">
        <f>정규화데이터!C334</f>
        <v>[워커힐]워커힐 고메 시그니처 양념 본갈비 8팩</v>
      </c>
      <c r="D334">
        <f>정규화데이터!D334</f>
        <v>58481090</v>
      </c>
      <c r="E334" s="16" t="str">
        <f>정규화데이터!E334</f>
        <v>SKU001</v>
      </c>
      <c r="F334" s="3">
        <f>정규화데이터!F334</f>
        <v>1</v>
      </c>
      <c r="G334" s="3">
        <f>정규화데이터!G334</f>
        <v>119000</v>
      </c>
      <c r="H334" s="3">
        <f>정규화데이터!H334</f>
        <v>119000</v>
      </c>
      <c r="I334" s="3">
        <f>정규화데이터!I334</f>
        <v>82110</v>
      </c>
      <c r="J334" s="3">
        <f>정규화데이터!J334</f>
        <v>108181.81818181818</v>
      </c>
      <c r="K334" s="25">
        <f>정규화데이터!K334</f>
        <v>61496</v>
      </c>
      <c r="L334" s="25">
        <f>정규화데이터!L334</f>
        <v>61496</v>
      </c>
      <c r="M334" s="21">
        <f t="shared" si="10"/>
        <v>46685.818181818177</v>
      </c>
      <c r="N334" s="52">
        <f t="shared" si="11"/>
        <v>0.43154957983193276</v>
      </c>
    </row>
    <row r="335" spans="1:14" x14ac:dyDescent="0.3">
      <c r="A335" t="str">
        <f>정규화데이터!A335</f>
        <v>SK스토아</v>
      </c>
      <c r="B335">
        <f>정규화데이터!B335</f>
        <v>20260205993562</v>
      </c>
      <c r="C335" t="str">
        <f>정규화데이터!C335</f>
        <v>[워커힐]워커힐 고메 시그니처 양념 본갈비 8팩</v>
      </c>
      <c r="D335">
        <f>정규화데이터!D335</f>
        <v>58481090</v>
      </c>
      <c r="E335" s="16" t="str">
        <f>정규화데이터!E335</f>
        <v>SKU001</v>
      </c>
      <c r="F335" s="3">
        <f>정규화데이터!F335</f>
        <v>1</v>
      </c>
      <c r="G335" s="3">
        <f>정규화데이터!G335</f>
        <v>119000</v>
      </c>
      <c r="H335" s="3">
        <f>정규화데이터!H335</f>
        <v>119000</v>
      </c>
      <c r="I335" s="3">
        <f>정규화데이터!I335</f>
        <v>82110</v>
      </c>
      <c r="J335" s="3">
        <f>정규화데이터!J335</f>
        <v>108181.81818181818</v>
      </c>
      <c r="K335" s="25">
        <f>정규화데이터!K335</f>
        <v>61496</v>
      </c>
      <c r="L335" s="25">
        <f>정규화데이터!L335</f>
        <v>61496</v>
      </c>
      <c r="M335" s="21">
        <f t="shared" si="10"/>
        <v>46685.818181818177</v>
      </c>
      <c r="N335" s="52">
        <f t="shared" si="11"/>
        <v>0.43154957983193276</v>
      </c>
    </row>
    <row r="336" spans="1:14" x14ac:dyDescent="0.3">
      <c r="A336" t="str">
        <f>정규화데이터!A336</f>
        <v>SK스토아</v>
      </c>
      <c r="B336">
        <f>정규화데이터!B336</f>
        <v>20260205992492</v>
      </c>
      <c r="C336" t="str">
        <f>정규화데이터!C336</f>
        <v>[워커힐]워커힐 고메 시그니처 양념 본갈비 8팩</v>
      </c>
      <c r="D336">
        <f>정규화데이터!D336</f>
        <v>58481090</v>
      </c>
      <c r="E336" s="16" t="str">
        <f>정규화데이터!E336</f>
        <v>SKU001</v>
      </c>
      <c r="F336" s="3">
        <f>정규화데이터!F336</f>
        <v>1</v>
      </c>
      <c r="G336" s="3">
        <f>정규화데이터!G336</f>
        <v>119000</v>
      </c>
      <c r="H336" s="3">
        <f>정규화데이터!H336</f>
        <v>119000</v>
      </c>
      <c r="I336" s="3">
        <f>정규화데이터!I336</f>
        <v>82110</v>
      </c>
      <c r="J336" s="3">
        <f>정규화데이터!J336</f>
        <v>108181.81818181818</v>
      </c>
      <c r="K336" s="25">
        <f>정규화데이터!K336</f>
        <v>61496</v>
      </c>
      <c r="L336" s="25">
        <f>정규화데이터!L336</f>
        <v>61496</v>
      </c>
      <c r="M336" s="21">
        <f t="shared" si="10"/>
        <v>46685.818181818177</v>
      </c>
      <c r="N336" s="52">
        <f t="shared" si="11"/>
        <v>0.43154957983193276</v>
      </c>
    </row>
    <row r="337" spans="1:14" x14ac:dyDescent="0.3">
      <c r="A337" t="str">
        <f>정규화데이터!A337</f>
        <v>SK스토아</v>
      </c>
      <c r="B337">
        <f>정규화데이터!B337</f>
        <v>20260205992669</v>
      </c>
      <c r="C337" t="str">
        <f>정규화데이터!C337</f>
        <v>[워커힐]워커힐 고메 시그니처 양념 본갈비 8팩</v>
      </c>
      <c r="D337">
        <f>정규화데이터!D337</f>
        <v>58481090</v>
      </c>
      <c r="E337" s="16" t="str">
        <f>정규화데이터!E337</f>
        <v>SKU001</v>
      </c>
      <c r="F337" s="3">
        <f>정규화데이터!F337</f>
        <v>1</v>
      </c>
      <c r="G337" s="3">
        <f>정규화데이터!G337</f>
        <v>119000</v>
      </c>
      <c r="H337" s="3">
        <f>정규화데이터!H337</f>
        <v>119000</v>
      </c>
      <c r="I337" s="3">
        <f>정규화데이터!I337</f>
        <v>82110</v>
      </c>
      <c r="J337" s="3">
        <f>정규화데이터!J337</f>
        <v>108181.81818181818</v>
      </c>
      <c r="K337" s="25">
        <f>정규화데이터!K337</f>
        <v>61496</v>
      </c>
      <c r="L337" s="25">
        <f>정규화데이터!L337</f>
        <v>61496</v>
      </c>
      <c r="M337" s="21">
        <f t="shared" si="10"/>
        <v>46685.818181818177</v>
      </c>
      <c r="N337" s="52">
        <f t="shared" si="11"/>
        <v>0.43154957983193276</v>
      </c>
    </row>
    <row r="338" spans="1:14" x14ac:dyDescent="0.3">
      <c r="A338" t="str">
        <f>정규화데이터!A338</f>
        <v>SK스토아</v>
      </c>
      <c r="B338">
        <f>정규화데이터!B338</f>
        <v>20260205993173</v>
      </c>
      <c r="C338" t="str">
        <f>정규화데이터!C338</f>
        <v>[워커힐]워커힐 고메 시그니처 양념 본갈비 8팩</v>
      </c>
      <c r="D338">
        <f>정규화데이터!D338</f>
        <v>58481090</v>
      </c>
      <c r="E338" s="16" t="str">
        <f>정규화데이터!E338</f>
        <v>SKU001</v>
      </c>
      <c r="F338" s="3">
        <f>정규화데이터!F338</f>
        <v>1</v>
      </c>
      <c r="G338" s="3">
        <f>정규화데이터!G338</f>
        <v>119000</v>
      </c>
      <c r="H338" s="3">
        <f>정규화데이터!H338</f>
        <v>114000</v>
      </c>
      <c r="I338" s="3">
        <f>정규화데이터!I338</f>
        <v>82110</v>
      </c>
      <c r="J338" s="3">
        <f>정규화데이터!J338</f>
        <v>103636.36363636365</v>
      </c>
      <c r="K338" s="25">
        <f>정규화데이터!K338</f>
        <v>61496</v>
      </c>
      <c r="L338" s="25">
        <f>정규화데이터!L338</f>
        <v>61496</v>
      </c>
      <c r="M338" s="21">
        <f t="shared" si="10"/>
        <v>42140.363636363647</v>
      </c>
      <c r="N338" s="52">
        <f t="shared" si="11"/>
        <v>0.40661754385964921</v>
      </c>
    </row>
    <row r="339" spans="1:14" x14ac:dyDescent="0.3">
      <c r="A339" t="str">
        <f>정규화데이터!A339</f>
        <v>SK스토아</v>
      </c>
      <c r="B339">
        <f>정규화데이터!B339</f>
        <v>20260205995345</v>
      </c>
      <c r="C339" t="str">
        <f>정규화데이터!C339</f>
        <v>[워커힐]워커힐 고메 시그니처 양념 본갈비 8팩</v>
      </c>
      <c r="D339">
        <f>정규화데이터!D339</f>
        <v>58481090</v>
      </c>
      <c r="E339" s="16" t="str">
        <f>정규화데이터!E339</f>
        <v>SKU001</v>
      </c>
      <c r="F339" s="3">
        <f>정규화데이터!F339</f>
        <v>1</v>
      </c>
      <c r="G339" s="3">
        <f>정규화데이터!G339</f>
        <v>119000</v>
      </c>
      <c r="H339" s="3">
        <f>정규화데이터!H339</f>
        <v>119000</v>
      </c>
      <c r="I339" s="3">
        <f>정규화데이터!I339</f>
        <v>82110</v>
      </c>
      <c r="J339" s="3">
        <f>정규화데이터!J339</f>
        <v>108181.81818181818</v>
      </c>
      <c r="K339" s="25">
        <f>정규화데이터!K339</f>
        <v>61496</v>
      </c>
      <c r="L339" s="25">
        <f>정규화데이터!L339</f>
        <v>61496</v>
      </c>
      <c r="M339" s="21">
        <f t="shared" si="10"/>
        <v>46685.818181818177</v>
      </c>
      <c r="N339" s="52">
        <f t="shared" si="11"/>
        <v>0.43154957983193276</v>
      </c>
    </row>
    <row r="340" spans="1:14" x14ac:dyDescent="0.3">
      <c r="A340" t="str">
        <f>정규화데이터!A340</f>
        <v>SK스토아</v>
      </c>
      <c r="B340">
        <f>정규화데이터!B340</f>
        <v>20260205994889</v>
      </c>
      <c r="C340" t="str">
        <f>정규화데이터!C340</f>
        <v>[워커힐]워커힐 고메 시그니처 양념 본갈비 8팩</v>
      </c>
      <c r="D340">
        <f>정규화데이터!D340</f>
        <v>58481090</v>
      </c>
      <c r="E340" s="16" t="str">
        <f>정규화데이터!E340</f>
        <v>SKU001</v>
      </c>
      <c r="F340" s="3">
        <f>정규화데이터!F340</f>
        <v>1</v>
      </c>
      <c r="G340" s="3">
        <f>정규화데이터!G340</f>
        <v>119000</v>
      </c>
      <c r="H340" s="3">
        <f>정규화데이터!H340</f>
        <v>119000</v>
      </c>
      <c r="I340" s="3">
        <f>정규화데이터!I340</f>
        <v>82110</v>
      </c>
      <c r="J340" s="3">
        <f>정규화데이터!J340</f>
        <v>108181.81818181818</v>
      </c>
      <c r="K340" s="25">
        <f>정규화데이터!K340</f>
        <v>61496</v>
      </c>
      <c r="L340" s="25">
        <f>정규화데이터!L340</f>
        <v>61496</v>
      </c>
      <c r="M340" s="21">
        <f t="shared" si="10"/>
        <v>46685.818181818177</v>
      </c>
      <c r="N340" s="52">
        <f t="shared" si="11"/>
        <v>0.43154957983193276</v>
      </c>
    </row>
    <row r="341" spans="1:14" x14ac:dyDescent="0.3">
      <c r="A341" t="str">
        <f>정규화데이터!A341</f>
        <v>SK스토아</v>
      </c>
      <c r="B341">
        <f>정규화데이터!B341</f>
        <v>20260205995613</v>
      </c>
      <c r="C341" t="str">
        <f>정규화데이터!C341</f>
        <v>[워커힐]워커힐 고메 시그니처 양념 본갈비 8팩</v>
      </c>
      <c r="D341">
        <f>정규화데이터!D341</f>
        <v>58481090</v>
      </c>
      <c r="E341" s="16" t="str">
        <f>정규화데이터!E341</f>
        <v>SKU001</v>
      </c>
      <c r="F341" s="3">
        <f>정규화데이터!F341</f>
        <v>1</v>
      </c>
      <c r="G341" s="3">
        <f>정규화데이터!G341</f>
        <v>119000</v>
      </c>
      <c r="H341" s="3">
        <f>정규화데이터!H341</f>
        <v>119000</v>
      </c>
      <c r="I341" s="3">
        <f>정규화데이터!I341</f>
        <v>82110</v>
      </c>
      <c r="J341" s="3">
        <f>정규화데이터!J341</f>
        <v>108181.81818181818</v>
      </c>
      <c r="K341" s="25">
        <f>정규화데이터!K341</f>
        <v>61496</v>
      </c>
      <c r="L341" s="25">
        <f>정규화데이터!L341</f>
        <v>61496</v>
      </c>
      <c r="M341" s="21">
        <f t="shared" si="10"/>
        <v>46685.818181818177</v>
      </c>
      <c r="N341" s="52">
        <f t="shared" si="11"/>
        <v>0.43154957983193276</v>
      </c>
    </row>
    <row r="342" spans="1:14" x14ac:dyDescent="0.3">
      <c r="A342" t="str">
        <f>정규화데이터!A342</f>
        <v>SK스토아</v>
      </c>
      <c r="B342">
        <f>정규화데이터!B342</f>
        <v>20260205994040</v>
      </c>
      <c r="C342" t="str">
        <f>정규화데이터!C342</f>
        <v>[워커힐]워커힐 고메 시그니처 양념 본갈비 8팩</v>
      </c>
      <c r="D342">
        <f>정규화데이터!D342</f>
        <v>58481090</v>
      </c>
      <c r="E342" s="16" t="str">
        <f>정규화데이터!E342</f>
        <v>SKU001</v>
      </c>
      <c r="F342" s="3">
        <f>정규화데이터!F342</f>
        <v>1</v>
      </c>
      <c r="G342" s="3">
        <f>정규화데이터!G342</f>
        <v>119000</v>
      </c>
      <c r="H342" s="3">
        <f>정규화데이터!H342</f>
        <v>119000</v>
      </c>
      <c r="I342" s="3">
        <f>정규화데이터!I342</f>
        <v>82110</v>
      </c>
      <c r="J342" s="3">
        <f>정규화데이터!J342</f>
        <v>108181.81818181818</v>
      </c>
      <c r="K342" s="25">
        <f>정규화데이터!K342</f>
        <v>61496</v>
      </c>
      <c r="L342" s="25">
        <f>정규화데이터!L342</f>
        <v>61496</v>
      </c>
      <c r="M342" s="21">
        <f t="shared" si="10"/>
        <v>46685.818181818177</v>
      </c>
      <c r="N342" s="52">
        <f t="shared" si="11"/>
        <v>0.43154957983193276</v>
      </c>
    </row>
    <row r="343" spans="1:14" x14ac:dyDescent="0.3">
      <c r="A343" t="str">
        <f>정규화데이터!A343</f>
        <v>SK스토아</v>
      </c>
      <c r="B343">
        <f>정규화데이터!B343</f>
        <v>20260205995186</v>
      </c>
      <c r="C343" t="str">
        <f>정규화데이터!C343</f>
        <v>[워커힐]워커힐 고메 시그니처 양념 본갈비 8팩</v>
      </c>
      <c r="D343">
        <f>정규화데이터!D343</f>
        <v>58481090</v>
      </c>
      <c r="E343" s="16" t="str">
        <f>정규화데이터!E343</f>
        <v>SKU001</v>
      </c>
      <c r="F343" s="3">
        <f>정규화데이터!F343</f>
        <v>1</v>
      </c>
      <c r="G343" s="3">
        <f>정규화데이터!G343</f>
        <v>119000</v>
      </c>
      <c r="H343" s="3">
        <f>정규화데이터!H343</f>
        <v>119000</v>
      </c>
      <c r="I343" s="3">
        <f>정규화데이터!I343</f>
        <v>82110</v>
      </c>
      <c r="J343" s="3">
        <f>정규화데이터!J343</f>
        <v>108181.81818181818</v>
      </c>
      <c r="K343" s="25">
        <f>정규화데이터!K343</f>
        <v>61496</v>
      </c>
      <c r="L343" s="25">
        <f>정규화데이터!L343</f>
        <v>61496</v>
      </c>
      <c r="M343" s="21">
        <f t="shared" si="10"/>
        <v>46685.818181818177</v>
      </c>
      <c r="N343" s="52">
        <f t="shared" si="11"/>
        <v>0.43154957983193276</v>
      </c>
    </row>
    <row r="344" spans="1:14" x14ac:dyDescent="0.3">
      <c r="A344" t="str">
        <f>정규화데이터!A344</f>
        <v>SK스토아</v>
      </c>
      <c r="B344">
        <f>정규화데이터!B344</f>
        <v>20260205995299</v>
      </c>
      <c r="C344" t="str">
        <f>정규화데이터!C344</f>
        <v>[워커힐]워커힐 고메 시그니처 양념 본갈비 8팩</v>
      </c>
      <c r="D344">
        <f>정규화데이터!D344</f>
        <v>58481090</v>
      </c>
      <c r="E344" s="16" t="str">
        <f>정규화데이터!E344</f>
        <v>SKU001</v>
      </c>
      <c r="F344" s="3">
        <f>정규화데이터!F344</f>
        <v>1</v>
      </c>
      <c r="G344" s="3">
        <f>정규화데이터!G344</f>
        <v>119000</v>
      </c>
      <c r="H344" s="3">
        <f>정규화데이터!H344</f>
        <v>119000</v>
      </c>
      <c r="I344" s="3">
        <f>정규화데이터!I344</f>
        <v>82110</v>
      </c>
      <c r="J344" s="3">
        <f>정규화데이터!J344</f>
        <v>108181.81818181818</v>
      </c>
      <c r="K344" s="25">
        <f>정규화데이터!K344</f>
        <v>61496</v>
      </c>
      <c r="L344" s="25">
        <f>정규화데이터!L344</f>
        <v>61496</v>
      </c>
      <c r="M344" s="21">
        <f t="shared" si="10"/>
        <v>46685.818181818177</v>
      </c>
      <c r="N344" s="52">
        <f t="shared" si="11"/>
        <v>0.43154957983193276</v>
      </c>
    </row>
    <row r="345" spans="1:14" x14ac:dyDescent="0.3">
      <c r="A345" t="str">
        <f>정규화데이터!A345</f>
        <v>SK스토아</v>
      </c>
      <c r="B345">
        <f>정규화데이터!B345</f>
        <v>20260205995316</v>
      </c>
      <c r="C345" t="str">
        <f>정규화데이터!C345</f>
        <v>[워커힐]워커힐 고메 시그니처 양념 본갈비 8팩</v>
      </c>
      <c r="D345">
        <f>정규화데이터!D345</f>
        <v>58481090</v>
      </c>
      <c r="E345" s="16" t="str">
        <f>정규화데이터!E345</f>
        <v>SKU001</v>
      </c>
      <c r="F345" s="3">
        <f>정규화데이터!F345</f>
        <v>1</v>
      </c>
      <c r="G345" s="3">
        <f>정규화데이터!G345</f>
        <v>119000</v>
      </c>
      <c r="H345" s="3">
        <f>정규화데이터!H345</f>
        <v>101150</v>
      </c>
      <c r="I345" s="3">
        <f>정규화데이터!I345</f>
        <v>82110</v>
      </c>
      <c r="J345" s="3">
        <f>정규화데이터!J345</f>
        <v>91954.545454545441</v>
      </c>
      <c r="K345" s="25">
        <f>정규화데이터!K345</f>
        <v>61496</v>
      </c>
      <c r="L345" s="25">
        <f>정규화데이터!L345</f>
        <v>61496</v>
      </c>
      <c r="M345" s="21">
        <f t="shared" si="10"/>
        <v>30458.545454545441</v>
      </c>
      <c r="N345" s="52">
        <f t="shared" si="11"/>
        <v>0.33123479980227377</v>
      </c>
    </row>
    <row r="346" spans="1:14" x14ac:dyDescent="0.3">
      <c r="A346" t="str">
        <f>정규화데이터!A346</f>
        <v>SK스토아</v>
      </c>
      <c r="B346">
        <f>정규화데이터!B346</f>
        <v>20260205994533</v>
      </c>
      <c r="C346" t="str">
        <f>정규화데이터!C346</f>
        <v>[워커힐]워커힐 고메 시그니처 양념 본갈비 8팩</v>
      </c>
      <c r="D346">
        <f>정규화데이터!D346</f>
        <v>58481090</v>
      </c>
      <c r="E346" s="16" t="str">
        <f>정규화데이터!E346</f>
        <v>SKU001</v>
      </c>
      <c r="F346" s="3">
        <f>정규화데이터!F346</f>
        <v>1</v>
      </c>
      <c r="G346" s="3">
        <f>정규화데이터!G346</f>
        <v>119000</v>
      </c>
      <c r="H346" s="3">
        <f>정규화데이터!H346</f>
        <v>119000</v>
      </c>
      <c r="I346" s="3">
        <f>정규화데이터!I346</f>
        <v>82110</v>
      </c>
      <c r="J346" s="3">
        <f>정규화데이터!J346</f>
        <v>108181.81818181818</v>
      </c>
      <c r="K346" s="25">
        <f>정규화데이터!K346</f>
        <v>61496</v>
      </c>
      <c r="L346" s="25">
        <f>정규화데이터!L346</f>
        <v>61496</v>
      </c>
      <c r="M346" s="21">
        <f t="shared" si="10"/>
        <v>46685.818181818177</v>
      </c>
      <c r="N346" s="52">
        <f t="shared" si="11"/>
        <v>0.43154957983193276</v>
      </c>
    </row>
    <row r="347" spans="1:14" x14ac:dyDescent="0.3">
      <c r="A347" t="str">
        <f>정규화데이터!A347</f>
        <v>SK스토아</v>
      </c>
      <c r="B347">
        <f>정규화데이터!B347</f>
        <v>20260205993733</v>
      </c>
      <c r="C347" t="str">
        <f>정규화데이터!C347</f>
        <v>[워커힐]워커힐 고메 시그니처 양념 본갈비 8팩</v>
      </c>
      <c r="D347">
        <f>정규화데이터!D347</f>
        <v>58481090</v>
      </c>
      <c r="E347" s="16" t="str">
        <f>정규화데이터!E347</f>
        <v>SKU001</v>
      </c>
      <c r="F347" s="3">
        <f>정규화데이터!F347</f>
        <v>1</v>
      </c>
      <c r="G347" s="3">
        <f>정규화데이터!G347</f>
        <v>119000</v>
      </c>
      <c r="H347" s="3">
        <f>정규화데이터!H347</f>
        <v>119000</v>
      </c>
      <c r="I347" s="3">
        <f>정규화데이터!I347</f>
        <v>82110</v>
      </c>
      <c r="J347" s="3">
        <f>정규화데이터!J347</f>
        <v>108181.81818181818</v>
      </c>
      <c r="K347" s="25">
        <f>정규화데이터!K347</f>
        <v>61496</v>
      </c>
      <c r="L347" s="25">
        <f>정규화데이터!L347</f>
        <v>61496</v>
      </c>
      <c r="M347" s="21">
        <f t="shared" si="10"/>
        <v>46685.818181818177</v>
      </c>
      <c r="N347" s="52">
        <f t="shared" si="11"/>
        <v>0.43154957983193276</v>
      </c>
    </row>
    <row r="348" spans="1:14" x14ac:dyDescent="0.3">
      <c r="A348" t="str">
        <f>정규화데이터!A348</f>
        <v>SK스토아</v>
      </c>
      <c r="B348">
        <f>정규화데이터!B348</f>
        <v>20260205994835</v>
      </c>
      <c r="C348" t="str">
        <f>정규화데이터!C348</f>
        <v>[워커힐]워커힐 고메 시그니처 양념 본갈비 8팩</v>
      </c>
      <c r="D348">
        <f>정규화데이터!D348</f>
        <v>58481090</v>
      </c>
      <c r="E348" s="16" t="str">
        <f>정규화데이터!E348</f>
        <v>SKU001</v>
      </c>
      <c r="F348" s="3">
        <f>정규화데이터!F348</f>
        <v>1</v>
      </c>
      <c r="G348" s="3">
        <f>정규화데이터!G348</f>
        <v>119000</v>
      </c>
      <c r="H348" s="3">
        <f>정규화데이터!H348</f>
        <v>119000</v>
      </c>
      <c r="I348" s="3">
        <f>정규화데이터!I348</f>
        <v>82110</v>
      </c>
      <c r="J348" s="3">
        <f>정규화데이터!J348</f>
        <v>108181.81818181818</v>
      </c>
      <c r="K348" s="25">
        <f>정규화데이터!K348</f>
        <v>61496</v>
      </c>
      <c r="L348" s="25">
        <f>정규화데이터!L348</f>
        <v>61496</v>
      </c>
      <c r="M348" s="21">
        <f t="shared" si="10"/>
        <v>46685.818181818177</v>
      </c>
      <c r="N348" s="52">
        <f t="shared" si="11"/>
        <v>0.43154957983193276</v>
      </c>
    </row>
    <row r="349" spans="1:14" x14ac:dyDescent="0.3">
      <c r="A349" t="str">
        <f>정규화데이터!A349</f>
        <v>SK스토아</v>
      </c>
      <c r="B349">
        <f>정규화데이터!B349</f>
        <v>20260205994754</v>
      </c>
      <c r="C349" t="str">
        <f>정규화데이터!C349</f>
        <v>[워커힐]워커힐 고메 시그니처 양념 본갈비 8팩</v>
      </c>
      <c r="D349">
        <f>정규화데이터!D349</f>
        <v>58481090</v>
      </c>
      <c r="E349" s="16" t="str">
        <f>정규화데이터!E349</f>
        <v>SKU001</v>
      </c>
      <c r="F349" s="3">
        <f>정규화데이터!F349</f>
        <v>1</v>
      </c>
      <c r="G349" s="3">
        <f>정규화데이터!G349</f>
        <v>119000</v>
      </c>
      <c r="H349" s="3">
        <f>정규화데이터!H349</f>
        <v>119000</v>
      </c>
      <c r="I349" s="3">
        <f>정규화데이터!I349</f>
        <v>82110</v>
      </c>
      <c r="J349" s="3">
        <f>정규화데이터!J349</f>
        <v>108181.81818181818</v>
      </c>
      <c r="K349" s="25">
        <f>정규화데이터!K349</f>
        <v>61496</v>
      </c>
      <c r="L349" s="25">
        <f>정규화데이터!L349</f>
        <v>61496</v>
      </c>
      <c r="M349" s="21">
        <f t="shared" si="10"/>
        <v>46685.818181818177</v>
      </c>
      <c r="N349" s="52">
        <f t="shared" si="11"/>
        <v>0.43154957983193276</v>
      </c>
    </row>
    <row r="350" spans="1:14" x14ac:dyDescent="0.3">
      <c r="A350" t="str">
        <f>정규화데이터!A350</f>
        <v>SK스토아</v>
      </c>
      <c r="B350">
        <f>정규화데이터!B350</f>
        <v>20260205993550</v>
      </c>
      <c r="C350" t="str">
        <f>정규화데이터!C350</f>
        <v>[워커힐]워커힐 고메 시그니처 양념 본갈비 8팩</v>
      </c>
      <c r="D350">
        <f>정규화데이터!D350</f>
        <v>58481090</v>
      </c>
      <c r="E350" s="16" t="str">
        <f>정규화데이터!E350</f>
        <v>SKU001</v>
      </c>
      <c r="F350" s="3">
        <f>정규화데이터!F350</f>
        <v>1</v>
      </c>
      <c r="G350" s="3">
        <f>정규화데이터!G350</f>
        <v>119000</v>
      </c>
      <c r="H350" s="3">
        <f>정규화데이터!H350</f>
        <v>119000</v>
      </c>
      <c r="I350" s="3">
        <f>정규화데이터!I350</f>
        <v>82110</v>
      </c>
      <c r="J350" s="3">
        <f>정규화데이터!J350</f>
        <v>108181.81818181818</v>
      </c>
      <c r="K350" s="25">
        <f>정규화데이터!K350</f>
        <v>61496</v>
      </c>
      <c r="L350" s="25">
        <f>정규화데이터!L350</f>
        <v>61496</v>
      </c>
      <c r="M350" s="21">
        <f t="shared" si="10"/>
        <v>46685.818181818177</v>
      </c>
      <c r="N350" s="52">
        <f t="shared" si="11"/>
        <v>0.43154957983193276</v>
      </c>
    </row>
    <row r="351" spans="1:14" x14ac:dyDescent="0.3">
      <c r="A351" t="str">
        <f>정규화데이터!A351</f>
        <v>SK스토아</v>
      </c>
      <c r="B351">
        <f>정규화데이터!B351</f>
        <v>20260205992544</v>
      </c>
      <c r="C351" t="str">
        <f>정규화데이터!C351</f>
        <v>[워커힐]워커힐 고메 시그니처 양념 본갈비 8팩</v>
      </c>
      <c r="D351">
        <f>정규화데이터!D351</f>
        <v>58481090</v>
      </c>
      <c r="E351" s="16" t="str">
        <f>정규화데이터!E351</f>
        <v>SKU001</v>
      </c>
      <c r="F351" s="3">
        <f>정규화데이터!F351</f>
        <v>1</v>
      </c>
      <c r="G351" s="3">
        <f>정규화데이터!G351</f>
        <v>119000</v>
      </c>
      <c r="H351" s="3">
        <f>정규화데이터!H351</f>
        <v>119000</v>
      </c>
      <c r="I351" s="3">
        <f>정규화데이터!I351</f>
        <v>82110</v>
      </c>
      <c r="J351" s="3">
        <f>정규화데이터!J351</f>
        <v>108181.81818181818</v>
      </c>
      <c r="K351" s="25">
        <f>정규화데이터!K351</f>
        <v>61496</v>
      </c>
      <c r="L351" s="25">
        <f>정규화데이터!L351</f>
        <v>61496</v>
      </c>
      <c r="M351" s="21">
        <f t="shared" si="10"/>
        <v>46685.818181818177</v>
      </c>
      <c r="N351" s="52">
        <f t="shared" si="11"/>
        <v>0.43154957983193276</v>
      </c>
    </row>
    <row r="352" spans="1:14" x14ac:dyDescent="0.3">
      <c r="A352" t="str">
        <f>정규화데이터!A352</f>
        <v>SK스토아</v>
      </c>
      <c r="B352">
        <f>정규화데이터!B352</f>
        <v>20260205992696</v>
      </c>
      <c r="C352" t="str">
        <f>정규화데이터!C352</f>
        <v>[워커힐]워커힐 고메 시그니처 양념 본갈비 8팩</v>
      </c>
      <c r="D352">
        <f>정규화데이터!D352</f>
        <v>58481090</v>
      </c>
      <c r="E352" s="16" t="str">
        <f>정규화데이터!E352</f>
        <v>SKU001</v>
      </c>
      <c r="F352" s="3">
        <f>정규화데이터!F352</f>
        <v>1</v>
      </c>
      <c r="G352" s="3">
        <f>정규화데이터!G352</f>
        <v>119000</v>
      </c>
      <c r="H352" s="3">
        <f>정규화데이터!H352</f>
        <v>119000</v>
      </c>
      <c r="I352" s="3">
        <f>정규화데이터!I352</f>
        <v>82110</v>
      </c>
      <c r="J352" s="3">
        <f>정규화데이터!J352</f>
        <v>108181.81818181818</v>
      </c>
      <c r="K352" s="25">
        <f>정규화데이터!K352</f>
        <v>61496</v>
      </c>
      <c r="L352" s="25">
        <f>정규화데이터!L352</f>
        <v>61496</v>
      </c>
      <c r="M352" s="21">
        <f t="shared" si="10"/>
        <v>46685.818181818177</v>
      </c>
      <c r="N352" s="52">
        <f t="shared" si="11"/>
        <v>0.43154957983193276</v>
      </c>
    </row>
    <row r="353" spans="1:14" x14ac:dyDescent="0.3">
      <c r="A353" t="str">
        <f>정규화데이터!A353</f>
        <v>SK스토아</v>
      </c>
      <c r="B353">
        <f>정규화데이터!B353</f>
        <v>20260205992743</v>
      </c>
      <c r="C353" t="str">
        <f>정규화데이터!C353</f>
        <v>[워커힐]워커힐 고메 시그니처 양념 본갈비 8팩</v>
      </c>
      <c r="D353">
        <f>정규화데이터!D353</f>
        <v>58481090</v>
      </c>
      <c r="E353" s="16" t="str">
        <f>정규화데이터!E353</f>
        <v>SKU001</v>
      </c>
      <c r="F353" s="3">
        <f>정규화데이터!F353</f>
        <v>1</v>
      </c>
      <c r="G353" s="3">
        <f>정규화데이터!G353</f>
        <v>119000</v>
      </c>
      <c r="H353" s="3">
        <f>정규화데이터!H353</f>
        <v>119000</v>
      </c>
      <c r="I353" s="3">
        <f>정규화데이터!I353</f>
        <v>82110</v>
      </c>
      <c r="J353" s="3">
        <f>정규화데이터!J353</f>
        <v>108181.81818181818</v>
      </c>
      <c r="K353" s="25">
        <f>정규화데이터!K353</f>
        <v>61496</v>
      </c>
      <c r="L353" s="25">
        <f>정규화데이터!L353</f>
        <v>61496</v>
      </c>
      <c r="M353" s="21">
        <f t="shared" si="10"/>
        <v>46685.818181818177</v>
      </c>
      <c r="N353" s="52">
        <f t="shared" si="11"/>
        <v>0.43154957983193276</v>
      </c>
    </row>
    <row r="354" spans="1:14" x14ac:dyDescent="0.3">
      <c r="A354" t="str">
        <f>정규화데이터!A354</f>
        <v>SK스토아</v>
      </c>
      <c r="B354">
        <f>정규화데이터!B354</f>
        <v>20260205992739</v>
      </c>
      <c r="C354" t="str">
        <f>정규화데이터!C354</f>
        <v>[워커힐]워커힐 고메 시그니처 양념 본갈비 8팩</v>
      </c>
      <c r="D354">
        <f>정규화데이터!D354</f>
        <v>58481090</v>
      </c>
      <c r="E354" s="16" t="str">
        <f>정규화데이터!E354</f>
        <v>SKU001</v>
      </c>
      <c r="F354" s="3">
        <f>정규화데이터!F354</f>
        <v>1</v>
      </c>
      <c r="G354" s="3">
        <f>정규화데이터!G354</f>
        <v>119000</v>
      </c>
      <c r="H354" s="3">
        <f>정규화데이터!H354</f>
        <v>119000</v>
      </c>
      <c r="I354" s="3">
        <f>정규화데이터!I354</f>
        <v>82110</v>
      </c>
      <c r="J354" s="3">
        <f>정규화데이터!J354</f>
        <v>108181.81818181818</v>
      </c>
      <c r="K354" s="25">
        <f>정규화데이터!K354</f>
        <v>61496</v>
      </c>
      <c r="L354" s="25">
        <f>정규화데이터!L354</f>
        <v>61496</v>
      </c>
      <c r="M354" s="21">
        <f t="shared" si="10"/>
        <v>46685.818181818177</v>
      </c>
      <c r="N354" s="52">
        <f t="shared" si="11"/>
        <v>0.43154957983193276</v>
      </c>
    </row>
    <row r="355" spans="1:14" x14ac:dyDescent="0.3">
      <c r="A355" t="str">
        <f>정규화데이터!A355</f>
        <v>SK스토아</v>
      </c>
      <c r="B355">
        <f>정규화데이터!B355</f>
        <v>20260205992862</v>
      </c>
      <c r="C355" t="str">
        <f>정규화데이터!C355</f>
        <v>[워커힐]워커힐 고메 시그니처 양념 본갈비 8팩</v>
      </c>
      <c r="D355">
        <f>정규화데이터!D355</f>
        <v>58481090</v>
      </c>
      <c r="E355" s="16" t="str">
        <f>정규화데이터!E355</f>
        <v>SKU001</v>
      </c>
      <c r="F355" s="3">
        <f>정규화데이터!F355</f>
        <v>1</v>
      </c>
      <c r="G355" s="3">
        <f>정규화데이터!G355</f>
        <v>119000</v>
      </c>
      <c r="H355" s="3">
        <f>정규화데이터!H355</f>
        <v>119000</v>
      </c>
      <c r="I355" s="3">
        <f>정규화데이터!I355</f>
        <v>82110</v>
      </c>
      <c r="J355" s="3">
        <f>정규화데이터!J355</f>
        <v>108181.81818181818</v>
      </c>
      <c r="K355" s="25">
        <f>정규화데이터!K355</f>
        <v>61496</v>
      </c>
      <c r="L355" s="25">
        <f>정규화데이터!L355</f>
        <v>61496</v>
      </c>
      <c r="M355" s="21">
        <f t="shared" si="10"/>
        <v>46685.818181818177</v>
      </c>
      <c r="N355" s="52">
        <f t="shared" si="11"/>
        <v>0.43154957983193276</v>
      </c>
    </row>
    <row r="356" spans="1:14" x14ac:dyDescent="0.3">
      <c r="A356" t="str">
        <f>정규화데이터!A356</f>
        <v>SK스토아</v>
      </c>
      <c r="B356">
        <f>정규화데이터!B356</f>
        <v>20260205993211</v>
      </c>
      <c r="C356" t="str">
        <f>정규화데이터!C356</f>
        <v>[워커힐]워커힐 고메 시그니처 양념 본갈비 8팩</v>
      </c>
      <c r="D356">
        <f>정규화데이터!D356</f>
        <v>58481090</v>
      </c>
      <c r="E356" s="16" t="str">
        <f>정규화데이터!E356</f>
        <v>SKU001</v>
      </c>
      <c r="F356" s="3">
        <f>정규화데이터!F356</f>
        <v>1</v>
      </c>
      <c r="G356" s="3">
        <f>정규화데이터!G356</f>
        <v>119000</v>
      </c>
      <c r="H356" s="3">
        <f>정규화데이터!H356</f>
        <v>119000</v>
      </c>
      <c r="I356" s="3">
        <f>정규화데이터!I356</f>
        <v>82110</v>
      </c>
      <c r="J356" s="3">
        <f>정규화데이터!J356</f>
        <v>108181.81818181818</v>
      </c>
      <c r="K356" s="25">
        <f>정규화데이터!K356</f>
        <v>61496</v>
      </c>
      <c r="L356" s="25">
        <f>정규화데이터!L356</f>
        <v>61496</v>
      </c>
      <c r="M356" s="21">
        <f t="shared" si="10"/>
        <v>46685.818181818177</v>
      </c>
      <c r="N356" s="52">
        <f t="shared" si="11"/>
        <v>0.43154957983193276</v>
      </c>
    </row>
    <row r="357" spans="1:14" x14ac:dyDescent="0.3">
      <c r="A357" t="str">
        <f>정규화데이터!A357</f>
        <v>SK스토아</v>
      </c>
      <c r="B357">
        <f>정규화데이터!B357</f>
        <v>20260205993118</v>
      </c>
      <c r="C357" t="str">
        <f>정규화데이터!C357</f>
        <v>[워커힐]워커힐 고메 시그니처 양념 본갈비 8팩</v>
      </c>
      <c r="D357">
        <f>정규화데이터!D357</f>
        <v>58481090</v>
      </c>
      <c r="E357" s="16" t="str">
        <f>정규화데이터!E357</f>
        <v>SKU001</v>
      </c>
      <c r="F357" s="3">
        <f>정규화데이터!F357</f>
        <v>1</v>
      </c>
      <c r="G357" s="3">
        <f>정규화데이터!G357</f>
        <v>119000</v>
      </c>
      <c r="H357" s="3">
        <f>정규화데이터!H357</f>
        <v>119000</v>
      </c>
      <c r="I357" s="3">
        <f>정규화데이터!I357</f>
        <v>82110</v>
      </c>
      <c r="J357" s="3">
        <f>정규화데이터!J357</f>
        <v>108181.81818181818</v>
      </c>
      <c r="K357" s="25">
        <f>정규화데이터!K357</f>
        <v>61496</v>
      </c>
      <c r="L357" s="25">
        <f>정규화데이터!L357</f>
        <v>61496</v>
      </c>
      <c r="M357" s="21">
        <f t="shared" si="10"/>
        <v>46685.818181818177</v>
      </c>
      <c r="N357" s="52">
        <f t="shared" si="11"/>
        <v>0.43154957983193276</v>
      </c>
    </row>
    <row r="358" spans="1:14" x14ac:dyDescent="0.3">
      <c r="A358" t="str">
        <f>정규화데이터!A358</f>
        <v>SK스토아</v>
      </c>
      <c r="B358">
        <f>정규화데이터!B358</f>
        <v>20260205993605</v>
      </c>
      <c r="C358" t="str">
        <f>정규화데이터!C358</f>
        <v>[워커힐]워커힐 고메 시그니처 양념 본갈비 8팩</v>
      </c>
      <c r="D358">
        <f>정규화데이터!D358</f>
        <v>58481090</v>
      </c>
      <c r="E358" s="16" t="str">
        <f>정규화데이터!E358</f>
        <v>SKU001</v>
      </c>
      <c r="F358" s="3">
        <f>정규화데이터!F358</f>
        <v>1</v>
      </c>
      <c r="G358" s="3">
        <f>정규화데이터!G358</f>
        <v>119000</v>
      </c>
      <c r="H358" s="3">
        <f>정규화데이터!H358</f>
        <v>119000</v>
      </c>
      <c r="I358" s="3">
        <f>정규화데이터!I358</f>
        <v>82110</v>
      </c>
      <c r="J358" s="3">
        <f>정규화데이터!J358</f>
        <v>108181.81818181818</v>
      </c>
      <c r="K358" s="25">
        <f>정규화데이터!K358</f>
        <v>61496</v>
      </c>
      <c r="L358" s="25">
        <f>정규화데이터!L358</f>
        <v>61496</v>
      </c>
      <c r="M358" s="21">
        <f t="shared" si="10"/>
        <v>46685.818181818177</v>
      </c>
      <c r="N358" s="52">
        <f t="shared" si="11"/>
        <v>0.43154957983193276</v>
      </c>
    </row>
    <row r="359" spans="1:14" x14ac:dyDescent="0.3">
      <c r="A359" t="str">
        <f>정규화데이터!A359</f>
        <v>SK스토아</v>
      </c>
      <c r="B359">
        <f>정규화데이터!B359</f>
        <v>20260205995566</v>
      </c>
      <c r="C359" t="str">
        <f>정규화데이터!C359</f>
        <v>[워커힐]워커힐 고메 시그니처 양념 본갈비 8팩</v>
      </c>
      <c r="D359">
        <f>정규화데이터!D359</f>
        <v>58481090</v>
      </c>
      <c r="E359" s="16" t="str">
        <f>정규화데이터!E359</f>
        <v>SKU001</v>
      </c>
      <c r="F359" s="3">
        <f>정규화데이터!F359</f>
        <v>1</v>
      </c>
      <c r="G359" s="3">
        <f>정규화데이터!G359</f>
        <v>119000</v>
      </c>
      <c r="H359" s="3">
        <f>정규화데이터!H359</f>
        <v>119000</v>
      </c>
      <c r="I359" s="3">
        <f>정규화데이터!I359</f>
        <v>82110</v>
      </c>
      <c r="J359" s="3">
        <f>정규화데이터!J359</f>
        <v>108181.81818181818</v>
      </c>
      <c r="K359" s="25">
        <f>정규화데이터!K359</f>
        <v>61496</v>
      </c>
      <c r="L359" s="25">
        <f>정규화데이터!L359</f>
        <v>61496</v>
      </c>
      <c r="M359" s="21">
        <f t="shared" si="10"/>
        <v>46685.818181818177</v>
      </c>
      <c r="N359" s="52">
        <f t="shared" si="11"/>
        <v>0.43154957983193276</v>
      </c>
    </row>
    <row r="360" spans="1:14" x14ac:dyDescent="0.3">
      <c r="A360" t="str">
        <f>정규화데이터!A360</f>
        <v>SK스토아</v>
      </c>
      <c r="B360">
        <f>정규화데이터!B360</f>
        <v>20260205995554</v>
      </c>
      <c r="C360" t="str">
        <f>정규화데이터!C360</f>
        <v>[워커힐]워커힐 고메 시그니처 양념 본갈비 8팩</v>
      </c>
      <c r="D360">
        <f>정규화데이터!D360</f>
        <v>58481090</v>
      </c>
      <c r="E360" s="16" t="str">
        <f>정규화데이터!E360</f>
        <v>SKU001</v>
      </c>
      <c r="F360" s="3">
        <f>정규화데이터!F360</f>
        <v>1</v>
      </c>
      <c r="G360" s="3">
        <f>정규화데이터!G360</f>
        <v>119000</v>
      </c>
      <c r="H360" s="3">
        <f>정규화데이터!H360</f>
        <v>119000</v>
      </c>
      <c r="I360" s="3">
        <f>정규화데이터!I360</f>
        <v>82110</v>
      </c>
      <c r="J360" s="3">
        <f>정규화데이터!J360</f>
        <v>108181.81818181818</v>
      </c>
      <c r="K360" s="25">
        <f>정규화데이터!K360</f>
        <v>61496</v>
      </c>
      <c r="L360" s="25">
        <f>정규화데이터!L360</f>
        <v>61496</v>
      </c>
      <c r="M360" s="21">
        <f t="shared" si="10"/>
        <v>46685.818181818177</v>
      </c>
      <c r="N360" s="52">
        <f t="shared" si="11"/>
        <v>0.43154957983193276</v>
      </c>
    </row>
    <row r="361" spans="1:14" x14ac:dyDescent="0.3">
      <c r="A361" t="str">
        <f>정규화데이터!A361</f>
        <v>SK스토아</v>
      </c>
      <c r="B361">
        <f>정규화데이터!B361</f>
        <v>20260205995721</v>
      </c>
      <c r="C361" t="str">
        <f>정규화데이터!C361</f>
        <v>[워커힐]워커힐 고메 시그니처 양념 본갈비 8팩</v>
      </c>
      <c r="D361">
        <f>정규화데이터!D361</f>
        <v>58481090</v>
      </c>
      <c r="E361" s="16" t="str">
        <f>정규화데이터!E361</f>
        <v>SKU001</v>
      </c>
      <c r="F361" s="3">
        <f>정규화데이터!F361</f>
        <v>1</v>
      </c>
      <c r="G361" s="3">
        <f>정규화데이터!G361</f>
        <v>119000</v>
      </c>
      <c r="H361" s="3">
        <f>정규화데이터!H361</f>
        <v>99960</v>
      </c>
      <c r="I361" s="3">
        <f>정규화데이터!I361</f>
        <v>82110</v>
      </c>
      <c r="J361" s="3">
        <f>정규화데이터!J361</f>
        <v>90872.727272727265</v>
      </c>
      <c r="K361" s="25">
        <f>정규화데이터!K361</f>
        <v>61496</v>
      </c>
      <c r="L361" s="25">
        <f>정규화데이터!L361</f>
        <v>61496</v>
      </c>
      <c r="M361" s="21">
        <f t="shared" si="10"/>
        <v>29376.727272727265</v>
      </c>
      <c r="N361" s="52">
        <f t="shared" si="11"/>
        <v>0.32327330932372944</v>
      </c>
    </row>
    <row r="362" spans="1:14" x14ac:dyDescent="0.3">
      <c r="A362" t="str">
        <f>정규화데이터!A362</f>
        <v>SK스토아</v>
      </c>
      <c r="B362">
        <f>정규화데이터!B362</f>
        <v>20260205995702</v>
      </c>
      <c r="C362" t="str">
        <f>정규화데이터!C362</f>
        <v>[워커힐]워커힐 고메 시그니처 양념 본갈비 8팩</v>
      </c>
      <c r="D362">
        <f>정규화데이터!D362</f>
        <v>58481090</v>
      </c>
      <c r="E362" s="16" t="str">
        <f>정규화데이터!E362</f>
        <v>SKU001</v>
      </c>
      <c r="F362" s="3">
        <f>정규화데이터!F362</f>
        <v>1</v>
      </c>
      <c r="G362" s="3">
        <f>정규화데이터!G362</f>
        <v>119000</v>
      </c>
      <c r="H362" s="3">
        <f>정규화데이터!H362</f>
        <v>109000</v>
      </c>
      <c r="I362" s="3">
        <f>정규화데이터!I362</f>
        <v>82110</v>
      </c>
      <c r="J362" s="3">
        <f>정규화데이터!J362</f>
        <v>99090.909090909074</v>
      </c>
      <c r="K362" s="25">
        <f>정규화데이터!K362</f>
        <v>61496</v>
      </c>
      <c r="L362" s="25">
        <f>정규화데이터!L362</f>
        <v>61496</v>
      </c>
      <c r="M362" s="21">
        <f t="shared" si="10"/>
        <v>37594.909090909074</v>
      </c>
      <c r="N362" s="52">
        <f t="shared" si="11"/>
        <v>0.3793981651376146</v>
      </c>
    </row>
    <row r="363" spans="1:14" x14ac:dyDescent="0.3">
      <c r="A363" t="str">
        <f>정규화데이터!A363</f>
        <v>SK스토아</v>
      </c>
      <c r="B363">
        <f>정규화데이터!B363</f>
        <v>20260205994054</v>
      </c>
      <c r="C363" t="str">
        <f>정규화데이터!C363</f>
        <v>[워커힐]워커힐 고메 시그니처 양념 본갈비 8팩</v>
      </c>
      <c r="D363">
        <f>정규화데이터!D363</f>
        <v>58481090</v>
      </c>
      <c r="E363" s="16" t="str">
        <f>정규화데이터!E363</f>
        <v>SKU001</v>
      </c>
      <c r="F363" s="3">
        <f>정규화데이터!F363</f>
        <v>1</v>
      </c>
      <c r="G363" s="3">
        <f>정규화데이터!G363</f>
        <v>119000</v>
      </c>
      <c r="H363" s="3">
        <f>정규화데이터!H363</f>
        <v>119000</v>
      </c>
      <c r="I363" s="3">
        <f>정규화데이터!I363</f>
        <v>82110</v>
      </c>
      <c r="J363" s="3">
        <f>정규화데이터!J363</f>
        <v>108181.81818181818</v>
      </c>
      <c r="K363" s="25">
        <f>정규화데이터!K363</f>
        <v>61496</v>
      </c>
      <c r="L363" s="25">
        <f>정규화데이터!L363</f>
        <v>61496</v>
      </c>
      <c r="M363" s="21">
        <f t="shared" si="10"/>
        <v>46685.818181818177</v>
      </c>
      <c r="N363" s="52">
        <f t="shared" si="11"/>
        <v>0.43154957983193276</v>
      </c>
    </row>
    <row r="364" spans="1:14" x14ac:dyDescent="0.3">
      <c r="A364" t="str">
        <f>정규화데이터!A364</f>
        <v>SK스토아</v>
      </c>
      <c r="B364">
        <f>정규화데이터!B364</f>
        <v>20260205995169</v>
      </c>
      <c r="C364" t="str">
        <f>정규화데이터!C364</f>
        <v>[워커힐]워커힐 고메 시그니처 양념 본갈비 8팩</v>
      </c>
      <c r="D364">
        <f>정규화데이터!D364</f>
        <v>58481090</v>
      </c>
      <c r="E364" s="16" t="str">
        <f>정규화데이터!E364</f>
        <v>SKU001</v>
      </c>
      <c r="F364" s="3">
        <f>정규화데이터!F364</f>
        <v>1</v>
      </c>
      <c r="G364" s="3">
        <f>정규화데이터!G364</f>
        <v>119000</v>
      </c>
      <c r="H364" s="3">
        <f>정규화데이터!H364</f>
        <v>119000</v>
      </c>
      <c r="I364" s="3">
        <f>정규화데이터!I364</f>
        <v>82110</v>
      </c>
      <c r="J364" s="3">
        <f>정규화데이터!J364</f>
        <v>108181.81818181818</v>
      </c>
      <c r="K364" s="25">
        <f>정규화데이터!K364</f>
        <v>61496</v>
      </c>
      <c r="L364" s="25">
        <f>정규화데이터!L364</f>
        <v>61496</v>
      </c>
      <c r="M364" s="21">
        <f t="shared" si="10"/>
        <v>46685.818181818177</v>
      </c>
      <c r="N364" s="52">
        <f t="shared" si="11"/>
        <v>0.43154957983193276</v>
      </c>
    </row>
    <row r="365" spans="1:14" x14ac:dyDescent="0.3">
      <c r="A365" t="str">
        <f>정규화데이터!A365</f>
        <v>SK스토아</v>
      </c>
      <c r="B365">
        <f>정규화데이터!B365</f>
        <v>20260205995271</v>
      </c>
      <c r="C365" t="str">
        <f>정규화데이터!C365</f>
        <v>[워커힐]워커힐 고메 시그니처 양념 본갈비 8팩</v>
      </c>
      <c r="D365">
        <f>정규화데이터!D365</f>
        <v>58481090</v>
      </c>
      <c r="E365" s="16" t="str">
        <f>정규화데이터!E365</f>
        <v>SKU001</v>
      </c>
      <c r="F365" s="3">
        <f>정규화데이터!F365</f>
        <v>1</v>
      </c>
      <c r="G365" s="3">
        <f>정규화데이터!G365</f>
        <v>119000</v>
      </c>
      <c r="H365" s="3">
        <f>정규화데이터!H365</f>
        <v>119000</v>
      </c>
      <c r="I365" s="3">
        <f>정규화데이터!I365</f>
        <v>82110</v>
      </c>
      <c r="J365" s="3">
        <f>정규화데이터!J365</f>
        <v>108181.81818181818</v>
      </c>
      <c r="K365" s="25">
        <f>정규화데이터!K365</f>
        <v>61496</v>
      </c>
      <c r="L365" s="25">
        <f>정규화데이터!L365</f>
        <v>61496</v>
      </c>
      <c r="M365" s="21">
        <f t="shared" si="10"/>
        <v>46685.818181818177</v>
      </c>
      <c r="N365" s="52">
        <f t="shared" si="11"/>
        <v>0.43154957983193276</v>
      </c>
    </row>
    <row r="366" spans="1:14" x14ac:dyDescent="0.3">
      <c r="A366" t="str">
        <f>정규화데이터!A366</f>
        <v>SK스토아</v>
      </c>
      <c r="B366">
        <f>정규화데이터!B366</f>
        <v>20260205994328</v>
      </c>
      <c r="C366" t="str">
        <f>정규화데이터!C366</f>
        <v>[워커힐]워커힐 고메 시그니처 양념 본갈비 8팩</v>
      </c>
      <c r="D366">
        <f>정규화데이터!D366</f>
        <v>58481090</v>
      </c>
      <c r="E366" s="16" t="str">
        <f>정규화데이터!E366</f>
        <v>SKU001</v>
      </c>
      <c r="F366" s="3">
        <f>정규화데이터!F366</f>
        <v>1</v>
      </c>
      <c r="G366" s="3">
        <f>정규화데이터!G366</f>
        <v>119000</v>
      </c>
      <c r="H366" s="3">
        <f>정규화데이터!H366</f>
        <v>119000</v>
      </c>
      <c r="I366" s="3">
        <f>정규화데이터!I366</f>
        <v>82110</v>
      </c>
      <c r="J366" s="3">
        <f>정규화데이터!J366</f>
        <v>108181.81818181818</v>
      </c>
      <c r="K366" s="25">
        <f>정규화데이터!K366</f>
        <v>61496</v>
      </c>
      <c r="L366" s="25">
        <f>정규화데이터!L366</f>
        <v>61496</v>
      </c>
      <c r="M366" s="21">
        <f t="shared" si="10"/>
        <v>46685.818181818177</v>
      </c>
      <c r="N366" s="52">
        <f t="shared" si="11"/>
        <v>0.43154957983193276</v>
      </c>
    </row>
    <row r="367" spans="1:14" x14ac:dyDescent="0.3">
      <c r="A367" t="str">
        <f>정규화데이터!A367</f>
        <v>SK스토아</v>
      </c>
      <c r="B367">
        <f>정규화데이터!B367</f>
        <v>20260205994951</v>
      </c>
      <c r="C367" t="str">
        <f>정규화데이터!C367</f>
        <v>[워커힐]워커힐 고메 시그니처 양념 본갈비 8팩</v>
      </c>
      <c r="D367">
        <f>정규화데이터!D367</f>
        <v>58481090</v>
      </c>
      <c r="E367" s="16" t="str">
        <f>정규화데이터!E367</f>
        <v>SKU001</v>
      </c>
      <c r="F367" s="3">
        <f>정규화데이터!F367</f>
        <v>1</v>
      </c>
      <c r="G367" s="3">
        <f>정규화데이터!G367</f>
        <v>119000</v>
      </c>
      <c r="H367" s="3">
        <f>정규화데이터!H367</f>
        <v>119000</v>
      </c>
      <c r="I367" s="3">
        <f>정규화데이터!I367</f>
        <v>82110</v>
      </c>
      <c r="J367" s="3">
        <f>정규화데이터!J367</f>
        <v>108181.81818181818</v>
      </c>
      <c r="K367" s="25">
        <f>정규화데이터!K367</f>
        <v>61496</v>
      </c>
      <c r="L367" s="25">
        <f>정규화데이터!L367</f>
        <v>61496</v>
      </c>
      <c r="M367" s="21">
        <f t="shared" si="10"/>
        <v>46685.818181818177</v>
      </c>
      <c r="N367" s="52">
        <f t="shared" si="11"/>
        <v>0.43154957983193276</v>
      </c>
    </row>
    <row r="368" spans="1:14" x14ac:dyDescent="0.3">
      <c r="A368" t="str">
        <f>정규화데이터!A368</f>
        <v>SK스토아</v>
      </c>
      <c r="B368">
        <f>정규화데이터!B368</f>
        <v>20260205994702</v>
      </c>
      <c r="C368" t="str">
        <f>정규화데이터!C368</f>
        <v>[워커힐]워커힐 고메 시그니처 양념 본갈비 8팩</v>
      </c>
      <c r="D368">
        <f>정규화데이터!D368</f>
        <v>58481090</v>
      </c>
      <c r="E368" s="16" t="str">
        <f>정규화데이터!E368</f>
        <v>SKU001</v>
      </c>
      <c r="F368" s="3">
        <f>정규화데이터!F368</f>
        <v>1</v>
      </c>
      <c r="G368" s="3">
        <f>정규화데이터!G368</f>
        <v>119000</v>
      </c>
      <c r="H368" s="3">
        <f>정규화데이터!H368</f>
        <v>119000</v>
      </c>
      <c r="I368" s="3">
        <f>정규화데이터!I368</f>
        <v>82110</v>
      </c>
      <c r="J368" s="3">
        <f>정규화데이터!J368</f>
        <v>108181.81818181818</v>
      </c>
      <c r="K368" s="25">
        <f>정규화데이터!K368</f>
        <v>61496</v>
      </c>
      <c r="L368" s="25">
        <f>정규화데이터!L368</f>
        <v>61496</v>
      </c>
      <c r="M368" s="21">
        <f t="shared" si="10"/>
        <v>46685.818181818177</v>
      </c>
      <c r="N368" s="52">
        <f t="shared" si="11"/>
        <v>0.43154957983193276</v>
      </c>
    </row>
    <row r="369" spans="1:14" x14ac:dyDescent="0.3">
      <c r="A369" t="str">
        <f>정규화데이터!A369</f>
        <v>SK스토아</v>
      </c>
      <c r="B369">
        <f>정규화데이터!B369</f>
        <v>20260205994682</v>
      </c>
      <c r="C369" t="str">
        <f>정규화데이터!C369</f>
        <v>[워커힐]워커힐 고메 시그니처 양념 본갈비 8팩</v>
      </c>
      <c r="D369">
        <f>정규화데이터!D369</f>
        <v>58481090</v>
      </c>
      <c r="E369" s="16" t="str">
        <f>정규화데이터!E369</f>
        <v>SKU001</v>
      </c>
      <c r="F369" s="3">
        <f>정규화데이터!F369</f>
        <v>1</v>
      </c>
      <c r="G369" s="3">
        <f>정규화데이터!G369</f>
        <v>119000</v>
      </c>
      <c r="H369" s="3">
        <f>정규화데이터!H369</f>
        <v>109000</v>
      </c>
      <c r="I369" s="3">
        <f>정규화데이터!I369</f>
        <v>82110</v>
      </c>
      <c r="J369" s="3">
        <f>정규화데이터!J369</f>
        <v>99090.909090909074</v>
      </c>
      <c r="K369" s="25">
        <f>정규화데이터!K369</f>
        <v>61496</v>
      </c>
      <c r="L369" s="25">
        <f>정규화데이터!L369</f>
        <v>61496</v>
      </c>
      <c r="M369" s="21">
        <f t="shared" si="10"/>
        <v>37594.909090909074</v>
      </c>
      <c r="N369" s="52">
        <f t="shared" si="11"/>
        <v>0.3793981651376146</v>
      </c>
    </row>
    <row r="370" spans="1:14" x14ac:dyDescent="0.3">
      <c r="A370" t="str">
        <f>정규화데이터!A370</f>
        <v>SK스토아</v>
      </c>
      <c r="B370">
        <f>정규화데이터!B370</f>
        <v>20260205994827</v>
      </c>
      <c r="C370" t="str">
        <f>정규화데이터!C370</f>
        <v>[워커힐]워커힐 고메 시그니처 양념 본갈비 8팩</v>
      </c>
      <c r="D370">
        <f>정규화데이터!D370</f>
        <v>58481090</v>
      </c>
      <c r="E370" s="16" t="str">
        <f>정규화데이터!E370</f>
        <v>SKU001</v>
      </c>
      <c r="F370" s="3">
        <f>정규화데이터!F370</f>
        <v>1</v>
      </c>
      <c r="G370" s="3">
        <f>정규화데이터!G370</f>
        <v>119000</v>
      </c>
      <c r="H370" s="3">
        <f>정규화데이터!H370</f>
        <v>119000</v>
      </c>
      <c r="I370" s="3">
        <f>정규화데이터!I370</f>
        <v>82110</v>
      </c>
      <c r="J370" s="3">
        <f>정규화데이터!J370</f>
        <v>108181.81818181818</v>
      </c>
      <c r="K370" s="25">
        <f>정규화데이터!K370</f>
        <v>61496</v>
      </c>
      <c r="L370" s="25">
        <f>정규화데이터!L370</f>
        <v>61496</v>
      </c>
      <c r="M370" s="21">
        <f t="shared" si="10"/>
        <v>46685.818181818177</v>
      </c>
      <c r="N370" s="52">
        <f t="shared" si="11"/>
        <v>0.43154957983193276</v>
      </c>
    </row>
    <row r="371" spans="1:14" x14ac:dyDescent="0.3">
      <c r="A371" t="str">
        <f>정규화데이터!A371</f>
        <v>SK스토아</v>
      </c>
      <c r="B371">
        <f>정규화데이터!B371</f>
        <v>20260205993834</v>
      </c>
      <c r="C371" t="str">
        <f>정규화데이터!C371</f>
        <v>[워커힐]워커힐 고메 시그니처 양념 본갈비 8팩</v>
      </c>
      <c r="D371">
        <f>정규화데이터!D371</f>
        <v>58481090</v>
      </c>
      <c r="E371" s="16" t="str">
        <f>정규화데이터!E371</f>
        <v>SKU001</v>
      </c>
      <c r="F371" s="3">
        <f>정규화데이터!F371</f>
        <v>1</v>
      </c>
      <c r="G371" s="3">
        <f>정규화데이터!G371</f>
        <v>119000</v>
      </c>
      <c r="H371" s="3">
        <f>정규화데이터!H371</f>
        <v>119000</v>
      </c>
      <c r="I371" s="3">
        <f>정규화데이터!I371</f>
        <v>82110</v>
      </c>
      <c r="J371" s="3">
        <f>정규화데이터!J371</f>
        <v>108181.81818181818</v>
      </c>
      <c r="K371" s="25">
        <f>정규화데이터!K371</f>
        <v>61496</v>
      </c>
      <c r="L371" s="25">
        <f>정규화데이터!L371</f>
        <v>61496</v>
      </c>
      <c r="M371" s="21">
        <f t="shared" si="10"/>
        <v>46685.818181818177</v>
      </c>
      <c r="N371" s="52">
        <f t="shared" si="11"/>
        <v>0.43154957983193276</v>
      </c>
    </row>
    <row r="372" spans="1:14" x14ac:dyDescent="0.3">
      <c r="A372" t="str">
        <f>정규화데이터!A372</f>
        <v>SK스토아</v>
      </c>
      <c r="B372">
        <f>정규화데이터!B372</f>
        <v>20260205994440</v>
      </c>
      <c r="C372" t="str">
        <f>정규화데이터!C372</f>
        <v>[워커힐]워커힐 고메 시그니처 양념 본갈비 8팩</v>
      </c>
      <c r="D372">
        <f>정규화데이터!D372</f>
        <v>58481090</v>
      </c>
      <c r="E372" s="16" t="str">
        <f>정규화데이터!E372</f>
        <v>SKU001</v>
      </c>
      <c r="F372" s="3">
        <f>정규화데이터!F372</f>
        <v>1</v>
      </c>
      <c r="G372" s="3">
        <f>정규화데이터!G372</f>
        <v>119000</v>
      </c>
      <c r="H372" s="3">
        <f>정규화데이터!H372</f>
        <v>109000</v>
      </c>
      <c r="I372" s="3">
        <f>정규화데이터!I372</f>
        <v>82110</v>
      </c>
      <c r="J372" s="3">
        <f>정규화데이터!J372</f>
        <v>99090.909090909074</v>
      </c>
      <c r="K372" s="25">
        <f>정규화데이터!K372</f>
        <v>61496</v>
      </c>
      <c r="L372" s="25">
        <f>정규화데이터!L372</f>
        <v>61496</v>
      </c>
      <c r="M372" s="21">
        <f t="shared" si="10"/>
        <v>37594.909090909074</v>
      </c>
      <c r="N372" s="52">
        <f t="shared" si="11"/>
        <v>0.3793981651376146</v>
      </c>
    </row>
    <row r="373" spans="1:14" x14ac:dyDescent="0.3">
      <c r="A373" t="str">
        <f>정규화데이터!A373</f>
        <v>SK스토아</v>
      </c>
      <c r="B373">
        <f>정규화데이터!B373</f>
        <v>20260205002208</v>
      </c>
      <c r="C373" t="str">
        <f>정규화데이터!C373</f>
        <v>[워커힐]워커힐 고메 시그니처 양념 본갈비 8팩</v>
      </c>
      <c r="D373">
        <f>정규화데이터!D373</f>
        <v>58481090</v>
      </c>
      <c r="E373" s="16" t="str">
        <f>정규화데이터!E373</f>
        <v>SKU001</v>
      </c>
      <c r="F373" s="3">
        <f>정규화데이터!F373</f>
        <v>1</v>
      </c>
      <c r="G373" s="3">
        <f>정규화데이터!G373</f>
        <v>119000</v>
      </c>
      <c r="H373" s="3">
        <f>정규화데이터!H373</f>
        <v>119000</v>
      </c>
      <c r="I373" s="3">
        <f>정규화데이터!I373</f>
        <v>82110</v>
      </c>
      <c r="J373" s="3">
        <f>정규화데이터!J373</f>
        <v>108181.81818181818</v>
      </c>
      <c r="K373" s="25">
        <f>정규화데이터!K373</f>
        <v>61496</v>
      </c>
      <c r="L373" s="25">
        <f>정규화데이터!L373</f>
        <v>61496</v>
      </c>
      <c r="M373" s="21">
        <f t="shared" si="10"/>
        <v>46685.818181818177</v>
      </c>
      <c r="N373" s="52">
        <f t="shared" si="11"/>
        <v>0.43154957983193276</v>
      </c>
    </row>
    <row r="374" spans="1:14" x14ac:dyDescent="0.3">
      <c r="A374" t="str">
        <f>정규화데이터!A374</f>
        <v>SK스토아</v>
      </c>
      <c r="B374">
        <f>정규화데이터!B374</f>
        <v>20260205995362</v>
      </c>
      <c r="C374" t="str">
        <f>정규화데이터!C374</f>
        <v>[워커힐]워커힐 고메 시그니처 양념 본갈비 8팩</v>
      </c>
      <c r="D374">
        <f>정규화데이터!D374</f>
        <v>58481090</v>
      </c>
      <c r="E374" s="16" t="str">
        <f>정규화데이터!E374</f>
        <v>SKU001</v>
      </c>
      <c r="F374" s="3">
        <f>정규화데이터!F374</f>
        <v>1</v>
      </c>
      <c r="G374" s="3">
        <f>정규화데이터!G374</f>
        <v>119000</v>
      </c>
      <c r="H374" s="3">
        <f>정규화데이터!H374</f>
        <v>119000</v>
      </c>
      <c r="I374" s="3">
        <f>정규화데이터!I374</f>
        <v>82110</v>
      </c>
      <c r="J374" s="3">
        <f>정규화데이터!J374</f>
        <v>108181.81818181818</v>
      </c>
      <c r="K374" s="25">
        <f>정규화데이터!K374</f>
        <v>61496</v>
      </c>
      <c r="L374" s="25">
        <f>정규화데이터!L374</f>
        <v>61496</v>
      </c>
      <c r="M374" s="21">
        <f t="shared" si="10"/>
        <v>46685.818181818177</v>
      </c>
      <c r="N374" s="52">
        <f t="shared" si="11"/>
        <v>0.43154957983193276</v>
      </c>
    </row>
    <row r="375" spans="1:14" x14ac:dyDescent="0.3">
      <c r="A375" t="str">
        <f>정규화데이터!A375</f>
        <v>SK스토아</v>
      </c>
      <c r="B375">
        <f>정규화데이터!B375</f>
        <v>20260205993973</v>
      </c>
      <c r="C375" t="str">
        <f>정규화데이터!C375</f>
        <v>[워커힐]워커힐 고메 시그니처 양념 본갈비 8팩</v>
      </c>
      <c r="D375">
        <f>정규화데이터!D375</f>
        <v>58481090</v>
      </c>
      <c r="E375" s="16" t="str">
        <f>정규화데이터!E375</f>
        <v>SKU001</v>
      </c>
      <c r="F375" s="3">
        <f>정규화데이터!F375</f>
        <v>1</v>
      </c>
      <c r="G375" s="3">
        <f>정규화데이터!G375</f>
        <v>119000</v>
      </c>
      <c r="H375" s="3">
        <f>정규화데이터!H375</f>
        <v>119000</v>
      </c>
      <c r="I375" s="3">
        <f>정규화데이터!I375</f>
        <v>82110</v>
      </c>
      <c r="J375" s="3">
        <f>정규화데이터!J375</f>
        <v>108181.81818181818</v>
      </c>
      <c r="K375" s="25">
        <f>정규화데이터!K375</f>
        <v>61496</v>
      </c>
      <c r="L375" s="25">
        <f>정규화데이터!L375</f>
        <v>61496</v>
      </c>
      <c r="M375" s="21">
        <f t="shared" si="10"/>
        <v>46685.818181818177</v>
      </c>
      <c r="N375" s="52">
        <f t="shared" si="11"/>
        <v>0.43154957983193276</v>
      </c>
    </row>
    <row r="376" spans="1:14" x14ac:dyDescent="0.3">
      <c r="A376" t="str">
        <f>정규화데이터!A376</f>
        <v>SK스토아</v>
      </c>
      <c r="B376">
        <f>정규화데이터!B376</f>
        <v>20260205994109</v>
      </c>
      <c r="C376" t="str">
        <f>정규화데이터!C376</f>
        <v>[워커힐]워커힐 고메 시그니처 양념 본갈비 8팩</v>
      </c>
      <c r="D376">
        <f>정규화데이터!D376</f>
        <v>58481090</v>
      </c>
      <c r="E376" s="16" t="str">
        <f>정규화데이터!E376</f>
        <v>SKU001</v>
      </c>
      <c r="F376" s="3">
        <f>정규화데이터!F376</f>
        <v>1</v>
      </c>
      <c r="G376" s="3">
        <f>정규화데이터!G376</f>
        <v>119000</v>
      </c>
      <c r="H376" s="3">
        <f>정규화데이터!H376</f>
        <v>119000</v>
      </c>
      <c r="I376" s="3">
        <f>정규화데이터!I376</f>
        <v>82110</v>
      </c>
      <c r="J376" s="3">
        <f>정규화데이터!J376</f>
        <v>108181.81818181818</v>
      </c>
      <c r="K376" s="25">
        <f>정규화데이터!K376</f>
        <v>61496</v>
      </c>
      <c r="L376" s="25">
        <f>정규화데이터!L376</f>
        <v>61496</v>
      </c>
      <c r="M376" s="21">
        <f t="shared" si="10"/>
        <v>46685.818181818177</v>
      </c>
      <c r="N376" s="52">
        <f t="shared" si="11"/>
        <v>0.43154957983193276</v>
      </c>
    </row>
    <row r="377" spans="1:14" x14ac:dyDescent="0.3">
      <c r="A377" t="str">
        <f>정규화데이터!A377</f>
        <v>SK스토아</v>
      </c>
      <c r="B377">
        <f>정규화데이터!B377</f>
        <v>20260205995200</v>
      </c>
      <c r="C377" t="str">
        <f>정규화데이터!C377</f>
        <v>[워커힐]워커힐 고메 시그니처 양념 본갈비 8팩</v>
      </c>
      <c r="D377">
        <f>정규화데이터!D377</f>
        <v>58481090</v>
      </c>
      <c r="E377" s="16" t="str">
        <f>정규화데이터!E377</f>
        <v>SKU001</v>
      </c>
      <c r="F377" s="3">
        <f>정규화데이터!F377</f>
        <v>1</v>
      </c>
      <c r="G377" s="3">
        <f>정규화데이터!G377</f>
        <v>119000</v>
      </c>
      <c r="H377" s="3">
        <f>정규화데이터!H377</f>
        <v>119000</v>
      </c>
      <c r="I377" s="3">
        <f>정규화데이터!I377</f>
        <v>82110</v>
      </c>
      <c r="J377" s="3">
        <f>정규화데이터!J377</f>
        <v>108181.81818181818</v>
      </c>
      <c r="K377" s="25">
        <f>정규화데이터!K377</f>
        <v>61496</v>
      </c>
      <c r="L377" s="25">
        <f>정규화데이터!L377</f>
        <v>61496</v>
      </c>
      <c r="M377" s="21">
        <f t="shared" si="10"/>
        <v>46685.818181818177</v>
      </c>
      <c r="N377" s="52">
        <f t="shared" si="11"/>
        <v>0.43154957983193276</v>
      </c>
    </row>
    <row r="378" spans="1:14" x14ac:dyDescent="0.3">
      <c r="A378" t="str">
        <f>정규화데이터!A378</f>
        <v>SK스토아</v>
      </c>
      <c r="B378">
        <f>정규화데이터!B378</f>
        <v>20260205994357</v>
      </c>
      <c r="C378" t="str">
        <f>정규화데이터!C378</f>
        <v>[워커힐]워커힐 고메 시그니처 양념 본갈비 8팩</v>
      </c>
      <c r="D378">
        <f>정규화데이터!D378</f>
        <v>58481090</v>
      </c>
      <c r="E378" s="16" t="str">
        <f>정규화데이터!E378</f>
        <v>SKU001</v>
      </c>
      <c r="F378" s="3">
        <f>정규화데이터!F378</f>
        <v>1</v>
      </c>
      <c r="G378" s="3">
        <f>정규화데이터!G378</f>
        <v>119000</v>
      </c>
      <c r="H378" s="3">
        <f>정규화데이터!H378</f>
        <v>119000</v>
      </c>
      <c r="I378" s="3">
        <f>정규화데이터!I378</f>
        <v>82110</v>
      </c>
      <c r="J378" s="3">
        <f>정규화데이터!J378</f>
        <v>108181.81818181818</v>
      </c>
      <c r="K378" s="25">
        <f>정규화데이터!K378</f>
        <v>61496</v>
      </c>
      <c r="L378" s="25">
        <f>정규화데이터!L378</f>
        <v>61496</v>
      </c>
      <c r="M378" s="21">
        <f t="shared" si="10"/>
        <v>46685.818181818177</v>
      </c>
      <c r="N378" s="52">
        <f t="shared" si="11"/>
        <v>0.43154957983193276</v>
      </c>
    </row>
    <row r="379" spans="1:14" x14ac:dyDescent="0.3">
      <c r="A379" t="str">
        <f>정규화데이터!A379</f>
        <v>SK스토아</v>
      </c>
      <c r="B379">
        <f>정규화데이터!B379</f>
        <v>20260205994598</v>
      </c>
      <c r="C379" t="str">
        <f>정규화데이터!C379</f>
        <v>[워커힐]워커힐 고메 시그니처 양념 본갈비 8팩</v>
      </c>
      <c r="D379">
        <f>정규화데이터!D379</f>
        <v>58481090</v>
      </c>
      <c r="E379" s="16" t="str">
        <f>정규화데이터!E379</f>
        <v>SKU001</v>
      </c>
      <c r="F379" s="3">
        <f>정규화데이터!F379</f>
        <v>1</v>
      </c>
      <c r="G379" s="3">
        <f>정규화데이터!G379</f>
        <v>119000</v>
      </c>
      <c r="H379" s="3">
        <f>정규화데이터!H379</f>
        <v>119000</v>
      </c>
      <c r="I379" s="3">
        <f>정규화데이터!I379</f>
        <v>82110</v>
      </c>
      <c r="J379" s="3">
        <f>정규화데이터!J379</f>
        <v>108181.81818181818</v>
      </c>
      <c r="K379" s="25">
        <f>정규화데이터!K379</f>
        <v>61496</v>
      </c>
      <c r="L379" s="25">
        <f>정규화데이터!L379</f>
        <v>61496</v>
      </c>
      <c r="M379" s="21">
        <f t="shared" si="10"/>
        <v>46685.818181818177</v>
      </c>
      <c r="N379" s="52">
        <f t="shared" si="11"/>
        <v>0.43154957983193276</v>
      </c>
    </row>
    <row r="380" spans="1:14" x14ac:dyDescent="0.3">
      <c r="A380" t="str">
        <f>정규화데이터!A380</f>
        <v>SK스토아</v>
      </c>
      <c r="B380">
        <f>정규화데이터!B380</f>
        <v>20260205993542</v>
      </c>
      <c r="C380" t="str">
        <f>정규화데이터!C380</f>
        <v>[워커힐]워커힐 고메 시그니처 양념 본갈비 8팩</v>
      </c>
      <c r="D380">
        <f>정규화데이터!D380</f>
        <v>58481090</v>
      </c>
      <c r="E380" s="16" t="str">
        <f>정규화데이터!E380</f>
        <v>SKU001</v>
      </c>
      <c r="F380" s="3">
        <f>정규화데이터!F380</f>
        <v>1</v>
      </c>
      <c r="G380" s="3">
        <f>정규화데이터!G380</f>
        <v>119000</v>
      </c>
      <c r="H380" s="3">
        <f>정규화데이터!H380</f>
        <v>119000</v>
      </c>
      <c r="I380" s="3">
        <f>정규화데이터!I380</f>
        <v>82110</v>
      </c>
      <c r="J380" s="3">
        <f>정규화데이터!J380</f>
        <v>108181.81818181818</v>
      </c>
      <c r="K380" s="25">
        <f>정규화데이터!K380</f>
        <v>61496</v>
      </c>
      <c r="L380" s="25">
        <f>정규화데이터!L380</f>
        <v>61496</v>
      </c>
      <c r="M380" s="21">
        <f t="shared" si="10"/>
        <v>46685.818181818177</v>
      </c>
      <c r="N380" s="52">
        <f t="shared" si="11"/>
        <v>0.43154957983193276</v>
      </c>
    </row>
    <row r="381" spans="1:14" x14ac:dyDescent="0.3">
      <c r="A381" t="str">
        <f>정규화데이터!A381</f>
        <v>SK스토아</v>
      </c>
      <c r="B381">
        <f>정규화데이터!B381</f>
        <v>20260205994528</v>
      </c>
      <c r="C381" t="str">
        <f>정규화데이터!C381</f>
        <v>[워커힐]워커힐 고메 시그니처 양념 본갈비 8팩</v>
      </c>
      <c r="D381">
        <f>정규화데이터!D381</f>
        <v>58481090</v>
      </c>
      <c r="E381" s="16" t="str">
        <f>정규화데이터!E381</f>
        <v>SKU001</v>
      </c>
      <c r="F381" s="3">
        <f>정규화데이터!F381</f>
        <v>1</v>
      </c>
      <c r="G381" s="3">
        <f>정규화데이터!G381</f>
        <v>119000</v>
      </c>
      <c r="H381" s="3">
        <f>정규화데이터!H381</f>
        <v>119000</v>
      </c>
      <c r="I381" s="3">
        <f>정규화데이터!I381</f>
        <v>82110</v>
      </c>
      <c r="J381" s="3">
        <f>정규화데이터!J381</f>
        <v>108181.81818181818</v>
      </c>
      <c r="K381" s="25">
        <f>정규화데이터!K381</f>
        <v>61496</v>
      </c>
      <c r="L381" s="25">
        <f>정규화데이터!L381</f>
        <v>61496</v>
      </c>
      <c r="M381" s="21">
        <f t="shared" si="10"/>
        <v>46685.818181818177</v>
      </c>
      <c r="N381" s="52">
        <f t="shared" si="11"/>
        <v>0.43154957983193276</v>
      </c>
    </row>
    <row r="382" spans="1:14" x14ac:dyDescent="0.3">
      <c r="A382" t="str">
        <f>정규화데이터!A382</f>
        <v>SK스토아</v>
      </c>
      <c r="B382">
        <f>정규화데이터!B382</f>
        <v>20260205994528</v>
      </c>
      <c r="C382" t="str">
        <f>정규화데이터!C382</f>
        <v>[워커힐]워커힐 고메 시그니처 양념 본갈비 8팩</v>
      </c>
      <c r="D382">
        <f>정규화데이터!D382</f>
        <v>58481090</v>
      </c>
      <c r="E382" s="16" t="str">
        <f>정규화데이터!E382</f>
        <v>SKU001</v>
      </c>
      <c r="F382" s="3">
        <f>정규화데이터!F382</f>
        <v>1</v>
      </c>
      <c r="G382" s="3">
        <f>정규화데이터!G382</f>
        <v>119000</v>
      </c>
      <c r="H382" s="3">
        <f>정규화데이터!H382</f>
        <v>119000</v>
      </c>
      <c r="I382" s="3">
        <f>정규화데이터!I382</f>
        <v>82110</v>
      </c>
      <c r="J382" s="3">
        <f>정규화데이터!J382</f>
        <v>108181.81818181818</v>
      </c>
      <c r="K382" s="25">
        <f>정규화데이터!K382</f>
        <v>61496</v>
      </c>
      <c r="L382" s="25">
        <f>정규화데이터!L382</f>
        <v>61496</v>
      </c>
      <c r="M382" s="21">
        <f t="shared" si="10"/>
        <v>46685.818181818177</v>
      </c>
      <c r="N382" s="52">
        <f t="shared" si="11"/>
        <v>0.43154957983193276</v>
      </c>
    </row>
    <row r="383" spans="1:14" x14ac:dyDescent="0.3">
      <c r="A383" t="str">
        <f>정규화데이터!A383</f>
        <v>SK스토아</v>
      </c>
      <c r="B383">
        <f>정규화데이터!B383</f>
        <v>20260205994942</v>
      </c>
      <c r="C383" t="str">
        <f>정규화데이터!C383</f>
        <v>[워커힐]워커힐 고메 시그니처 양념 본갈비 8팩</v>
      </c>
      <c r="D383">
        <f>정규화데이터!D383</f>
        <v>58481090</v>
      </c>
      <c r="E383" s="16" t="str">
        <f>정규화데이터!E383</f>
        <v>SKU001</v>
      </c>
      <c r="F383" s="3">
        <f>정규화데이터!F383</f>
        <v>1</v>
      </c>
      <c r="G383" s="3">
        <f>정규화데이터!G383</f>
        <v>119000</v>
      </c>
      <c r="H383" s="3">
        <f>정규화데이터!H383</f>
        <v>99960</v>
      </c>
      <c r="I383" s="3">
        <f>정규화데이터!I383</f>
        <v>82110</v>
      </c>
      <c r="J383" s="3">
        <f>정규화데이터!J383</f>
        <v>90872.727272727265</v>
      </c>
      <c r="K383" s="25">
        <f>정규화데이터!K383</f>
        <v>61496</v>
      </c>
      <c r="L383" s="25">
        <f>정규화데이터!L383</f>
        <v>61496</v>
      </c>
      <c r="M383" s="21">
        <f t="shared" si="10"/>
        <v>29376.727272727265</v>
      </c>
      <c r="N383" s="52">
        <f t="shared" si="11"/>
        <v>0.32327330932372944</v>
      </c>
    </row>
    <row r="384" spans="1:14" x14ac:dyDescent="0.3">
      <c r="A384" t="str">
        <f>정규화데이터!A384</f>
        <v>SK스토아</v>
      </c>
      <c r="B384">
        <f>정규화데이터!B384</f>
        <v>20260205994610</v>
      </c>
      <c r="C384" t="str">
        <f>정규화데이터!C384</f>
        <v>[워커힐]워커힐 고메 시그니처 양념 본갈비 8팩</v>
      </c>
      <c r="D384">
        <f>정규화데이터!D384</f>
        <v>58481090</v>
      </c>
      <c r="E384" s="16" t="str">
        <f>정규화데이터!E384</f>
        <v>SKU001</v>
      </c>
      <c r="F384" s="3">
        <f>정규화데이터!F384</f>
        <v>1</v>
      </c>
      <c r="G384" s="3">
        <f>정규화데이터!G384</f>
        <v>119000</v>
      </c>
      <c r="H384" s="3">
        <f>정규화데이터!H384</f>
        <v>109000</v>
      </c>
      <c r="I384" s="3">
        <f>정규화데이터!I384</f>
        <v>82110</v>
      </c>
      <c r="J384" s="3">
        <f>정규화데이터!J384</f>
        <v>99090.909090909074</v>
      </c>
      <c r="K384" s="25">
        <f>정규화데이터!K384</f>
        <v>61496</v>
      </c>
      <c r="L384" s="25">
        <f>정규화데이터!L384</f>
        <v>61496</v>
      </c>
      <c r="M384" s="21">
        <f t="shared" si="10"/>
        <v>37594.909090909074</v>
      </c>
      <c r="N384" s="52">
        <f t="shared" si="11"/>
        <v>0.3793981651376146</v>
      </c>
    </row>
    <row r="385" spans="1:14" x14ac:dyDescent="0.3">
      <c r="A385" t="str">
        <f>정규화데이터!A385</f>
        <v>SK스토아</v>
      </c>
      <c r="B385">
        <f>정규화데이터!B385</f>
        <v>20260205992392</v>
      </c>
      <c r="C385" t="str">
        <f>정규화데이터!C385</f>
        <v>[워커힐]워커힐 고메 시그니처 양념 본갈비 8팩</v>
      </c>
      <c r="D385">
        <f>정규화데이터!D385</f>
        <v>58481090</v>
      </c>
      <c r="E385" s="16" t="str">
        <f>정규화데이터!E385</f>
        <v>SKU001</v>
      </c>
      <c r="F385" s="3">
        <f>정규화데이터!F385</f>
        <v>1</v>
      </c>
      <c r="G385" s="3">
        <f>정규화데이터!G385</f>
        <v>119000</v>
      </c>
      <c r="H385" s="3">
        <f>정규화데이터!H385</f>
        <v>119000</v>
      </c>
      <c r="I385" s="3">
        <f>정규화데이터!I385</f>
        <v>82110</v>
      </c>
      <c r="J385" s="3">
        <f>정규화데이터!J385</f>
        <v>108181.81818181818</v>
      </c>
      <c r="K385" s="25">
        <f>정규화데이터!K385</f>
        <v>61496</v>
      </c>
      <c r="L385" s="25">
        <f>정규화데이터!L385</f>
        <v>61496</v>
      </c>
      <c r="M385" s="21">
        <f t="shared" si="10"/>
        <v>46685.818181818177</v>
      </c>
      <c r="N385" s="52">
        <f t="shared" si="11"/>
        <v>0.43154957983193276</v>
      </c>
    </row>
    <row r="386" spans="1:14" x14ac:dyDescent="0.3">
      <c r="A386" t="str">
        <f>정규화데이터!A386</f>
        <v>SK스토아</v>
      </c>
      <c r="B386">
        <f>정규화데이터!B386</f>
        <v>20260205993376</v>
      </c>
      <c r="C386" t="str">
        <f>정규화데이터!C386</f>
        <v>[워커힐]워커힐 고메 시그니처 양념 본갈비 8팩</v>
      </c>
      <c r="D386">
        <f>정규화데이터!D386</f>
        <v>58481090</v>
      </c>
      <c r="E386" s="16" t="str">
        <f>정규화데이터!E386</f>
        <v>SKU001</v>
      </c>
      <c r="F386" s="3">
        <f>정규화데이터!F386</f>
        <v>1</v>
      </c>
      <c r="G386" s="3">
        <f>정규화데이터!G386</f>
        <v>119000</v>
      </c>
      <c r="H386" s="3">
        <f>정규화데이터!H386</f>
        <v>113050</v>
      </c>
      <c r="I386" s="3">
        <f>정규화데이터!I386</f>
        <v>82110</v>
      </c>
      <c r="J386" s="3">
        <f>정규화데이터!J386</f>
        <v>102772.72727272726</v>
      </c>
      <c r="K386" s="25">
        <f>정규화데이터!K386</f>
        <v>61496</v>
      </c>
      <c r="L386" s="25">
        <f>정규화데이터!L386</f>
        <v>61496</v>
      </c>
      <c r="M386" s="21">
        <f t="shared" si="10"/>
        <v>41276.727272727265</v>
      </c>
      <c r="N386" s="52">
        <f t="shared" si="11"/>
        <v>0.40163113666519235</v>
      </c>
    </row>
    <row r="387" spans="1:14" x14ac:dyDescent="0.3">
      <c r="A387" t="str">
        <f>정규화데이터!A387</f>
        <v>SK스토아</v>
      </c>
      <c r="B387">
        <f>정규화데이터!B387</f>
        <v>20260205995534</v>
      </c>
      <c r="C387" t="str">
        <f>정규화데이터!C387</f>
        <v>[워커힐]워커힐 고메 시그니처 양념 본갈비 8팩</v>
      </c>
      <c r="D387">
        <f>정규화데이터!D387</f>
        <v>58481090</v>
      </c>
      <c r="E387" s="16" t="str">
        <f>정규화데이터!E387</f>
        <v>SKU001</v>
      </c>
      <c r="F387" s="3">
        <f>정규화데이터!F387</f>
        <v>1</v>
      </c>
      <c r="G387" s="3">
        <f>정규화데이터!G387</f>
        <v>119000</v>
      </c>
      <c r="H387" s="3">
        <f>정규화데이터!H387</f>
        <v>119000</v>
      </c>
      <c r="I387" s="3">
        <f>정규화데이터!I387</f>
        <v>82110</v>
      </c>
      <c r="J387" s="3">
        <f>정규화데이터!J387</f>
        <v>108181.81818181818</v>
      </c>
      <c r="K387" s="25">
        <f>정규화데이터!K387</f>
        <v>61496</v>
      </c>
      <c r="L387" s="25">
        <f>정규화데이터!L387</f>
        <v>61496</v>
      </c>
      <c r="M387" s="21">
        <f t="shared" ref="M387:M450" si="12">J387-L387</f>
        <v>46685.818181818177</v>
      </c>
      <c r="N387" s="52">
        <f t="shared" ref="N387:N450" si="13">IF(J387=0,0,M387/J387)</f>
        <v>0.43154957983193276</v>
      </c>
    </row>
    <row r="388" spans="1:14" x14ac:dyDescent="0.3">
      <c r="A388" t="str">
        <f>정규화데이터!A388</f>
        <v>SK스토아</v>
      </c>
      <c r="B388">
        <f>정규화데이터!B388</f>
        <v>20260205992635</v>
      </c>
      <c r="C388" t="str">
        <f>정규화데이터!C388</f>
        <v>[워커힐]워커힐 고메 시그니처 양념 본갈비 8팩</v>
      </c>
      <c r="D388">
        <f>정규화데이터!D388</f>
        <v>58481090</v>
      </c>
      <c r="E388" s="16" t="str">
        <f>정규화데이터!E388</f>
        <v>SKU001</v>
      </c>
      <c r="F388" s="3">
        <f>정규화데이터!F388</f>
        <v>1</v>
      </c>
      <c r="G388" s="3">
        <f>정규화데이터!G388</f>
        <v>119000</v>
      </c>
      <c r="H388" s="3">
        <f>정규화데이터!H388</f>
        <v>119000</v>
      </c>
      <c r="I388" s="3">
        <f>정규화데이터!I388</f>
        <v>82110</v>
      </c>
      <c r="J388" s="3">
        <f>정규화데이터!J388</f>
        <v>108181.81818181818</v>
      </c>
      <c r="K388" s="25">
        <f>정규화데이터!K388</f>
        <v>61496</v>
      </c>
      <c r="L388" s="25">
        <f>정규화데이터!L388</f>
        <v>61496</v>
      </c>
      <c r="M388" s="21">
        <f t="shared" si="12"/>
        <v>46685.818181818177</v>
      </c>
      <c r="N388" s="52">
        <f t="shared" si="13"/>
        <v>0.43154957983193276</v>
      </c>
    </row>
    <row r="389" spans="1:14" x14ac:dyDescent="0.3">
      <c r="A389" t="str">
        <f>정규화데이터!A389</f>
        <v>SK스토아</v>
      </c>
      <c r="B389">
        <f>정규화데이터!B389</f>
        <v>20260205993273</v>
      </c>
      <c r="C389" t="str">
        <f>정규화데이터!C389</f>
        <v>[워커힐]워커힐 고메 시그니처 양념 본갈비 8팩</v>
      </c>
      <c r="D389">
        <f>정규화데이터!D389</f>
        <v>58481090</v>
      </c>
      <c r="E389" s="16" t="str">
        <f>정규화데이터!E389</f>
        <v>SKU001</v>
      </c>
      <c r="F389" s="3">
        <f>정규화데이터!F389</f>
        <v>1</v>
      </c>
      <c r="G389" s="3">
        <f>정규화데이터!G389</f>
        <v>119000</v>
      </c>
      <c r="H389" s="3">
        <f>정규화데이터!H389</f>
        <v>119000</v>
      </c>
      <c r="I389" s="3">
        <f>정규화데이터!I389</f>
        <v>82110</v>
      </c>
      <c r="J389" s="3">
        <f>정규화데이터!J389</f>
        <v>108181.81818181818</v>
      </c>
      <c r="K389" s="25">
        <f>정규화데이터!K389</f>
        <v>61496</v>
      </c>
      <c r="L389" s="25">
        <f>정규화데이터!L389</f>
        <v>61496</v>
      </c>
      <c r="M389" s="21">
        <f t="shared" si="12"/>
        <v>46685.818181818177</v>
      </c>
      <c r="N389" s="52">
        <f t="shared" si="13"/>
        <v>0.43154957983193276</v>
      </c>
    </row>
    <row r="390" spans="1:14" x14ac:dyDescent="0.3">
      <c r="A390" t="str">
        <f>정규화데이터!A390</f>
        <v>SK스토아</v>
      </c>
      <c r="B390">
        <f>정규화데이터!B390</f>
        <v>20260205993601</v>
      </c>
      <c r="C390" t="str">
        <f>정규화데이터!C390</f>
        <v>[워커힐]워커힐 고메 시그니처 양념 본갈비 8팩</v>
      </c>
      <c r="D390">
        <f>정규화데이터!D390</f>
        <v>58481090</v>
      </c>
      <c r="E390" s="16" t="str">
        <f>정규화데이터!E390</f>
        <v>SKU001</v>
      </c>
      <c r="F390" s="3">
        <f>정규화데이터!F390</f>
        <v>1</v>
      </c>
      <c r="G390" s="3">
        <f>정규화데이터!G390</f>
        <v>119000</v>
      </c>
      <c r="H390" s="3">
        <f>정규화데이터!H390</f>
        <v>119000</v>
      </c>
      <c r="I390" s="3">
        <f>정규화데이터!I390</f>
        <v>82110</v>
      </c>
      <c r="J390" s="3">
        <f>정규화데이터!J390</f>
        <v>108181.81818181818</v>
      </c>
      <c r="K390" s="25">
        <f>정규화데이터!K390</f>
        <v>61496</v>
      </c>
      <c r="L390" s="25">
        <f>정규화데이터!L390</f>
        <v>61496</v>
      </c>
      <c r="M390" s="21">
        <f t="shared" si="12"/>
        <v>46685.818181818177</v>
      </c>
      <c r="N390" s="52">
        <f t="shared" si="13"/>
        <v>0.43154957983193276</v>
      </c>
    </row>
    <row r="391" spans="1:14" x14ac:dyDescent="0.3">
      <c r="A391" t="str">
        <f>정규화데이터!A391</f>
        <v>SK스토아</v>
      </c>
      <c r="B391">
        <f>정규화데이터!B391</f>
        <v>20260205995425</v>
      </c>
      <c r="C391" t="str">
        <f>정규화데이터!C391</f>
        <v>[워커힐]워커힐 고메 시그니처 양념 본갈비 8팩</v>
      </c>
      <c r="D391">
        <f>정규화데이터!D391</f>
        <v>58481090</v>
      </c>
      <c r="E391" s="16" t="str">
        <f>정규화데이터!E391</f>
        <v>SKU001</v>
      </c>
      <c r="F391" s="3">
        <f>정규화데이터!F391</f>
        <v>1</v>
      </c>
      <c r="G391" s="3">
        <f>정규화데이터!G391</f>
        <v>119000</v>
      </c>
      <c r="H391" s="3">
        <f>정규화데이터!H391</f>
        <v>119000</v>
      </c>
      <c r="I391" s="3">
        <f>정규화데이터!I391</f>
        <v>82110</v>
      </c>
      <c r="J391" s="3">
        <f>정규화데이터!J391</f>
        <v>108181.81818181818</v>
      </c>
      <c r="K391" s="25">
        <f>정규화데이터!K391</f>
        <v>61496</v>
      </c>
      <c r="L391" s="25">
        <f>정규화데이터!L391</f>
        <v>61496</v>
      </c>
      <c r="M391" s="21">
        <f t="shared" si="12"/>
        <v>46685.818181818177</v>
      </c>
      <c r="N391" s="52">
        <f t="shared" si="13"/>
        <v>0.43154957983193276</v>
      </c>
    </row>
    <row r="392" spans="1:14" x14ac:dyDescent="0.3">
      <c r="A392" t="str">
        <f>정규화데이터!A392</f>
        <v>SK스토아</v>
      </c>
      <c r="B392">
        <f>정규화데이터!B392</f>
        <v>20260205995563</v>
      </c>
      <c r="C392" t="str">
        <f>정규화데이터!C392</f>
        <v>[워커힐]워커힐 고메 시그니처 양념 본갈비 8팩</v>
      </c>
      <c r="D392">
        <f>정규화데이터!D392</f>
        <v>58481090</v>
      </c>
      <c r="E392" s="16" t="str">
        <f>정규화데이터!E392</f>
        <v>SKU001</v>
      </c>
      <c r="F392" s="3">
        <f>정규화데이터!F392</f>
        <v>1</v>
      </c>
      <c r="G392" s="3">
        <f>정규화데이터!G392</f>
        <v>119000</v>
      </c>
      <c r="H392" s="3">
        <f>정규화데이터!H392</f>
        <v>119000</v>
      </c>
      <c r="I392" s="3">
        <f>정규화데이터!I392</f>
        <v>82110</v>
      </c>
      <c r="J392" s="3">
        <f>정규화데이터!J392</f>
        <v>108181.81818181818</v>
      </c>
      <c r="K392" s="25">
        <f>정규화데이터!K392</f>
        <v>61496</v>
      </c>
      <c r="L392" s="25">
        <f>정규화데이터!L392</f>
        <v>61496</v>
      </c>
      <c r="M392" s="21">
        <f t="shared" si="12"/>
        <v>46685.818181818177</v>
      </c>
      <c r="N392" s="52">
        <f t="shared" si="13"/>
        <v>0.43154957983193276</v>
      </c>
    </row>
    <row r="393" spans="1:14" x14ac:dyDescent="0.3">
      <c r="A393" t="str">
        <f>정규화데이터!A393</f>
        <v>SK스토아</v>
      </c>
      <c r="B393">
        <f>정규화데이터!B393</f>
        <v>20260205994033</v>
      </c>
      <c r="C393" t="str">
        <f>정규화데이터!C393</f>
        <v>[워커힐]워커힐 고메 시그니처 양념 본갈비 8팩</v>
      </c>
      <c r="D393">
        <f>정규화데이터!D393</f>
        <v>58481090</v>
      </c>
      <c r="E393" s="16" t="str">
        <f>정규화데이터!E393</f>
        <v>SKU001</v>
      </c>
      <c r="F393" s="3">
        <f>정규화데이터!F393</f>
        <v>1</v>
      </c>
      <c r="G393" s="3">
        <f>정규화데이터!G393</f>
        <v>119000</v>
      </c>
      <c r="H393" s="3">
        <f>정규화데이터!H393</f>
        <v>119000</v>
      </c>
      <c r="I393" s="3">
        <f>정규화데이터!I393</f>
        <v>82110</v>
      </c>
      <c r="J393" s="3">
        <f>정규화데이터!J393</f>
        <v>108181.81818181818</v>
      </c>
      <c r="K393" s="25">
        <f>정규화데이터!K393</f>
        <v>61496</v>
      </c>
      <c r="L393" s="25">
        <f>정규화데이터!L393</f>
        <v>61496</v>
      </c>
      <c r="M393" s="21">
        <f t="shared" si="12"/>
        <v>46685.818181818177</v>
      </c>
      <c r="N393" s="52">
        <f t="shared" si="13"/>
        <v>0.43154957983193276</v>
      </c>
    </row>
    <row r="394" spans="1:14" x14ac:dyDescent="0.3">
      <c r="A394" t="str">
        <f>정규화데이터!A394</f>
        <v>SK스토아</v>
      </c>
      <c r="B394">
        <f>정규화데이터!B394</f>
        <v>20260205994274</v>
      </c>
      <c r="C394" t="str">
        <f>정규화데이터!C394</f>
        <v>[워커힐]워커힐 고메 시그니처 양념 본갈비 8팩</v>
      </c>
      <c r="D394">
        <f>정규화데이터!D394</f>
        <v>58481090</v>
      </c>
      <c r="E394" s="16" t="str">
        <f>정규화데이터!E394</f>
        <v>SKU001</v>
      </c>
      <c r="F394" s="3">
        <f>정규화데이터!F394</f>
        <v>1</v>
      </c>
      <c r="G394" s="3">
        <f>정규화데이터!G394</f>
        <v>119000</v>
      </c>
      <c r="H394" s="3">
        <f>정규화데이터!H394</f>
        <v>109000</v>
      </c>
      <c r="I394" s="3">
        <f>정규화데이터!I394</f>
        <v>82110</v>
      </c>
      <c r="J394" s="3">
        <f>정규화데이터!J394</f>
        <v>99090.909090909074</v>
      </c>
      <c r="K394" s="25">
        <f>정규화데이터!K394</f>
        <v>61496</v>
      </c>
      <c r="L394" s="25">
        <f>정규화데이터!L394</f>
        <v>61496</v>
      </c>
      <c r="M394" s="21">
        <f t="shared" si="12"/>
        <v>37594.909090909074</v>
      </c>
      <c r="N394" s="52">
        <f t="shared" si="13"/>
        <v>0.3793981651376146</v>
      </c>
    </row>
    <row r="395" spans="1:14" x14ac:dyDescent="0.3">
      <c r="A395" t="str">
        <f>정규화데이터!A395</f>
        <v>SK스토아</v>
      </c>
      <c r="B395">
        <f>정규화데이터!B395</f>
        <v>20260205993726</v>
      </c>
      <c r="C395" t="str">
        <f>정규화데이터!C395</f>
        <v>[워커힐]워커힐 고메 시그니처 양념 본갈비 8팩</v>
      </c>
      <c r="D395">
        <f>정규화데이터!D395</f>
        <v>58481090</v>
      </c>
      <c r="E395" s="16" t="str">
        <f>정규화데이터!E395</f>
        <v>SKU001</v>
      </c>
      <c r="F395" s="3">
        <f>정규화데이터!F395</f>
        <v>1</v>
      </c>
      <c r="G395" s="3">
        <f>정규화데이터!G395</f>
        <v>119000</v>
      </c>
      <c r="H395" s="3">
        <f>정규화데이터!H395</f>
        <v>113050</v>
      </c>
      <c r="I395" s="3">
        <f>정규화데이터!I395</f>
        <v>82110</v>
      </c>
      <c r="J395" s="3">
        <f>정규화데이터!J395</f>
        <v>102772.72727272726</v>
      </c>
      <c r="K395" s="25">
        <f>정규화데이터!K395</f>
        <v>61496</v>
      </c>
      <c r="L395" s="25">
        <f>정규화데이터!L395</f>
        <v>61496</v>
      </c>
      <c r="M395" s="21">
        <f t="shared" si="12"/>
        <v>41276.727272727265</v>
      </c>
      <c r="N395" s="52">
        <f t="shared" si="13"/>
        <v>0.40163113666519235</v>
      </c>
    </row>
    <row r="396" spans="1:14" x14ac:dyDescent="0.3">
      <c r="A396" t="str">
        <f>정규화데이터!A396</f>
        <v>SK스토아</v>
      </c>
      <c r="B396">
        <f>정규화데이터!B396</f>
        <v>20260205993741</v>
      </c>
      <c r="C396" t="str">
        <f>정규화데이터!C396</f>
        <v>[워커힐]워커힐 고메 시그니처 양념 본갈비 8팩</v>
      </c>
      <c r="D396">
        <f>정규화데이터!D396</f>
        <v>58481090</v>
      </c>
      <c r="E396" s="16" t="str">
        <f>정규화데이터!E396</f>
        <v>SKU001</v>
      </c>
      <c r="F396" s="3">
        <f>정규화데이터!F396</f>
        <v>1</v>
      </c>
      <c r="G396" s="3">
        <f>정규화데이터!G396</f>
        <v>119000</v>
      </c>
      <c r="H396" s="3">
        <f>정규화데이터!H396</f>
        <v>119000</v>
      </c>
      <c r="I396" s="3">
        <f>정규화데이터!I396</f>
        <v>82110</v>
      </c>
      <c r="J396" s="3">
        <f>정규화데이터!J396</f>
        <v>108181.81818181818</v>
      </c>
      <c r="K396" s="25">
        <f>정규화데이터!K396</f>
        <v>61496</v>
      </c>
      <c r="L396" s="25">
        <f>정규화데이터!L396</f>
        <v>61496</v>
      </c>
      <c r="M396" s="21">
        <f t="shared" si="12"/>
        <v>46685.818181818177</v>
      </c>
      <c r="N396" s="52">
        <f t="shared" si="13"/>
        <v>0.43154957983193276</v>
      </c>
    </row>
    <row r="397" spans="1:14" x14ac:dyDescent="0.3">
      <c r="A397" t="str">
        <f>정규화데이터!A397</f>
        <v>SK스토아</v>
      </c>
      <c r="B397">
        <f>정규화데이터!B397</f>
        <v>20260205992788</v>
      </c>
      <c r="C397" t="str">
        <f>정규화데이터!C397</f>
        <v>[워커힐]워커힐 고메 시그니처 양념 본갈비 8팩</v>
      </c>
      <c r="D397">
        <f>정규화데이터!D397</f>
        <v>58481090</v>
      </c>
      <c r="E397" s="16" t="str">
        <f>정규화데이터!E397</f>
        <v>SKU001</v>
      </c>
      <c r="F397" s="3">
        <f>정규화데이터!F397</f>
        <v>1</v>
      </c>
      <c r="G397" s="3">
        <f>정규화데이터!G397</f>
        <v>119000</v>
      </c>
      <c r="H397" s="3">
        <f>정규화데이터!H397</f>
        <v>119000</v>
      </c>
      <c r="I397" s="3">
        <f>정규화데이터!I397</f>
        <v>82110</v>
      </c>
      <c r="J397" s="3">
        <f>정규화데이터!J397</f>
        <v>108181.81818181818</v>
      </c>
      <c r="K397" s="25">
        <f>정규화데이터!K397</f>
        <v>61496</v>
      </c>
      <c r="L397" s="25">
        <f>정규화데이터!L397</f>
        <v>61496</v>
      </c>
      <c r="M397" s="21">
        <f t="shared" si="12"/>
        <v>46685.818181818177</v>
      </c>
      <c r="N397" s="52">
        <f t="shared" si="13"/>
        <v>0.43154957983193276</v>
      </c>
    </row>
    <row r="398" spans="1:14" x14ac:dyDescent="0.3">
      <c r="A398" t="str">
        <f>정규화데이터!A398</f>
        <v>SK스토아</v>
      </c>
      <c r="B398">
        <f>정규화데이터!B398</f>
        <v>20260205993377</v>
      </c>
      <c r="C398" t="str">
        <f>정규화데이터!C398</f>
        <v>[워커힐]워커힐 고메 시그니처 양념 본갈비 8팩</v>
      </c>
      <c r="D398">
        <f>정규화데이터!D398</f>
        <v>58481090</v>
      </c>
      <c r="E398" s="16" t="str">
        <f>정규화데이터!E398</f>
        <v>SKU001</v>
      </c>
      <c r="F398" s="3">
        <f>정규화데이터!F398</f>
        <v>1</v>
      </c>
      <c r="G398" s="3">
        <f>정규화데이터!G398</f>
        <v>119000</v>
      </c>
      <c r="H398" s="3">
        <f>정규화데이터!H398</f>
        <v>113050</v>
      </c>
      <c r="I398" s="3">
        <f>정규화데이터!I398</f>
        <v>82110</v>
      </c>
      <c r="J398" s="3">
        <f>정규화데이터!J398</f>
        <v>102772.72727272726</v>
      </c>
      <c r="K398" s="25">
        <f>정규화데이터!K398</f>
        <v>61496</v>
      </c>
      <c r="L398" s="25">
        <f>정규화데이터!L398</f>
        <v>61496</v>
      </c>
      <c r="M398" s="21">
        <f t="shared" si="12"/>
        <v>41276.727272727265</v>
      </c>
      <c r="N398" s="52">
        <f t="shared" si="13"/>
        <v>0.40163113666519235</v>
      </c>
    </row>
    <row r="399" spans="1:14" x14ac:dyDescent="0.3">
      <c r="A399" t="str">
        <f>정규화데이터!A399</f>
        <v>SK스토아</v>
      </c>
      <c r="B399">
        <f>정규화데이터!B399</f>
        <v>20260205002373</v>
      </c>
      <c r="C399" t="str">
        <f>정규화데이터!C399</f>
        <v>[워커힐]워커힐 고메 시그니처 양념 본갈비 8팩</v>
      </c>
      <c r="D399">
        <f>정규화데이터!D399</f>
        <v>58481090</v>
      </c>
      <c r="E399" s="16" t="str">
        <f>정규화데이터!E399</f>
        <v>SKU001</v>
      </c>
      <c r="F399" s="3">
        <f>정규화데이터!F399</f>
        <v>1</v>
      </c>
      <c r="G399" s="3">
        <f>정규화데이터!G399</f>
        <v>119000</v>
      </c>
      <c r="H399" s="3">
        <f>정규화데이터!H399</f>
        <v>119000</v>
      </c>
      <c r="I399" s="3">
        <f>정규화데이터!I399</f>
        <v>82110</v>
      </c>
      <c r="J399" s="3">
        <f>정규화데이터!J399</f>
        <v>108181.81818181818</v>
      </c>
      <c r="K399" s="25">
        <f>정규화데이터!K399</f>
        <v>61496</v>
      </c>
      <c r="L399" s="25">
        <f>정규화데이터!L399</f>
        <v>61496</v>
      </c>
      <c r="M399" s="21">
        <f t="shared" si="12"/>
        <v>46685.818181818177</v>
      </c>
      <c r="N399" s="52">
        <f t="shared" si="13"/>
        <v>0.43154957983193276</v>
      </c>
    </row>
    <row r="400" spans="1:14" x14ac:dyDescent="0.3">
      <c r="A400" t="str">
        <f>정규화데이터!A400</f>
        <v>SK스토아</v>
      </c>
      <c r="B400">
        <f>정규화데이터!B400</f>
        <v>20260205993491</v>
      </c>
      <c r="C400" t="str">
        <f>정규화데이터!C400</f>
        <v>[워커힐]워커힐 고메 시그니처 양념 본갈비 8팩</v>
      </c>
      <c r="D400">
        <f>정규화데이터!D400</f>
        <v>58481090</v>
      </c>
      <c r="E400" s="16" t="str">
        <f>정규화데이터!E400</f>
        <v>SKU001</v>
      </c>
      <c r="F400" s="3">
        <f>정규화데이터!F400</f>
        <v>1</v>
      </c>
      <c r="G400" s="3">
        <f>정규화데이터!G400</f>
        <v>119000</v>
      </c>
      <c r="H400" s="3">
        <f>정규화데이터!H400</f>
        <v>119000</v>
      </c>
      <c r="I400" s="3">
        <f>정규화데이터!I400</f>
        <v>82110</v>
      </c>
      <c r="J400" s="3">
        <f>정규화데이터!J400</f>
        <v>108181.81818181818</v>
      </c>
      <c r="K400" s="25">
        <f>정규화데이터!K400</f>
        <v>61496</v>
      </c>
      <c r="L400" s="25">
        <f>정규화데이터!L400</f>
        <v>61496</v>
      </c>
      <c r="M400" s="21">
        <f t="shared" si="12"/>
        <v>46685.818181818177</v>
      </c>
      <c r="N400" s="52">
        <f t="shared" si="13"/>
        <v>0.43154957983193276</v>
      </c>
    </row>
    <row r="401" spans="1:14" x14ac:dyDescent="0.3">
      <c r="A401" t="str">
        <f>정규화데이터!A401</f>
        <v>SK스토아</v>
      </c>
      <c r="B401">
        <f>정규화데이터!B401</f>
        <v>20260205993677</v>
      </c>
      <c r="C401" t="str">
        <f>정규화데이터!C401</f>
        <v>[워커힐]워커힐 고메 시그니처 양념 본갈비 8팩</v>
      </c>
      <c r="D401">
        <f>정규화데이터!D401</f>
        <v>58481090</v>
      </c>
      <c r="E401" s="16" t="str">
        <f>정규화데이터!E401</f>
        <v>SKU001</v>
      </c>
      <c r="F401" s="3">
        <f>정규화데이터!F401</f>
        <v>1</v>
      </c>
      <c r="G401" s="3">
        <f>정규화데이터!G401</f>
        <v>119000</v>
      </c>
      <c r="H401" s="3">
        <f>정규화데이터!H401</f>
        <v>119000</v>
      </c>
      <c r="I401" s="3">
        <f>정규화데이터!I401</f>
        <v>82110</v>
      </c>
      <c r="J401" s="3">
        <f>정규화데이터!J401</f>
        <v>108181.81818181818</v>
      </c>
      <c r="K401" s="25">
        <f>정규화데이터!K401</f>
        <v>61496</v>
      </c>
      <c r="L401" s="25">
        <f>정규화데이터!L401</f>
        <v>61496</v>
      </c>
      <c r="M401" s="21">
        <f t="shared" si="12"/>
        <v>46685.818181818177</v>
      </c>
      <c r="N401" s="52">
        <f t="shared" si="13"/>
        <v>0.43154957983193276</v>
      </c>
    </row>
    <row r="402" spans="1:14" x14ac:dyDescent="0.3">
      <c r="A402" t="str">
        <f>정규화데이터!A402</f>
        <v>SK스토아</v>
      </c>
      <c r="B402">
        <f>정규화데이터!B402</f>
        <v>20260205992889</v>
      </c>
      <c r="C402" t="str">
        <f>정규화데이터!C402</f>
        <v>[워커힐]워커힐 고메 시그니처 양념 본갈비 8팩</v>
      </c>
      <c r="D402">
        <f>정규화데이터!D402</f>
        <v>58481090</v>
      </c>
      <c r="E402" s="16" t="str">
        <f>정규화데이터!E402</f>
        <v>SKU001</v>
      </c>
      <c r="F402" s="3">
        <f>정규화데이터!F402</f>
        <v>1</v>
      </c>
      <c r="G402" s="3">
        <f>정규화데이터!G402</f>
        <v>119000</v>
      </c>
      <c r="H402" s="3">
        <f>정규화데이터!H402</f>
        <v>99960</v>
      </c>
      <c r="I402" s="3">
        <f>정규화데이터!I402</f>
        <v>82110</v>
      </c>
      <c r="J402" s="3">
        <f>정규화데이터!J402</f>
        <v>90872.727272727265</v>
      </c>
      <c r="K402" s="25">
        <f>정규화데이터!K402</f>
        <v>61496</v>
      </c>
      <c r="L402" s="25">
        <f>정규화데이터!L402</f>
        <v>61496</v>
      </c>
      <c r="M402" s="21">
        <f t="shared" si="12"/>
        <v>29376.727272727265</v>
      </c>
      <c r="N402" s="52">
        <f t="shared" si="13"/>
        <v>0.32327330932372944</v>
      </c>
    </row>
    <row r="403" spans="1:14" x14ac:dyDescent="0.3">
      <c r="A403" t="str">
        <f>정규화데이터!A403</f>
        <v>SK스토아</v>
      </c>
      <c r="B403">
        <f>정규화데이터!B403</f>
        <v>20260205995396</v>
      </c>
      <c r="C403" t="str">
        <f>정규화데이터!C403</f>
        <v>[워커힐]워커힐 고메 시그니처 양념 본갈비 8팩</v>
      </c>
      <c r="D403">
        <f>정규화데이터!D403</f>
        <v>58481090</v>
      </c>
      <c r="E403" s="16" t="str">
        <f>정규화데이터!E403</f>
        <v>SKU001</v>
      </c>
      <c r="F403" s="3">
        <f>정규화데이터!F403</f>
        <v>1</v>
      </c>
      <c r="G403" s="3">
        <f>정규화데이터!G403</f>
        <v>119000</v>
      </c>
      <c r="H403" s="3">
        <f>정규화데이터!H403</f>
        <v>113050</v>
      </c>
      <c r="I403" s="3">
        <f>정규화데이터!I403</f>
        <v>82110</v>
      </c>
      <c r="J403" s="3">
        <f>정규화데이터!J403</f>
        <v>102772.72727272726</v>
      </c>
      <c r="K403" s="25">
        <f>정규화데이터!K403</f>
        <v>61496</v>
      </c>
      <c r="L403" s="25">
        <f>정규화데이터!L403</f>
        <v>61496</v>
      </c>
      <c r="M403" s="21">
        <f t="shared" si="12"/>
        <v>41276.727272727265</v>
      </c>
      <c r="N403" s="52">
        <f t="shared" si="13"/>
        <v>0.40163113666519235</v>
      </c>
    </row>
    <row r="404" spans="1:14" x14ac:dyDescent="0.3">
      <c r="A404" t="str">
        <f>정규화데이터!A404</f>
        <v>SK스토아</v>
      </c>
      <c r="B404">
        <f>정규화데이터!B404</f>
        <v>20260205994136</v>
      </c>
      <c r="C404" t="str">
        <f>정규화데이터!C404</f>
        <v>[워커힐]워커힐 고메 시그니처 양념 본갈비 8팩</v>
      </c>
      <c r="D404">
        <f>정규화데이터!D404</f>
        <v>58481090</v>
      </c>
      <c r="E404" s="16" t="str">
        <f>정규화데이터!E404</f>
        <v>SKU001</v>
      </c>
      <c r="F404" s="3">
        <f>정규화데이터!F404</f>
        <v>1</v>
      </c>
      <c r="G404" s="3">
        <f>정규화데이터!G404</f>
        <v>119000</v>
      </c>
      <c r="H404" s="3">
        <f>정규화데이터!H404</f>
        <v>119000</v>
      </c>
      <c r="I404" s="3">
        <f>정규화데이터!I404</f>
        <v>82110</v>
      </c>
      <c r="J404" s="3">
        <f>정규화데이터!J404</f>
        <v>108181.81818181818</v>
      </c>
      <c r="K404" s="25">
        <f>정규화데이터!K404</f>
        <v>61496</v>
      </c>
      <c r="L404" s="25">
        <f>정규화데이터!L404</f>
        <v>61496</v>
      </c>
      <c r="M404" s="21">
        <f t="shared" si="12"/>
        <v>46685.818181818177</v>
      </c>
      <c r="N404" s="52">
        <f t="shared" si="13"/>
        <v>0.43154957983193276</v>
      </c>
    </row>
    <row r="405" spans="1:14" x14ac:dyDescent="0.3">
      <c r="A405" t="str">
        <f>정규화데이터!A405</f>
        <v>SK스토아</v>
      </c>
      <c r="B405">
        <f>정규화데이터!B405</f>
        <v>20260205994291</v>
      </c>
      <c r="C405" t="str">
        <f>정규화데이터!C405</f>
        <v>[워커힐]워커힐 고메 시그니처 양념 본갈비 8팩</v>
      </c>
      <c r="D405">
        <f>정규화데이터!D405</f>
        <v>58481090</v>
      </c>
      <c r="E405" s="16" t="str">
        <f>정규화데이터!E405</f>
        <v>SKU001</v>
      </c>
      <c r="F405" s="3">
        <f>정규화데이터!F405</f>
        <v>1</v>
      </c>
      <c r="G405" s="3">
        <f>정규화데이터!G405</f>
        <v>119000</v>
      </c>
      <c r="H405" s="3">
        <f>정규화데이터!H405</f>
        <v>119000</v>
      </c>
      <c r="I405" s="3">
        <f>정규화데이터!I405</f>
        <v>82110</v>
      </c>
      <c r="J405" s="3">
        <f>정규화데이터!J405</f>
        <v>108181.81818181818</v>
      </c>
      <c r="K405" s="25">
        <f>정규화데이터!K405</f>
        <v>61496</v>
      </c>
      <c r="L405" s="25">
        <f>정규화데이터!L405</f>
        <v>61496</v>
      </c>
      <c r="M405" s="21">
        <f t="shared" si="12"/>
        <v>46685.818181818177</v>
      </c>
      <c r="N405" s="52">
        <f t="shared" si="13"/>
        <v>0.43154957983193276</v>
      </c>
    </row>
    <row r="406" spans="1:14" x14ac:dyDescent="0.3">
      <c r="A406" t="str">
        <f>정규화데이터!A406</f>
        <v>SK스토아</v>
      </c>
      <c r="B406">
        <f>정규화데이터!B406</f>
        <v>20260205994309</v>
      </c>
      <c r="C406" t="str">
        <f>정규화데이터!C406</f>
        <v>[워커힐]워커힐 고메 시그니처 양념 본갈비 8팩</v>
      </c>
      <c r="D406">
        <f>정규화데이터!D406</f>
        <v>58481090</v>
      </c>
      <c r="E406" s="16" t="str">
        <f>정규화데이터!E406</f>
        <v>SKU001</v>
      </c>
      <c r="F406" s="3">
        <f>정규화데이터!F406</f>
        <v>1</v>
      </c>
      <c r="G406" s="3">
        <f>정규화데이터!G406</f>
        <v>119000</v>
      </c>
      <c r="H406" s="3">
        <f>정규화데이터!H406</f>
        <v>99960</v>
      </c>
      <c r="I406" s="3">
        <f>정규화데이터!I406</f>
        <v>82110</v>
      </c>
      <c r="J406" s="3">
        <f>정규화데이터!J406</f>
        <v>90872.727272727265</v>
      </c>
      <c r="K406" s="25">
        <f>정규화데이터!K406</f>
        <v>61496</v>
      </c>
      <c r="L406" s="25">
        <f>정규화데이터!L406</f>
        <v>61496</v>
      </c>
      <c r="M406" s="21">
        <f t="shared" si="12"/>
        <v>29376.727272727265</v>
      </c>
      <c r="N406" s="52">
        <f t="shared" si="13"/>
        <v>0.32327330932372944</v>
      </c>
    </row>
    <row r="407" spans="1:14" x14ac:dyDescent="0.3">
      <c r="A407" t="str">
        <f>정규화데이터!A407</f>
        <v>SK스토아</v>
      </c>
      <c r="B407">
        <f>정규화데이터!B407</f>
        <v>20260205995304</v>
      </c>
      <c r="C407" t="str">
        <f>정규화데이터!C407</f>
        <v>[워커힐]워커힐 고메 시그니처 양념 본갈비 8팩</v>
      </c>
      <c r="D407">
        <f>정규화데이터!D407</f>
        <v>58481090</v>
      </c>
      <c r="E407" s="16" t="str">
        <f>정규화데이터!E407</f>
        <v>SKU001</v>
      </c>
      <c r="F407" s="3">
        <f>정규화데이터!F407</f>
        <v>1</v>
      </c>
      <c r="G407" s="3">
        <f>정규화데이터!G407</f>
        <v>119000</v>
      </c>
      <c r="H407" s="3">
        <f>정규화데이터!H407</f>
        <v>119000</v>
      </c>
      <c r="I407" s="3">
        <f>정규화데이터!I407</f>
        <v>82110</v>
      </c>
      <c r="J407" s="3">
        <f>정규화데이터!J407</f>
        <v>108181.81818181818</v>
      </c>
      <c r="K407" s="25">
        <f>정규화데이터!K407</f>
        <v>61496</v>
      </c>
      <c r="L407" s="25">
        <f>정규화데이터!L407</f>
        <v>61496</v>
      </c>
      <c r="M407" s="21">
        <f t="shared" si="12"/>
        <v>46685.818181818177</v>
      </c>
      <c r="N407" s="52">
        <f t="shared" si="13"/>
        <v>0.43154957983193276</v>
      </c>
    </row>
    <row r="408" spans="1:14" x14ac:dyDescent="0.3">
      <c r="A408" t="str">
        <f>정규화데이터!A408</f>
        <v>SK스토아</v>
      </c>
      <c r="B408">
        <f>정규화데이터!B408</f>
        <v>20260205994179</v>
      </c>
      <c r="C408" t="str">
        <f>정규화데이터!C408</f>
        <v>[워커힐]워커힐 고메 시그니처 양념 본갈비 8팩</v>
      </c>
      <c r="D408">
        <f>정규화데이터!D408</f>
        <v>58481090</v>
      </c>
      <c r="E408" s="16" t="str">
        <f>정규화데이터!E408</f>
        <v>SKU001</v>
      </c>
      <c r="F408" s="3">
        <f>정규화데이터!F408</f>
        <v>1</v>
      </c>
      <c r="G408" s="3">
        <f>정규화데이터!G408</f>
        <v>119000</v>
      </c>
      <c r="H408" s="3">
        <f>정규화데이터!H408</f>
        <v>119000</v>
      </c>
      <c r="I408" s="3">
        <f>정규화데이터!I408</f>
        <v>82110</v>
      </c>
      <c r="J408" s="3">
        <f>정규화데이터!J408</f>
        <v>108181.81818181818</v>
      </c>
      <c r="K408" s="25">
        <f>정규화데이터!K408</f>
        <v>61496</v>
      </c>
      <c r="L408" s="25">
        <f>정규화데이터!L408</f>
        <v>61496</v>
      </c>
      <c r="M408" s="21">
        <f t="shared" si="12"/>
        <v>46685.818181818177</v>
      </c>
      <c r="N408" s="52">
        <f t="shared" si="13"/>
        <v>0.43154957983193276</v>
      </c>
    </row>
    <row r="409" spans="1:14" x14ac:dyDescent="0.3">
      <c r="A409" t="str">
        <f>정규화데이터!A409</f>
        <v>SK스토아</v>
      </c>
      <c r="B409">
        <f>정규화데이터!B409</f>
        <v>20260205993164</v>
      </c>
      <c r="C409" t="str">
        <f>정규화데이터!C409</f>
        <v>[워커힐]워커힐 고메 시그니처 양념 본갈비 8팩</v>
      </c>
      <c r="D409">
        <f>정규화데이터!D409</f>
        <v>58481090</v>
      </c>
      <c r="E409" s="16" t="str">
        <f>정규화데이터!E409</f>
        <v>SKU001</v>
      </c>
      <c r="F409" s="3">
        <f>정규화데이터!F409</f>
        <v>1</v>
      </c>
      <c r="G409" s="3">
        <f>정규화데이터!G409</f>
        <v>119000</v>
      </c>
      <c r="H409" s="3">
        <f>정규화데이터!H409</f>
        <v>119000</v>
      </c>
      <c r="I409" s="3">
        <f>정규화데이터!I409</f>
        <v>82110</v>
      </c>
      <c r="J409" s="3">
        <f>정규화데이터!J409</f>
        <v>108181.81818181818</v>
      </c>
      <c r="K409" s="25">
        <f>정규화데이터!K409</f>
        <v>61496</v>
      </c>
      <c r="L409" s="25">
        <f>정규화데이터!L409</f>
        <v>61496</v>
      </c>
      <c r="M409" s="21">
        <f t="shared" si="12"/>
        <v>46685.818181818177</v>
      </c>
      <c r="N409" s="52">
        <f t="shared" si="13"/>
        <v>0.43154957983193276</v>
      </c>
    </row>
    <row r="410" spans="1:14" x14ac:dyDescent="0.3">
      <c r="A410" t="str">
        <f>정규화데이터!A410</f>
        <v>SK스토아</v>
      </c>
      <c r="B410">
        <f>정규화데이터!B410</f>
        <v>20260205995833</v>
      </c>
      <c r="C410" t="str">
        <f>정규화데이터!C410</f>
        <v>[워커힐]워커힐 고메 시그니처 양념 본갈비 8팩</v>
      </c>
      <c r="D410">
        <f>정규화데이터!D410</f>
        <v>58481090</v>
      </c>
      <c r="E410" s="16" t="str">
        <f>정규화데이터!E410</f>
        <v>SKU001</v>
      </c>
      <c r="F410" s="3">
        <f>정규화데이터!F410</f>
        <v>1</v>
      </c>
      <c r="G410" s="3">
        <f>정규화데이터!G410</f>
        <v>119000</v>
      </c>
      <c r="H410" s="3">
        <f>정규화데이터!H410</f>
        <v>119000</v>
      </c>
      <c r="I410" s="3">
        <f>정규화데이터!I410</f>
        <v>82110</v>
      </c>
      <c r="J410" s="3">
        <f>정규화데이터!J410</f>
        <v>108181.81818181818</v>
      </c>
      <c r="K410" s="25">
        <f>정규화데이터!K410</f>
        <v>61496</v>
      </c>
      <c r="L410" s="25">
        <f>정규화데이터!L410</f>
        <v>61496</v>
      </c>
      <c r="M410" s="21">
        <f t="shared" si="12"/>
        <v>46685.818181818177</v>
      </c>
      <c r="N410" s="52">
        <f t="shared" si="13"/>
        <v>0.43154957983193276</v>
      </c>
    </row>
    <row r="411" spans="1:14" x14ac:dyDescent="0.3">
      <c r="A411" t="str">
        <f>정규화데이터!A411</f>
        <v>SK스토아</v>
      </c>
      <c r="B411">
        <f>정규화데이터!B411</f>
        <v>20260205994119</v>
      </c>
      <c r="C411" t="str">
        <f>정규화데이터!C411</f>
        <v>[워커힐]워커힐 고메 시그니처 양념 본갈비 8팩</v>
      </c>
      <c r="D411">
        <f>정규화데이터!D411</f>
        <v>58481090</v>
      </c>
      <c r="E411" s="16" t="str">
        <f>정규화데이터!E411</f>
        <v>SKU001</v>
      </c>
      <c r="F411" s="3">
        <f>정규화데이터!F411</f>
        <v>1</v>
      </c>
      <c r="G411" s="3">
        <f>정규화데이터!G411</f>
        <v>119000</v>
      </c>
      <c r="H411" s="3">
        <f>정규화데이터!H411</f>
        <v>119000</v>
      </c>
      <c r="I411" s="3">
        <f>정규화데이터!I411</f>
        <v>82110</v>
      </c>
      <c r="J411" s="3">
        <f>정규화데이터!J411</f>
        <v>108181.81818181818</v>
      </c>
      <c r="K411" s="25">
        <f>정규화데이터!K411</f>
        <v>61496</v>
      </c>
      <c r="L411" s="25">
        <f>정규화데이터!L411</f>
        <v>61496</v>
      </c>
      <c r="M411" s="21">
        <f t="shared" si="12"/>
        <v>46685.818181818177</v>
      </c>
      <c r="N411" s="52">
        <f t="shared" si="13"/>
        <v>0.43154957983193276</v>
      </c>
    </row>
    <row r="412" spans="1:14" x14ac:dyDescent="0.3">
      <c r="A412" t="str">
        <f>정규화데이터!A412</f>
        <v>SK스토아</v>
      </c>
      <c r="B412">
        <f>정규화데이터!B412</f>
        <v>20260205993950</v>
      </c>
      <c r="C412" t="str">
        <f>정규화데이터!C412</f>
        <v>[워커힐]워커힐 고메 시그니처 양념 본갈비 8팩</v>
      </c>
      <c r="D412">
        <f>정규화데이터!D412</f>
        <v>58481090</v>
      </c>
      <c r="E412" s="16" t="str">
        <f>정규화데이터!E412</f>
        <v>SKU001</v>
      </c>
      <c r="F412" s="3">
        <f>정규화데이터!F412</f>
        <v>1</v>
      </c>
      <c r="G412" s="3">
        <f>정규화데이터!G412</f>
        <v>119000</v>
      </c>
      <c r="H412" s="3">
        <f>정규화데이터!H412</f>
        <v>119000</v>
      </c>
      <c r="I412" s="3">
        <f>정규화데이터!I412</f>
        <v>82110</v>
      </c>
      <c r="J412" s="3">
        <f>정규화데이터!J412</f>
        <v>108181.81818181818</v>
      </c>
      <c r="K412" s="25">
        <f>정규화데이터!K412</f>
        <v>61496</v>
      </c>
      <c r="L412" s="25">
        <f>정규화데이터!L412</f>
        <v>61496</v>
      </c>
      <c r="M412" s="21">
        <f t="shared" si="12"/>
        <v>46685.818181818177</v>
      </c>
      <c r="N412" s="52">
        <f t="shared" si="13"/>
        <v>0.43154957983193276</v>
      </c>
    </row>
    <row r="413" spans="1:14" x14ac:dyDescent="0.3">
      <c r="A413" t="str">
        <f>정규화데이터!A413</f>
        <v>SK스토아</v>
      </c>
      <c r="B413">
        <f>정규화데이터!B413</f>
        <v>20260205993318</v>
      </c>
      <c r="C413" t="str">
        <f>정규화데이터!C413</f>
        <v>[워커힐]워커힐 고메 시그니처 양념 본갈비 8팩</v>
      </c>
      <c r="D413">
        <f>정규화데이터!D413</f>
        <v>58481090</v>
      </c>
      <c r="E413" s="16" t="str">
        <f>정규화데이터!E413</f>
        <v>SKU001</v>
      </c>
      <c r="F413" s="3">
        <f>정규화데이터!F413</f>
        <v>1</v>
      </c>
      <c r="G413" s="3">
        <f>정규화데이터!G413</f>
        <v>119000</v>
      </c>
      <c r="H413" s="3">
        <f>정규화데이터!H413</f>
        <v>113050</v>
      </c>
      <c r="I413" s="3">
        <f>정규화데이터!I413</f>
        <v>82110</v>
      </c>
      <c r="J413" s="3">
        <f>정규화데이터!J413</f>
        <v>102772.72727272726</v>
      </c>
      <c r="K413" s="25">
        <f>정규화데이터!K413</f>
        <v>61496</v>
      </c>
      <c r="L413" s="25">
        <f>정규화데이터!L413</f>
        <v>61496</v>
      </c>
      <c r="M413" s="21">
        <f t="shared" si="12"/>
        <v>41276.727272727265</v>
      </c>
      <c r="N413" s="52">
        <f t="shared" si="13"/>
        <v>0.40163113666519235</v>
      </c>
    </row>
    <row r="414" spans="1:14" x14ac:dyDescent="0.3">
      <c r="A414" t="str">
        <f>정규화데이터!A414</f>
        <v>SK스토아</v>
      </c>
      <c r="B414">
        <f>정규화데이터!B414</f>
        <v>20260205992582</v>
      </c>
      <c r="C414" t="str">
        <f>정규화데이터!C414</f>
        <v>[워커힐]워커힐 고메 시그니처 양념 본갈비 8팩</v>
      </c>
      <c r="D414">
        <f>정규화데이터!D414</f>
        <v>58481090</v>
      </c>
      <c r="E414" s="16" t="str">
        <f>정규화데이터!E414</f>
        <v>SKU001</v>
      </c>
      <c r="F414" s="3">
        <f>정규화데이터!F414</f>
        <v>1</v>
      </c>
      <c r="G414" s="3">
        <f>정규화데이터!G414</f>
        <v>119000</v>
      </c>
      <c r="H414" s="3">
        <f>정규화데이터!H414</f>
        <v>119000</v>
      </c>
      <c r="I414" s="3">
        <f>정규화데이터!I414</f>
        <v>82110</v>
      </c>
      <c r="J414" s="3">
        <f>정규화데이터!J414</f>
        <v>108181.81818181818</v>
      </c>
      <c r="K414" s="25">
        <f>정규화데이터!K414</f>
        <v>61496</v>
      </c>
      <c r="L414" s="25">
        <f>정규화데이터!L414</f>
        <v>61496</v>
      </c>
      <c r="M414" s="21">
        <f t="shared" si="12"/>
        <v>46685.818181818177</v>
      </c>
      <c r="N414" s="52">
        <f t="shared" si="13"/>
        <v>0.43154957983193276</v>
      </c>
    </row>
    <row r="415" spans="1:14" x14ac:dyDescent="0.3">
      <c r="A415" t="str">
        <f>정규화데이터!A415</f>
        <v>SK스토아</v>
      </c>
      <c r="B415">
        <f>정규화데이터!B415</f>
        <v>20260205993262</v>
      </c>
      <c r="C415" t="str">
        <f>정규화데이터!C415</f>
        <v>[워커힐]워커힐 고메 시그니처 양념 본갈비 8팩</v>
      </c>
      <c r="D415">
        <f>정규화데이터!D415</f>
        <v>58481090</v>
      </c>
      <c r="E415" s="16" t="str">
        <f>정규화데이터!E415</f>
        <v>SKU001</v>
      </c>
      <c r="F415" s="3">
        <f>정규화데이터!F415</f>
        <v>1</v>
      </c>
      <c r="G415" s="3">
        <f>정규화데이터!G415</f>
        <v>119000</v>
      </c>
      <c r="H415" s="3">
        <f>정규화데이터!H415</f>
        <v>119000</v>
      </c>
      <c r="I415" s="3">
        <f>정규화데이터!I415</f>
        <v>82110</v>
      </c>
      <c r="J415" s="3">
        <f>정규화데이터!J415</f>
        <v>108181.81818181818</v>
      </c>
      <c r="K415" s="25">
        <f>정규화데이터!K415</f>
        <v>61496</v>
      </c>
      <c r="L415" s="25">
        <f>정규화데이터!L415</f>
        <v>61496</v>
      </c>
      <c r="M415" s="21">
        <f t="shared" si="12"/>
        <v>46685.818181818177</v>
      </c>
      <c r="N415" s="52">
        <f t="shared" si="13"/>
        <v>0.43154957983193276</v>
      </c>
    </row>
    <row r="416" spans="1:14" x14ac:dyDescent="0.3">
      <c r="A416" t="str">
        <f>정규화데이터!A416</f>
        <v>SK스토아</v>
      </c>
      <c r="B416">
        <f>정규화데이터!B416</f>
        <v>20260205994495</v>
      </c>
      <c r="C416" t="str">
        <f>정규화데이터!C416</f>
        <v>[워커힐]워커힐 고메 시그니처 양념 본갈비 8팩</v>
      </c>
      <c r="D416">
        <f>정규화데이터!D416</f>
        <v>58481090</v>
      </c>
      <c r="E416" s="16" t="str">
        <f>정규화데이터!E416</f>
        <v>SKU001</v>
      </c>
      <c r="F416" s="3">
        <f>정규화데이터!F416</f>
        <v>1</v>
      </c>
      <c r="G416" s="3">
        <f>정규화데이터!G416</f>
        <v>119000</v>
      </c>
      <c r="H416" s="3">
        <f>정규화데이터!H416</f>
        <v>114000</v>
      </c>
      <c r="I416" s="3">
        <f>정규화데이터!I416</f>
        <v>82110</v>
      </c>
      <c r="J416" s="3">
        <f>정규화데이터!J416</f>
        <v>103636.36363636365</v>
      </c>
      <c r="K416" s="25">
        <f>정규화데이터!K416</f>
        <v>61496</v>
      </c>
      <c r="L416" s="25">
        <f>정규화데이터!L416</f>
        <v>61496</v>
      </c>
      <c r="M416" s="21">
        <f t="shared" si="12"/>
        <v>42140.363636363647</v>
      </c>
      <c r="N416" s="52">
        <f t="shared" si="13"/>
        <v>0.40661754385964921</v>
      </c>
    </row>
    <row r="417" spans="1:14" x14ac:dyDescent="0.3">
      <c r="A417" t="str">
        <f>정규화데이터!A417</f>
        <v>SK스토아</v>
      </c>
      <c r="B417">
        <f>정규화데이터!B417</f>
        <v>20260205995261</v>
      </c>
      <c r="C417" t="str">
        <f>정규화데이터!C417</f>
        <v>[워커힐]워커힐 고메 시그니처 양념 본갈비 8팩</v>
      </c>
      <c r="D417">
        <f>정규화데이터!D417</f>
        <v>58481090</v>
      </c>
      <c r="E417" s="16" t="str">
        <f>정규화데이터!E417</f>
        <v>SKU001</v>
      </c>
      <c r="F417" s="3">
        <f>정규화데이터!F417</f>
        <v>1</v>
      </c>
      <c r="G417" s="3">
        <f>정규화데이터!G417</f>
        <v>119000</v>
      </c>
      <c r="H417" s="3">
        <f>정규화데이터!H417</f>
        <v>109000</v>
      </c>
      <c r="I417" s="3">
        <f>정규화데이터!I417</f>
        <v>82110</v>
      </c>
      <c r="J417" s="3">
        <f>정규화데이터!J417</f>
        <v>99090.909090909074</v>
      </c>
      <c r="K417" s="25">
        <f>정규화데이터!K417</f>
        <v>61496</v>
      </c>
      <c r="L417" s="25">
        <f>정규화데이터!L417</f>
        <v>61496</v>
      </c>
      <c r="M417" s="21">
        <f t="shared" si="12"/>
        <v>37594.909090909074</v>
      </c>
      <c r="N417" s="52">
        <f t="shared" si="13"/>
        <v>0.3793981651376146</v>
      </c>
    </row>
    <row r="418" spans="1:14" x14ac:dyDescent="0.3">
      <c r="A418" t="str">
        <f>정규화데이터!A418</f>
        <v>SK스토아</v>
      </c>
      <c r="B418">
        <f>정규화데이터!B418</f>
        <v>20260205994416</v>
      </c>
      <c r="C418" t="str">
        <f>정규화데이터!C418</f>
        <v>[워커힐]워커힐 고메 시그니처 양념 본갈비 8팩</v>
      </c>
      <c r="D418">
        <f>정규화데이터!D418</f>
        <v>58481090</v>
      </c>
      <c r="E418" s="16" t="str">
        <f>정규화데이터!E418</f>
        <v>SKU001</v>
      </c>
      <c r="F418" s="3">
        <f>정규화데이터!F418</f>
        <v>1</v>
      </c>
      <c r="G418" s="3">
        <f>정규화데이터!G418</f>
        <v>119000</v>
      </c>
      <c r="H418" s="3">
        <f>정규화데이터!H418</f>
        <v>119000</v>
      </c>
      <c r="I418" s="3">
        <f>정규화데이터!I418</f>
        <v>82110</v>
      </c>
      <c r="J418" s="3">
        <f>정규화데이터!J418</f>
        <v>108181.81818181818</v>
      </c>
      <c r="K418" s="25">
        <f>정규화데이터!K418</f>
        <v>61496</v>
      </c>
      <c r="L418" s="25">
        <f>정규화데이터!L418</f>
        <v>61496</v>
      </c>
      <c r="M418" s="21">
        <f t="shared" si="12"/>
        <v>46685.818181818177</v>
      </c>
      <c r="N418" s="52">
        <f t="shared" si="13"/>
        <v>0.43154957983193276</v>
      </c>
    </row>
    <row r="419" spans="1:14" x14ac:dyDescent="0.3">
      <c r="A419" t="str">
        <f>정규화데이터!A419</f>
        <v>SK스토아</v>
      </c>
      <c r="B419">
        <f>정규화데이터!B419</f>
        <v>20260205994123</v>
      </c>
      <c r="C419" t="str">
        <f>정규화데이터!C419</f>
        <v>[워커힐]워커힐 고메 시그니처 양념 본갈비 8팩</v>
      </c>
      <c r="D419">
        <f>정규화데이터!D419</f>
        <v>58481090</v>
      </c>
      <c r="E419" s="16" t="str">
        <f>정규화데이터!E419</f>
        <v>SKU001</v>
      </c>
      <c r="F419" s="3">
        <f>정규화데이터!F419</f>
        <v>1</v>
      </c>
      <c r="G419" s="3">
        <f>정규화데이터!G419</f>
        <v>119000</v>
      </c>
      <c r="H419" s="3">
        <f>정규화데이터!H419</f>
        <v>119000</v>
      </c>
      <c r="I419" s="3">
        <f>정규화데이터!I419</f>
        <v>82110</v>
      </c>
      <c r="J419" s="3">
        <f>정규화데이터!J419</f>
        <v>108181.81818181818</v>
      </c>
      <c r="K419" s="25">
        <f>정규화데이터!K419</f>
        <v>61496</v>
      </c>
      <c r="L419" s="25">
        <f>정규화데이터!L419</f>
        <v>61496</v>
      </c>
      <c r="M419" s="21">
        <f t="shared" si="12"/>
        <v>46685.818181818177</v>
      </c>
      <c r="N419" s="52">
        <f t="shared" si="13"/>
        <v>0.43154957983193276</v>
      </c>
    </row>
    <row r="420" spans="1:14" x14ac:dyDescent="0.3">
      <c r="A420" t="str">
        <f>정규화데이터!A420</f>
        <v>SK스토아</v>
      </c>
      <c r="B420">
        <f>정규화데이터!B420</f>
        <v>20260205993773</v>
      </c>
      <c r="C420" t="str">
        <f>정규화데이터!C420</f>
        <v>[워커힐]워커힐 고메 시그니처 양념 본갈비 8팩</v>
      </c>
      <c r="D420">
        <f>정규화데이터!D420</f>
        <v>58481090</v>
      </c>
      <c r="E420" s="16" t="str">
        <f>정규화데이터!E420</f>
        <v>SKU001</v>
      </c>
      <c r="F420" s="3">
        <f>정규화데이터!F420</f>
        <v>1</v>
      </c>
      <c r="G420" s="3">
        <f>정규화데이터!G420</f>
        <v>119000</v>
      </c>
      <c r="H420" s="3">
        <f>정규화데이터!H420</f>
        <v>113050</v>
      </c>
      <c r="I420" s="3">
        <f>정규화데이터!I420</f>
        <v>82110</v>
      </c>
      <c r="J420" s="3">
        <f>정규화데이터!J420</f>
        <v>102772.72727272726</v>
      </c>
      <c r="K420" s="25">
        <f>정규화데이터!K420</f>
        <v>61496</v>
      </c>
      <c r="L420" s="25">
        <f>정규화데이터!L420</f>
        <v>61496</v>
      </c>
      <c r="M420" s="21">
        <f t="shared" si="12"/>
        <v>41276.727272727265</v>
      </c>
      <c r="N420" s="52">
        <f t="shared" si="13"/>
        <v>0.40163113666519235</v>
      </c>
    </row>
    <row r="421" spans="1:14" x14ac:dyDescent="0.3">
      <c r="A421" t="str">
        <f>정규화데이터!A421</f>
        <v>SK스토아</v>
      </c>
      <c r="B421">
        <f>정규화데이터!B421</f>
        <v>20260205993527</v>
      </c>
      <c r="C421" t="str">
        <f>정규화데이터!C421</f>
        <v>[워커힐]워커힐 고메 시그니처 양념 본갈비 8팩</v>
      </c>
      <c r="D421">
        <f>정규화데이터!D421</f>
        <v>58481090</v>
      </c>
      <c r="E421" s="16" t="str">
        <f>정규화데이터!E421</f>
        <v>SKU001</v>
      </c>
      <c r="F421" s="3">
        <f>정규화데이터!F421</f>
        <v>1</v>
      </c>
      <c r="G421" s="3">
        <f>정규화데이터!G421</f>
        <v>119000</v>
      </c>
      <c r="H421" s="3">
        <f>정규화데이터!H421</f>
        <v>113050</v>
      </c>
      <c r="I421" s="3">
        <f>정규화데이터!I421</f>
        <v>82110</v>
      </c>
      <c r="J421" s="3">
        <f>정규화데이터!J421</f>
        <v>102772.72727272726</v>
      </c>
      <c r="K421" s="25">
        <f>정규화데이터!K421</f>
        <v>61496</v>
      </c>
      <c r="L421" s="25">
        <f>정규화데이터!L421</f>
        <v>61496</v>
      </c>
      <c r="M421" s="21">
        <f t="shared" si="12"/>
        <v>41276.727272727265</v>
      </c>
      <c r="N421" s="52">
        <f t="shared" si="13"/>
        <v>0.40163113666519235</v>
      </c>
    </row>
    <row r="422" spans="1:14" x14ac:dyDescent="0.3">
      <c r="A422" t="str">
        <f>정규화데이터!A422</f>
        <v>SK스토아</v>
      </c>
      <c r="B422">
        <f>정규화데이터!B422</f>
        <v>20260205993977</v>
      </c>
      <c r="C422" t="str">
        <f>정규화데이터!C422</f>
        <v>[워커힐]워커힐 고메 시그니처 양념 본갈비 8팩</v>
      </c>
      <c r="D422">
        <f>정규화데이터!D422</f>
        <v>58481090</v>
      </c>
      <c r="E422" s="16" t="str">
        <f>정규화데이터!E422</f>
        <v>SKU001</v>
      </c>
      <c r="F422" s="3">
        <f>정규화데이터!F422</f>
        <v>1</v>
      </c>
      <c r="G422" s="3">
        <f>정규화데이터!G422</f>
        <v>119000</v>
      </c>
      <c r="H422" s="3">
        <f>정규화데이터!H422</f>
        <v>119000</v>
      </c>
      <c r="I422" s="3">
        <f>정규화데이터!I422</f>
        <v>82110</v>
      </c>
      <c r="J422" s="3">
        <f>정규화데이터!J422</f>
        <v>108181.81818181818</v>
      </c>
      <c r="K422" s="25">
        <f>정규화데이터!K422</f>
        <v>61496</v>
      </c>
      <c r="L422" s="25">
        <f>정규화데이터!L422</f>
        <v>61496</v>
      </c>
      <c r="M422" s="21">
        <f t="shared" si="12"/>
        <v>46685.818181818177</v>
      </c>
      <c r="N422" s="52">
        <f t="shared" si="13"/>
        <v>0.43154957983193276</v>
      </c>
    </row>
    <row r="423" spans="1:14" x14ac:dyDescent="0.3">
      <c r="A423" t="str">
        <f>정규화데이터!A423</f>
        <v>SK스토아</v>
      </c>
      <c r="B423">
        <f>정규화데이터!B423</f>
        <v>20260205993559</v>
      </c>
      <c r="C423" t="str">
        <f>정규화데이터!C423</f>
        <v>[워커힐]워커힐 고메 시그니처 양념 본갈비 8팩</v>
      </c>
      <c r="D423">
        <f>정규화데이터!D423</f>
        <v>58481090</v>
      </c>
      <c r="E423" s="16" t="str">
        <f>정규화데이터!E423</f>
        <v>SKU001</v>
      </c>
      <c r="F423" s="3">
        <f>정규화데이터!F423</f>
        <v>1</v>
      </c>
      <c r="G423" s="3">
        <f>정규화데이터!G423</f>
        <v>119000</v>
      </c>
      <c r="H423" s="3">
        <f>정규화데이터!H423</f>
        <v>119000</v>
      </c>
      <c r="I423" s="3">
        <f>정규화데이터!I423</f>
        <v>82110</v>
      </c>
      <c r="J423" s="3">
        <f>정규화데이터!J423</f>
        <v>108181.81818181818</v>
      </c>
      <c r="K423" s="25">
        <f>정규화데이터!K423</f>
        <v>61496</v>
      </c>
      <c r="L423" s="25">
        <f>정규화데이터!L423</f>
        <v>61496</v>
      </c>
      <c r="M423" s="21">
        <f t="shared" si="12"/>
        <v>46685.818181818177</v>
      </c>
      <c r="N423" s="52">
        <f t="shared" si="13"/>
        <v>0.43154957983193276</v>
      </c>
    </row>
    <row r="424" spans="1:14" x14ac:dyDescent="0.3">
      <c r="A424" t="str">
        <f>정규화데이터!A424</f>
        <v>SK스토아</v>
      </c>
      <c r="B424">
        <f>정규화데이터!B424</f>
        <v>20260205992777</v>
      </c>
      <c r="C424" t="str">
        <f>정규화데이터!C424</f>
        <v>[워커힐]워커힐 고메 시그니처 양념 본갈비 8팩</v>
      </c>
      <c r="D424">
        <f>정규화데이터!D424</f>
        <v>58481090</v>
      </c>
      <c r="E424" s="16" t="str">
        <f>정규화데이터!E424</f>
        <v>SKU001</v>
      </c>
      <c r="F424" s="3">
        <f>정규화데이터!F424</f>
        <v>1</v>
      </c>
      <c r="G424" s="3">
        <f>정규화데이터!G424</f>
        <v>119000</v>
      </c>
      <c r="H424" s="3">
        <f>정규화데이터!H424</f>
        <v>119000</v>
      </c>
      <c r="I424" s="3">
        <f>정규화데이터!I424</f>
        <v>82110</v>
      </c>
      <c r="J424" s="3">
        <f>정규화데이터!J424</f>
        <v>108181.81818181818</v>
      </c>
      <c r="K424" s="25">
        <f>정규화데이터!K424</f>
        <v>61496</v>
      </c>
      <c r="L424" s="25">
        <f>정규화데이터!L424</f>
        <v>61496</v>
      </c>
      <c r="M424" s="21">
        <f t="shared" si="12"/>
        <v>46685.818181818177</v>
      </c>
      <c r="N424" s="52">
        <f t="shared" si="13"/>
        <v>0.43154957983193276</v>
      </c>
    </row>
    <row r="425" spans="1:14" x14ac:dyDescent="0.3">
      <c r="A425" t="str">
        <f>정규화데이터!A425</f>
        <v>SK스토아</v>
      </c>
      <c r="B425">
        <f>정규화데이터!B425</f>
        <v>20260205992824</v>
      </c>
      <c r="C425" t="str">
        <f>정규화데이터!C425</f>
        <v>[워커힐]워커힐 고메 시그니처 양념 본갈비 8팩</v>
      </c>
      <c r="D425">
        <f>정규화데이터!D425</f>
        <v>58481090</v>
      </c>
      <c r="E425" s="16" t="str">
        <f>정규화데이터!E425</f>
        <v>SKU001</v>
      </c>
      <c r="F425" s="3">
        <f>정규화데이터!F425</f>
        <v>1</v>
      </c>
      <c r="G425" s="3">
        <f>정규화데이터!G425</f>
        <v>119000</v>
      </c>
      <c r="H425" s="3">
        <f>정규화데이터!H425</f>
        <v>119000</v>
      </c>
      <c r="I425" s="3">
        <f>정규화데이터!I425</f>
        <v>82110</v>
      </c>
      <c r="J425" s="3">
        <f>정규화데이터!J425</f>
        <v>108181.81818181818</v>
      </c>
      <c r="K425" s="25">
        <f>정규화데이터!K425</f>
        <v>61496</v>
      </c>
      <c r="L425" s="25">
        <f>정규화데이터!L425</f>
        <v>61496</v>
      </c>
      <c r="M425" s="21">
        <f t="shared" si="12"/>
        <v>46685.818181818177</v>
      </c>
      <c r="N425" s="52">
        <f t="shared" si="13"/>
        <v>0.43154957983193276</v>
      </c>
    </row>
    <row r="426" spans="1:14" x14ac:dyDescent="0.3">
      <c r="A426" t="str">
        <f>정규화데이터!A426</f>
        <v>SK스토아</v>
      </c>
      <c r="B426">
        <f>정규화데이터!B426</f>
        <v>20260205993046</v>
      </c>
      <c r="C426" t="str">
        <f>정규화데이터!C426</f>
        <v>[워커힐]워커힐 고메 시그니처 양념 본갈비 8팩</v>
      </c>
      <c r="D426">
        <f>정규화데이터!D426</f>
        <v>58481090</v>
      </c>
      <c r="E426" s="16" t="str">
        <f>정규화데이터!E426</f>
        <v>SKU001</v>
      </c>
      <c r="F426" s="3">
        <f>정규화데이터!F426</f>
        <v>1</v>
      </c>
      <c r="G426" s="3">
        <f>정규화데이터!G426</f>
        <v>119000</v>
      </c>
      <c r="H426" s="3">
        <f>정규화데이터!H426</f>
        <v>119000</v>
      </c>
      <c r="I426" s="3">
        <f>정규화데이터!I426</f>
        <v>82110</v>
      </c>
      <c r="J426" s="3">
        <f>정규화데이터!J426</f>
        <v>108181.81818181818</v>
      </c>
      <c r="K426" s="25">
        <f>정규화데이터!K426</f>
        <v>61496</v>
      </c>
      <c r="L426" s="25">
        <f>정규화데이터!L426</f>
        <v>61496</v>
      </c>
      <c r="M426" s="21">
        <f t="shared" si="12"/>
        <v>46685.818181818177</v>
      </c>
      <c r="N426" s="52">
        <f t="shared" si="13"/>
        <v>0.43154957983193276</v>
      </c>
    </row>
    <row r="427" spans="1:14" x14ac:dyDescent="0.3">
      <c r="A427" t="str">
        <f>정규화데이터!A427</f>
        <v>SK스토아</v>
      </c>
      <c r="B427">
        <f>정규화데이터!B427</f>
        <v>20260205993001</v>
      </c>
      <c r="C427" t="str">
        <f>정규화데이터!C427</f>
        <v>[워커힐]워커힐 고메 시그니처 양념 본갈비 8팩</v>
      </c>
      <c r="D427">
        <f>정규화데이터!D427</f>
        <v>58481090</v>
      </c>
      <c r="E427" s="16" t="str">
        <f>정규화데이터!E427</f>
        <v>SKU001</v>
      </c>
      <c r="F427" s="3">
        <f>정규화데이터!F427</f>
        <v>1</v>
      </c>
      <c r="G427" s="3">
        <f>정규화데이터!G427</f>
        <v>119000</v>
      </c>
      <c r="H427" s="3">
        <f>정규화데이터!H427</f>
        <v>119000</v>
      </c>
      <c r="I427" s="3">
        <f>정규화데이터!I427</f>
        <v>82110</v>
      </c>
      <c r="J427" s="3">
        <f>정규화데이터!J427</f>
        <v>108181.81818181818</v>
      </c>
      <c r="K427" s="25">
        <f>정규화데이터!K427</f>
        <v>61496</v>
      </c>
      <c r="L427" s="25">
        <f>정규화데이터!L427</f>
        <v>61496</v>
      </c>
      <c r="M427" s="21">
        <f t="shared" si="12"/>
        <v>46685.818181818177</v>
      </c>
      <c r="N427" s="52">
        <f t="shared" si="13"/>
        <v>0.43154957983193276</v>
      </c>
    </row>
    <row r="428" spans="1:14" x14ac:dyDescent="0.3">
      <c r="A428" t="str">
        <f>정규화데이터!A428</f>
        <v>SK스토아</v>
      </c>
      <c r="B428">
        <f>정규화데이터!B428</f>
        <v>20260205993000</v>
      </c>
      <c r="C428" t="str">
        <f>정규화데이터!C428</f>
        <v>[워커힐]워커힐 고메 시그니처 양념 본갈비 8팩</v>
      </c>
      <c r="D428">
        <f>정규화데이터!D428</f>
        <v>58481090</v>
      </c>
      <c r="E428" s="16" t="str">
        <f>정규화데이터!E428</f>
        <v>SKU001</v>
      </c>
      <c r="F428" s="3">
        <f>정규화데이터!F428</f>
        <v>1</v>
      </c>
      <c r="G428" s="3">
        <f>정규화데이터!G428</f>
        <v>119000</v>
      </c>
      <c r="H428" s="3">
        <f>정규화데이터!H428</f>
        <v>119000</v>
      </c>
      <c r="I428" s="3">
        <f>정규화데이터!I428</f>
        <v>82110</v>
      </c>
      <c r="J428" s="3">
        <f>정규화데이터!J428</f>
        <v>108181.81818181818</v>
      </c>
      <c r="K428" s="25">
        <f>정규화데이터!K428</f>
        <v>61496</v>
      </c>
      <c r="L428" s="25">
        <f>정규화데이터!L428</f>
        <v>61496</v>
      </c>
      <c r="M428" s="21">
        <f t="shared" si="12"/>
        <v>46685.818181818177</v>
      </c>
      <c r="N428" s="52">
        <f t="shared" si="13"/>
        <v>0.43154957983193276</v>
      </c>
    </row>
    <row r="429" spans="1:14" x14ac:dyDescent="0.3">
      <c r="A429" t="str">
        <f>정규화데이터!A429</f>
        <v>SK스토아</v>
      </c>
      <c r="B429">
        <f>정규화데이터!B429</f>
        <v>20260205993784</v>
      </c>
      <c r="C429" t="str">
        <f>정규화데이터!C429</f>
        <v>[워커힐]워커힐 고메 시그니처 양념 본갈비 8팩</v>
      </c>
      <c r="D429">
        <f>정규화데이터!D429</f>
        <v>58481090</v>
      </c>
      <c r="E429" s="16" t="str">
        <f>정규화데이터!E429</f>
        <v>SKU001</v>
      </c>
      <c r="F429" s="3">
        <f>정규화데이터!F429</f>
        <v>1</v>
      </c>
      <c r="G429" s="3">
        <f>정규화데이터!G429</f>
        <v>119000</v>
      </c>
      <c r="H429" s="3">
        <f>정규화데이터!H429</f>
        <v>119000</v>
      </c>
      <c r="I429" s="3">
        <f>정규화데이터!I429</f>
        <v>82110</v>
      </c>
      <c r="J429" s="3">
        <f>정규화데이터!J429</f>
        <v>108181.81818181818</v>
      </c>
      <c r="K429" s="25">
        <f>정규화데이터!K429</f>
        <v>61496</v>
      </c>
      <c r="L429" s="25">
        <f>정규화데이터!L429</f>
        <v>61496</v>
      </c>
      <c r="M429" s="21">
        <f t="shared" si="12"/>
        <v>46685.818181818177</v>
      </c>
      <c r="N429" s="52">
        <f t="shared" si="13"/>
        <v>0.43154957983193276</v>
      </c>
    </row>
    <row r="430" spans="1:14" x14ac:dyDescent="0.3">
      <c r="A430" t="str">
        <f>정규화데이터!A430</f>
        <v>SK스토아</v>
      </c>
      <c r="B430">
        <f>정규화데이터!B430</f>
        <v>20260205995541</v>
      </c>
      <c r="C430" t="str">
        <f>정규화데이터!C430</f>
        <v>[워커힐]워커힐 고메 시그니처 양념 본갈비 8팩</v>
      </c>
      <c r="D430">
        <f>정규화데이터!D430</f>
        <v>58481090</v>
      </c>
      <c r="E430" s="16" t="str">
        <f>정규화데이터!E430</f>
        <v>SKU001</v>
      </c>
      <c r="F430" s="3">
        <f>정규화데이터!F430</f>
        <v>1</v>
      </c>
      <c r="G430" s="3">
        <f>정규화데이터!G430</f>
        <v>119000</v>
      </c>
      <c r="H430" s="3">
        <f>정규화데이터!H430</f>
        <v>119000</v>
      </c>
      <c r="I430" s="3">
        <f>정규화데이터!I430</f>
        <v>82110</v>
      </c>
      <c r="J430" s="3">
        <f>정규화데이터!J430</f>
        <v>108181.81818181818</v>
      </c>
      <c r="K430" s="25">
        <f>정규화데이터!K430</f>
        <v>61496</v>
      </c>
      <c r="L430" s="25">
        <f>정규화데이터!L430</f>
        <v>61496</v>
      </c>
      <c r="M430" s="21">
        <f t="shared" si="12"/>
        <v>46685.818181818177</v>
      </c>
      <c r="N430" s="52">
        <f t="shared" si="13"/>
        <v>0.43154957983193276</v>
      </c>
    </row>
    <row r="431" spans="1:14" x14ac:dyDescent="0.3">
      <c r="A431" t="str">
        <f>정규화데이터!A431</f>
        <v>SK스토아</v>
      </c>
      <c r="B431">
        <f>정규화데이터!B431</f>
        <v>20260205995287</v>
      </c>
      <c r="C431" t="str">
        <f>정규화데이터!C431</f>
        <v>[워커힐]워커힐 고메 시그니처 양념 본갈비 8팩</v>
      </c>
      <c r="D431">
        <f>정규화데이터!D431</f>
        <v>58481090</v>
      </c>
      <c r="E431" s="16" t="str">
        <f>정규화데이터!E431</f>
        <v>SKU001</v>
      </c>
      <c r="F431" s="3">
        <f>정규화데이터!F431</f>
        <v>1</v>
      </c>
      <c r="G431" s="3">
        <f>정규화데이터!G431</f>
        <v>119000</v>
      </c>
      <c r="H431" s="3">
        <f>정규화데이터!H431</f>
        <v>119000</v>
      </c>
      <c r="I431" s="3">
        <f>정규화데이터!I431</f>
        <v>82110</v>
      </c>
      <c r="J431" s="3">
        <f>정규화데이터!J431</f>
        <v>108181.81818181818</v>
      </c>
      <c r="K431" s="25">
        <f>정규화데이터!K431</f>
        <v>61496</v>
      </c>
      <c r="L431" s="25">
        <f>정규화데이터!L431</f>
        <v>61496</v>
      </c>
      <c r="M431" s="21">
        <f t="shared" si="12"/>
        <v>46685.818181818177</v>
      </c>
      <c r="N431" s="52">
        <f t="shared" si="13"/>
        <v>0.43154957983193276</v>
      </c>
    </row>
    <row r="432" spans="1:14" x14ac:dyDescent="0.3">
      <c r="A432" t="str">
        <f>정규화데이터!A432</f>
        <v>SK스토아</v>
      </c>
      <c r="B432">
        <f>정규화데이터!B432</f>
        <v>20260205994452</v>
      </c>
      <c r="C432" t="str">
        <f>정규화데이터!C432</f>
        <v>[워커힐]워커힐 고메 시그니처 양념 본갈비 8팩</v>
      </c>
      <c r="D432">
        <f>정규화데이터!D432</f>
        <v>58481090</v>
      </c>
      <c r="E432" s="16" t="str">
        <f>정규화데이터!E432</f>
        <v>SKU001</v>
      </c>
      <c r="F432" s="3">
        <f>정규화데이터!F432</f>
        <v>1</v>
      </c>
      <c r="G432" s="3">
        <f>정규화데이터!G432</f>
        <v>119000</v>
      </c>
      <c r="H432" s="3">
        <f>정규화데이터!H432</f>
        <v>119000</v>
      </c>
      <c r="I432" s="3">
        <f>정규화데이터!I432</f>
        <v>82110</v>
      </c>
      <c r="J432" s="3">
        <f>정규화데이터!J432</f>
        <v>108181.81818181818</v>
      </c>
      <c r="K432" s="25">
        <f>정규화데이터!K432</f>
        <v>61496</v>
      </c>
      <c r="L432" s="25">
        <f>정규화데이터!L432</f>
        <v>61496</v>
      </c>
      <c r="M432" s="21">
        <f t="shared" si="12"/>
        <v>46685.818181818177</v>
      </c>
      <c r="N432" s="52">
        <f t="shared" si="13"/>
        <v>0.43154957983193276</v>
      </c>
    </row>
    <row r="433" spans="1:14" x14ac:dyDescent="0.3">
      <c r="A433" t="str">
        <f>정규화데이터!A433</f>
        <v>SK스토아</v>
      </c>
      <c r="B433">
        <f>정규화데이터!B433</f>
        <v>20260205994705</v>
      </c>
      <c r="C433" t="str">
        <f>정규화데이터!C433</f>
        <v>[워커힐]워커힐 고메 시그니처 양념 본갈비 8팩</v>
      </c>
      <c r="D433">
        <f>정규화데이터!D433</f>
        <v>58481090</v>
      </c>
      <c r="E433" s="16" t="str">
        <f>정규화데이터!E433</f>
        <v>SKU001</v>
      </c>
      <c r="F433" s="3">
        <f>정규화데이터!F433</f>
        <v>1</v>
      </c>
      <c r="G433" s="3">
        <f>정규화데이터!G433</f>
        <v>119000</v>
      </c>
      <c r="H433" s="3">
        <f>정규화데이터!H433</f>
        <v>119000</v>
      </c>
      <c r="I433" s="3">
        <f>정규화데이터!I433</f>
        <v>82110</v>
      </c>
      <c r="J433" s="3">
        <f>정규화데이터!J433</f>
        <v>108181.81818181818</v>
      </c>
      <c r="K433" s="25">
        <f>정규화데이터!K433</f>
        <v>61496</v>
      </c>
      <c r="L433" s="25">
        <f>정규화데이터!L433</f>
        <v>61496</v>
      </c>
      <c r="M433" s="21">
        <f t="shared" si="12"/>
        <v>46685.818181818177</v>
      </c>
      <c r="N433" s="52">
        <f t="shared" si="13"/>
        <v>0.43154957983193276</v>
      </c>
    </row>
    <row r="434" spans="1:14" x14ac:dyDescent="0.3">
      <c r="A434" t="str">
        <f>정규화데이터!A434</f>
        <v>SK스토아</v>
      </c>
      <c r="B434">
        <f>정규화데이터!B434</f>
        <v>20260205995017</v>
      </c>
      <c r="C434" t="str">
        <f>정규화데이터!C434</f>
        <v>[워커힐]워커힐 고메 시그니처 양념 본갈비 8팩</v>
      </c>
      <c r="D434">
        <f>정규화데이터!D434</f>
        <v>58481090</v>
      </c>
      <c r="E434" s="16" t="str">
        <f>정규화데이터!E434</f>
        <v>SKU001</v>
      </c>
      <c r="F434" s="3">
        <f>정규화데이터!F434</f>
        <v>1</v>
      </c>
      <c r="G434" s="3">
        <f>정규화데이터!G434</f>
        <v>119000</v>
      </c>
      <c r="H434" s="3">
        <f>정규화데이터!H434</f>
        <v>119000</v>
      </c>
      <c r="I434" s="3">
        <f>정규화데이터!I434</f>
        <v>82110</v>
      </c>
      <c r="J434" s="3">
        <f>정규화데이터!J434</f>
        <v>108181.81818181818</v>
      </c>
      <c r="K434" s="25">
        <f>정규화데이터!K434</f>
        <v>61496</v>
      </c>
      <c r="L434" s="25">
        <f>정규화데이터!L434</f>
        <v>61496</v>
      </c>
      <c r="M434" s="21">
        <f t="shared" si="12"/>
        <v>46685.818181818177</v>
      </c>
      <c r="N434" s="52">
        <f t="shared" si="13"/>
        <v>0.43154957983193276</v>
      </c>
    </row>
    <row r="435" spans="1:14" x14ac:dyDescent="0.3">
      <c r="A435" t="str">
        <f>정규화데이터!A435</f>
        <v>SK스토아</v>
      </c>
      <c r="B435">
        <f>정규화데이터!B435</f>
        <v>20260205995647</v>
      </c>
      <c r="C435" t="str">
        <f>정규화데이터!C435</f>
        <v>[워커힐]워커힐 고메 시그니처 양념 본갈비 8팩</v>
      </c>
      <c r="D435">
        <f>정규화데이터!D435</f>
        <v>58999583</v>
      </c>
      <c r="E435" s="16" t="str">
        <f>정규화데이터!E435</f>
        <v>SKU001</v>
      </c>
      <c r="F435" s="3">
        <f>정규화데이터!F435</f>
        <v>1</v>
      </c>
      <c r="G435" s="3">
        <f>정규화데이터!G435</f>
        <v>119000</v>
      </c>
      <c r="H435" s="3">
        <f>정규화데이터!H435</f>
        <v>119000</v>
      </c>
      <c r="I435" s="3">
        <f>정규화데이터!I435</f>
        <v>82110</v>
      </c>
      <c r="J435" s="3">
        <f>정규화데이터!J435</f>
        <v>108181.81818181818</v>
      </c>
      <c r="K435" s="25">
        <f>정규화데이터!K435</f>
        <v>61496</v>
      </c>
      <c r="L435" s="25">
        <f>정규화데이터!L435</f>
        <v>61496</v>
      </c>
      <c r="M435" s="21">
        <f t="shared" si="12"/>
        <v>46685.818181818177</v>
      </c>
      <c r="N435" s="52">
        <f t="shared" si="13"/>
        <v>0.43154957983193276</v>
      </c>
    </row>
    <row r="436" spans="1:14" x14ac:dyDescent="0.3">
      <c r="A436" t="str">
        <f>정규화데이터!A436</f>
        <v>SK스토아</v>
      </c>
      <c r="B436">
        <f>정규화데이터!B436</f>
        <v>20260205998293</v>
      </c>
      <c r="C436" t="str">
        <f>정규화데이터!C436</f>
        <v>[워커힐]워커힐 고메 시그니처 양념 본갈비 8팩</v>
      </c>
      <c r="D436">
        <f>정규화데이터!D436</f>
        <v>58999583</v>
      </c>
      <c r="E436" s="16" t="str">
        <f>정규화데이터!E436</f>
        <v>SKU001</v>
      </c>
      <c r="F436" s="3">
        <f>정규화데이터!F436</f>
        <v>1</v>
      </c>
      <c r="G436" s="3">
        <f>정규화데이터!G436</f>
        <v>119000</v>
      </c>
      <c r="H436" s="3">
        <f>정규화데이터!H436</f>
        <v>119000</v>
      </c>
      <c r="I436" s="3">
        <f>정규화데이터!I436</f>
        <v>82110</v>
      </c>
      <c r="J436" s="3">
        <f>정규화데이터!J436</f>
        <v>108181.81818181818</v>
      </c>
      <c r="K436" s="25">
        <f>정규화데이터!K436</f>
        <v>61496</v>
      </c>
      <c r="L436" s="25">
        <f>정규화데이터!L436</f>
        <v>61496</v>
      </c>
      <c r="M436" s="21">
        <f t="shared" si="12"/>
        <v>46685.818181818177</v>
      </c>
      <c r="N436" s="52">
        <f t="shared" si="13"/>
        <v>0.43154957983193276</v>
      </c>
    </row>
    <row r="437" spans="1:14" x14ac:dyDescent="0.3">
      <c r="A437" t="str">
        <f>정규화데이터!A437</f>
        <v>SK스토아</v>
      </c>
      <c r="B437">
        <f>정규화데이터!B437</f>
        <v>20260206633008</v>
      </c>
      <c r="C437" t="str">
        <f>정규화데이터!C437</f>
        <v>[워커힐]워커힐 시그니처 양념 본갈비 4팩</v>
      </c>
      <c r="D437">
        <f>정규화데이터!D437</f>
        <v>59163204</v>
      </c>
      <c r="E437" s="16" t="str">
        <f>정규화데이터!E437</f>
        <v>SKU001</v>
      </c>
      <c r="F437" s="3">
        <f>정규화데이터!F437</f>
        <v>1</v>
      </c>
      <c r="G437" s="3">
        <f>정규화데이터!G437</f>
        <v>78000</v>
      </c>
      <c r="H437" s="3">
        <f>정규화데이터!H437</f>
        <v>66300</v>
      </c>
      <c r="I437" s="3">
        <f>정규화데이터!I437</f>
        <v>53820</v>
      </c>
      <c r="J437" s="3">
        <f>정규화데이터!J437</f>
        <v>60272.727272727272</v>
      </c>
      <c r="K437" s="25">
        <f>정규화데이터!K437</f>
        <v>30748</v>
      </c>
      <c r="L437" s="25">
        <f>정규화데이터!L437</f>
        <v>30748</v>
      </c>
      <c r="M437" s="21">
        <f t="shared" si="12"/>
        <v>29524.727272727272</v>
      </c>
      <c r="N437" s="52">
        <f t="shared" si="13"/>
        <v>0.48985218702865763</v>
      </c>
    </row>
    <row r="438" spans="1:14" x14ac:dyDescent="0.3">
      <c r="A438" t="str">
        <f>정규화데이터!A438</f>
        <v>SK스토아</v>
      </c>
      <c r="B438">
        <f>정규화데이터!B438</f>
        <v>20260205995006</v>
      </c>
      <c r="C438" t="str">
        <f>정규화데이터!C438</f>
        <v>[워커힐]워커힐 고메 시그니처 양념 본갈비 8팩</v>
      </c>
      <c r="D438">
        <f>정규화데이터!D438</f>
        <v>58481090</v>
      </c>
      <c r="E438" s="16" t="str">
        <f>정규화데이터!E438</f>
        <v>SKU001</v>
      </c>
      <c r="F438" s="3">
        <f>정규화데이터!F438</f>
        <v>1</v>
      </c>
      <c r="G438" s="3">
        <f>정규화데이터!G438</f>
        <v>119000</v>
      </c>
      <c r="H438" s="3">
        <f>정규화데이터!H438</f>
        <v>119000</v>
      </c>
      <c r="I438" s="3">
        <f>정규화데이터!I438</f>
        <v>82110</v>
      </c>
      <c r="J438" s="3">
        <f>정규화데이터!J438</f>
        <v>108181.81818181818</v>
      </c>
      <c r="K438" s="25">
        <f>정규화데이터!K438</f>
        <v>61496</v>
      </c>
      <c r="L438" s="25">
        <f>정규화데이터!L438</f>
        <v>61496</v>
      </c>
      <c r="M438" s="21">
        <f t="shared" si="12"/>
        <v>46685.818181818177</v>
      </c>
      <c r="N438" s="52">
        <f t="shared" si="13"/>
        <v>0.43154957983193276</v>
      </c>
    </row>
    <row r="439" spans="1:14" x14ac:dyDescent="0.3">
      <c r="A439" t="str">
        <f>정규화데이터!A439</f>
        <v>SK스토아</v>
      </c>
      <c r="B439">
        <f>정규화데이터!B439</f>
        <v>20260205992912</v>
      </c>
      <c r="C439" t="str">
        <f>정규화데이터!C439</f>
        <v>[워커힐]워커힐 고메 시그니처 양념 본갈비 8팩</v>
      </c>
      <c r="D439">
        <f>정규화데이터!D439</f>
        <v>58481090</v>
      </c>
      <c r="E439" s="16" t="str">
        <f>정규화데이터!E439</f>
        <v>SKU001</v>
      </c>
      <c r="F439" s="3">
        <f>정규화데이터!F439</f>
        <v>1</v>
      </c>
      <c r="G439" s="3">
        <f>정규화데이터!G439</f>
        <v>119000</v>
      </c>
      <c r="H439" s="3">
        <f>정규화데이터!H439</f>
        <v>119000</v>
      </c>
      <c r="I439" s="3">
        <f>정규화데이터!I439</f>
        <v>82110</v>
      </c>
      <c r="J439" s="3">
        <f>정규화데이터!J439</f>
        <v>108181.81818181818</v>
      </c>
      <c r="K439" s="25">
        <f>정규화데이터!K439</f>
        <v>61496</v>
      </c>
      <c r="L439" s="25">
        <f>정규화데이터!L439</f>
        <v>61496</v>
      </c>
      <c r="M439" s="21">
        <f t="shared" si="12"/>
        <v>46685.818181818177</v>
      </c>
      <c r="N439" s="52">
        <f t="shared" si="13"/>
        <v>0.43154957983193276</v>
      </c>
    </row>
    <row r="440" spans="1:14" x14ac:dyDescent="0.3">
      <c r="A440" t="str">
        <f>정규화데이터!A440</f>
        <v>SK스토아</v>
      </c>
      <c r="B440">
        <f>정규화데이터!B440</f>
        <v>20260208259331</v>
      </c>
      <c r="C440" t="str">
        <f>정규화데이터!C440</f>
        <v>[워커힐]워커힐 고메 시그니처 양념 본갈비 8팩</v>
      </c>
      <c r="D440">
        <f>정규화데이터!D440</f>
        <v>58481090</v>
      </c>
      <c r="E440" s="16" t="str">
        <f>정규화데이터!E440</f>
        <v>SKU001</v>
      </c>
      <c r="F440" s="3">
        <f>정규화데이터!F440</f>
        <v>1</v>
      </c>
      <c r="G440" s="3">
        <f>정규화데이터!G440</f>
        <v>119000</v>
      </c>
      <c r="H440" s="3">
        <f>정규화데이터!H440</f>
        <v>113050</v>
      </c>
      <c r="I440" s="3">
        <f>정규화데이터!I440</f>
        <v>82110</v>
      </c>
      <c r="J440" s="3">
        <f>정규화데이터!J440</f>
        <v>102772.72727272726</v>
      </c>
      <c r="K440" s="25">
        <f>정규화데이터!K440</f>
        <v>61496</v>
      </c>
      <c r="L440" s="25">
        <f>정규화데이터!L440</f>
        <v>61496</v>
      </c>
      <c r="M440" s="21">
        <f t="shared" si="12"/>
        <v>41276.727272727265</v>
      </c>
      <c r="N440" s="52">
        <f t="shared" si="13"/>
        <v>0.40163113666519235</v>
      </c>
    </row>
    <row r="441" spans="1:14" x14ac:dyDescent="0.3">
      <c r="A441" t="str">
        <f>정규화데이터!A441</f>
        <v>SK스토아</v>
      </c>
      <c r="B441">
        <f>정규화데이터!B441</f>
        <v>20260208260475</v>
      </c>
      <c r="C441" t="str">
        <f>정규화데이터!C441</f>
        <v>[워커힐]워커힐 고메 시그니처 양념 본갈비 8팩</v>
      </c>
      <c r="D441">
        <f>정규화데이터!D441</f>
        <v>58481090</v>
      </c>
      <c r="E441" s="16" t="str">
        <f>정규화데이터!E441</f>
        <v>SKU001</v>
      </c>
      <c r="F441" s="3">
        <f>정규화데이터!F441</f>
        <v>1</v>
      </c>
      <c r="G441" s="3">
        <f>정규화데이터!G441</f>
        <v>119000</v>
      </c>
      <c r="H441" s="3">
        <f>정규화데이터!H441</f>
        <v>113050</v>
      </c>
      <c r="I441" s="3">
        <f>정규화데이터!I441</f>
        <v>82110</v>
      </c>
      <c r="J441" s="3">
        <f>정규화데이터!J441</f>
        <v>102772.72727272726</v>
      </c>
      <c r="K441" s="25">
        <f>정규화데이터!K441</f>
        <v>61496</v>
      </c>
      <c r="L441" s="25">
        <f>정규화데이터!L441</f>
        <v>61496</v>
      </c>
      <c r="M441" s="21">
        <f t="shared" si="12"/>
        <v>41276.727272727265</v>
      </c>
      <c r="N441" s="52">
        <f t="shared" si="13"/>
        <v>0.40163113666519235</v>
      </c>
    </row>
    <row r="442" spans="1:14" x14ac:dyDescent="0.3">
      <c r="A442" t="str">
        <f>정규화데이터!A442</f>
        <v>SK스토아</v>
      </c>
      <c r="B442">
        <f>정규화데이터!B442</f>
        <v>20260207158331</v>
      </c>
      <c r="C442" t="str">
        <f>정규화데이터!C442</f>
        <v>[워커힐]워커힐 고메 시그니처 양념 본갈비 8팩</v>
      </c>
      <c r="D442">
        <f>정규화데이터!D442</f>
        <v>58481090</v>
      </c>
      <c r="E442" s="16" t="str">
        <f>정규화데이터!E442</f>
        <v>SKU001</v>
      </c>
      <c r="F442" s="3">
        <f>정규화데이터!F442</f>
        <v>1</v>
      </c>
      <c r="G442" s="3">
        <f>정규화데이터!G442</f>
        <v>119000</v>
      </c>
      <c r="H442" s="3">
        <f>정규화데이터!H442</f>
        <v>113050</v>
      </c>
      <c r="I442" s="3">
        <f>정규화데이터!I442</f>
        <v>82110</v>
      </c>
      <c r="J442" s="3">
        <f>정규화데이터!J442</f>
        <v>102772.72727272726</v>
      </c>
      <c r="K442" s="25">
        <f>정규화데이터!K442</f>
        <v>61496</v>
      </c>
      <c r="L442" s="25">
        <f>정규화데이터!L442</f>
        <v>61496</v>
      </c>
      <c r="M442" s="21">
        <f t="shared" si="12"/>
        <v>41276.727272727265</v>
      </c>
      <c r="N442" s="52">
        <f t="shared" si="13"/>
        <v>0.40163113666519235</v>
      </c>
    </row>
    <row r="443" spans="1:14" x14ac:dyDescent="0.3">
      <c r="A443" t="str">
        <f>정규화데이터!A443</f>
        <v>SK스토아</v>
      </c>
      <c r="B443">
        <f>정규화데이터!B443</f>
        <v>20260208229524</v>
      </c>
      <c r="C443" t="str">
        <f>정규화데이터!C443</f>
        <v>[워커힐]워커힐 고메 시그니처 양념 본갈비 8팩</v>
      </c>
      <c r="D443">
        <f>정규화데이터!D443</f>
        <v>58481090</v>
      </c>
      <c r="E443" s="16" t="str">
        <f>정규화데이터!E443</f>
        <v>SKU001</v>
      </c>
      <c r="F443" s="3">
        <f>정규화데이터!F443</f>
        <v>1</v>
      </c>
      <c r="G443" s="3">
        <f>정규화데이터!G443</f>
        <v>119000</v>
      </c>
      <c r="H443" s="3">
        <f>정규화데이터!H443</f>
        <v>113050</v>
      </c>
      <c r="I443" s="3">
        <f>정규화데이터!I443</f>
        <v>82110</v>
      </c>
      <c r="J443" s="3">
        <f>정규화데이터!J443</f>
        <v>102772.72727272726</v>
      </c>
      <c r="K443" s="25">
        <f>정규화데이터!K443</f>
        <v>61496</v>
      </c>
      <c r="L443" s="25">
        <f>정규화데이터!L443</f>
        <v>61496</v>
      </c>
      <c r="M443" s="21">
        <f t="shared" si="12"/>
        <v>41276.727272727265</v>
      </c>
      <c r="N443" s="52">
        <f t="shared" si="13"/>
        <v>0.40163113666519235</v>
      </c>
    </row>
    <row r="444" spans="1:14" x14ac:dyDescent="0.3">
      <c r="A444" t="str">
        <f>정규화데이터!A444</f>
        <v>SK스토아</v>
      </c>
      <c r="B444">
        <f>정규화데이터!B444</f>
        <v>20260208244830</v>
      </c>
      <c r="C444" t="str">
        <f>정규화데이터!C444</f>
        <v>[워커힐]워커힐 고메 시그니처 양념 본갈비 8팩</v>
      </c>
      <c r="D444">
        <f>정규화데이터!D444</f>
        <v>58481090</v>
      </c>
      <c r="E444" s="16" t="str">
        <f>정규화데이터!E444</f>
        <v>SKU001</v>
      </c>
      <c r="F444" s="3">
        <f>정규화데이터!F444</f>
        <v>1</v>
      </c>
      <c r="G444" s="3">
        <f>정규화데이터!G444</f>
        <v>119000</v>
      </c>
      <c r="H444" s="3">
        <f>정규화데이터!H444</f>
        <v>113050</v>
      </c>
      <c r="I444" s="3">
        <f>정규화데이터!I444</f>
        <v>82110</v>
      </c>
      <c r="J444" s="3">
        <f>정규화데이터!J444</f>
        <v>102772.72727272726</v>
      </c>
      <c r="K444" s="25">
        <f>정규화데이터!K444</f>
        <v>61496</v>
      </c>
      <c r="L444" s="25">
        <f>정규화데이터!L444</f>
        <v>61496</v>
      </c>
      <c r="M444" s="21">
        <f t="shared" si="12"/>
        <v>41276.727272727265</v>
      </c>
      <c r="N444" s="52">
        <f t="shared" si="13"/>
        <v>0.40163113666519235</v>
      </c>
    </row>
    <row r="445" spans="1:14" x14ac:dyDescent="0.3">
      <c r="A445" t="str">
        <f>정규화데이터!A445</f>
        <v>SK스토아</v>
      </c>
      <c r="B445">
        <f>정규화데이터!B445</f>
        <v>20260207151522</v>
      </c>
      <c r="C445" t="str">
        <f>정규화데이터!C445</f>
        <v>[워커힐]워커힐 고메 시그니처 양념 본갈비 8팩</v>
      </c>
      <c r="D445">
        <f>정규화데이터!D445</f>
        <v>58481090</v>
      </c>
      <c r="E445" s="16" t="str">
        <f>정규화데이터!E445</f>
        <v>SKU001</v>
      </c>
      <c r="F445" s="3">
        <f>정규화데이터!F445</f>
        <v>1</v>
      </c>
      <c r="G445" s="3">
        <f>정규화데이터!G445</f>
        <v>119000</v>
      </c>
      <c r="H445" s="3">
        <f>정규화데이터!H445</f>
        <v>119000</v>
      </c>
      <c r="I445" s="3">
        <f>정규화데이터!I445</f>
        <v>82110</v>
      </c>
      <c r="J445" s="3">
        <f>정규화데이터!J445</f>
        <v>108181.81818181818</v>
      </c>
      <c r="K445" s="25">
        <f>정규화데이터!K445</f>
        <v>61496</v>
      </c>
      <c r="L445" s="25">
        <f>정규화데이터!L445</f>
        <v>61496</v>
      </c>
      <c r="M445" s="21">
        <f t="shared" si="12"/>
        <v>46685.818181818177</v>
      </c>
      <c r="N445" s="52">
        <f t="shared" si="13"/>
        <v>0.43154957983193276</v>
      </c>
    </row>
    <row r="446" spans="1:14" x14ac:dyDescent="0.3">
      <c r="A446" t="str">
        <f>정규화데이터!A446</f>
        <v>SK스토아</v>
      </c>
      <c r="B446">
        <f>정규화데이터!B446</f>
        <v>20260210360594</v>
      </c>
      <c r="C446" t="str">
        <f>정규화데이터!C446</f>
        <v>[워커힐]워커힐 고메 시그니처 양념 본갈비 8팩</v>
      </c>
      <c r="D446">
        <f>정규화데이터!D446</f>
        <v>58481090</v>
      </c>
      <c r="E446" s="16" t="str">
        <f>정규화데이터!E446</f>
        <v>SKU001</v>
      </c>
      <c r="F446" s="3">
        <f>정규화데이터!F446</f>
        <v>1</v>
      </c>
      <c r="G446" s="3">
        <f>정규화데이터!G446</f>
        <v>119000</v>
      </c>
      <c r="H446" s="3">
        <f>정규화데이터!H446</f>
        <v>119000</v>
      </c>
      <c r="I446" s="3">
        <f>정규화데이터!I446</f>
        <v>80920</v>
      </c>
      <c r="J446" s="3">
        <f>정규화데이터!J446</f>
        <v>108181.81818181818</v>
      </c>
      <c r="K446" s="25">
        <f>정규화데이터!K446</f>
        <v>61496</v>
      </c>
      <c r="L446" s="25">
        <f>정규화데이터!L446</f>
        <v>61496</v>
      </c>
      <c r="M446" s="21">
        <f t="shared" si="12"/>
        <v>46685.818181818177</v>
      </c>
      <c r="N446" s="52">
        <f t="shared" si="13"/>
        <v>0.43154957983193276</v>
      </c>
    </row>
    <row r="447" spans="1:14" x14ac:dyDescent="0.3">
      <c r="A447" t="str">
        <f>정규화데이터!A447</f>
        <v>SK스토아</v>
      </c>
      <c r="B447">
        <f>정규화데이터!B447</f>
        <v>20260207150468</v>
      </c>
      <c r="C447" t="str">
        <f>정규화데이터!C447</f>
        <v>[워커힐]워커힐 고메 시그니처 양념 본갈비 8팩</v>
      </c>
      <c r="D447">
        <f>정규화데이터!D447</f>
        <v>58481090</v>
      </c>
      <c r="E447" s="16" t="str">
        <f>정규화데이터!E447</f>
        <v>SKU001</v>
      </c>
      <c r="F447" s="3">
        <f>정규화데이터!F447</f>
        <v>1</v>
      </c>
      <c r="G447" s="3">
        <f>정규화데이터!G447</f>
        <v>119000</v>
      </c>
      <c r="H447" s="3">
        <f>정규화데이터!H447</f>
        <v>113050</v>
      </c>
      <c r="I447" s="3">
        <f>정규화데이터!I447</f>
        <v>82110</v>
      </c>
      <c r="J447" s="3">
        <f>정규화데이터!J447</f>
        <v>102772.72727272726</v>
      </c>
      <c r="K447" s="25">
        <f>정규화데이터!K447</f>
        <v>61496</v>
      </c>
      <c r="L447" s="25">
        <f>정규화데이터!L447</f>
        <v>61496</v>
      </c>
      <c r="M447" s="21">
        <f t="shared" si="12"/>
        <v>41276.727272727265</v>
      </c>
      <c r="N447" s="52">
        <f t="shared" si="13"/>
        <v>0.40163113666519235</v>
      </c>
    </row>
    <row r="448" spans="1:14" x14ac:dyDescent="0.3">
      <c r="A448" t="str">
        <f>정규화데이터!A448</f>
        <v>SK스토아</v>
      </c>
      <c r="B448">
        <f>정규화데이터!B448</f>
        <v>20260209873932</v>
      </c>
      <c r="C448" t="str">
        <f>정규화데이터!C448</f>
        <v>[워커힐]워커힐 고메 시그니처 양념 본갈비 8팩</v>
      </c>
      <c r="D448">
        <f>정규화데이터!D448</f>
        <v>58481090</v>
      </c>
      <c r="E448" s="16" t="str">
        <f>정규화데이터!E448</f>
        <v>SKU001</v>
      </c>
      <c r="F448" s="3">
        <f>정규화데이터!F448</f>
        <v>1</v>
      </c>
      <c r="G448" s="3">
        <f>정규화데이터!G448</f>
        <v>119000</v>
      </c>
      <c r="H448" s="3">
        <f>정규화데이터!H448</f>
        <v>105910</v>
      </c>
      <c r="I448" s="3">
        <f>정규화데이터!I448</f>
        <v>82110</v>
      </c>
      <c r="J448" s="3">
        <f>정규화데이터!J448</f>
        <v>96281.818181818177</v>
      </c>
      <c r="K448" s="25">
        <f>정규화데이터!K448</f>
        <v>61496</v>
      </c>
      <c r="L448" s="25">
        <f>정규화데이터!L448</f>
        <v>61496</v>
      </c>
      <c r="M448" s="21">
        <f t="shared" si="12"/>
        <v>34785.818181818177</v>
      </c>
      <c r="N448" s="52">
        <f t="shared" si="13"/>
        <v>0.36129166273250868</v>
      </c>
    </row>
    <row r="449" spans="1:14" x14ac:dyDescent="0.3">
      <c r="A449" t="str">
        <f>정규화데이터!A449</f>
        <v>SK스토아</v>
      </c>
      <c r="B449">
        <f>정규화데이터!B449</f>
        <v>20260206659552</v>
      </c>
      <c r="C449" t="str">
        <f>정규화데이터!C449</f>
        <v>[워커힐]워커힐 고메 시그니처 양념 본갈비 8팩</v>
      </c>
      <c r="D449">
        <f>정규화데이터!D449</f>
        <v>58481090</v>
      </c>
      <c r="E449" s="16" t="str">
        <f>정규화데이터!E449</f>
        <v>SKU001</v>
      </c>
      <c r="F449" s="3">
        <f>정규화데이터!F449</f>
        <v>1</v>
      </c>
      <c r="G449" s="3">
        <f>정규화데이터!G449</f>
        <v>119000</v>
      </c>
      <c r="H449" s="3">
        <f>정규화데이터!H449</f>
        <v>113050</v>
      </c>
      <c r="I449" s="3">
        <f>정규화데이터!I449</f>
        <v>82110</v>
      </c>
      <c r="J449" s="3">
        <f>정규화데이터!J449</f>
        <v>102772.72727272726</v>
      </c>
      <c r="K449" s="25">
        <f>정규화데이터!K449</f>
        <v>61496</v>
      </c>
      <c r="L449" s="25">
        <f>정규화데이터!L449</f>
        <v>61496</v>
      </c>
      <c r="M449" s="21">
        <f t="shared" si="12"/>
        <v>41276.727272727265</v>
      </c>
      <c r="N449" s="52">
        <f t="shared" si="13"/>
        <v>0.40163113666519235</v>
      </c>
    </row>
    <row r="450" spans="1:14" x14ac:dyDescent="0.3">
      <c r="A450" t="str">
        <f>정규화데이터!A450</f>
        <v>SK스토아</v>
      </c>
      <c r="B450">
        <f>정규화데이터!B450</f>
        <v>20260206651056</v>
      </c>
      <c r="C450" t="str">
        <f>정규화데이터!C450</f>
        <v>[워커힐]워커힐 고메 시그니처 양념 본갈비 8팩</v>
      </c>
      <c r="D450">
        <f>정규화데이터!D450</f>
        <v>58481090</v>
      </c>
      <c r="E450" s="16" t="str">
        <f>정규화데이터!E450</f>
        <v>SKU001</v>
      </c>
      <c r="F450" s="3">
        <f>정규화데이터!F450</f>
        <v>1</v>
      </c>
      <c r="G450" s="3">
        <f>정규화데이터!G450</f>
        <v>119000</v>
      </c>
      <c r="H450" s="3">
        <f>정규화데이터!H450</f>
        <v>113050</v>
      </c>
      <c r="I450" s="3">
        <f>정규화데이터!I450</f>
        <v>82110</v>
      </c>
      <c r="J450" s="3">
        <f>정규화데이터!J450</f>
        <v>102772.72727272726</v>
      </c>
      <c r="K450" s="25">
        <f>정규화데이터!K450</f>
        <v>61496</v>
      </c>
      <c r="L450" s="25">
        <f>정규화데이터!L450</f>
        <v>61496</v>
      </c>
      <c r="M450" s="21">
        <f t="shared" si="12"/>
        <v>41276.727272727265</v>
      </c>
      <c r="N450" s="52">
        <f t="shared" si="13"/>
        <v>0.40163113666519235</v>
      </c>
    </row>
    <row r="451" spans="1:14" x14ac:dyDescent="0.3">
      <c r="A451" t="str">
        <f>정규화데이터!A451</f>
        <v>SK스토아</v>
      </c>
      <c r="B451">
        <f>정규화데이터!B451</f>
        <v>20260207124110</v>
      </c>
      <c r="C451" t="str">
        <f>정규화데이터!C451</f>
        <v>[워커힐]워커힐 고메 시그니처 양념 본갈비 8팩</v>
      </c>
      <c r="D451">
        <f>정규화데이터!D451</f>
        <v>58481090</v>
      </c>
      <c r="E451" s="16" t="str">
        <f>정규화데이터!E451</f>
        <v>SKU001</v>
      </c>
      <c r="F451" s="3">
        <f>정규화데이터!F451</f>
        <v>1</v>
      </c>
      <c r="G451" s="3">
        <f>정규화데이터!G451</f>
        <v>119000</v>
      </c>
      <c r="H451" s="3">
        <f>정규화데이터!H451</f>
        <v>113050</v>
      </c>
      <c r="I451" s="3">
        <f>정규화데이터!I451</f>
        <v>82110</v>
      </c>
      <c r="J451" s="3">
        <f>정규화데이터!J451</f>
        <v>102772.72727272726</v>
      </c>
      <c r="K451" s="25">
        <f>정규화데이터!K451</f>
        <v>61496</v>
      </c>
      <c r="L451" s="25">
        <f>정규화데이터!L451</f>
        <v>61496</v>
      </c>
      <c r="M451" s="21">
        <f t="shared" ref="M451:M514" si="14">J451-L451</f>
        <v>41276.727272727265</v>
      </c>
      <c r="N451" s="52">
        <f t="shared" ref="N451:N514" si="15">IF(J451=0,0,M451/J451)</f>
        <v>0.40163113666519235</v>
      </c>
    </row>
    <row r="452" spans="1:14" x14ac:dyDescent="0.3">
      <c r="A452" t="str">
        <f>정규화데이터!A452</f>
        <v>SK스토아</v>
      </c>
      <c r="B452">
        <f>정규화데이터!B452</f>
        <v>20260208259329</v>
      </c>
      <c r="C452" t="str">
        <f>정규화데이터!C452</f>
        <v>[워커힐]워커힐 고메 시그니처 양념 본갈비 8팩</v>
      </c>
      <c r="D452">
        <f>정규화데이터!D452</f>
        <v>58481090</v>
      </c>
      <c r="E452" s="16" t="str">
        <f>정규화데이터!E452</f>
        <v>SKU001</v>
      </c>
      <c r="F452" s="3">
        <f>정규화데이터!F452</f>
        <v>1</v>
      </c>
      <c r="G452" s="3">
        <f>정규화데이터!G452</f>
        <v>119000</v>
      </c>
      <c r="H452" s="3">
        <f>정규화데이터!H452</f>
        <v>113050</v>
      </c>
      <c r="I452" s="3">
        <f>정규화데이터!I452</f>
        <v>82110</v>
      </c>
      <c r="J452" s="3">
        <f>정규화데이터!J452</f>
        <v>102772.72727272726</v>
      </c>
      <c r="K452" s="25">
        <f>정규화데이터!K452</f>
        <v>61496</v>
      </c>
      <c r="L452" s="25">
        <f>정규화데이터!L452</f>
        <v>61496</v>
      </c>
      <c r="M452" s="21">
        <f t="shared" si="14"/>
        <v>41276.727272727265</v>
      </c>
      <c r="N452" s="52">
        <f t="shared" si="15"/>
        <v>0.40163113666519235</v>
      </c>
    </row>
    <row r="453" spans="1:14" x14ac:dyDescent="0.3">
      <c r="A453" t="str">
        <f>정규화데이터!A453</f>
        <v>SK스토아</v>
      </c>
      <c r="B453">
        <f>정규화데이터!B453</f>
        <v>20260207150472</v>
      </c>
      <c r="C453" t="str">
        <f>정규화데이터!C453</f>
        <v>[워커힐]워커힐 고메 시그니처 양념 본갈비 8팩</v>
      </c>
      <c r="D453">
        <f>정규화데이터!D453</f>
        <v>58481090</v>
      </c>
      <c r="E453" s="16" t="str">
        <f>정규화데이터!E453</f>
        <v>SKU001</v>
      </c>
      <c r="F453" s="3">
        <f>정규화데이터!F453</f>
        <v>1</v>
      </c>
      <c r="G453" s="3">
        <f>정규화데이터!G453</f>
        <v>119000</v>
      </c>
      <c r="H453" s="3">
        <f>정규화데이터!H453</f>
        <v>113050</v>
      </c>
      <c r="I453" s="3">
        <f>정규화데이터!I453</f>
        <v>82110</v>
      </c>
      <c r="J453" s="3">
        <f>정규화데이터!J453</f>
        <v>102772.72727272726</v>
      </c>
      <c r="K453" s="25">
        <f>정규화데이터!K453</f>
        <v>61496</v>
      </c>
      <c r="L453" s="25">
        <f>정규화데이터!L453</f>
        <v>61496</v>
      </c>
      <c r="M453" s="21">
        <f t="shared" si="14"/>
        <v>41276.727272727265</v>
      </c>
      <c r="N453" s="52">
        <f t="shared" si="15"/>
        <v>0.40163113666519235</v>
      </c>
    </row>
    <row r="454" spans="1:14" x14ac:dyDescent="0.3">
      <c r="A454" t="str">
        <f>정규화데이터!A454</f>
        <v>SK스토아</v>
      </c>
      <c r="B454">
        <f>정규화데이터!B454</f>
        <v>20260207147250</v>
      </c>
      <c r="C454" t="str">
        <f>정규화데이터!C454</f>
        <v>[워커힐]워커힐 고메 시그니처 양념 본갈비 8팩</v>
      </c>
      <c r="D454">
        <f>정규화데이터!D454</f>
        <v>58481090</v>
      </c>
      <c r="E454" s="16" t="str">
        <f>정규화데이터!E454</f>
        <v>SKU001</v>
      </c>
      <c r="F454" s="3">
        <f>정규화데이터!F454</f>
        <v>1</v>
      </c>
      <c r="G454" s="3">
        <f>정규화데이터!G454</f>
        <v>119000</v>
      </c>
      <c r="H454" s="3">
        <f>정규화데이터!H454</f>
        <v>113050</v>
      </c>
      <c r="I454" s="3">
        <f>정규화데이터!I454</f>
        <v>82110</v>
      </c>
      <c r="J454" s="3">
        <f>정규화데이터!J454</f>
        <v>102772.72727272726</v>
      </c>
      <c r="K454" s="25">
        <f>정규화데이터!K454</f>
        <v>61496</v>
      </c>
      <c r="L454" s="25">
        <f>정규화데이터!L454</f>
        <v>61496</v>
      </c>
      <c r="M454" s="21">
        <f t="shared" si="14"/>
        <v>41276.727272727265</v>
      </c>
      <c r="N454" s="52">
        <f t="shared" si="15"/>
        <v>0.40163113666519235</v>
      </c>
    </row>
    <row r="455" spans="1:14" x14ac:dyDescent="0.3">
      <c r="A455" t="str">
        <f>정규화데이터!A455</f>
        <v>SK스토아</v>
      </c>
      <c r="B455">
        <f>정규화데이터!B455</f>
        <v>20260207147257</v>
      </c>
      <c r="C455" t="str">
        <f>정규화데이터!C455</f>
        <v>[워커힐]워커힐 고메 시그니처 양념 본갈비 8팩</v>
      </c>
      <c r="D455">
        <f>정규화데이터!D455</f>
        <v>58481090</v>
      </c>
      <c r="E455" s="16" t="str">
        <f>정규화데이터!E455</f>
        <v>SKU001</v>
      </c>
      <c r="F455" s="3">
        <f>정규화데이터!F455</f>
        <v>1</v>
      </c>
      <c r="G455" s="3">
        <f>정규화데이터!G455</f>
        <v>119000</v>
      </c>
      <c r="H455" s="3">
        <f>정규화데이터!H455</f>
        <v>113050</v>
      </c>
      <c r="I455" s="3">
        <f>정규화데이터!I455</f>
        <v>82110</v>
      </c>
      <c r="J455" s="3">
        <f>정규화데이터!J455</f>
        <v>102772.72727272726</v>
      </c>
      <c r="K455" s="25">
        <f>정규화데이터!K455</f>
        <v>61496</v>
      </c>
      <c r="L455" s="25">
        <f>정규화데이터!L455</f>
        <v>61496</v>
      </c>
      <c r="M455" s="21">
        <f t="shared" si="14"/>
        <v>41276.727272727265</v>
      </c>
      <c r="N455" s="52">
        <f t="shared" si="15"/>
        <v>0.40163113666519235</v>
      </c>
    </row>
    <row r="456" spans="1:14" x14ac:dyDescent="0.3">
      <c r="A456" t="str">
        <f>정규화데이터!A456</f>
        <v>SK스토아</v>
      </c>
      <c r="B456">
        <f>정규화데이터!B456</f>
        <v>20260208260735</v>
      </c>
      <c r="C456" t="str">
        <f>정규화데이터!C456</f>
        <v>[워커힐]워커힐 고메 시그니처 양념 본갈비 8팩</v>
      </c>
      <c r="D456">
        <f>정규화데이터!D456</f>
        <v>58481090</v>
      </c>
      <c r="E456" s="16" t="str">
        <f>정규화데이터!E456</f>
        <v>SKU001</v>
      </c>
      <c r="F456" s="3">
        <f>정규화데이터!F456</f>
        <v>1</v>
      </c>
      <c r="G456" s="3">
        <f>정규화데이터!G456</f>
        <v>119000</v>
      </c>
      <c r="H456" s="3">
        <f>정규화데이터!H456</f>
        <v>113050</v>
      </c>
      <c r="I456" s="3">
        <f>정규화데이터!I456</f>
        <v>82110</v>
      </c>
      <c r="J456" s="3">
        <f>정규화데이터!J456</f>
        <v>102772.72727272726</v>
      </c>
      <c r="K456" s="25">
        <f>정규화데이터!K456</f>
        <v>61496</v>
      </c>
      <c r="L456" s="25">
        <f>정규화데이터!L456</f>
        <v>61496</v>
      </c>
      <c r="M456" s="21">
        <f t="shared" si="14"/>
        <v>41276.727272727265</v>
      </c>
      <c r="N456" s="52">
        <f t="shared" si="15"/>
        <v>0.40163113666519235</v>
      </c>
    </row>
    <row r="457" spans="1:14" x14ac:dyDescent="0.3">
      <c r="A457" t="str">
        <f>정규화데이터!A457</f>
        <v>SK스토아</v>
      </c>
      <c r="B457">
        <f>정규화데이터!B457</f>
        <v>20260207117865</v>
      </c>
      <c r="C457" t="str">
        <f>정규화데이터!C457</f>
        <v>[워커힐]워커힐 고메 시그니처 양념 본갈비 8팩</v>
      </c>
      <c r="D457">
        <f>정규화데이터!D457</f>
        <v>58481090</v>
      </c>
      <c r="E457" s="16" t="str">
        <f>정규화데이터!E457</f>
        <v>SKU001</v>
      </c>
      <c r="F457" s="3">
        <f>정규화데이터!F457</f>
        <v>1</v>
      </c>
      <c r="G457" s="3">
        <f>정규화데이터!G457</f>
        <v>119000</v>
      </c>
      <c r="H457" s="3">
        <f>정규화데이터!H457</f>
        <v>119000</v>
      </c>
      <c r="I457" s="3">
        <f>정규화데이터!I457</f>
        <v>82110</v>
      </c>
      <c r="J457" s="3">
        <f>정규화데이터!J457</f>
        <v>108181.81818181818</v>
      </c>
      <c r="K457" s="25">
        <f>정규화데이터!K457</f>
        <v>61496</v>
      </c>
      <c r="L457" s="25">
        <f>정규화데이터!L457</f>
        <v>61496</v>
      </c>
      <c r="M457" s="21">
        <f t="shared" si="14"/>
        <v>46685.818181818177</v>
      </c>
      <c r="N457" s="52">
        <f t="shared" si="15"/>
        <v>0.43154957983193276</v>
      </c>
    </row>
    <row r="458" spans="1:14" x14ac:dyDescent="0.3">
      <c r="A458" t="str">
        <f>정규화데이터!A458</f>
        <v>SK스토아</v>
      </c>
      <c r="B458">
        <f>정규화데이터!B458</f>
        <v>20260205994815</v>
      </c>
      <c r="C458" t="str">
        <f>정규화데이터!C458</f>
        <v>[워커힐]워커힐 고메 시그니처 양념 본갈비 8팩</v>
      </c>
      <c r="D458">
        <f>정규화데이터!D458</f>
        <v>58481090</v>
      </c>
      <c r="E458" s="16" t="str">
        <f>정규화데이터!E458</f>
        <v>SKU001</v>
      </c>
      <c r="F458" s="3">
        <f>정규화데이터!F458</f>
        <v>1</v>
      </c>
      <c r="G458" s="3">
        <f>정규화데이터!G458</f>
        <v>119000</v>
      </c>
      <c r="H458" s="3">
        <f>정규화데이터!H458</f>
        <v>119000</v>
      </c>
      <c r="I458" s="3">
        <f>정규화데이터!I458</f>
        <v>82110</v>
      </c>
      <c r="J458" s="3">
        <f>정규화데이터!J458</f>
        <v>108181.81818181818</v>
      </c>
      <c r="K458" s="25">
        <f>정규화데이터!K458</f>
        <v>61496</v>
      </c>
      <c r="L458" s="25">
        <f>정규화데이터!L458</f>
        <v>61496</v>
      </c>
      <c r="M458" s="21">
        <f t="shared" si="14"/>
        <v>46685.818181818177</v>
      </c>
      <c r="N458" s="52">
        <f t="shared" si="15"/>
        <v>0.43154957983193276</v>
      </c>
    </row>
    <row r="459" spans="1:14" x14ac:dyDescent="0.3">
      <c r="A459" t="str">
        <f>정규화데이터!A459</f>
        <v>SK스토아</v>
      </c>
      <c r="B459">
        <f>정규화데이터!B459</f>
        <v>20260203309850</v>
      </c>
      <c r="C459" t="str">
        <f>정규화데이터!C459</f>
        <v>[워커힐]워커힐 고메 시그니처 양념 본갈비 8팩</v>
      </c>
      <c r="D459">
        <f>정규화데이터!D459</f>
        <v>58481090</v>
      </c>
      <c r="E459" s="16" t="str">
        <f>정규화데이터!E459</f>
        <v>SKU001</v>
      </c>
      <c r="F459" s="3">
        <f>정규화데이터!F459</f>
        <v>1</v>
      </c>
      <c r="G459" s="3">
        <f>정규화데이터!G459</f>
        <v>119000</v>
      </c>
      <c r="H459" s="3">
        <f>정규화데이터!H459</f>
        <v>109000</v>
      </c>
      <c r="I459" s="3">
        <f>정규화데이터!I459</f>
        <v>82110</v>
      </c>
      <c r="J459" s="3">
        <f>정규화데이터!J459</f>
        <v>99090.909090909074</v>
      </c>
      <c r="K459" s="25">
        <f>정규화데이터!K459</f>
        <v>61496</v>
      </c>
      <c r="L459" s="25">
        <f>정규화데이터!L459</f>
        <v>61496</v>
      </c>
      <c r="M459" s="21">
        <f t="shared" si="14"/>
        <v>37594.909090909074</v>
      </c>
      <c r="N459" s="52">
        <f t="shared" si="15"/>
        <v>0.3793981651376146</v>
      </c>
    </row>
    <row r="460" spans="1:14" x14ac:dyDescent="0.3">
      <c r="A460" t="str">
        <f>정규화데이터!A460</f>
        <v>SK스토아</v>
      </c>
      <c r="B460">
        <f>정규화데이터!B460</f>
        <v>20260207151170</v>
      </c>
      <c r="C460" t="str">
        <f>정규화데이터!C460</f>
        <v>[워커힐]워커힐 고메 시그니처 양념 본갈비 8팩</v>
      </c>
      <c r="D460">
        <f>정규화데이터!D460</f>
        <v>58481090</v>
      </c>
      <c r="E460" s="16" t="str">
        <f>정규화데이터!E460</f>
        <v>SKU001</v>
      </c>
      <c r="F460" s="3">
        <f>정규화데이터!F460</f>
        <v>1</v>
      </c>
      <c r="G460" s="3">
        <f>정규화데이터!G460</f>
        <v>119000</v>
      </c>
      <c r="H460" s="3">
        <f>정규화데이터!H460</f>
        <v>109000</v>
      </c>
      <c r="I460" s="3">
        <f>정규화데이터!I460</f>
        <v>82110</v>
      </c>
      <c r="J460" s="3">
        <f>정규화데이터!J460</f>
        <v>99090.909090909074</v>
      </c>
      <c r="K460" s="25">
        <f>정규화데이터!K460</f>
        <v>61496</v>
      </c>
      <c r="L460" s="25">
        <f>정규화데이터!L460</f>
        <v>61496</v>
      </c>
      <c r="M460" s="21">
        <f t="shared" si="14"/>
        <v>37594.909090909074</v>
      </c>
      <c r="N460" s="52">
        <f t="shared" si="15"/>
        <v>0.3793981651376146</v>
      </c>
    </row>
    <row r="461" spans="1:14" x14ac:dyDescent="0.3">
      <c r="A461" t="str">
        <f>정규화데이터!A461</f>
        <v>SK스토아</v>
      </c>
      <c r="B461">
        <f>정규화데이터!B461</f>
        <v>20260205992935</v>
      </c>
      <c r="C461" t="str">
        <f>정규화데이터!C461</f>
        <v>[워커힐]워커힐 고메 시그니처 양념 본갈비 8팩</v>
      </c>
      <c r="D461">
        <f>정규화데이터!D461</f>
        <v>58481090</v>
      </c>
      <c r="E461" s="16" t="str">
        <f>정규화데이터!E461</f>
        <v>SKU001</v>
      </c>
      <c r="F461" s="3">
        <f>정규화데이터!F461</f>
        <v>1</v>
      </c>
      <c r="G461" s="3">
        <f>정규화데이터!G461</f>
        <v>119000</v>
      </c>
      <c r="H461" s="3">
        <f>정규화데이터!H461</f>
        <v>119000</v>
      </c>
      <c r="I461" s="3">
        <f>정규화데이터!I461</f>
        <v>82110</v>
      </c>
      <c r="J461" s="3">
        <f>정규화데이터!J461</f>
        <v>108181.81818181818</v>
      </c>
      <c r="K461" s="25">
        <f>정규화데이터!K461</f>
        <v>61496</v>
      </c>
      <c r="L461" s="25">
        <f>정규화데이터!L461</f>
        <v>61496</v>
      </c>
      <c r="M461" s="21">
        <f t="shared" si="14"/>
        <v>46685.818181818177</v>
      </c>
      <c r="N461" s="52">
        <f t="shared" si="15"/>
        <v>0.43154957983193276</v>
      </c>
    </row>
    <row r="462" spans="1:14" x14ac:dyDescent="0.3">
      <c r="A462" t="str">
        <f>정규화데이터!A462</f>
        <v>SK스토아</v>
      </c>
      <c r="B462">
        <f>정규화데이터!B462</f>
        <v>20260205994829</v>
      </c>
      <c r="C462" t="str">
        <f>정규화데이터!C462</f>
        <v>[워커힐]워커힐 고메 시그니처 양념 본갈비 8팩</v>
      </c>
      <c r="D462">
        <f>정규화데이터!D462</f>
        <v>58481090</v>
      </c>
      <c r="E462" s="16" t="str">
        <f>정규화데이터!E462</f>
        <v>SKU001</v>
      </c>
      <c r="F462" s="3">
        <f>정규화데이터!F462</f>
        <v>3</v>
      </c>
      <c r="G462" s="3">
        <f>정규화데이터!G462</f>
        <v>119000</v>
      </c>
      <c r="H462" s="3">
        <f>정규화데이터!H462</f>
        <v>357000</v>
      </c>
      <c r="I462" s="3">
        <f>정규화데이터!I462</f>
        <v>246330</v>
      </c>
      <c r="J462" s="3">
        <f>정규화데이터!J462</f>
        <v>324545.45454545453</v>
      </c>
      <c r="K462" s="25">
        <f>정규화데이터!K462</f>
        <v>61496</v>
      </c>
      <c r="L462" s="25">
        <f>정규화데이터!L462</f>
        <v>184488</v>
      </c>
      <c r="M462" s="21">
        <f t="shared" si="14"/>
        <v>140057.45454545453</v>
      </c>
      <c r="N462" s="52">
        <f t="shared" si="15"/>
        <v>0.43154957983193276</v>
      </c>
    </row>
    <row r="463" spans="1:14" x14ac:dyDescent="0.3">
      <c r="A463" t="str">
        <f>정규화데이터!A463</f>
        <v>SK스토아</v>
      </c>
      <c r="B463">
        <f>정규화데이터!B463</f>
        <v>20260205994617</v>
      </c>
      <c r="C463" t="str">
        <f>정규화데이터!C463</f>
        <v>[워커힐]워커힐 고메 시그니처 양념 본갈비 8팩</v>
      </c>
      <c r="D463">
        <f>정규화데이터!D463</f>
        <v>58481090</v>
      </c>
      <c r="E463" s="16" t="str">
        <f>정규화데이터!E463</f>
        <v>SKU001</v>
      </c>
      <c r="F463" s="3">
        <f>정규화데이터!F463</f>
        <v>1</v>
      </c>
      <c r="G463" s="3">
        <f>정규화데이터!G463</f>
        <v>119000</v>
      </c>
      <c r="H463" s="3">
        <f>정규화데이터!H463</f>
        <v>113050</v>
      </c>
      <c r="I463" s="3">
        <f>정규화데이터!I463</f>
        <v>82110</v>
      </c>
      <c r="J463" s="3">
        <f>정규화데이터!J463</f>
        <v>102772.72727272726</v>
      </c>
      <c r="K463" s="25">
        <f>정규화데이터!K463</f>
        <v>61496</v>
      </c>
      <c r="L463" s="25">
        <f>정규화데이터!L463</f>
        <v>61496</v>
      </c>
      <c r="M463" s="21">
        <f t="shared" si="14"/>
        <v>41276.727272727265</v>
      </c>
      <c r="N463" s="52">
        <f t="shared" si="15"/>
        <v>0.40163113666519235</v>
      </c>
    </row>
    <row r="464" spans="1:14" x14ac:dyDescent="0.3">
      <c r="A464" t="str">
        <f>정규화데이터!A464</f>
        <v>SK스토아</v>
      </c>
      <c r="B464">
        <f>정규화데이터!B464</f>
        <v>20260205995024</v>
      </c>
      <c r="C464" t="str">
        <f>정규화데이터!C464</f>
        <v>[워커힐]워커힐 고메 시그니처 양념 본갈비 8팩</v>
      </c>
      <c r="D464">
        <f>정규화데이터!D464</f>
        <v>58481090</v>
      </c>
      <c r="E464" s="16" t="str">
        <f>정규화데이터!E464</f>
        <v>SKU001</v>
      </c>
      <c r="F464" s="3">
        <f>정규화데이터!F464</f>
        <v>1</v>
      </c>
      <c r="G464" s="3">
        <f>정규화데이터!G464</f>
        <v>119000</v>
      </c>
      <c r="H464" s="3">
        <f>정규화데이터!H464</f>
        <v>119000</v>
      </c>
      <c r="I464" s="3">
        <f>정규화데이터!I464</f>
        <v>82110</v>
      </c>
      <c r="J464" s="3">
        <f>정규화데이터!J464</f>
        <v>108181.81818181818</v>
      </c>
      <c r="K464" s="25">
        <f>정규화데이터!K464</f>
        <v>61496</v>
      </c>
      <c r="L464" s="25">
        <f>정규화데이터!L464</f>
        <v>61496</v>
      </c>
      <c r="M464" s="21">
        <f t="shared" si="14"/>
        <v>46685.818181818177</v>
      </c>
      <c r="N464" s="52">
        <f t="shared" si="15"/>
        <v>0.43154957983193276</v>
      </c>
    </row>
    <row r="465" spans="1:14" x14ac:dyDescent="0.3">
      <c r="A465" t="str">
        <f>정규화데이터!A465</f>
        <v>SK스토아</v>
      </c>
      <c r="B465">
        <f>정규화데이터!B465</f>
        <v>20260203309978</v>
      </c>
      <c r="C465" t="str">
        <f>정규화데이터!C465</f>
        <v>[워커힐]워커힐 고메 시그니처 양념 본갈비 8팩</v>
      </c>
      <c r="D465">
        <f>정규화데이터!D465</f>
        <v>58481090</v>
      </c>
      <c r="E465" s="16" t="str">
        <f>정규화데이터!E465</f>
        <v>SKU001</v>
      </c>
      <c r="F465" s="3">
        <f>정규화데이터!F465</f>
        <v>1</v>
      </c>
      <c r="G465" s="3">
        <f>정규화데이터!G465</f>
        <v>119000</v>
      </c>
      <c r="H465" s="3">
        <f>정규화데이터!H465</f>
        <v>119000</v>
      </c>
      <c r="I465" s="3">
        <f>정규화데이터!I465</f>
        <v>82110</v>
      </c>
      <c r="J465" s="3">
        <f>정규화데이터!J465</f>
        <v>108181.81818181818</v>
      </c>
      <c r="K465" s="25">
        <f>정규화데이터!K465</f>
        <v>61496</v>
      </c>
      <c r="L465" s="25">
        <f>정규화데이터!L465</f>
        <v>61496</v>
      </c>
      <c r="M465" s="21">
        <f t="shared" si="14"/>
        <v>46685.818181818177</v>
      </c>
      <c r="N465" s="52">
        <f t="shared" si="15"/>
        <v>0.43154957983193276</v>
      </c>
    </row>
    <row r="466" spans="1:14" x14ac:dyDescent="0.3">
      <c r="A466" t="str">
        <f>정규화데이터!A466</f>
        <v>SK스토아</v>
      </c>
      <c r="B466">
        <f>정규화데이터!B466</f>
        <v>20260205994069</v>
      </c>
      <c r="C466" t="str">
        <f>정규화데이터!C466</f>
        <v>[워커힐]워커힐 고메 시그니처 양념 본갈비 8팩</v>
      </c>
      <c r="D466">
        <f>정규화데이터!D466</f>
        <v>58481090</v>
      </c>
      <c r="E466" s="16" t="str">
        <f>정규화데이터!E466</f>
        <v>SKU001</v>
      </c>
      <c r="F466" s="3">
        <f>정규화데이터!F466</f>
        <v>1</v>
      </c>
      <c r="G466" s="3">
        <f>정규화데이터!G466</f>
        <v>119000</v>
      </c>
      <c r="H466" s="3">
        <f>정규화데이터!H466</f>
        <v>119000</v>
      </c>
      <c r="I466" s="3">
        <f>정규화데이터!I466</f>
        <v>82110</v>
      </c>
      <c r="J466" s="3">
        <f>정규화데이터!J466</f>
        <v>108181.81818181818</v>
      </c>
      <c r="K466" s="25">
        <f>정규화데이터!K466</f>
        <v>61496</v>
      </c>
      <c r="L466" s="25">
        <f>정규화데이터!L466</f>
        <v>61496</v>
      </c>
      <c r="M466" s="21">
        <f t="shared" si="14"/>
        <v>46685.818181818177</v>
      </c>
      <c r="N466" s="52">
        <f t="shared" si="15"/>
        <v>0.43154957983193276</v>
      </c>
    </row>
    <row r="467" spans="1:14" x14ac:dyDescent="0.3">
      <c r="A467" t="str">
        <f>정규화데이터!A467</f>
        <v>SK스토아</v>
      </c>
      <c r="B467">
        <f>정규화데이터!B467</f>
        <v>20260208250075</v>
      </c>
      <c r="C467" t="str">
        <f>정규화데이터!C467</f>
        <v>[워커힐]워커힐 고메 시그니처 양념 본갈비 8팩</v>
      </c>
      <c r="D467">
        <f>정규화데이터!D467</f>
        <v>58481090</v>
      </c>
      <c r="E467" s="16" t="str">
        <f>정규화데이터!E467</f>
        <v>SKU001</v>
      </c>
      <c r="F467" s="3">
        <f>정규화데이터!F467</f>
        <v>1</v>
      </c>
      <c r="G467" s="3">
        <f>정규화데이터!G467</f>
        <v>119000</v>
      </c>
      <c r="H467" s="3">
        <f>정규화데이터!H467</f>
        <v>119000</v>
      </c>
      <c r="I467" s="3">
        <f>정규화데이터!I467</f>
        <v>82110</v>
      </c>
      <c r="J467" s="3">
        <f>정규화데이터!J467</f>
        <v>108181.81818181818</v>
      </c>
      <c r="K467" s="25">
        <f>정규화데이터!K467</f>
        <v>61496</v>
      </c>
      <c r="L467" s="25">
        <f>정규화데이터!L467</f>
        <v>61496</v>
      </c>
      <c r="M467" s="21">
        <f t="shared" si="14"/>
        <v>46685.818181818177</v>
      </c>
      <c r="N467" s="52">
        <f t="shared" si="15"/>
        <v>0.43154957983193276</v>
      </c>
    </row>
    <row r="468" spans="1:14" x14ac:dyDescent="0.3">
      <c r="A468" t="str">
        <f>정규화데이터!A468</f>
        <v>SK스토아</v>
      </c>
      <c r="B468">
        <f>정규화데이터!B468</f>
        <v>20260205994926</v>
      </c>
      <c r="C468" t="str">
        <f>정규화데이터!C468</f>
        <v>[워커힐]워커힐 고메 시그니처 양념 본갈비 8팩</v>
      </c>
      <c r="D468">
        <f>정규화데이터!D468</f>
        <v>58481090</v>
      </c>
      <c r="E468" s="16" t="str">
        <f>정규화데이터!E468</f>
        <v>SKU001</v>
      </c>
      <c r="F468" s="3">
        <f>정규화데이터!F468</f>
        <v>1</v>
      </c>
      <c r="G468" s="3">
        <f>정규화데이터!G468</f>
        <v>119000</v>
      </c>
      <c r="H468" s="3">
        <f>정규화데이터!H468</f>
        <v>119000</v>
      </c>
      <c r="I468" s="3">
        <f>정규화데이터!I468</f>
        <v>82110</v>
      </c>
      <c r="J468" s="3">
        <f>정규화데이터!J468</f>
        <v>108181.81818181818</v>
      </c>
      <c r="K468" s="25">
        <f>정규화데이터!K468</f>
        <v>61496</v>
      </c>
      <c r="L468" s="25">
        <f>정규화데이터!L468</f>
        <v>61496</v>
      </c>
      <c r="M468" s="21">
        <f t="shared" si="14"/>
        <v>46685.818181818177</v>
      </c>
      <c r="N468" s="52">
        <f t="shared" si="15"/>
        <v>0.43154957983193276</v>
      </c>
    </row>
    <row r="469" spans="1:14" x14ac:dyDescent="0.3">
      <c r="A469" t="str">
        <f>정규화데이터!A469</f>
        <v>SK스토아</v>
      </c>
      <c r="B469">
        <f>정규화데이터!B469</f>
        <v>20260205993624</v>
      </c>
      <c r="C469" t="str">
        <f>정규화데이터!C469</f>
        <v>[워커힐]워커힐 고메 시그니처 양념 본갈비 8팩</v>
      </c>
      <c r="D469">
        <f>정규화데이터!D469</f>
        <v>58481090</v>
      </c>
      <c r="E469" s="16" t="str">
        <f>정규화데이터!E469</f>
        <v>SKU001</v>
      </c>
      <c r="F469" s="3">
        <f>정규화데이터!F469</f>
        <v>1</v>
      </c>
      <c r="G469" s="3">
        <f>정규화데이터!G469</f>
        <v>119000</v>
      </c>
      <c r="H469" s="3">
        <f>정규화데이터!H469</f>
        <v>119000</v>
      </c>
      <c r="I469" s="3">
        <f>정규화데이터!I469</f>
        <v>82110</v>
      </c>
      <c r="J469" s="3">
        <f>정규화데이터!J469</f>
        <v>108181.81818181818</v>
      </c>
      <c r="K469" s="25">
        <f>정규화데이터!K469</f>
        <v>61496</v>
      </c>
      <c r="L469" s="25">
        <f>정규화데이터!L469</f>
        <v>61496</v>
      </c>
      <c r="M469" s="21">
        <f t="shared" si="14"/>
        <v>46685.818181818177</v>
      </c>
      <c r="N469" s="52">
        <f t="shared" si="15"/>
        <v>0.43154957983193276</v>
      </c>
    </row>
    <row r="470" spans="1:14" x14ac:dyDescent="0.3">
      <c r="A470" t="str">
        <f>정규화데이터!A470</f>
        <v>SK스토아</v>
      </c>
      <c r="B470">
        <f>정규화데이터!B470</f>
        <v>20260205993757</v>
      </c>
      <c r="C470" t="str">
        <f>정규화데이터!C470</f>
        <v>[워커힐]워커힐 고메 시그니처 양념 본갈비 8팩</v>
      </c>
      <c r="D470">
        <f>정규화데이터!D470</f>
        <v>58481090</v>
      </c>
      <c r="E470" s="16" t="str">
        <f>정규화데이터!E470</f>
        <v>SKU001</v>
      </c>
      <c r="F470" s="3">
        <f>정규화데이터!F470</f>
        <v>1</v>
      </c>
      <c r="G470" s="3">
        <f>정규화데이터!G470</f>
        <v>119000</v>
      </c>
      <c r="H470" s="3">
        <f>정규화데이터!H470</f>
        <v>119000</v>
      </c>
      <c r="I470" s="3">
        <f>정규화데이터!I470</f>
        <v>82110</v>
      </c>
      <c r="J470" s="3">
        <f>정규화데이터!J470</f>
        <v>108181.81818181818</v>
      </c>
      <c r="K470" s="25">
        <f>정규화데이터!K470</f>
        <v>61496</v>
      </c>
      <c r="L470" s="25">
        <f>정규화데이터!L470</f>
        <v>61496</v>
      </c>
      <c r="M470" s="21">
        <f t="shared" si="14"/>
        <v>46685.818181818177</v>
      </c>
      <c r="N470" s="52">
        <f t="shared" si="15"/>
        <v>0.43154957983193276</v>
      </c>
    </row>
    <row r="471" spans="1:14" x14ac:dyDescent="0.3">
      <c r="A471" t="str">
        <f>정규화데이터!A471</f>
        <v>SK스토아</v>
      </c>
      <c r="B471">
        <f>정규화데이터!B471</f>
        <v>20260205994369</v>
      </c>
      <c r="C471" t="str">
        <f>정규화데이터!C471</f>
        <v>[워커힐]워커힐 고메 시그니처 양념 본갈비 8팩</v>
      </c>
      <c r="D471">
        <f>정규화데이터!D471</f>
        <v>58481090</v>
      </c>
      <c r="E471" s="16" t="str">
        <f>정규화데이터!E471</f>
        <v>SKU001</v>
      </c>
      <c r="F471" s="3">
        <f>정규화데이터!F471</f>
        <v>1</v>
      </c>
      <c r="G471" s="3">
        <f>정규화데이터!G471</f>
        <v>119000</v>
      </c>
      <c r="H471" s="3">
        <f>정규화데이터!H471</f>
        <v>119000</v>
      </c>
      <c r="I471" s="3">
        <f>정규화데이터!I471</f>
        <v>82110</v>
      </c>
      <c r="J471" s="3">
        <f>정규화데이터!J471</f>
        <v>108181.81818181818</v>
      </c>
      <c r="K471" s="25">
        <f>정규화데이터!K471</f>
        <v>61496</v>
      </c>
      <c r="L471" s="25">
        <f>정규화데이터!L471</f>
        <v>61496</v>
      </c>
      <c r="M471" s="21">
        <f t="shared" si="14"/>
        <v>46685.818181818177</v>
      </c>
      <c r="N471" s="52">
        <f t="shared" si="15"/>
        <v>0.43154957983193276</v>
      </c>
    </row>
    <row r="472" spans="1:14" x14ac:dyDescent="0.3">
      <c r="A472" t="str">
        <f>정규화데이터!A472</f>
        <v>SK스토아</v>
      </c>
      <c r="B472">
        <f>정규화데이터!B472</f>
        <v>20260206641134</v>
      </c>
      <c r="C472" t="str">
        <f>정규화데이터!C472</f>
        <v>[워커힐]워커힐 고메 시그니처 양념 본갈비 8팩</v>
      </c>
      <c r="D472">
        <f>정규화데이터!D472</f>
        <v>58481090</v>
      </c>
      <c r="E472" s="16" t="str">
        <f>정규화데이터!E472</f>
        <v>SKU001</v>
      </c>
      <c r="F472" s="3">
        <f>정규화데이터!F472</f>
        <v>1</v>
      </c>
      <c r="G472" s="3">
        <f>정규화데이터!G472</f>
        <v>119000</v>
      </c>
      <c r="H472" s="3">
        <f>정규화데이터!H472</f>
        <v>119000</v>
      </c>
      <c r="I472" s="3">
        <f>정규화데이터!I472</f>
        <v>82110</v>
      </c>
      <c r="J472" s="3">
        <f>정규화데이터!J472</f>
        <v>108181.81818181818</v>
      </c>
      <c r="K472" s="25">
        <f>정규화데이터!K472</f>
        <v>61496</v>
      </c>
      <c r="L472" s="25">
        <f>정규화데이터!L472</f>
        <v>61496</v>
      </c>
      <c r="M472" s="21">
        <f t="shared" si="14"/>
        <v>46685.818181818177</v>
      </c>
      <c r="N472" s="52">
        <f t="shared" si="15"/>
        <v>0.43154957983193276</v>
      </c>
    </row>
    <row r="473" spans="1:14" x14ac:dyDescent="0.3">
      <c r="A473" t="str">
        <f>정규화데이터!A473</f>
        <v>SK스토아</v>
      </c>
      <c r="B473">
        <f>정규화데이터!B473</f>
        <v>20260208251315</v>
      </c>
      <c r="C473" t="str">
        <f>정규화데이터!C473</f>
        <v>[워커힐]워커힐 고메 시그니처 양념 본갈비 8팩</v>
      </c>
      <c r="D473">
        <f>정규화데이터!D473</f>
        <v>58481090</v>
      </c>
      <c r="E473" s="16" t="str">
        <f>정규화데이터!E473</f>
        <v>SKU001</v>
      </c>
      <c r="F473" s="3">
        <f>정규화데이터!F473</f>
        <v>1</v>
      </c>
      <c r="G473" s="3">
        <f>정규화데이터!G473</f>
        <v>119000</v>
      </c>
      <c r="H473" s="3">
        <f>정규화데이터!H473</f>
        <v>119000</v>
      </c>
      <c r="I473" s="3">
        <f>정규화데이터!I473</f>
        <v>82110</v>
      </c>
      <c r="J473" s="3">
        <f>정규화데이터!J473</f>
        <v>108181.81818181818</v>
      </c>
      <c r="K473" s="25">
        <f>정규화데이터!K473</f>
        <v>61496</v>
      </c>
      <c r="L473" s="25">
        <f>정규화데이터!L473</f>
        <v>61496</v>
      </c>
      <c r="M473" s="21">
        <f t="shared" si="14"/>
        <v>46685.818181818177</v>
      </c>
      <c r="N473" s="52">
        <f t="shared" si="15"/>
        <v>0.43154957983193276</v>
      </c>
    </row>
    <row r="474" spans="1:14" x14ac:dyDescent="0.3">
      <c r="A474" t="str">
        <f>정규화데이터!A474</f>
        <v>SK스토아</v>
      </c>
      <c r="B474">
        <f>정규화데이터!B474</f>
        <v>20260205994412</v>
      </c>
      <c r="C474" t="str">
        <f>정규화데이터!C474</f>
        <v>[워커힐]워커힐 고메 시그니처 양념 본갈비 8팩</v>
      </c>
      <c r="D474">
        <f>정규화데이터!D474</f>
        <v>58481090</v>
      </c>
      <c r="E474" s="16" t="str">
        <f>정규화데이터!E474</f>
        <v>SKU001</v>
      </c>
      <c r="F474" s="3">
        <f>정규화데이터!F474</f>
        <v>1</v>
      </c>
      <c r="G474" s="3">
        <f>정규화데이터!G474</f>
        <v>119000</v>
      </c>
      <c r="H474" s="3">
        <f>정규화데이터!H474</f>
        <v>119000</v>
      </c>
      <c r="I474" s="3">
        <f>정규화데이터!I474</f>
        <v>82110</v>
      </c>
      <c r="J474" s="3">
        <f>정규화데이터!J474</f>
        <v>108181.81818181818</v>
      </c>
      <c r="K474" s="25">
        <f>정규화데이터!K474</f>
        <v>61496</v>
      </c>
      <c r="L474" s="25">
        <f>정규화데이터!L474</f>
        <v>61496</v>
      </c>
      <c r="M474" s="21">
        <f t="shared" si="14"/>
        <v>46685.818181818177</v>
      </c>
      <c r="N474" s="52">
        <f t="shared" si="15"/>
        <v>0.43154957983193276</v>
      </c>
    </row>
    <row r="475" spans="1:14" x14ac:dyDescent="0.3">
      <c r="A475" t="str">
        <f>정규화데이터!A475</f>
        <v>SK스토아</v>
      </c>
      <c r="B475">
        <f>정규화데이터!B475</f>
        <v>20260210360594</v>
      </c>
      <c r="C475" t="str">
        <f>정규화데이터!C475</f>
        <v>[워커힐]워커힐 고메 시그니처 양념 본갈비 8팩</v>
      </c>
      <c r="D475">
        <f>정규화데이터!D475</f>
        <v>58481090</v>
      </c>
      <c r="E475" s="16" t="str">
        <f>정규화데이터!E475</f>
        <v>SKU001</v>
      </c>
      <c r="F475" s="3">
        <f>정규화데이터!F475</f>
        <v>-1</v>
      </c>
      <c r="G475" s="3">
        <f>정규화데이터!G475</f>
        <v>119000</v>
      </c>
      <c r="H475" s="3">
        <f>정규화데이터!H475</f>
        <v>-119000</v>
      </c>
      <c r="I475" s="3">
        <f>정규화데이터!I475</f>
        <v>-80920</v>
      </c>
      <c r="J475" s="3">
        <f>정규화데이터!J475</f>
        <v>-108181.81818181818</v>
      </c>
      <c r="K475" s="25">
        <f>정규화데이터!K475</f>
        <v>61496</v>
      </c>
      <c r="L475" s="25">
        <f>정규화데이터!L475</f>
        <v>-61496</v>
      </c>
      <c r="M475" s="21">
        <f t="shared" si="14"/>
        <v>-46685.818181818177</v>
      </c>
      <c r="N475" s="52">
        <f t="shared" si="15"/>
        <v>0.43154957983193276</v>
      </c>
    </row>
    <row r="476" spans="1:14" x14ac:dyDescent="0.3">
      <c r="A476" t="str">
        <f>정규화데이터!A476</f>
        <v>SK스토아</v>
      </c>
      <c r="B476">
        <f>정규화데이터!B476</f>
        <v>20260206650034</v>
      </c>
      <c r="C476" t="str">
        <f>정규화데이터!C476</f>
        <v>[워커힐]워커힐 시그니처 양념 본갈비 4팩</v>
      </c>
      <c r="D476">
        <f>정규화데이터!D476</f>
        <v>59163204</v>
      </c>
      <c r="E476" s="16" t="str">
        <f>정규화데이터!E476</f>
        <v>SKU001</v>
      </c>
      <c r="F476" s="3">
        <f>정규화데이터!F476</f>
        <v>1</v>
      </c>
      <c r="G476" s="3">
        <f>정규화데이터!G476</f>
        <v>78000</v>
      </c>
      <c r="H476" s="3">
        <f>정규화데이터!H476</f>
        <v>78000</v>
      </c>
      <c r="I476" s="3">
        <f>정규화데이터!I476</f>
        <v>53820</v>
      </c>
      <c r="J476" s="3">
        <f>정규화데이터!J476</f>
        <v>70909.090909090897</v>
      </c>
      <c r="K476" s="25">
        <f>정규화데이터!K476</f>
        <v>30748</v>
      </c>
      <c r="L476" s="25">
        <f>정규화데이터!L476</f>
        <v>30748</v>
      </c>
      <c r="M476" s="21">
        <f t="shared" si="14"/>
        <v>40161.090909090897</v>
      </c>
      <c r="N476" s="52">
        <f t="shared" si="15"/>
        <v>0.56637435897435895</v>
      </c>
    </row>
    <row r="477" spans="1:14" x14ac:dyDescent="0.3">
      <c r="A477" t="str">
        <f>정규화데이터!A477</f>
        <v>SK스토아</v>
      </c>
      <c r="B477">
        <f>정규화데이터!B477</f>
        <v>20260208250982</v>
      </c>
      <c r="C477" t="str">
        <f>정규화데이터!C477</f>
        <v>[워커힐]워커힐 시그니처 양념 본갈비 4팩</v>
      </c>
      <c r="D477">
        <f>정규화데이터!D477</f>
        <v>59163204</v>
      </c>
      <c r="E477" s="16" t="str">
        <f>정규화데이터!E477</f>
        <v>SKU001</v>
      </c>
      <c r="F477" s="3">
        <f>정규화데이터!F477</f>
        <v>1</v>
      </c>
      <c r="G477" s="3">
        <f>정규화데이터!G477</f>
        <v>78000</v>
      </c>
      <c r="H477" s="3">
        <f>정규화데이터!H477</f>
        <v>65520</v>
      </c>
      <c r="I477" s="3">
        <f>정규화데이터!I477</f>
        <v>53820</v>
      </c>
      <c r="J477" s="3">
        <f>정규화데이터!J477</f>
        <v>59563.63636363636</v>
      </c>
      <c r="K477" s="25">
        <f>정규화데이터!K477</f>
        <v>30748</v>
      </c>
      <c r="L477" s="25">
        <f>정규화데이터!L477</f>
        <v>30748</v>
      </c>
      <c r="M477" s="21">
        <f t="shared" si="14"/>
        <v>28815.63636363636</v>
      </c>
      <c r="N477" s="52">
        <f t="shared" si="15"/>
        <v>0.48377899877899877</v>
      </c>
    </row>
    <row r="478" spans="1:14" x14ac:dyDescent="0.3">
      <c r="A478" t="str">
        <f>정규화데이터!A478</f>
        <v>SK스토아</v>
      </c>
      <c r="B478">
        <f>정규화데이터!B478</f>
        <v>20260207149611</v>
      </c>
      <c r="C478" t="str">
        <f>정규화데이터!C478</f>
        <v>[워커힐]워커힐 시그니처 양념 본갈비 4팩</v>
      </c>
      <c r="D478">
        <f>정규화데이터!D478</f>
        <v>59163204</v>
      </c>
      <c r="E478" s="16" t="str">
        <f>정규화데이터!E478</f>
        <v>SKU001</v>
      </c>
      <c r="F478" s="3">
        <f>정규화데이터!F478</f>
        <v>1</v>
      </c>
      <c r="G478" s="3">
        <f>정규화데이터!G478</f>
        <v>78000</v>
      </c>
      <c r="H478" s="3">
        <f>정규화데이터!H478</f>
        <v>66300</v>
      </c>
      <c r="I478" s="3">
        <f>정규화데이터!I478</f>
        <v>53820</v>
      </c>
      <c r="J478" s="3">
        <f>정규화데이터!J478</f>
        <v>60272.727272727272</v>
      </c>
      <c r="K478" s="25">
        <f>정규화데이터!K478</f>
        <v>30748</v>
      </c>
      <c r="L478" s="25">
        <f>정규화데이터!L478</f>
        <v>30748</v>
      </c>
      <c r="M478" s="21">
        <f t="shared" si="14"/>
        <v>29524.727272727272</v>
      </c>
      <c r="N478" s="52">
        <f t="shared" si="15"/>
        <v>0.48985218702865763</v>
      </c>
    </row>
    <row r="479" spans="1:14" x14ac:dyDescent="0.3">
      <c r="A479" t="str">
        <f>정규화데이터!A479</f>
        <v>SK스토아</v>
      </c>
      <c r="B479">
        <f>정규화데이터!B479</f>
        <v>20260209883427</v>
      </c>
      <c r="C479" t="str">
        <f>정규화데이터!C479</f>
        <v>[워커힐]워커힐 고메 시그니처 양념 본갈비 8팩</v>
      </c>
      <c r="D479">
        <f>정규화데이터!D479</f>
        <v>58481090</v>
      </c>
      <c r="E479" s="16" t="str">
        <f>정규화데이터!E479</f>
        <v>SKU001</v>
      </c>
      <c r="F479" s="3">
        <f>정규화데이터!F479</f>
        <v>1</v>
      </c>
      <c r="G479" s="3">
        <f>정규화데이터!G479</f>
        <v>119000</v>
      </c>
      <c r="H479" s="3">
        <f>정규화데이터!H479</f>
        <v>113050</v>
      </c>
      <c r="I479" s="3">
        <f>정규화데이터!I479</f>
        <v>82110</v>
      </c>
      <c r="J479" s="3">
        <f>정규화데이터!J479</f>
        <v>102772.72727272726</v>
      </c>
      <c r="K479" s="25">
        <f>정규화데이터!K479</f>
        <v>61496</v>
      </c>
      <c r="L479" s="25">
        <f>정규화데이터!L479</f>
        <v>61496</v>
      </c>
      <c r="M479" s="21">
        <f t="shared" si="14"/>
        <v>41276.727272727265</v>
      </c>
      <c r="N479" s="52">
        <f t="shared" si="15"/>
        <v>0.40163113666519235</v>
      </c>
    </row>
    <row r="480" spans="1:14" x14ac:dyDescent="0.3">
      <c r="A480" t="str">
        <f>정규화데이터!A480</f>
        <v>SK스토아</v>
      </c>
      <c r="B480">
        <f>정규화데이터!B480</f>
        <v>20260210360516</v>
      </c>
      <c r="C480" t="str">
        <f>정규화데이터!C480</f>
        <v>[워커힐]워커힐 고메 시그니처 양념 본갈비 8팩</v>
      </c>
      <c r="D480">
        <f>정규화데이터!D480</f>
        <v>58481090</v>
      </c>
      <c r="E480" s="16" t="str">
        <f>정규화데이터!E480</f>
        <v>SKU001</v>
      </c>
      <c r="F480" s="3">
        <f>정규화데이터!F480</f>
        <v>-1</v>
      </c>
      <c r="G480" s="3">
        <f>정규화데이터!G480</f>
        <v>119000</v>
      </c>
      <c r="H480" s="3">
        <f>정규화데이터!H480</f>
        <v>-119000</v>
      </c>
      <c r="I480" s="3">
        <f>정규화데이터!I480</f>
        <v>-80920</v>
      </c>
      <c r="J480" s="3">
        <f>정규화데이터!J480</f>
        <v>-108181.81818181818</v>
      </c>
      <c r="K480" s="25">
        <f>정규화데이터!K480</f>
        <v>61496</v>
      </c>
      <c r="L480" s="25">
        <f>정규화데이터!L480</f>
        <v>-61496</v>
      </c>
      <c r="M480" s="21">
        <f t="shared" si="14"/>
        <v>-46685.818181818177</v>
      </c>
      <c r="N480" s="52">
        <f t="shared" si="15"/>
        <v>0.43154957983193276</v>
      </c>
    </row>
    <row r="481" spans="1:14" x14ac:dyDescent="0.3">
      <c r="A481" t="str">
        <f>정규화데이터!A481</f>
        <v>SK스토아</v>
      </c>
      <c r="B481">
        <f>정규화데이터!B481</f>
        <v>20260210360516</v>
      </c>
      <c r="C481" t="str">
        <f>정규화데이터!C481</f>
        <v>[워커힐]워커힐 고메 시그니처 양념 본갈비 8팩</v>
      </c>
      <c r="D481">
        <f>정규화데이터!D481</f>
        <v>58481090</v>
      </c>
      <c r="E481" s="16" t="str">
        <f>정규화데이터!E481</f>
        <v>SKU001</v>
      </c>
      <c r="F481" s="3">
        <f>정규화데이터!F481</f>
        <v>1</v>
      </c>
      <c r="G481" s="3">
        <f>정규화데이터!G481</f>
        <v>119000</v>
      </c>
      <c r="H481" s="3">
        <f>정규화데이터!H481</f>
        <v>119000</v>
      </c>
      <c r="I481" s="3">
        <f>정규화데이터!I481</f>
        <v>80920</v>
      </c>
      <c r="J481" s="3">
        <f>정규화데이터!J481</f>
        <v>108181.81818181818</v>
      </c>
      <c r="K481" s="25">
        <f>정규화데이터!K481</f>
        <v>61496</v>
      </c>
      <c r="L481" s="25">
        <f>정규화데이터!L481</f>
        <v>61496</v>
      </c>
      <c r="M481" s="21">
        <f t="shared" si="14"/>
        <v>46685.818181818177</v>
      </c>
      <c r="N481" s="52">
        <f t="shared" si="15"/>
        <v>0.43154957983193276</v>
      </c>
    </row>
    <row r="482" spans="1:14" x14ac:dyDescent="0.3">
      <c r="A482" t="str">
        <f>정규화데이터!A482</f>
        <v>SK스토아</v>
      </c>
      <c r="B482">
        <f>정규화데이터!B482</f>
        <v>20260209904260</v>
      </c>
      <c r="C482" t="str">
        <f>정규화데이터!C482</f>
        <v>[워커힐]워커힐 고메 시그니처 양념 본갈비 8팩</v>
      </c>
      <c r="D482">
        <f>정규화데이터!D482</f>
        <v>58481090</v>
      </c>
      <c r="E482" s="16" t="str">
        <f>정규화데이터!E482</f>
        <v>SKU001</v>
      </c>
      <c r="F482" s="3">
        <f>정규화데이터!F482</f>
        <v>1</v>
      </c>
      <c r="G482" s="3">
        <f>정규화데이터!G482</f>
        <v>119000</v>
      </c>
      <c r="H482" s="3">
        <f>정규화데이터!H482</f>
        <v>119000</v>
      </c>
      <c r="I482" s="3">
        <f>정규화데이터!I482</f>
        <v>80920</v>
      </c>
      <c r="J482" s="3">
        <f>정규화데이터!J482</f>
        <v>108181.81818181818</v>
      </c>
      <c r="K482" s="25">
        <f>정규화데이터!K482</f>
        <v>61496</v>
      </c>
      <c r="L482" s="25">
        <f>정규화데이터!L482</f>
        <v>61496</v>
      </c>
      <c r="M482" s="21">
        <f t="shared" si="14"/>
        <v>46685.818181818177</v>
      </c>
      <c r="N482" s="52">
        <f t="shared" si="15"/>
        <v>0.43154957983193276</v>
      </c>
    </row>
    <row r="483" spans="1:14" x14ac:dyDescent="0.3">
      <c r="A483" t="str">
        <f>정규화데이터!A483</f>
        <v>SK스토아</v>
      </c>
      <c r="B483">
        <f>정규화데이터!B483</f>
        <v>20260209896967</v>
      </c>
      <c r="C483" t="str">
        <f>정규화데이터!C483</f>
        <v>[워커힐]워커힐 고메 시그니처 양념 본갈비 8팩</v>
      </c>
      <c r="D483">
        <f>정규화데이터!D483</f>
        <v>58481090</v>
      </c>
      <c r="E483" s="16" t="str">
        <f>정규화데이터!E483</f>
        <v>SKU001</v>
      </c>
      <c r="F483" s="3">
        <f>정규화데이터!F483</f>
        <v>4</v>
      </c>
      <c r="G483" s="3">
        <f>정규화데이터!G483</f>
        <v>119000</v>
      </c>
      <c r="H483" s="3">
        <f>정규화데이터!H483</f>
        <v>452200</v>
      </c>
      <c r="I483" s="3">
        <f>정규화데이터!I483</f>
        <v>328440</v>
      </c>
      <c r="J483" s="3">
        <f>정규화데이터!J483</f>
        <v>411090.90909090906</v>
      </c>
      <c r="K483" s="25">
        <f>정규화데이터!K483</f>
        <v>61496</v>
      </c>
      <c r="L483" s="25">
        <f>정규화데이터!L483</f>
        <v>245984</v>
      </c>
      <c r="M483" s="21">
        <f t="shared" si="14"/>
        <v>165106.90909090906</v>
      </c>
      <c r="N483" s="52">
        <f t="shared" si="15"/>
        <v>0.40163113666519235</v>
      </c>
    </row>
    <row r="484" spans="1:14" x14ac:dyDescent="0.3">
      <c r="A484" t="str">
        <f>정규화데이터!A484</f>
        <v>SK스토아</v>
      </c>
      <c r="B484">
        <f>정규화데이터!B484</f>
        <v>20260209898425</v>
      </c>
      <c r="C484" t="str">
        <f>정규화데이터!C484</f>
        <v>[워커힐]워커힐 고메 시그니처 양념 본갈비 8팩</v>
      </c>
      <c r="D484">
        <f>정규화데이터!D484</f>
        <v>58481090</v>
      </c>
      <c r="E484" s="16" t="str">
        <f>정규화데이터!E484</f>
        <v>SKU001</v>
      </c>
      <c r="F484" s="3">
        <f>정규화데이터!F484</f>
        <v>1</v>
      </c>
      <c r="G484" s="3">
        <f>정규화데이터!G484</f>
        <v>119000</v>
      </c>
      <c r="H484" s="3">
        <f>정규화데이터!H484</f>
        <v>113050</v>
      </c>
      <c r="I484" s="3">
        <f>정규화데이터!I484</f>
        <v>82110</v>
      </c>
      <c r="J484" s="3">
        <f>정규화데이터!J484</f>
        <v>102772.72727272726</v>
      </c>
      <c r="K484" s="25">
        <f>정규화데이터!K484</f>
        <v>61496</v>
      </c>
      <c r="L484" s="25">
        <f>정규화데이터!L484</f>
        <v>61496</v>
      </c>
      <c r="M484" s="21">
        <f t="shared" si="14"/>
        <v>41276.727272727265</v>
      </c>
      <c r="N484" s="52">
        <f t="shared" si="15"/>
        <v>0.40163113666519235</v>
      </c>
    </row>
    <row r="485" spans="1:14" x14ac:dyDescent="0.3">
      <c r="A485" t="str">
        <f>정규화데이터!A485</f>
        <v>SK스토아</v>
      </c>
      <c r="B485">
        <f>정규화데이터!B485</f>
        <v>20260208247573</v>
      </c>
      <c r="C485" t="str">
        <f>정규화데이터!C485</f>
        <v>[워커힐]워커힐 고메 시그니처 양념 본갈비 8팩</v>
      </c>
      <c r="D485">
        <f>정규화데이터!D485</f>
        <v>58481090</v>
      </c>
      <c r="E485" s="16" t="str">
        <f>정규화데이터!E485</f>
        <v>SKU001</v>
      </c>
      <c r="F485" s="3">
        <f>정규화데이터!F485</f>
        <v>1</v>
      </c>
      <c r="G485" s="3">
        <f>정규화데이터!G485</f>
        <v>119000</v>
      </c>
      <c r="H485" s="3">
        <f>정규화데이터!H485</f>
        <v>109000</v>
      </c>
      <c r="I485" s="3">
        <f>정규화데이터!I485</f>
        <v>82110</v>
      </c>
      <c r="J485" s="3">
        <f>정규화데이터!J485</f>
        <v>99090.909090909074</v>
      </c>
      <c r="K485" s="25">
        <f>정규화데이터!K485</f>
        <v>61496</v>
      </c>
      <c r="L485" s="25">
        <f>정규화데이터!L485</f>
        <v>61496</v>
      </c>
      <c r="M485" s="21">
        <f t="shared" si="14"/>
        <v>37594.909090909074</v>
      </c>
      <c r="N485" s="52">
        <f t="shared" si="15"/>
        <v>0.3793981651376146</v>
      </c>
    </row>
    <row r="486" spans="1:14" x14ac:dyDescent="0.3">
      <c r="A486" t="str">
        <f>정규화데이터!A486</f>
        <v>SK스토아</v>
      </c>
      <c r="B486">
        <f>정규화데이터!B486</f>
        <v>20260209919611</v>
      </c>
      <c r="C486" t="str">
        <f>정규화데이터!C486</f>
        <v>[워커힐]워커힐 고메 시그니처 양념 본갈비 8팩</v>
      </c>
      <c r="D486">
        <f>정규화데이터!D486</f>
        <v>58481090</v>
      </c>
      <c r="E486" s="16" t="str">
        <f>정규화데이터!E486</f>
        <v>SKU001</v>
      </c>
      <c r="F486" s="3">
        <f>정규화데이터!F486</f>
        <v>1</v>
      </c>
      <c r="G486" s="3">
        <f>정규화데이터!G486</f>
        <v>119000</v>
      </c>
      <c r="H486" s="3">
        <f>정규화데이터!H486</f>
        <v>95200</v>
      </c>
      <c r="I486" s="3">
        <f>정규화데이터!I486</f>
        <v>80920</v>
      </c>
      <c r="J486" s="3">
        <f>정규화데이터!J486</f>
        <v>86545.454545454544</v>
      </c>
      <c r="K486" s="25">
        <f>정규화데이터!K486</f>
        <v>61496</v>
      </c>
      <c r="L486" s="25">
        <f>정규화데이터!L486</f>
        <v>61496</v>
      </c>
      <c r="M486" s="21">
        <f t="shared" si="14"/>
        <v>25049.454545454544</v>
      </c>
      <c r="N486" s="52">
        <f t="shared" si="15"/>
        <v>0.28943697478991598</v>
      </c>
    </row>
    <row r="487" spans="1:14" x14ac:dyDescent="0.3">
      <c r="A487" t="str">
        <f>정규화데이터!A487</f>
        <v>SK스토아</v>
      </c>
      <c r="B487">
        <f>정규화데이터!B487</f>
        <v>20260205995605</v>
      </c>
      <c r="C487" t="str">
        <f>정규화데이터!C487</f>
        <v>[워커힐]워커힐 고메 시그니처 양념 본갈비 8팩</v>
      </c>
      <c r="D487">
        <f>정규화데이터!D487</f>
        <v>58481090</v>
      </c>
      <c r="E487" s="16" t="str">
        <f>정규화데이터!E487</f>
        <v>SKU001</v>
      </c>
      <c r="F487" s="3">
        <f>정규화데이터!F487</f>
        <v>1</v>
      </c>
      <c r="G487" s="3">
        <f>정규화데이터!G487</f>
        <v>119000</v>
      </c>
      <c r="H487" s="3">
        <f>정규화데이터!H487</f>
        <v>119000</v>
      </c>
      <c r="I487" s="3">
        <f>정규화데이터!I487</f>
        <v>82110</v>
      </c>
      <c r="J487" s="3">
        <f>정규화데이터!J487</f>
        <v>108181.81818181818</v>
      </c>
      <c r="K487" s="25">
        <f>정규화데이터!K487</f>
        <v>61496</v>
      </c>
      <c r="L487" s="25">
        <f>정규화데이터!L487</f>
        <v>61496</v>
      </c>
      <c r="M487" s="21">
        <f t="shared" si="14"/>
        <v>46685.818181818177</v>
      </c>
      <c r="N487" s="52">
        <f t="shared" si="15"/>
        <v>0.43154957983193276</v>
      </c>
    </row>
    <row r="488" spans="1:14" x14ac:dyDescent="0.3">
      <c r="A488" t="str">
        <f>정규화데이터!A488</f>
        <v>SK스토아</v>
      </c>
      <c r="B488">
        <f>정규화데이터!B488</f>
        <v>20260209889552</v>
      </c>
      <c r="C488" t="str">
        <f>정규화데이터!C488</f>
        <v>[워커힐]워커힐 고메 시그니처 양념 본갈비 8팩</v>
      </c>
      <c r="D488">
        <f>정규화데이터!D488</f>
        <v>58481090</v>
      </c>
      <c r="E488" s="16" t="str">
        <f>정규화데이터!E488</f>
        <v>SKU001</v>
      </c>
      <c r="F488" s="3">
        <f>정규화데이터!F488</f>
        <v>1</v>
      </c>
      <c r="G488" s="3">
        <f>정규화데이터!G488</f>
        <v>119000</v>
      </c>
      <c r="H488" s="3">
        <f>정규화데이터!H488</f>
        <v>118180</v>
      </c>
      <c r="I488" s="3">
        <f>정규화데이터!I488</f>
        <v>82110</v>
      </c>
      <c r="J488" s="3">
        <f>정규화데이터!J488</f>
        <v>107436.36363636365</v>
      </c>
      <c r="K488" s="25">
        <f>정규화데이터!K488</f>
        <v>61496</v>
      </c>
      <c r="L488" s="25">
        <f>정규화데이터!L488</f>
        <v>61496</v>
      </c>
      <c r="M488" s="21">
        <f t="shared" si="14"/>
        <v>45940.363636363647</v>
      </c>
      <c r="N488" s="52">
        <f t="shared" si="15"/>
        <v>0.4276053477745812</v>
      </c>
    </row>
    <row r="489" spans="1:14" x14ac:dyDescent="0.3">
      <c r="A489" t="str">
        <f>정규화데이터!A489</f>
        <v>SK스토아</v>
      </c>
      <c r="B489">
        <f>정규화데이터!B489</f>
        <v>20260205993840</v>
      </c>
      <c r="C489" t="str">
        <f>정규화데이터!C489</f>
        <v>[워커힐]워커힐 고메 시그니처 양념 본갈비 8팩</v>
      </c>
      <c r="D489">
        <f>정규화데이터!D489</f>
        <v>58481090</v>
      </c>
      <c r="E489" s="16" t="str">
        <f>정규화데이터!E489</f>
        <v>SKU001</v>
      </c>
      <c r="F489" s="3">
        <f>정규화데이터!F489</f>
        <v>1</v>
      </c>
      <c r="G489" s="3">
        <f>정규화데이터!G489</f>
        <v>119000</v>
      </c>
      <c r="H489" s="3">
        <f>정규화데이터!H489</f>
        <v>119000</v>
      </c>
      <c r="I489" s="3">
        <f>정규화데이터!I489</f>
        <v>82110</v>
      </c>
      <c r="J489" s="3">
        <f>정규화데이터!J489</f>
        <v>108181.81818181818</v>
      </c>
      <c r="K489" s="25">
        <f>정규화데이터!K489</f>
        <v>61496</v>
      </c>
      <c r="L489" s="25">
        <f>정규화데이터!L489</f>
        <v>61496</v>
      </c>
      <c r="M489" s="21">
        <f t="shared" si="14"/>
        <v>46685.818181818177</v>
      </c>
      <c r="N489" s="52">
        <f t="shared" si="15"/>
        <v>0.43154957983193276</v>
      </c>
    </row>
    <row r="490" spans="1:14" x14ac:dyDescent="0.3">
      <c r="A490" t="str">
        <f>정규화데이터!A490</f>
        <v>SK스토아</v>
      </c>
      <c r="B490">
        <f>정규화데이터!B490</f>
        <v>20260205992722</v>
      </c>
      <c r="C490" t="str">
        <f>정규화데이터!C490</f>
        <v>[워커힐]워커힐 고메 시그니처 양념 본갈비 8팩</v>
      </c>
      <c r="D490">
        <f>정규화데이터!D490</f>
        <v>58481090</v>
      </c>
      <c r="E490" s="16" t="str">
        <f>정규화데이터!E490</f>
        <v>SKU001</v>
      </c>
      <c r="F490" s="3">
        <f>정규화데이터!F490</f>
        <v>1</v>
      </c>
      <c r="G490" s="3">
        <f>정규화데이터!G490</f>
        <v>119000</v>
      </c>
      <c r="H490" s="3">
        <f>정규화데이터!H490</f>
        <v>119000</v>
      </c>
      <c r="I490" s="3">
        <f>정규화데이터!I490</f>
        <v>82110</v>
      </c>
      <c r="J490" s="3">
        <f>정규화데이터!J490</f>
        <v>108181.81818181818</v>
      </c>
      <c r="K490" s="25">
        <f>정규화데이터!K490</f>
        <v>61496</v>
      </c>
      <c r="L490" s="25">
        <f>정규화데이터!L490</f>
        <v>61496</v>
      </c>
      <c r="M490" s="21">
        <f t="shared" si="14"/>
        <v>46685.818181818177</v>
      </c>
      <c r="N490" s="52">
        <f t="shared" si="15"/>
        <v>0.43154957983193276</v>
      </c>
    </row>
    <row r="491" spans="1:14" x14ac:dyDescent="0.3">
      <c r="A491" t="str">
        <f>정규화데이터!A491</f>
        <v>SK스토아</v>
      </c>
      <c r="B491">
        <f>정규화데이터!B491</f>
        <v>20260210347699</v>
      </c>
      <c r="C491" t="str">
        <f>정규화데이터!C491</f>
        <v>[워커힐]워커힐 고메 시그니처 양념 본갈비 8팩</v>
      </c>
      <c r="D491">
        <f>정규화데이터!D491</f>
        <v>58481090</v>
      </c>
      <c r="E491" s="16" t="str">
        <f>정규화데이터!E491</f>
        <v>SKU001</v>
      </c>
      <c r="F491" s="3">
        <f>정규화데이터!F491</f>
        <v>1</v>
      </c>
      <c r="G491" s="3">
        <f>정규화데이터!G491</f>
        <v>119000</v>
      </c>
      <c r="H491" s="3">
        <f>정규화데이터!H491</f>
        <v>98770</v>
      </c>
      <c r="I491" s="3">
        <f>정규화데이터!I491</f>
        <v>80920</v>
      </c>
      <c r="J491" s="3">
        <f>정규화데이터!J491</f>
        <v>89790.909090909088</v>
      </c>
      <c r="K491" s="25">
        <f>정규화데이터!K491</f>
        <v>61496</v>
      </c>
      <c r="L491" s="25">
        <f>정규화데이터!L491</f>
        <v>61496</v>
      </c>
      <c r="M491" s="21">
        <f t="shared" si="14"/>
        <v>28294.909090909088</v>
      </c>
      <c r="N491" s="52">
        <f t="shared" si="15"/>
        <v>0.31511997570112382</v>
      </c>
    </row>
    <row r="492" spans="1:14" x14ac:dyDescent="0.3">
      <c r="A492" t="str">
        <f>정규화데이터!A492</f>
        <v>SK스토아</v>
      </c>
      <c r="B492">
        <f>정규화데이터!B492</f>
        <v>20260205995560</v>
      </c>
      <c r="C492" t="str">
        <f>정규화데이터!C492</f>
        <v>[워커힐]워커힐 고메 시그니처 양념 본갈비 8팩</v>
      </c>
      <c r="D492">
        <f>정규화데이터!D492</f>
        <v>58481090</v>
      </c>
      <c r="E492" s="16" t="str">
        <f>정규화데이터!E492</f>
        <v>SKU001</v>
      </c>
      <c r="F492" s="3">
        <f>정규화데이터!F492</f>
        <v>1</v>
      </c>
      <c r="G492" s="3">
        <f>정규화데이터!G492</f>
        <v>119000</v>
      </c>
      <c r="H492" s="3">
        <f>정규화데이터!H492</f>
        <v>119000</v>
      </c>
      <c r="I492" s="3">
        <f>정규화데이터!I492</f>
        <v>82110</v>
      </c>
      <c r="J492" s="3">
        <f>정규화데이터!J492</f>
        <v>108181.81818181818</v>
      </c>
      <c r="K492" s="25">
        <f>정규화데이터!K492</f>
        <v>61496</v>
      </c>
      <c r="L492" s="25">
        <f>정규화데이터!L492</f>
        <v>61496</v>
      </c>
      <c r="M492" s="21">
        <f t="shared" si="14"/>
        <v>46685.818181818177</v>
      </c>
      <c r="N492" s="52">
        <f t="shared" si="15"/>
        <v>0.43154957983193276</v>
      </c>
    </row>
    <row r="493" spans="1:14" x14ac:dyDescent="0.3">
      <c r="A493" t="str">
        <f>정규화데이터!A493</f>
        <v>SK스토아</v>
      </c>
      <c r="B493">
        <f>정규화데이터!B493</f>
        <v>20260205994523</v>
      </c>
      <c r="C493" t="str">
        <f>정규화데이터!C493</f>
        <v>[워커힐]워커힐 고메 시그니처 양념 본갈비 8팩</v>
      </c>
      <c r="D493">
        <f>정규화데이터!D493</f>
        <v>58481090</v>
      </c>
      <c r="E493" s="16" t="str">
        <f>정규화데이터!E493</f>
        <v>SKU001</v>
      </c>
      <c r="F493" s="3">
        <f>정규화데이터!F493</f>
        <v>1</v>
      </c>
      <c r="G493" s="3">
        <f>정규화데이터!G493</f>
        <v>119000</v>
      </c>
      <c r="H493" s="3">
        <f>정규화데이터!H493</f>
        <v>119000</v>
      </c>
      <c r="I493" s="3">
        <f>정규화데이터!I493</f>
        <v>82110</v>
      </c>
      <c r="J493" s="3">
        <f>정규화데이터!J493</f>
        <v>108181.81818181818</v>
      </c>
      <c r="K493" s="25">
        <f>정규화데이터!K493</f>
        <v>61496</v>
      </c>
      <c r="L493" s="25">
        <f>정규화데이터!L493</f>
        <v>61496</v>
      </c>
      <c r="M493" s="21">
        <f t="shared" si="14"/>
        <v>46685.818181818177</v>
      </c>
      <c r="N493" s="52">
        <f t="shared" si="15"/>
        <v>0.43154957983193276</v>
      </c>
    </row>
    <row r="494" spans="1:14" x14ac:dyDescent="0.3">
      <c r="A494" t="str">
        <f>정규화데이터!A494</f>
        <v>SK스토아</v>
      </c>
      <c r="B494">
        <f>정규화데이터!B494</f>
        <v>20260209898048</v>
      </c>
      <c r="C494" t="str">
        <f>정규화데이터!C494</f>
        <v>[워커힐]워커힐 시그니처 양념 본갈비 4팩</v>
      </c>
      <c r="D494">
        <f>정규화데이터!D494</f>
        <v>59163204</v>
      </c>
      <c r="E494" s="16" t="str">
        <f>정규화데이터!E494</f>
        <v>SKU001</v>
      </c>
      <c r="F494" s="3">
        <f>정규화데이터!F494</f>
        <v>1</v>
      </c>
      <c r="G494" s="3">
        <f>정규화데이터!G494</f>
        <v>78000</v>
      </c>
      <c r="H494" s="3">
        <f>정규화데이터!H494</f>
        <v>74100</v>
      </c>
      <c r="I494" s="3">
        <f>정규화데이터!I494</f>
        <v>53820</v>
      </c>
      <c r="J494" s="3">
        <f>정규화데이터!J494</f>
        <v>67363.636363636353</v>
      </c>
      <c r="K494" s="25">
        <f>정규화데이터!K494</f>
        <v>30748</v>
      </c>
      <c r="L494" s="25">
        <f>정규화데이터!L494</f>
        <v>30748</v>
      </c>
      <c r="M494" s="21">
        <f t="shared" si="14"/>
        <v>36615.636363636353</v>
      </c>
      <c r="N494" s="52">
        <f t="shared" si="15"/>
        <v>0.54355195681511459</v>
      </c>
    </row>
    <row r="495" spans="1:14" x14ac:dyDescent="0.3">
      <c r="A495" t="str">
        <f>정규화데이터!A495</f>
        <v>SK스토아</v>
      </c>
      <c r="B495">
        <f>정규화데이터!B495</f>
        <v>20260210361668</v>
      </c>
      <c r="C495" t="str">
        <f>정규화데이터!C495</f>
        <v>[워커힐]워커힐 고메 시그니처 양념 본갈비 8팩</v>
      </c>
      <c r="D495">
        <f>정규화데이터!D495</f>
        <v>58481090</v>
      </c>
      <c r="E495" s="16" t="str">
        <f>정규화데이터!E495</f>
        <v>SKU001</v>
      </c>
      <c r="F495" s="3">
        <f>정규화데이터!F495</f>
        <v>1</v>
      </c>
      <c r="G495" s="3">
        <f>정규화데이터!G495</f>
        <v>119000</v>
      </c>
      <c r="H495" s="3">
        <f>정규화데이터!H495</f>
        <v>119000</v>
      </c>
      <c r="I495" s="3">
        <f>정규화데이터!I495</f>
        <v>80920</v>
      </c>
      <c r="J495" s="3">
        <f>정규화데이터!J495</f>
        <v>108181.81818181818</v>
      </c>
      <c r="K495" s="25">
        <f>정규화데이터!K495</f>
        <v>61496</v>
      </c>
      <c r="L495" s="25">
        <f>정규화데이터!L495</f>
        <v>61496</v>
      </c>
      <c r="M495" s="21">
        <f t="shared" si="14"/>
        <v>46685.818181818177</v>
      </c>
      <c r="N495" s="52">
        <f t="shared" si="15"/>
        <v>0.43154957983193276</v>
      </c>
    </row>
    <row r="496" spans="1:14" x14ac:dyDescent="0.3">
      <c r="A496" t="str">
        <f>정규화데이터!A496</f>
        <v>SK스토아</v>
      </c>
      <c r="B496">
        <f>정규화데이터!B496</f>
        <v>20260210361308</v>
      </c>
      <c r="C496" t="str">
        <f>정규화데이터!C496</f>
        <v>[워커힐]워커힐 고메 시그니처 양념 본갈비 8팩</v>
      </c>
      <c r="D496">
        <f>정규화데이터!D496</f>
        <v>58481090</v>
      </c>
      <c r="E496" s="16" t="str">
        <f>정규화데이터!E496</f>
        <v>SKU001</v>
      </c>
      <c r="F496" s="3">
        <f>정규화데이터!F496</f>
        <v>1</v>
      </c>
      <c r="G496" s="3">
        <f>정규화데이터!G496</f>
        <v>119000</v>
      </c>
      <c r="H496" s="3">
        <f>정규화데이터!H496</f>
        <v>119000</v>
      </c>
      <c r="I496" s="3">
        <f>정규화데이터!I496</f>
        <v>80920</v>
      </c>
      <c r="J496" s="3">
        <f>정규화데이터!J496</f>
        <v>108181.81818181818</v>
      </c>
      <c r="K496" s="25">
        <f>정규화데이터!K496</f>
        <v>61496</v>
      </c>
      <c r="L496" s="25">
        <f>정규화데이터!L496</f>
        <v>61496</v>
      </c>
      <c r="M496" s="21">
        <f t="shared" si="14"/>
        <v>46685.818181818177</v>
      </c>
      <c r="N496" s="52">
        <f t="shared" si="15"/>
        <v>0.43154957983193276</v>
      </c>
    </row>
    <row r="497" spans="1:14" x14ac:dyDescent="0.3">
      <c r="A497" t="str">
        <f>정규화데이터!A497</f>
        <v>SK스토아</v>
      </c>
      <c r="B497">
        <f>정규화데이터!B497</f>
        <v>20260210361311</v>
      </c>
      <c r="C497" t="str">
        <f>정규화데이터!C497</f>
        <v>[워커힐]워커힐 고메 시그니처 양념 본갈비 8팩</v>
      </c>
      <c r="D497">
        <f>정규화데이터!D497</f>
        <v>58481090</v>
      </c>
      <c r="E497" s="16" t="str">
        <f>정규화데이터!E497</f>
        <v>SKU001</v>
      </c>
      <c r="F497" s="3">
        <f>정규화데이터!F497</f>
        <v>1</v>
      </c>
      <c r="G497" s="3">
        <f>정규화데이터!G497</f>
        <v>119000</v>
      </c>
      <c r="H497" s="3">
        <f>정규화데이터!H497</f>
        <v>119000</v>
      </c>
      <c r="I497" s="3">
        <f>정규화데이터!I497</f>
        <v>80920</v>
      </c>
      <c r="J497" s="3">
        <f>정규화데이터!J497</f>
        <v>108181.81818181818</v>
      </c>
      <c r="K497" s="25">
        <f>정규화데이터!K497</f>
        <v>61496</v>
      </c>
      <c r="L497" s="25">
        <f>정규화데이터!L497</f>
        <v>61496</v>
      </c>
      <c r="M497" s="21">
        <f t="shared" si="14"/>
        <v>46685.818181818177</v>
      </c>
      <c r="N497" s="52">
        <f t="shared" si="15"/>
        <v>0.43154957983193276</v>
      </c>
    </row>
    <row r="498" spans="1:14" x14ac:dyDescent="0.3">
      <c r="A498" t="str">
        <f>정규화데이터!A498</f>
        <v>SK스토아</v>
      </c>
      <c r="B498">
        <f>정규화데이터!B498</f>
        <v>20260210361344</v>
      </c>
      <c r="C498" t="str">
        <f>정규화데이터!C498</f>
        <v>[워커힐]워커힐 고메 시그니처 양념 본갈비 8팩</v>
      </c>
      <c r="D498">
        <f>정규화데이터!D498</f>
        <v>58481090</v>
      </c>
      <c r="E498" s="16" t="str">
        <f>정규화데이터!E498</f>
        <v>SKU001</v>
      </c>
      <c r="F498" s="3">
        <f>정규화데이터!F498</f>
        <v>1</v>
      </c>
      <c r="G498" s="3">
        <f>정규화데이터!G498</f>
        <v>119000</v>
      </c>
      <c r="H498" s="3">
        <f>정규화데이터!H498</f>
        <v>119000</v>
      </c>
      <c r="I498" s="3">
        <f>정규화데이터!I498</f>
        <v>80920</v>
      </c>
      <c r="J498" s="3">
        <f>정규화데이터!J498</f>
        <v>108181.81818181818</v>
      </c>
      <c r="K498" s="25">
        <f>정규화데이터!K498</f>
        <v>61496</v>
      </c>
      <c r="L498" s="25">
        <f>정규화데이터!L498</f>
        <v>61496</v>
      </c>
      <c r="M498" s="21">
        <f t="shared" si="14"/>
        <v>46685.818181818177</v>
      </c>
      <c r="N498" s="52">
        <f t="shared" si="15"/>
        <v>0.43154957983193276</v>
      </c>
    </row>
    <row r="499" spans="1:14" x14ac:dyDescent="0.3">
      <c r="A499" t="str">
        <f>정규화데이터!A499</f>
        <v>SK스토아</v>
      </c>
      <c r="B499">
        <f>정규화데이터!B499</f>
        <v>20260210361574</v>
      </c>
      <c r="C499" t="str">
        <f>정규화데이터!C499</f>
        <v>[워커힐]워커힐 고메 시그니처 양념 본갈비 8팩</v>
      </c>
      <c r="D499">
        <f>정규화데이터!D499</f>
        <v>58481090</v>
      </c>
      <c r="E499" s="16" t="str">
        <f>정규화데이터!E499</f>
        <v>SKU001</v>
      </c>
      <c r="F499" s="3">
        <f>정규화데이터!F499</f>
        <v>1</v>
      </c>
      <c r="G499" s="3">
        <f>정규화데이터!G499</f>
        <v>119000</v>
      </c>
      <c r="H499" s="3">
        <f>정규화데이터!H499</f>
        <v>119000</v>
      </c>
      <c r="I499" s="3">
        <f>정규화데이터!I499</f>
        <v>80920</v>
      </c>
      <c r="J499" s="3">
        <f>정규화데이터!J499</f>
        <v>108181.81818181818</v>
      </c>
      <c r="K499" s="25">
        <f>정규화데이터!K499</f>
        <v>61496</v>
      </c>
      <c r="L499" s="25">
        <f>정규화데이터!L499</f>
        <v>61496</v>
      </c>
      <c r="M499" s="21">
        <f t="shared" si="14"/>
        <v>46685.818181818177</v>
      </c>
      <c r="N499" s="52">
        <f t="shared" si="15"/>
        <v>0.43154957983193276</v>
      </c>
    </row>
    <row r="500" spans="1:14" x14ac:dyDescent="0.3">
      <c r="A500" t="str">
        <f>정규화데이터!A500</f>
        <v>SK스토아</v>
      </c>
      <c r="B500">
        <f>정규화데이터!B500</f>
        <v>20260210361598</v>
      </c>
      <c r="C500" t="str">
        <f>정규화데이터!C500</f>
        <v>[워커힐]워커힐 고메 시그니처 양념 본갈비 8팩</v>
      </c>
      <c r="D500">
        <f>정규화데이터!D500</f>
        <v>58481090</v>
      </c>
      <c r="E500" s="16" t="str">
        <f>정규화데이터!E500</f>
        <v>SKU001</v>
      </c>
      <c r="F500" s="3">
        <f>정규화데이터!F500</f>
        <v>1</v>
      </c>
      <c r="G500" s="3">
        <f>정규화데이터!G500</f>
        <v>119000</v>
      </c>
      <c r="H500" s="3">
        <f>정규화데이터!H500</f>
        <v>119000</v>
      </c>
      <c r="I500" s="3">
        <f>정규화데이터!I500</f>
        <v>80920</v>
      </c>
      <c r="J500" s="3">
        <f>정규화데이터!J500</f>
        <v>108181.81818181818</v>
      </c>
      <c r="K500" s="25">
        <f>정규화데이터!K500</f>
        <v>61496</v>
      </c>
      <c r="L500" s="25">
        <f>정규화데이터!L500</f>
        <v>61496</v>
      </c>
      <c r="M500" s="21">
        <f t="shared" si="14"/>
        <v>46685.818181818177</v>
      </c>
      <c r="N500" s="52">
        <f t="shared" si="15"/>
        <v>0.43154957983193276</v>
      </c>
    </row>
    <row r="501" spans="1:14" x14ac:dyDescent="0.3">
      <c r="A501" t="str">
        <f>정규화데이터!A501</f>
        <v>SK스토아</v>
      </c>
      <c r="B501">
        <f>정규화데이터!B501</f>
        <v>20260210361706</v>
      </c>
      <c r="C501" t="str">
        <f>정규화데이터!C501</f>
        <v>[워커힐]워커힐 고메 시그니처 양념 본갈비 8팩</v>
      </c>
      <c r="D501">
        <f>정규화데이터!D501</f>
        <v>58481090</v>
      </c>
      <c r="E501" s="16" t="str">
        <f>정규화데이터!E501</f>
        <v>SKU001</v>
      </c>
      <c r="F501" s="3">
        <f>정규화데이터!F501</f>
        <v>1</v>
      </c>
      <c r="G501" s="3">
        <f>정규화데이터!G501</f>
        <v>119000</v>
      </c>
      <c r="H501" s="3">
        <f>정규화데이터!H501</f>
        <v>119000</v>
      </c>
      <c r="I501" s="3">
        <f>정규화데이터!I501</f>
        <v>80920</v>
      </c>
      <c r="J501" s="3">
        <f>정규화데이터!J501</f>
        <v>108181.81818181818</v>
      </c>
      <c r="K501" s="25">
        <f>정규화데이터!K501</f>
        <v>61496</v>
      </c>
      <c r="L501" s="25">
        <f>정규화데이터!L501</f>
        <v>61496</v>
      </c>
      <c r="M501" s="21">
        <f t="shared" si="14"/>
        <v>46685.818181818177</v>
      </c>
      <c r="N501" s="52">
        <f t="shared" si="15"/>
        <v>0.43154957983193276</v>
      </c>
    </row>
    <row r="502" spans="1:14" x14ac:dyDescent="0.3">
      <c r="A502" t="str">
        <f>정규화데이터!A502</f>
        <v>SK스토아</v>
      </c>
      <c r="B502">
        <f>정규화데이터!B502</f>
        <v>20260210361759</v>
      </c>
      <c r="C502" t="str">
        <f>정규화데이터!C502</f>
        <v>[워커힐]워커힐 고메 시그니처 양념 본갈비 8팩</v>
      </c>
      <c r="D502">
        <f>정규화데이터!D502</f>
        <v>58481090</v>
      </c>
      <c r="E502" s="16" t="str">
        <f>정규화데이터!E502</f>
        <v>SKU001</v>
      </c>
      <c r="F502" s="3">
        <f>정규화데이터!F502</f>
        <v>1</v>
      </c>
      <c r="G502" s="3">
        <f>정규화데이터!G502</f>
        <v>119000</v>
      </c>
      <c r="H502" s="3">
        <f>정규화데이터!H502</f>
        <v>119000</v>
      </c>
      <c r="I502" s="3">
        <f>정규화데이터!I502</f>
        <v>80920</v>
      </c>
      <c r="J502" s="3">
        <f>정규화데이터!J502</f>
        <v>108181.81818181818</v>
      </c>
      <c r="K502" s="25">
        <f>정규화데이터!K502</f>
        <v>61496</v>
      </c>
      <c r="L502" s="25">
        <f>정규화데이터!L502</f>
        <v>61496</v>
      </c>
      <c r="M502" s="21">
        <f t="shared" si="14"/>
        <v>46685.818181818177</v>
      </c>
      <c r="N502" s="52">
        <f t="shared" si="15"/>
        <v>0.43154957983193276</v>
      </c>
    </row>
    <row r="503" spans="1:14" x14ac:dyDescent="0.3">
      <c r="A503" t="str">
        <f>정규화데이터!A503</f>
        <v>SK스토아</v>
      </c>
      <c r="B503">
        <f>정규화데이터!B503</f>
        <v>20260210361684</v>
      </c>
      <c r="C503" t="str">
        <f>정규화데이터!C503</f>
        <v>[워커힐]워커힐 고메 시그니처 양념 본갈비 8팩</v>
      </c>
      <c r="D503">
        <f>정규화데이터!D503</f>
        <v>58481090</v>
      </c>
      <c r="E503" s="16" t="str">
        <f>정규화데이터!E503</f>
        <v>SKU001</v>
      </c>
      <c r="F503" s="3">
        <f>정규화데이터!F503</f>
        <v>1</v>
      </c>
      <c r="G503" s="3">
        <f>정규화데이터!G503</f>
        <v>119000</v>
      </c>
      <c r="H503" s="3">
        <f>정규화데이터!H503</f>
        <v>119000</v>
      </c>
      <c r="I503" s="3">
        <f>정규화데이터!I503</f>
        <v>80920</v>
      </c>
      <c r="J503" s="3">
        <f>정규화데이터!J503</f>
        <v>108181.81818181818</v>
      </c>
      <c r="K503" s="25">
        <f>정규화데이터!K503</f>
        <v>61496</v>
      </c>
      <c r="L503" s="25">
        <f>정규화데이터!L503</f>
        <v>61496</v>
      </c>
      <c r="M503" s="21">
        <f t="shared" si="14"/>
        <v>46685.818181818177</v>
      </c>
      <c r="N503" s="52">
        <f t="shared" si="15"/>
        <v>0.43154957983193276</v>
      </c>
    </row>
    <row r="504" spans="1:14" x14ac:dyDescent="0.3">
      <c r="A504" t="str">
        <f>정규화데이터!A504</f>
        <v>SK스토아</v>
      </c>
      <c r="B504">
        <f>정규화데이터!B504</f>
        <v>20260210361910</v>
      </c>
      <c r="C504" t="str">
        <f>정규화데이터!C504</f>
        <v>[워커힐]워커힐 고메 시그니처 양념 본갈비 8팩</v>
      </c>
      <c r="D504">
        <f>정규화데이터!D504</f>
        <v>58481090</v>
      </c>
      <c r="E504" s="16" t="str">
        <f>정규화데이터!E504</f>
        <v>SKU001</v>
      </c>
      <c r="F504" s="3">
        <f>정규화데이터!F504</f>
        <v>1</v>
      </c>
      <c r="G504" s="3">
        <f>정규화데이터!G504</f>
        <v>119000</v>
      </c>
      <c r="H504" s="3">
        <f>정규화데이터!H504</f>
        <v>119000</v>
      </c>
      <c r="I504" s="3">
        <f>정규화데이터!I504</f>
        <v>80920</v>
      </c>
      <c r="J504" s="3">
        <f>정규화데이터!J504</f>
        <v>108181.81818181818</v>
      </c>
      <c r="K504" s="25">
        <f>정규화데이터!K504</f>
        <v>61496</v>
      </c>
      <c r="L504" s="25">
        <f>정규화데이터!L504</f>
        <v>61496</v>
      </c>
      <c r="M504" s="21">
        <f t="shared" si="14"/>
        <v>46685.818181818177</v>
      </c>
      <c r="N504" s="52">
        <f t="shared" si="15"/>
        <v>0.43154957983193276</v>
      </c>
    </row>
    <row r="505" spans="1:14" x14ac:dyDescent="0.3">
      <c r="A505" t="str">
        <f>정규화데이터!A505</f>
        <v>SK스토아</v>
      </c>
      <c r="B505">
        <f>정규화데이터!B505</f>
        <v>20260210362507</v>
      </c>
      <c r="C505" t="str">
        <f>정규화데이터!C505</f>
        <v>[워커힐]워커힐 고메 시그니처 양념 본갈비 8팩</v>
      </c>
      <c r="D505">
        <f>정규화데이터!D505</f>
        <v>58481090</v>
      </c>
      <c r="E505" s="16" t="str">
        <f>정규화데이터!E505</f>
        <v>SKU001</v>
      </c>
      <c r="F505" s="3">
        <f>정규화데이터!F505</f>
        <v>1</v>
      </c>
      <c r="G505" s="3">
        <f>정규화데이터!G505</f>
        <v>119000</v>
      </c>
      <c r="H505" s="3">
        <f>정규화데이터!H505</f>
        <v>119000</v>
      </c>
      <c r="I505" s="3">
        <f>정규화데이터!I505</f>
        <v>80920</v>
      </c>
      <c r="J505" s="3">
        <f>정규화데이터!J505</f>
        <v>108181.81818181818</v>
      </c>
      <c r="K505" s="25">
        <f>정규화데이터!K505</f>
        <v>61496</v>
      </c>
      <c r="L505" s="25">
        <f>정규화데이터!L505</f>
        <v>61496</v>
      </c>
      <c r="M505" s="21">
        <f t="shared" si="14"/>
        <v>46685.818181818177</v>
      </c>
      <c r="N505" s="52">
        <f t="shared" si="15"/>
        <v>0.43154957983193276</v>
      </c>
    </row>
    <row r="506" spans="1:14" x14ac:dyDescent="0.3">
      <c r="A506" t="str">
        <f>정규화데이터!A506</f>
        <v>SK스토아</v>
      </c>
      <c r="B506">
        <f>정규화데이터!B506</f>
        <v>20260210360232</v>
      </c>
      <c r="C506" t="str">
        <f>정규화데이터!C506</f>
        <v>[워커힐]워커힐 고메 시그니처 양념 본갈비 8팩</v>
      </c>
      <c r="D506">
        <f>정규화데이터!D506</f>
        <v>58481090</v>
      </c>
      <c r="E506" s="16" t="str">
        <f>정규화데이터!E506</f>
        <v>SKU001</v>
      </c>
      <c r="F506" s="3">
        <f>정규화데이터!F506</f>
        <v>1</v>
      </c>
      <c r="G506" s="3">
        <f>정규화데이터!G506</f>
        <v>119000</v>
      </c>
      <c r="H506" s="3">
        <f>정규화데이터!H506</f>
        <v>113050</v>
      </c>
      <c r="I506" s="3">
        <f>정규화데이터!I506</f>
        <v>80920</v>
      </c>
      <c r="J506" s="3">
        <f>정규화데이터!J506</f>
        <v>102772.72727272726</v>
      </c>
      <c r="K506" s="25">
        <f>정규화데이터!K506</f>
        <v>61496</v>
      </c>
      <c r="L506" s="25">
        <f>정규화데이터!L506</f>
        <v>61496</v>
      </c>
      <c r="M506" s="21">
        <f t="shared" si="14"/>
        <v>41276.727272727265</v>
      </c>
      <c r="N506" s="52">
        <f t="shared" si="15"/>
        <v>0.40163113666519235</v>
      </c>
    </row>
    <row r="507" spans="1:14" x14ac:dyDescent="0.3">
      <c r="A507" t="str">
        <f>정규화데이터!A507</f>
        <v>SK스토아</v>
      </c>
      <c r="B507">
        <f>정규화데이터!B507</f>
        <v>20260210361309</v>
      </c>
      <c r="C507" t="str">
        <f>정규화데이터!C507</f>
        <v>[워커힐]워커힐 고메 시그니처 양념 본갈비 8팩</v>
      </c>
      <c r="D507">
        <f>정규화데이터!D507</f>
        <v>58481090</v>
      </c>
      <c r="E507" s="16" t="str">
        <f>정규화데이터!E507</f>
        <v>SKU001</v>
      </c>
      <c r="F507" s="3">
        <f>정규화데이터!F507</f>
        <v>1</v>
      </c>
      <c r="G507" s="3">
        <f>정규화데이터!G507</f>
        <v>119000</v>
      </c>
      <c r="H507" s="3">
        <f>정규화데이터!H507</f>
        <v>119000</v>
      </c>
      <c r="I507" s="3">
        <f>정규화데이터!I507</f>
        <v>80920</v>
      </c>
      <c r="J507" s="3">
        <f>정규화데이터!J507</f>
        <v>108181.81818181818</v>
      </c>
      <c r="K507" s="25">
        <f>정규화데이터!K507</f>
        <v>61496</v>
      </c>
      <c r="L507" s="25">
        <f>정규화데이터!L507</f>
        <v>61496</v>
      </c>
      <c r="M507" s="21">
        <f t="shared" si="14"/>
        <v>46685.818181818177</v>
      </c>
      <c r="N507" s="52">
        <f t="shared" si="15"/>
        <v>0.43154957983193276</v>
      </c>
    </row>
    <row r="508" spans="1:14" x14ac:dyDescent="0.3">
      <c r="A508" t="str">
        <f>정규화데이터!A508</f>
        <v>SK스토아</v>
      </c>
      <c r="B508">
        <f>정규화데이터!B508</f>
        <v>20260210361341</v>
      </c>
      <c r="C508" t="str">
        <f>정규화데이터!C508</f>
        <v>[워커힐]워커힐 고메 시그니처 양념 본갈비 8팩</v>
      </c>
      <c r="D508">
        <f>정규화데이터!D508</f>
        <v>58481090</v>
      </c>
      <c r="E508" s="16" t="str">
        <f>정규화데이터!E508</f>
        <v>SKU001</v>
      </c>
      <c r="F508" s="3">
        <f>정규화데이터!F508</f>
        <v>1</v>
      </c>
      <c r="G508" s="3">
        <f>정규화데이터!G508</f>
        <v>119000</v>
      </c>
      <c r="H508" s="3">
        <f>정규화데이터!H508</f>
        <v>119000</v>
      </c>
      <c r="I508" s="3">
        <f>정규화데이터!I508</f>
        <v>80920</v>
      </c>
      <c r="J508" s="3">
        <f>정규화데이터!J508</f>
        <v>108181.81818181818</v>
      </c>
      <c r="K508" s="25">
        <f>정규화데이터!K508</f>
        <v>61496</v>
      </c>
      <c r="L508" s="25">
        <f>정규화데이터!L508</f>
        <v>61496</v>
      </c>
      <c r="M508" s="21">
        <f t="shared" si="14"/>
        <v>46685.818181818177</v>
      </c>
      <c r="N508" s="52">
        <f t="shared" si="15"/>
        <v>0.43154957983193276</v>
      </c>
    </row>
    <row r="509" spans="1:14" x14ac:dyDescent="0.3">
      <c r="A509" t="str">
        <f>정규화데이터!A509</f>
        <v>SK스토아</v>
      </c>
      <c r="B509">
        <f>정규화데이터!B509</f>
        <v>20260210361405</v>
      </c>
      <c r="C509" t="str">
        <f>정규화데이터!C509</f>
        <v>[워커힐]워커힐 고메 시그니처 양념 본갈비 8팩</v>
      </c>
      <c r="D509">
        <f>정규화데이터!D509</f>
        <v>58481090</v>
      </c>
      <c r="E509" s="16" t="str">
        <f>정규화데이터!E509</f>
        <v>SKU001</v>
      </c>
      <c r="F509" s="3">
        <f>정규화데이터!F509</f>
        <v>1</v>
      </c>
      <c r="G509" s="3">
        <f>정규화데이터!G509</f>
        <v>119000</v>
      </c>
      <c r="H509" s="3">
        <f>정규화데이터!H509</f>
        <v>119000</v>
      </c>
      <c r="I509" s="3">
        <f>정규화데이터!I509</f>
        <v>80920</v>
      </c>
      <c r="J509" s="3">
        <f>정규화데이터!J509</f>
        <v>108181.81818181818</v>
      </c>
      <c r="K509" s="25">
        <f>정규화데이터!K509</f>
        <v>61496</v>
      </c>
      <c r="L509" s="25">
        <f>정규화데이터!L509</f>
        <v>61496</v>
      </c>
      <c r="M509" s="21">
        <f t="shared" si="14"/>
        <v>46685.818181818177</v>
      </c>
      <c r="N509" s="52">
        <f t="shared" si="15"/>
        <v>0.43154957983193276</v>
      </c>
    </row>
    <row r="510" spans="1:14" x14ac:dyDescent="0.3">
      <c r="A510" t="str">
        <f>정규화데이터!A510</f>
        <v>SK스토아</v>
      </c>
      <c r="B510">
        <f>정규화데이터!B510</f>
        <v>20260210361631</v>
      </c>
      <c r="C510" t="str">
        <f>정규화데이터!C510</f>
        <v>[워커힐]워커힐 고메 시그니처 양념 본갈비 8팩</v>
      </c>
      <c r="D510">
        <f>정규화데이터!D510</f>
        <v>58481090</v>
      </c>
      <c r="E510" s="16" t="str">
        <f>정규화데이터!E510</f>
        <v>SKU001</v>
      </c>
      <c r="F510" s="3">
        <f>정규화데이터!F510</f>
        <v>1</v>
      </c>
      <c r="G510" s="3">
        <f>정규화데이터!G510</f>
        <v>119000</v>
      </c>
      <c r="H510" s="3">
        <f>정규화데이터!H510</f>
        <v>119000</v>
      </c>
      <c r="I510" s="3">
        <f>정규화데이터!I510</f>
        <v>80920</v>
      </c>
      <c r="J510" s="3">
        <f>정규화데이터!J510</f>
        <v>108181.81818181818</v>
      </c>
      <c r="K510" s="25">
        <f>정규화데이터!K510</f>
        <v>61496</v>
      </c>
      <c r="L510" s="25">
        <f>정규화데이터!L510</f>
        <v>61496</v>
      </c>
      <c r="M510" s="21">
        <f t="shared" si="14"/>
        <v>46685.818181818177</v>
      </c>
      <c r="N510" s="52">
        <f t="shared" si="15"/>
        <v>0.43154957983193276</v>
      </c>
    </row>
    <row r="511" spans="1:14" x14ac:dyDescent="0.3">
      <c r="A511" t="str">
        <f>정규화데이터!A511</f>
        <v>SK스토아</v>
      </c>
      <c r="B511">
        <f>정규화데이터!B511</f>
        <v>20260210360257</v>
      </c>
      <c r="C511" t="str">
        <f>정규화데이터!C511</f>
        <v>[워커힐]워커힐 고메 시그니처 양념 본갈비 8팩</v>
      </c>
      <c r="D511">
        <f>정규화데이터!D511</f>
        <v>58481090</v>
      </c>
      <c r="E511" s="16" t="str">
        <f>정규화데이터!E511</f>
        <v>SKU001</v>
      </c>
      <c r="F511" s="3">
        <f>정규화데이터!F511</f>
        <v>1</v>
      </c>
      <c r="G511" s="3">
        <f>정규화데이터!G511</f>
        <v>119000</v>
      </c>
      <c r="H511" s="3">
        <f>정규화데이터!H511</f>
        <v>119000</v>
      </c>
      <c r="I511" s="3">
        <f>정규화데이터!I511</f>
        <v>80920</v>
      </c>
      <c r="J511" s="3">
        <f>정규화데이터!J511</f>
        <v>108181.81818181818</v>
      </c>
      <c r="K511" s="25">
        <f>정규화데이터!K511</f>
        <v>61496</v>
      </c>
      <c r="L511" s="25">
        <f>정규화데이터!L511</f>
        <v>61496</v>
      </c>
      <c r="M511" s="21">
        <f t="shared" si="14"/>
        <v>46685.818181818177</v>
      </c>
      <c r="N511" s="52">
        <f t="shared" si="15"/>
        <v>0.43154957983193276</v>
      </c>
    </row>
    <row r="512" spans="1:14" x14ac:dyDescent="0.3">
      <c r="A512" t="str">
        <f>정규화데이터!A512</f>
        <v>SK스토아</v>
      </c>
      <c r="B512">
        <f>정규화데이터!B512</f>
        <v>20260210361115</v>
      </c>
      <c r="C512" t="str">
        <f>정규화데이터!C512</f>
        <v>[워커힐]워커힐 고메 시그니처 양념 본갈비 8팩</v>
      </c>
      <c r="D512">
        <f>정규화데이터!D512</f>
        <v>58481090</v>
      </c>
      <c r="E512" s="16" t="str">
        <f>정규화데이터!E512</f>
        <v>SKU001</v>
      </c>
      <c r="F512" s="3">
        <f>정규화데이터!F512</f>
        <v>1</v>
      </c>
      <c r="G512" s="3">
        <f>정규화데이터!G512</f>
        <v>119000</v>
      </c>
      <c r="H512" s="3">
        <f>정규화데이터!H512</f>
        <v>119000</v>
      </c>
      <c r="I512" s="3">
        <f>정규화데이터!I512</f>
        <v>80920</v>
      </c>
      <c r="J512" s="3">
        <f>정규화데이터!J512</f>
        <v>108181.81818181818</v>
      </c>
      <c r="K512" s="25">
        <f>정규화데이터!K512</f>
        <v>61496</v>
      </c>
      <c r="L512" s="25">
        <f>정규화데이터!L512</f>
        <v>61496</v>
      </c>
      <c r="M512" s="21">
        <f t="shared" si="14"/>
        <v>46685.818181818177</v>
      </c>
      <c r="N512" s="52">
        <f t="shared" si="15"/>
        <v>0.43154957983193276</v>
      </c>
    </row>
    <row r="513" spans="1:14" x14ac:dyDescent="0.3">
      <c r="A513" t="str">
        <f>정규화데이터!A513</f>
        <v>SK스토아</v>
      </c>
      <c r="B513">
        <f>정규화데이터!B513</f>
        <v>20260210361265</v>
      </c>
      <c r="C513" t="str">
        <f>정규화데이터!C513</f>
        <v>[워커힐]워커힐 고메 시그니처 양념 본갈비 8팩</v>
      </c>
      <c r="D513">
        <f>정규화데이터!D513</f>
        <v>58481090</v>
      </c>
      <c r="E513" s="16" t="str">
        <f>정규화데이터!E513</f>
        <v>SKU001</v>
      </c>
      <c r="F513" s="3">
        <f>정규화데이터!F513</f>
        <v>1</v>
      </c>
      <c r="G513" s="3">
        <f>정규화데이터!G513</f>
        <v>119000</v>
      </c>
      <c r="H513" s="3">
        <f>정규화데이터!H513</f>
        <v>119000</v>
      </c>
      <c r="I513" s="3">
        <f>정규화데이터!I513</f>
        <v>80920</v>
      </c>
      <c r="J513" s="3">
        <f>정규화데이터!J513</f>
        <v>108181.81818181818</v>
      </c>
      <c r="K513" s="25">
        <f>정규화데이터!K513</f>
        <v>61496</v>
      </c>
      <c r="L513" s="25">
        <f>정규화데이터!L513</f>
        <v>61496</v>
      </c>
      <c r="M513" s="21">
        <f t="shared" si="14"/>
        <v>46685.818181818177</v>
      </c>
      <c r="N513" s="52">
        <f t="shared" si="15"/>
        <v>0.43154957983193276</v>
      </c>
    </row>
    <row r="514" spans="1:14" x14ac:dyDescent="0.3">
      <c r="A514" t="str">
        <f>정규화데이터!A514</f>
        <v>SK스토아</v>
      </c>
      <c r="B514">
        <f>정규화데이터!B514</f>
        <v>20260210360560</v>
      </c>
      <c r="C514" t="str">
        <f>정규화데이터!C514</f>
        <v>[워커힐]워커힐 고메 시그니처 양념 본갈비 8팩</v>
      </c>
      <c r="D514">
        <f>정규화데이터!D514</f>
        <v>58481090</v>
      </c>
      <c r="E514" s="16" t="str">
        <f>정규화데이터!E514</f>
        <v>SKU001</v>
      </c>
      <c r="F514" s="3">
        <f>정규화데이터!F514</f>
        <v>1</v>
      </c>
      <c r="G514" s="3">
        <f>정규화데이터!G514</f>
        <v>119000</v>
      </c>
      <c r="H514" s="3">
        <f>정규화데이터!H514</f>
        <v>119000</v>
      </c>
      <c r="I514" s="3">
        <f>정규화데이터!I514</f>
        <v>80920</v>
      </c>
      <c r="J514" s="3">
        <f>정규화데이터!J514</f>
        <v>108181.81818181818</v>
      </c>
      <c r="K514" s="25">
        <f>정규화데이터!K514</f>
        <v>61496</v>
      </c>
      <c r="L514" s="25">
        <f>정규화데이터!L514</f>
        <v>61496</v>
      </c>
      <c r="M514" s="21">
        <f t="shared" si="14"/>
        <v>46685.818181818177</v>
      </c>
      <c r="N514" s="52">
        <f t="shared" si="15"/>
        <v>0.43154957983193276</v>
      </c>
    </row>
    <row r="515" spans="1:14" x14ac:dyDescent="0.3">
      <c r="A515" t="str">
        <f>정규화데이터!A515</f>
        <v>SK스토아</v>
      </c>
      <c r="B515">
        <f>정규화데이터!B515</f>
        <v>20260210360583</v>
      </c>
      <c r="C515" t="str">
        <f>정규화데이터!C515</f>
        <v>[워커힐]워커힐 고메 시그니처 양념 본갈비 8팩</v>
      </c>
      <c r="D515">
        <f>정규화데이터!D515</f>
        <v>58481090</v>
      </c>
      <c r="E515" s="16" t="str">
        <f>정규화데이터!E515</f>
        <v>SKU001</v>
      </c>
      <c r="F515" s="3">
        <f>정규화데이터!F515</f>
        <v>1</v>
      </c>
      <c r="G515" s="3">
        <f>정규화데이터!G515</f>
        <v>119000</v>
      </c>
      <c r="H515" s="3">
        <f>정규화데이터!H515</f>
        <v>119000</v>
      </c>
      <c r="I515" s="3">
        <f>정규화데이터!I515</f>
        <v>80920</v>
      </c>
      <c r="J515" s="3">
        <f>정규화데이터!J515</f>
        <v>108181.81818181818</v>
      </c>
      <c r="K515" s="25">
        <f>정규화데이터!K515</f>
        <v>61496</v>
      </c>
      <c r="L515" s="25">
        <f>정규화데이터!L515</f>
        <v>61496</v>
      </c>
      <c r="M515" s="21">
        <f t="shared" ref="M515:M578" si="16">J515-L515</f>
        <v>46685.818181818177</v>
      </c>
      <c r="N515" s="52">
        <f t="shared" ref="N515:N578" si="17">IF(J515=0,0,M515/J515)</f>
        <v>0.43154957983193276</v>
      </c>
    </row>
    <row r="516" spans="1:14" x14ac:dyDescent="0.3">
      <c r="A516" t="str">
        <f>정규화데이터!A516</f>
        <v>SK스토아</v>
      </c>
      <c r="B516">
        <f>정규화데이터!B516</f>
        <v>20260210361670</v>
      </c>
      <c r="C516" t="str">
        <f>정규화데이터!C516</f>
        <v>[워커힐]워커힐 고메 시그니처 양념 본갈비 8팩</v>
      </c>
      <c r="D516">
        <f>정규화데이터!D516</f>
        <v>58481090</v>
      </c>
      <c r="E516" s="16" t="str">
        <f>정규화데이터!E516</f>
        <v>SKU001</v>
      </c>
      <c r="F516" s="3">
        <f>정규화데이터!F516</f>
        <v>1</v>
      </c>
      <c r="G516" s="3">
        <f>정규화데이터!G516</f>
        <v>119000</v>
      </c>
      <c r="H516" s="3">
        <f>정규화데이터!H516</f>
        <v>119000</v>
      </c>
      <c r="I516" s="3">
        <f>정규화데이터!I516</f>
        <v>80920</v>
      </c>
      <c r="J516" s="3">
        <f>정규화데이터!J516</f>
        <v>108181.81818181818</v>
      </c>
      <c r="K516" s="25">
        <f>정규화데이터!K516</f>
        <v>61496</v>
      </c>
      <c r="L516" s="25">
        <f>정규화데이터!L516</f>
        <v>61496</v>
      </c>
      <c r="M516" s="21">
        <f t="shared" si="16"/>
        <v>46685.818181818177</v>
      </c>
      <c r="N516" s="52">
        <f t="shared" si="17"/>
        <v>0.43154957983193276</v>
      </c>
    </row>
    <row r="517" spans="1:14" x14ac:dyDescent="0.3">
      <c r="A517" t="str">
        <f>정규화데이터!A517</f>
        <v>SK스토아</v>
      </c>
      <c r="B517">
        <f>정규화데이터!B517</f>
        <v>20260210361580</v>
      </c>
      <c r="C517" t="str">
        <f>정규화데이터!C517</f>
        <v>[워커힐]워커힐 고메 시그니처 양념 본갈비 8팩</v>
      </c>
      <c r="D517">
        <f>정규화데이터!D517</f>
        <v>58481090</v>
      </c>
      <c r="E517" s="16" t="str">
        <f>정규화데이터!E517</f>
        <v>SKU001</v>
      </c>
      <c r="F517" s="3">
        <f>정규화데이터!F517</f>
        <v>1</v>
      </c>
      <c r="G517" s="3">
        <f>정규화데이터!G517</f>
        <v>119000</v>
      </c>
      <c r="H517" s="3">
        <f>정규화데이터!H517</f>
        <v>119000</v>
      </c>
      <c r="I517" s="3">
        <f>정규화데이터!I517</f>
        <v>80920</v>
      </c>
      <c r="J517" s="3">
        <f>정규화데이터!J517</f>
        <v>108181.81818181818</v>
      </c>
      <c r="K517" s="25">
        <f>정규화데이터!K517</f>
        <v>61496</v>
      </c>
      <c r="L517" s="25">
        <f>정규화데이터!L517</f>
        <v>61496</v>
      </c>
      <c r="M517" s="21">
        <f t="shared" si="16"/>
        <v>46685.818181818177</v>
      </c>
      <c r="N517" s="52">
        <f t="shared" si="17"/>
        <v>0.43154957983193276</v>
      </c>
    </row>
    <row r="518" spans="1:14" x14ac:dyDescent="0.3">
      <c r="A518" t="str">
        <f>정규화데이터!A518</f>
        <v>SK스토아</v>
      </c>
      <c r="B518">
        <f>정규화데이터!B518</f>
        <v>20260210361782</v>
      </c>
      <c r="C518" t="str">
        <f>정규화데이터!C518</f>
        <v>[워커힐]워커힐 고메 시그니처 양념 본갈비 8팩</v>
      </c>
      <c r="D518">
        <f>정규화데이터!D518</f>
        <v>58481090</v>
      </c>
      <c r="E518" s="16" t="str">
        <f>정규화데이터!E518</f>
        <v>SKU001</v>
      </c>
      <c r="F518" s="3">
        <f>정규화데이터!F518</f>
        <v>1</v>
      </c>
      <c r="G518" s="3">
        <f>정규화데이터!G518</f>
        <v>119000</v>
      </c>
      <c r="H518" s="3">
        <f>정규화데이터!H518</f>
        <v>119000</v>
      </c>
      <c r="I518" s="3">
        <f>정규화데이터!I518</f>
        <v>80920</v>
      </c>
      <c r="J518" s="3">
        <f>정규화데이터!J518</f>
        <v>108181.81818181818</v>
      </c>
      <c r="K518" s="25">
        <f>정규화데이터!K518</f>
        <v>61496</v>
      </c>
      <c r="L518" s="25">
        <f>정규화데이터!L518</f>
        <v>61496</v>
      </c>
      <c r="M518" s="21">
        <f t="shared" si="16"/>
        <v>46685.818181818177</v>
      </c>
      <c r="N518" s="52">
        <f t="shared" si="17"/>
        <v>0.43154957983193276</v>
      </c>
    </row>
    <row r="519" spans="1:14" x14ac:dyDescent="0.3">
      <c r="A519" t="str">
        <f>정규화데이터!A519</f>
        <v>SK스토아</v>
      </c>
      <c r="B519">
        <f>정규화데이터!B519</f>
        <v>20260210360838</v>
      </c>
      <c r="C519" t="str">
        <f>정규화데이터!C519</f>
        <v>[워커힐]워커힐 고메 시그니처 양념 본갈비 8팩</v>
      </c>
      <c r="D519">
        <f>정규화데이터!D519</f>
        <v>58481090</v>
      </c>
      <c r="E519" s="16" t="str">
        <f>정규화데이터!E519</f>
        <v>SKU001</v>
      </c>
      <c r="F519" s="3">
        <f>정규화데이터!F519</f>
        <v>1</v>
      </c>
      <c r="G519" s="3">
        <f>정규화데이터!G519</f>
        <v>119000</v>
      </c>
      <c r="H519" s="3">
        <f>정규화데이터!H519</f>
        <v>119000</v>
      </c>
      <c r="I519" s="3">
        <f>정규화데이터!I519</f>
        <v>80920</v>
      </c>
      <c r="J519" s="3">
        <f>정규화데이터!J519</f>
        <v>108181.81818181818</v>
      </c>
      <c r="K519" s="25">
        <f>정규화데이터!K519</f>
        <v>61496</v>
      </c>
      <c r="L519" s="25">
        <f>정규화데이터!L519</f>
        <v>61496</v>
      </c>
      <c r="M519" s="21">
        <f t="shared" si="16"/>
        <v>46685.818181818177</v>
      </c>
      <c r="N519" s="52">
        <f t="shared" si="17"/>
        <v>0.43154957983193276</v>
      </c>
    </row>
    <row r="520" spans="1:14" x14ac:dyDescent="0.3">
      <c r="A520" t="str">
        <f>정규화데이터!A520</f>
        <v>SK스토아</v>
      </c>
      <c r="B520">
        <f>정규화데이터!B520</f>
        <v>20260210360168</v>
      </c>
      <c r="C520" t="str">
        <f>정규화데이터!C520</f>
        <v>[워커힐]워커힐 고메 시그니처 양념 본갈비 8팩</v>
      </c>
      <c r="D520">
        <f>정규화데이터!D520</f>
        <v>58481090</v>
      </c>
      <c r="E520" s="16" t="str">
        <f>정규화데이터!E520</f>
        <v>SKU001</v>
      </c>
      <c r="F520" s="3">
        <f>정규화데이터!F520</f>
        <v>1</v>
      </c>
      <c r="G520" s="3">
        <f>정규화데이터!G520</f>
        <v>119000</v>
      </c>
      <c r="H520" s="3">
        <f>정규화데이터!H520</f>
        <v>119000</v>
      </c>
      <c r="I520" s="3">
        <f>정규화데이터!I520</f>
        <v>80920</v>
      </c>
      <c r="J520" s="3">
        <f>정규화데이터!J520</f>
        <v>108181.81818181818</v>
      </c>
      <c r="K520" s="25">
        <f>정규화데이터!K520</f>
        <v>61496</v>
      </c>
      <c r="L520" s="25">
        <f>정규화데이터!L520</f>
        <v>61496</v>
      </c>
      <c r="M520" s="21">
        <f t="shared" si="16"/>
        <v>46685.818181818177</v>
      </c>
      <c r="N520" s="52">
        <f t="shared" si="17"/>
        <v>0.43154957983193276</v>
      </c>
    </row>
    <row r="521" spans="1:14" x14ac:dyDescent="0.3">
      <c r="A521" t="str">
        <f>정규화데이터!A521</f>
        <v>SK스토아</v>
      </c>
      <c r="B521">
        <f>정규화데이터!B521</f>
        <v>20260210360212</v>
      </c>
      <c r="C521" t="str">
        <f>정규화데이터!C521</f>
        <v>[워커힐]워커힐 고메 시그니처 양념 본갈비 8팩</v>
      </c>
      <c r="D521">
        <f>정규화데이터!D521</f>
        <v>58481090</v>
      </c>
      <c r="E521" s="16" t="str">
        <f>정규화데이터!E521</f>
        <v>SKU001</v>
      </c>
      <c r="F521" s="3">
        <f>정규화데이터!F521</f>
        <v>1</v>
      </c>
      <c r="G521" s="3">
        <f>정규화데이터!G521</f>
        <v>119000</v>
      </c>
      <c r="H521" s="3">
        <f>정규화데이터!H521</f>
        <v>119000</v>
      </c>
      <c r="I521" s="3">
        <f>정규화데이터!I521</f>
        <v>80920</v>
      </c>
      <c r="J521" s="3">
        <f>정규화데이터!J521</f>
        <v>108181.81818181818</v>
      </c>
      <c r="K521" s="25">
        <f>정규화데이터!K521</f>
        <v>61496</v>
      </c>
      <c r="L521" s="25">
        <f>정규화데이터!L521</f>
        <v>61496</v>
      </c>
      <c r="M521" s="21">
        <f t="shared" si="16"/>
        <v>46685.818181818177</v>
      </c>
      <c r="N521" s="52">
        <f t="shared" si="17"/>
        <v>0.43154957983193276</v>
      </c>
    </row>
    <row r="522" spans="1:14" x14ac:dyDescent="0.3">
      <c r="A522" t="str">
        <f>정규화데이터!A522</f>
        <v>SK스토아</v>
      </c>
      <c r="B522">
        <f>정규화데이터!B522</f>
        <v>20260210360219</v>
      </c>
      <c r="C522" t="str">
        <f>정규화데이터!C522</f>
        <v>[워커힐]워커힐 고메 시그니처 양념 본갈비 8팩</v>
      </c>
      <c r="D522">
        <f>정규화데이터!D522</f>
        <v>58481090</v>
      </c>
      <c r="E522" s="16" t="str">
        <f>정규화데이터!E522</f>
        <v>SKU001</v>
      </c>
      <c r="F522" s="3">
        <f>정규화데이터!F522</f>
        <v>1</v>
      </c>
      <c r="G522" s="3">
        <f>정규화데이터!G522</f>
        <v>119000</v>
      </c>
      <c r="H522" s="3">
        <f>정규화데이터!H522</f>
        <v>119000</v>
      </c>
      <c r="I522" s="3">
        <f>정규화데이터!I522</f>
        <v>80920</v>
      </c>
      <c r="J522" s="3">
        <f>정규화데이터!J522</f>
        <v>108181.81818181818</v>
      </c>
      <c r="K522" s="25">
        <f>정규화데이터!K522</f>
        <v>61496</v>
      </c>
      <c r="L522" s="25">
        <f>정규화데이터!L522</f>
        <v>61496</v>
      </c>
      <c r="M522" s="21">
        <f t="shared" si="16"/>
        <v>46685.818181818177</v>
      </c>
      <c r="N522" s="52">
        <f t="shared" si="17"/>
        <v>0.43154957983193276</v>
      </c>
    </row>
    <row r="523" spans="1:14" x14ac:dyDescent="0.3">
      <c r="A523" t="str">
        <f>정규화데이터!A523</f>
        <v>SK스토아</v>
      </c>
      <c r="B523">
        <f>정규화데이터!B523</f>
        <v>20260210361329</v>
      </c>
      <c r="C523" t="str">
        <f>정규화데이터!C523</f>
        <v>[워커힐]워커힐 고메 시그니처 양념 본갈비 8팩</v>
      </c>
      <c r="D523">
        <f>정규화데이터!D523</f>
        <v>58481090</v>
      </c>
      <c r="E523" s="16" t="str">
        <f>정규화데이터!E523</f>
        <v>SKU001</v>
      </c>
      <c r="F523" s="3">
        <f>정규화데이터!F523</f>
        <v>1</v>
      </c>
      <c r="G523" s="3">
        <f>정규화데이터!G523</f>
        <v>119000</v>
      </c>
      <c r="H523" s="3">
        <f>정규화데이터!H523</f>
        <v>119000</v>
      </c>
      <c r="I523" s="3">
        <f>정규화데이터!I523</f>
        <v>80920</v>
      </c>
      <c r="J523" s="3">
        <f>정규화데이터!J523</f>
        <v>108181.81818181818</v>
      </c>
      <c r="K523" s="25">
        <f>정규화데이터!K523</f>
        <v>61496</v>
      </c>
      <c r="L523" s="25">
        <f>정규화데이터!L523</f>
        <v>61496</v>
      </c>
      <c r="M523" s="21">
        <f t="shared" si="16"/>
        <v>46685.818181818177</v>
      </c>
      <c r="N523" s="52">
        <f t="shared" si="17"/>
        <v>0.43154957983193276</v>
      </c>
    </row>
    <row r="524" spans="1:14" x14ac:dyDescent="0.3">
      <c r="A524" t="str">
        <f>정규화데이터!A524</f>
        <v>SK스토아</v>
      </c>
      <c r="B524">
        <f>정규화데이터!B524</f>
        <v>20260210361022</v>
      </c>
      <c r="C524" t="str">
        <f>정규화데이터!C524</f>
        <v>[워커힐]워커힐 고메 시그니처 양념 본갈비 8팩</v>
      </c>
      <c r="D524">
        <f>정규화데이터!D524</f>
        <v>58481090</v>
      </c>
      <c r="E524" s="16" t="str">
        <f>정규화데이터!E524</f>
        <v>SKU001</v>
      </c>
      <c r="F524" s="3">
        <f>정규화데이터!F524</f>
        <v>1</v>
      </c>
      <c r="G524" s="3">
        <f>정규화데이터!G524</f>
        <v>119000</v>
      </c>
      <c r="H524" s="3">
        <f>정규화데이터!H524</f>
        <v>119000</v>
      </c>
      <c r="I524" s="3">
        <f>정규화데이터!I524</f>
        <v>80920</v>
      </c>
      <c r="J524" s="3">
        <f>정규화데이터!J524</f>
        <v>108181.81818181818</v>
      </c>
      <c r="K524" s="25">
        <f>정규화데이터!K524</f>
        <v>61496</v>
      </c>
      <c r="L524" s="25">
        <f>정규화데이터!L524</f>
        <v>61496</v>
      </c>
      <c r="M524" s="21">
        <f t="shared" si="16"/>
        <v>46685.818181818177</v>
      </c>
      <c r="N524" s="52">
        <f t="shared" si="17"/>
        <v>0.43154957983193276</v>
      </c>
    </row>
    <row r="525" spans="1:14" x14ac:dyDescent="0.3">
      <c r="A525" t="str">
        <f>정규화데이터!A525</f>
        <v>SK스토아</v>
      </c>
      <c r="B525">
        <f>정규화데이터!B525</f>
        <v>20260210361294</v>
      </c>
      <c r="C525" t="str">
        <f>정규화데이터!C525</f>
        <v>[워커힐]워커힐 고메 시그니처 양념 본갈비 8팩</v>
      </c>
      <c r="D525">
        <f>정규화데이터!D525</f>
        <v>58481090</v>
      </c>
      <c r="E525" s="16" t="str">
        <f>정규화데이터!E525</f>
        <v>SKU001</v>
      </c>
      <c r="F525" s="3">
        <f>정규화데이터!F525</f>
        <v>1</v>
      </c>
      <c r="G525" s="3">
        <f>정규화데이터!G525</f>
        <v>119000</v>
      </c>
      <c r="H525" s="3">
        <f>정규화데이터!H525</f>
        <v>119000</v>
      </c>
      <c r="I525" s="3">
        <f>정규화데이터!I525</f>
        <v>80920</v>
      </c>
      <c r="J525" s="3">
        <f>정규화데이터!J525</f>
        <v>108181.81818181818</v>
      </c>
      <c r="K525" s="25">
        <f>정규화데이터!K525</f>
        <v>61496</v>
      </c>
      <c r="L525" s="25">
        <f>정규화데이터!L525</f>
        <v>61496</v>
      </c>
      <c r="M525" s="21">
        <f t="shared" si="16"/>
        <v>46685.818181818177</v>
      </c>
      <c r="N525" s="52">
        <f t="shared" si="17"/>
        <v>0.43154957983193276</v>
      </c>
    </row>
    <row r="526" spans="1:14" x14ac:dyDescent="0.3">
      <c r="A526" t="str">
        <f>정규화데이터!A526</f>
        <v>SK스토아</v>
      </c>
      <c r="B526">
        <f>정규화데이터!B526</f>
        <v>20260210361453</v>
      </c>
      <c r="C526" t="str">
        <f>정규화데이터!C526</f>
        <v>[워커힐]워커힐 고메 시그니처 양념 본갈비 8팩</v>
      </c>
      <c r="D526">
        <f>정규화데이터!D526</f>
        <v>58481090</v>
      </c>
      <c r="E526" s="16" t="str">
        <f>정규화데이터!E526</f>
        <v>SKU001</v>
      </c>
      <c r="F526" s="3">
        <f>정규화데이터!F526</f>
        <v>1</v>
      </c>
      <c r="G526" s="3">
        <f>정규화데이터!G526</f>
        <v>119000</v>
      </c>
      <c r="H526" s="3">
        <f>정규화데이터!H526</f>
        <v>119000</v>
      </c>
      <c r="I526" s="3">
        <f>정규화데이터!I526</f>
        <v>80920</v>
      </c>
      <c r="J526" s="3">
        <f>정규화데이터!J526</f>
        <v>108181.81818181818</v>
      </c>
      <c r="K526" s="25">
        <f>정규화데이터!K526</f>
        <v>61496</v>
      </c>
      <c r="L526" s="25">
        <f>정규화데이터!L526</f>
        <v>61496</v>
      </c>
      <c r="M526" s="21">
        <f t="shared" si="16"/>
        <v>46685.818181818177</v>
      </c>
      <c r="N526" s="52">
        <f t="shared" si="17"/>
        <v>0.43154957983193276</v>
      </c>
    </row>
    <row r="527" spans="1:14" x14ac:dyDescent="0.3">
      <c r="A527" t="str">
        <f>정규화데이터!A527</f>
        <v>SK스토아</v>
      </c>
      <c r="B527">
        <f>정규화데이터!B527</f>
        <v>20260210361516</v>
      </c>
      <c r="C527" t="str">
        <f>정규화데이터!C527</f>
        <v>[워커힐]워커힐 고메 시그니처 양념 본갈비 8팩</v>
      </c>
      <c r="D527">
        <f>정규화데이터!D527</f>
        <v>58481090</v>
      </c>
      <c r="E527" s="16" t="str">
        <f>정규화데이터!E527</f>
        <v>SKU001</v>
      </c>
      <c r="F527" s="3">
        <f>정규화데이터!F527</f>
        <v>1</v>
      </c>
      <c r="G527" s="3">
        <f>정규화데이터!G527</f>
        <v>119000</v>
      </c>
      <c r="H527" s="3">
        <f>정규화데이터!H527</f>
        <v>95200</v>
      </c>
      <c r="I527" s="3">
        <f>정규화데이터!I527</f>
        <v>80920</v>
      </c>
      <c r="J527" s="3">
        <f>정규화데이터!J527</f>
        <v>86545.454545454544</v>
      </c>
      <c r="K527" s="25">
        <f>정규화데이터!K527</f>
        <v>61496</v>
      </c>
      <c r="L527" s="25">
        <f>정규화데이터!L527</f>
        <v>61496</v>
      </c>
      <c r="M527" s="21">
        <f t="shared" si="16"/>
        <v>25049.454545454544</v>
      </c>
      <c r="N527" s="52">
        <f t="shared" si="17"/>
        <v>0.28943697478991598</v>
      </c>
    </row>
    <row r="528" spans="1:14" x14ac:dyDescent="0.3">
      <c r="A528" t="str">
        <f>정규화데이터!A528</f>
        <v>SK스토아</v>
      </c>
      <c r="B528">
        <f>정규화데이터!B528</f>
        <v>20260210361966</v>
      </c>
      <c r="C528" t="str">
        <f>정규화데이터!C528</f>
        <v>[워커힐]워커힐 고메 시그니처 양념 본갈비 8팩</v>
      </c>
      <c r="D528">
        <f>정규화데이터!D528</f>
        <v>58481090</v>
      </c>
      <c r="E528" s="16" t="str">
        <f>정규화데이터!E528</f>
        <v>SKU001</v>
      </c>
      <c r="F528" s="3">
        <f>정규화데이터!F528</f>
        <v>1</v>
      </c>
      <c r="G528" s="3">
        <f>정규화데이터!G528</f>
        <v>119000</v>
      </c>
      <c r="H528" s="3">
        <f>정규화데이터!H528</f>
        <v>119000</v>
      </c>
      <c r="I528" s="3">
        <f>정규화데이터!I528</f>
        <v>80920</v>
      </c>
      <c r="J528" s="3">
        <f>정규화데이터!J528</f>
        <v>108181.81818181818</v>
      </c>
      <c r="K528" s="25">
        <f>정규화데이터!K528</f>
        <v>61496</v>
      </c>
      <c r="L528" s="25">
        <f>정규화데이터!L528</f>
        <v>61496</v>
      </c>
      <c r="M528" s="21">
        <f t="shared" si="16"/>
        <v>46685.818181818177</v>
      </c>
      <c r="N528" s="52">
        <f t="shared" si="17"/>
        <v>0.43154957983193276</v>
      </c>
    </row>
    <row r="529" spans="1:14" x14ac:dyDescent="0.3">
      <c r="A529" t="str">
        <f>정규화데이터!A529</f>
        <v>SK스토아</v>
      </c>
      <c r="B529">
        <f>정규화데이터!B529</f>
        <v>20260210362057</v>
      </c>
      <c r="C529" t="str">
        <f>정규화데이터!C529</f>
        <v>[워커힐]워커힐 고메 시그니처 양념 본갈비 8팩</v>
      </c>
      <c r="D529">
        <f>정규화데이터!D529</f>
        <v>58481090</v>
      </c>
      <c r="E529" s="16" t="str">
        <f>정규화데이터!E529</f>
        <v>SKU001</v>
      </c>
      <c r="F529" s="3">
        <f>정규화데이터!F529</f>
        <v>1</v>
      </c>
      <c r="G529" s="3">
        <f>정규화데이터!G529</f>
        <v>119000</v>
      </c>
      <c r="H529" s="3">
        <f>정규화데이터!H529</f>
        <v>119000</v>
      </c>
      <c r="I529" s="3">
        <f>정규화데이터!I529</f>
        <v>80920</v>
      </c>
      <c r="J529" s="3">
        <f>정규화데이터!J529</f>
        <v>108181.81818181818</v>
      </c>
      <c r="K529" s="25">
        <f>정규화데이터!K529</f>
        <v>61496</v>
      </c>
      <c r="L529" s="25">
        <f>정규화데이터!L529</f>
        <v>61496</v>
      </c>
      <c r="M529" s="21">
        <f t="shared" si="16"/>
        <v>46685.818181818177</v>
      </c>
      <c r="N529" s="52">
        <f t="shared" si="17"/>
        <v>0.43154957983193276</v>
      </c>
    </row>
    <row r="530" spans="1:14" x14ac:dyDescent="0.3">
      <c r="A530" t="str">
        <f>정규화데이터!A530</f>
        <v>SK스토아</v>
      </c>
      <c r="B530">
        <f>정규화데이터!B530</f>
        <v>20260210360761</v>
      </c>
      <c r="C530" t="str">
        <f>정규화데이터!C530</f>
        <v>[워커힐]워커힐 고메 시그니처 양념 본갈비 8팩</v>
      </c>
      <c r="D530">
        <f>정규화데이터!D530</f>
        <v>58481090</v>
      </c>
      <c r="E530" s="16" t="str">
        <f>정규화데이터!E530</f>
        <v>SKU001</v>
      </c>
      <c r="F530" s="3">
        <f>정규화데이터!F530</f>
        <v>1</v>
      </c>
      <c r="G530" s="3">
        <f>정규화데이터!G530</f>
        <v>119000</v>
      </c>
      <c r="H530" s="3">
        <f>정규화데이터!H530</f>
        <v>119000</v>
      </c>
      <c r="I530" s="3">
        <f>정규화데이터!I530</f>
        <v>80920</v>
      </c>
      <c r="J530" s="3">
        <f>정규화데이터!J530</f>
        <v>108181.81818181818</v>
      </c>
      <c r="K530" s="25">
        <f>정규화데이터!K530</f>
        <v>61496</v>
      </c>
      <c r="L530" s="25">
        <f>정규화데이터!L530</f>
        <v>61496</v>
      </c>
      <c r="M530" s="21">
        <f t="shared" si="16"/>
        <v>46685.818181818177</v>
      </c>
      <c r="N530" s="52">
        <f t="shared" si="17"/>
        <v>0.43154957983193276</v>
      </c>
    </row>
    <row r="531" spans="1:14" x14ac:dyDescent="0.3">
      <c r="A531" t="str">
        <f>정규화데이터!A531</f>
        <v>SK스토아</v>
      </c>
      <c r="B531">
        <f>정규화데이터!B531</f>
        <v>20260210361026</v>
      </c>
      <c r="C531" t="str">
        <f>정규화데이터!C531</f>
        <v>[워커힐]워커힐 고메 시그니처 양념 본갈비 8팩</v>
      </c>
      <c r="D531">
        <f>정규화데이터!D531</f>
        <v>58481090</v>
      </c>
      <c r="E531" s="16" t="str">
        <f>정규화데이터!E531</f>
        <v>SKU001</v>
      </c>
      <c r="F531" s="3">
        <f>정규화데이터!F531</f>
        <v>1</v>
      </c>
      <c r="G531" s="3">
        <f>정규화데이터!G531</f>
        <v>119000</v>
      </c>
      <c r="H531" s="3">
        <f>정규화데이터!H531</f>
        <v>119000</v>
      </c>
      <c r="I531" s="3">
        <f>정규화데이터!I531</f>
        <v>80920</v>
      </c>
      <c r="J531" s="3">
        <f>정규화데이터!J531</f>
        <v>108181.81818181818</v>
      </c>
      <c r="K531" s="25">
        <f>정규화데이터!K531</f>
        <v>61496</v>
      </c>
      <c r="L531" s="25">
        <f>정규화데이터!L531</f>
        <v>61496</v>
      </c>
      <c r="M531" s="21">
        <f t="shared" si="16"/>
        <v>46685.818181818177</v>
      </c>
      <c r="N531" s="52">
        <f t="shared" si="17"/>
        <v>0.43154957983193276</v>
      </c>
    </row>
    <row r="532" spans="1:14" x14ac:dyDescent="0.3">
      <c r="A532" t="str">
        <f>정규화데이터!A532</f>
        <v>SK스토아</v>
      </c>
      <c r="B532">
        <f>정규화데이터!B532</f>
        <v>20260210361068</v>
      </c>
      <c r="C532" t="str">
        <f>정규화데이터!C532</f>
        <v>[워커힐]워커힐 고메 시그니처 양념 본갈비 8팩</v>
      </c>
      <c r="D532">
        <f>정규화데이터!D532</f>
        <v>58481090</v>
      </c>
      <c r="E532" s="16" t="str">
        <f>정규화데이터!E532</f>
        <v>SKU001</v>
      </c>
      <c r="F532" s="3">
        <f>정규화데이터!F532</f>
        <v>1</v>
      </c>
      <c r="G532" s="3">
        <f>정규화데이터!G532</f>
        <v>119000</v>
      </c>
      <c r="H532" s="3">
        <f>정규화데이터!H532</f>
        <v>119000</v>
      </c>
      <c r="I532" s="3">
        <f>정규화데이터!I532</f>
        <v>80920</v>
      </c>
      <c r="J532" s="3">
        <f>정규화데이터!J532</f>
        <v>108181.81818181818</v>
      </c>
      <c r="K532" s="25">
        <f>정규화데이터!K532</f>
        <v>61496</v>
      </c>
      <c r="L532" s="25">
        <f>정규화데이터!L532</f>
        <v>61496</v>
      </c>
      <c r="M532" s="21">
        <f t="shared" si="16"/>
        <v>46685.818181818177</v>
      </c>
      <c r="N532" s="52">
        <f t="shared" si="17"/>
        <v>0.43154957983193276</v>
      </c>
    </row>
    <row r="533" spans="1:14" x14ac:dyDescent="0.3">
      <c r="A533" t="str">
        <f>정규화데이터!A533</f>
        <v>SK스토아</v>
      </c>
      <c r="B533">
        <f>정규화데이터!B533</f>
        <v>20260210361681</v>
      </c>
      <c r="C533" t="str">
        <f>정규화데이터!C533</f>
        <v>[워커힐]워커힐 고메 시그니처 양념 본갈비 8팩</v>
      </c>
      <c r="D533">
        <f>정규화데이터!D533</f>
        <v>58481090</v>
      </c>
      <c r="E533" s="16" t="str">
        <f>정규화데이터!E533</f>
        <v>SKU001</v>
      </c>
      <c r="F533" s="3">
        <f>정규화데이터!F533</f>
        <v>1</v>
      </c>
      <c r="G533" s="3">
        <f>정규화데이터!G533</f>
        <v>119000</v>
      </c>
      <c r="H533" s="3">
        <f>정규화데이터!H533</f>
        <v>119000</v>
      </c>
      <c r="I533" s="3">
        <f>정규화데이터!I533</f>
        <v>80920</v>
      </c>
      <c r="J533" s="3">
        <f>정규화데이터!J533</f>
        <v>108181.81818181818</v>
      </c>
      <c r="K533" s="25">
        <f>정규화데이터!K533</f>
        <v>61496</v>
      </c>
      <c r="L533" s="25">
        <f>정규화데이터!L533</f>
        <v>61496</v>
      </c>
      <c r="M533" s="21">
        <f t="shared" si="16"/>
        <v>46685.818181818177</v>
      </c>
      <c r="N533" s="52">
        <f t="shared" si="17"/>
        <v>0.43154957983193276</v>
      </c>
    </row>
    <row r="534" spans="1:14" x14ac:dyDescent="0.3">
      <c r="A534" t="str">
        <f>정규화데이터!A534</f>
        <v>SK스토아</v>
      </c>
      <c r="B534">
        <f>정규화데이터!B534</f>
        <v>20260210362071</v>
      </c>
      <c r="C534" t="str">
        <f>정규화데이터!C534</f>
        <v>[워커힐]워커힐 고메 시그니처 양념 본갈비 8팩</v>
      </c>
      <c r="D534">
        <f>정규화데이터!D534</f>
        <v>58481090</v>
      </c>
      <c r="E534" s="16" t="str">
        <f>정규화데이터!E534</f>
        <v>SKU001</v>
      </c>
      <c r="F534" s="3">
        <f>정규화데이터!F534</f>
        <v>1</v>
      </c>
      <c r="G534" s="3">
        <f>정규화데이터!G534</f>
        <v>119000</v>
      </c>
      <c r="H534" s="3">
        <f>정규화데이터!H534</f>
        <v>114000</v>
      </c>
      <c r="I534" s="3">
        <f>정규화데이터!I534</f>
        <v>80920</v>
      </c>
      <c r="J534" s="3">
        <f>정규화데이터!J534</f>
        <v>103636.36363636365</v>
      </c>
      <c r="K534" s="25">
        <f>정규화데이터!K534</f>
        <v>61496</v>
      </c>
      <c r="L534" s="25">
        <f>정규화데이터!L534</f>
        <v>61496</v>
      </c>
      <c r="M534" s="21">
        <f t="shared" si="16"/>
        <v>42140.363636363647</v>
      </c>
      <c r="N534" s="52">
        <f t="shared" si="17"/>
        <v>0.40661754385964921</v>
      </c>
    </row>
    <row r="535" spans="1:14" x14ac:dyDescent="0.3">
      <c r="A535" t="str">
        <f>정규화데이터!A535</f>
        <v>SK스토아</v>
      </c>
      <c r="B535">
        <f>정규화데이터!B535</f>
        <v>20260210360245</v>
      </c>
      <c r="C535" t="str">
        <f>정규화데이터!C535</f>
        <v>[워커힐]워커힐 고메 시그니처 양념 본갈비 8팩</v>
      </c>
      <c r="D535">
        <f>정규화데이터!D535</f>
        <v>58481090</v>
      </c>
      <c r="E535" s="16" t="str">
        <f>정규화데이터!E535</f>
        <v>SKU001</v>
      </c>
      <c r="F535" s="3">
        <f>정규화데이터!F535</f>
        <v>1</v>
      </c>
      <c r="G535" s="3">
        <f>정규화데이터!G535</f>
        <v>119000</v>
      </c>
      <c r="H535" s="3">
        <f>정규화데이터!H535</f>
        <v>119000</v>
      </c>
      <c r="I535" s="3">
        <f>정규화데이터!I535</f>
        <v>80920</v>
      </c>
      <c r="J535" s="3">
        <f>정규화데이터!J535</f>
        <v>108181.81818181818</v>
      </c>
      <c r="K535" s="25">
        <f>정규화데이터!K535</f>
        <v>61496</v>
      </c>
      <c r="L535" s="25">
        <f>정규화데이터!L535</f>
        <v>61496</v>
      </c>
      <c r="M535" s="21">
        <f t="shared" si="16"/>
        <v>46685.818181818177</v>
      </c>
      <c r="N535" s="52">
        <f t="shared" si="17"/>
        <v>0.43154957983193276</v>
      </c>
    </row>
    <row r="536" spans="1:14" x14ac:dyDescent="0.3">
      <c r="A536" t="str">
        <f>정규화데이터!A536</f>
        <v>SK스토아</v>
      </c>
      <c r="B536">
        <f>정규화데이터!B536</f>
        <v>20260210360461</v>
      </c>
      <c r="C536" t="str">
        <f>정규화데이터!C536</f>
        <v>[워커힐]워커힐 고메 시그니처 양념 본갈비 8팩</v>
      </c>
      <c r="D536">
        <f>정규화데이터!D536</f>
        <v>58481090</v>
      </c>
      <c r="E536" s="16" t="str">
        <f>정규화데이터!E536</f>
        <v>SKU001</v>
      </c>
      <c r="F536" s="3">
        <f>정규화데이터!F536</f>
        <v>1</v>
      </c>
      <c r="G536" s="3">
        <f>정규화데이터!G536</f>
        <v>119000</v>
      </c>
      <c r="H536" s="3">
        <f>정규화데이터!H536</f>
        <v>113050</v>
      </c>
      <c r="I536" s="3">
        <f>정규화데이터!I536</f>
        <v>80920</v>
      </c>
      <c r="J536" s="3">
        <f>정규화데이터!J536</f>
        <v>102772.72727272726</v>
      </c>
      <c r="K536" s="25">
        <f>정규화데이터!K536</f>
        <v>61496</v>
      </c>
      <c r="L536" s="25">
        <f>정규화데이터!L536</f>
        <v>61496</v>
      </c>
      <c r="M536" s="21">
        <f t="shared" si="16"/>
        <v>41276.727272727265</v>
      </c>
      <c r="N536" s="52">
        <f t="shared" si="17"/>
        <v>0.40163113666519235</v>
      </c>
    </row>
    <row r="537" spans="1:14" x14ac:dyDescent="0.3">
      <c r="A537" t="str">
        <f>정규화데이터!A537</f>
        <v>SK스토아</v>
      </c>
      <c r="B537">
        <f>정규화데이터!B537</f>
        <v>20260210360338</v>
      </c>
      <c r="C537" t="str">
        <f>정규화데이터!C537</f>
        <v>[워커힐]워커힐 고메 시그니처 양념 본갈비 8팩</v>
      </c>
      <c r="D537">
        <f>정규화데이터!D537</f>
        <v>58481090</v>
      </c>
      <c r="E537" s="16" t="str">
        <f>정규화데이터!E537</f>
        <v>SKU001</v>
      </c>
      <c r="F537" s="3">
        <f>정규화데이터!F537</f>
        <v>1</v>
      </c>
      <c r="G537" s="3">
        <f>정규화데이터!G537</f>
        <v>119000</v>
      </c>
      <c r="H537" s="3">
        <f>정규화데이터!H537</f>
        <v>113050</v>
      </c>
      <c r="I537" s="3">
        <f>정규화데이터!I537</f>
        <v>80920</v>
      </c>
      <c r="J537" s="3">
        <f>정규화데이터!J537</f>
        <v>102772.72727272726</v>
      </c>
      <c r="K537" s="25">
        <f>정규화데이터!K537</f>
        <v>61496</v>
      </c>
      <c r="L537" s="25">
        <f>정규화데이터!L537</f>
        <v>61496</v>
      </c>
      <c r="M537" s="21">
        <f t="shared" si="16"/>
        <v>41276.727272727265</v>
      </c>
      <c r="N537" s="52">
        <f t="shared" si="17"/>
        <v>0.40163113666519235</v>
      </c>
    </row>
    <row r="538" spans="1:14" x14ac:dyDescent="0.3">
      <c r="A538" t="str">
        <f>정규화데이터!A538</f>
        <v>SK스토아</v>
      </c>
      <c r="B538">
        <f>정규화데이터!B538</f>
        <v>20260210361293</v>
      </c>
      <c r="C538" t="str">
        <f>정규화데이터!C538</f>
        <v>[워커힐]워커힐 고메 시그니처 양념 본갈비 8팩</v>
      </c>
      <c r="D538">
        <f>정규화데이터!D538</f>
        <v>58481090</v>
      </c>
      <c r="E538" s="16" t="str">
        <f>정규화데이터!E538</f>
        <v>SKU001</v>
      </c>
      <c r="F538" s="3">
        <f>정규화데이터!F538</f>
        <v>1</v>
      </c>
      <c r="G538" s="3">
        <f>정규화데이터!G538</f>
        <v>119000</v>
      </c>
      <c r="H538" s="3">
        <f>정규화데이터!H538</f>
        <v>119000</v>
      </c>
      <c r="I538" s="3">
        <f>정규화데이터!I538</f>
        <v>80920</v>
      </c>
      <c r="J538" s="3">
        <f>정규화데이터!J538</f>
        <v>108181.81818181818</v>
      </c>
      <c r="K538" s="25">
        <f>정규화데이터!K538</f>
        <v>61496</v>
      </c>
      <c r="L538" s="25">
        <f>정규화데이터!L538</f>
        <v>61496</v>
      </c>
      <c r="M538" s="21">
        <f t="shared" si="16"/>
        <v>46685.818181818177</v>
      </c>
      <c r="N538" s="52">
        <f t="shared" si="17"/>
        <v>0.43154957983193276</v>
      </c>
    </row>
    <row r="539" spans="1:14" x14ac:dyDescent="0.3">
      <c r="A539" t="str">
        <f>정규화데이터!A539</f>
        <v>SK스토아</v>
      </c>
      <c r="B539">
        <f>정규화데이터!B539</f>
        <v>20260210361484</v>
      </c>
      <c r="C539" t="str">
        <f>정규화데이터!C539</f>
        <v>[워커힐]워커힐 고메 시그니처 양념 본갈비 8팩</v>
      </c>
      <c r="D539">
        <f>정규화데이터!D539</f>
        <v>58481090</v>
      </c>
      <c r="E539" s="16" t="str">
        <f>정규화데이터!E539</f>
        <v>SKU001</v>
      </c>
      <c r="F539" s="3">
        <f>정규화데이터!F539</f>
        <v>1</v>
      </c>
      <c r="G539" s="3">
        <f>정규화데이터!G539</f>
        <v>119000</v>
      </c>
      <c r="H539" s="3">
        <f>정규화데이터!H539</f>
        <v>119000</v>
      </c>
      <c r="I539" s="3">
        <f>정규화데이터!I539</f>
        <v>80920</v>
      </c>
      <c r="J539" s="3">
        <f>정규화데이터!J539</f>
        <v>108181.81818181818</v>
      </c>
      <c r="K539" s="25">
        <f>정규화데이터!K539</f>
        <v>61496</v>
      </c>
      <c r="L539" s="25">
        <f>정규화데이터!L539</f>
        <v>61496</v>
      </c>
      <c r="M539" s="21">
        <f t="shared" si="16"/>
        <v>46685.818181818177</v>
      </c>
      <c r="N539" s="52">
        <f t="shared" si="17"/>
        <v>0.43154957983193276</v>
      </c>
    </row>
    <row r="540" spans="1:14" x14ac:dyDescent="0.3">
      <c r="A540" t="str">
        <f>정규화데이터!A540</f>
        <v>SK스토아</v>
      </c>
      <c r="B540">
        <f>정규화데이터!B540</f>
        <v>20260210361723</v>
      </c>
      <c r="C540" t="str">
        <f>정규화데이터!C540</f>
        <v>[워커힐]워커힐 고메 시그니처 양념 본갈비 8팩</v>
      </c>
      <c r="D540">
        <f>정규화데이터!D540</f>
        <v>58481090</v>
      </c>
      <c r="E540" s="16" t="str">
        <f>정규화데이터!E540</f>
        <v>SKU001</v>
      </c>
      <c r="F540" s="3">
        <f>정규화데이터!F540</f>
        <v>1</v>
      </c>
      <c r="G540" s="3">
        <f>정규화데이터!G540</f>
        <v>119000</v>
      </c>
      <c r="H540" s="3">
        <f>정규화데이터!H540</f>
        <v>119000</v>
      </c>
      <c r="I540" s="3">
        <f>정규화데이터!I540</f>
        <v>80920</v>
      </c>
      <c r="J540" s="3">
        <f>정규화데이터!J540</f>
        <v>108181.81818181818</v>
      </c>
      <c r="K540" s="25">
        <f>정규화데이터!K540</f>
        <v>61496</v>
      </c>
      <c r="L540" s="25">
        <f>정규화데이터!L540</f>
        <v>61496</v>
      </c>
      <c r="M540" s="21">
        <f t="shared" si="16"/>
        <v>46685.818181818177</v>
      </c>
      <c r="N540" s="52">
        <f t="shared" si="17"/>
        <v>0.43154957983193276</v>
      </c>
    </row>
    <row r="541" spans="1:14" x14ac:dyDescent="0.3">
      <c r="A541" t="str">
        <f>정규화데이터!A541</f>
        <v>SK스토아</v>
      </c>
      <c r="B541">
        <f>정규화데이터!B541</f>
        <v>20260210361843</v>
      </c>
      <c r="C541" t="str">
        <f>정규화데이터!C541</f>
        <v>[워커힐]워커힐 고메 시그니처 양념 본갈비 8팩</v>
      </c>
      <c r="D541">
        <f>정규화데이터!D541</f>
        <v>58481090</v>
      </c>
      <c r="E541" s="16" t="str">
        <f>정규화데이터!E541</f>
        <v>SKU001</v>
      </c>
      <c r="F541" s="3">
        <f>정규화데이터!F541</f>
        <v>1</v>
      </c>
      <c r="G541" s="3">
        <f>정규화데이터!G541</f>
        <v>119000</v>
      </c>
      <c r="H541" s="3">
        <f>정규화데이터!H541</f>
        <v>119000</v>
      </c>
      <c r="I541" s="3">
        <f>정규화데이터!I541</f>
        <v>80920</v>
      </c>
      <c r="J541" s="3">
        <f>정규화데이터!J541</f>
        <v>108181.81818181818</v>
      </c>
      <c r="K541" s="25">
        <f>정규화데이터!K541</f>
        <v>61496</v>
      </c>
      <c r="L541" s="25">
        <f>정규화데이터!L541</f>
        <v>61496</v>
      </c>
      <c r="M541" s="21">
        <f t="shared" si="16"/>
        <v>46685.818181818177</v>
      </c>
      <c r="N541" s="52">
        <f t="shared" si="17"/>
        <v>0.43154957983193276</v>
      </c>
    </row>
    <row r="542" spans="1:14" x14ac:dyDescent="0.3">
      <c r="A542" t="str">
        <f>정규화데이터!A542</f>
        <v>SK스토아</v>
      </c>
      <c r="B542">
        <f>정규화데이터!B542</f>
        <v>20260210361131</v>
      </c>
      <c r="C542" t="str">
        <f>정규화데이터!C542</f>
        <v>[워커힐]워커힐 고메 시그니처 양념 본갈비 8팩</v>
      </c>
      <c r="D542">
        <f>정규화데이터!D542</f>
        <v>58481090</v>
      </c>
      <c r="E542" s="16" t="str">
        <f>정규화데이터!E542</f>
        <v>SKU001</v>
      </c>
      <c r="F542" s="3">
        <f>정규화데이터!F542</f>
        <v>1</v>
      </c>
      <c r="G542" s="3">
        <f>정규화데이터!G542</f>
        <v>119000</v>
      </c>
      <c r="H542" s="3">
        <f>정규화데이터!H542</f>
        <v>119000</v>
      </c>
      <c r="I542" s="3">
        <f>정규화데이터!I542</f>
        <v>80920</v>
      </c>
      <c r="J542" s="3">
        <f>정규화데이터!J542</f>
        <v>108181.81818181818</v>
      </c>
      <c r="K542" s="25">
        <f>정규화데이터!K542</f>
        <v>61496</v>
      </c>
      <c r="L542" s="25">
        <f>정규화데이터!L542</f>
        <v>61496</v>
      </c>
      <c r="M542" s="21">
        <f t="shared" si="16"/>
        <v>46685.818181818177</v>
      </c>
      <c r="N542" s="52">
        <f t="shared" si="17"/>
        <v>0.43154957983193276</v>
      </c>
    </row>
    <row r="543" spans="1:14" x14ac:dyDescent="0.3">
      <c r="A543" t="str">
        <f>정규화데이터!A543</f>
        <v>SK스토아</v>
      </c>
      <c r="B543">
        <f>정규화데이터!B543</f>
        <v>20260210361526</v>
      </c>
      <c r="C543" t="str">
        <f>정규화데이터!C543</f>
        <v>[워커힐]워커힐 고메 시그니처 양념 본갈비 8팩</v>
      </c>
      <c r="D543">
        <f>정규화데이터!D543</f>
        <v>58481090</v>
      </c>
      <c r="E543" s="16" t="str">
        <f>정규화데이터!E543</f>
        <v>SKU001</v>
      </c>
      <c r="F543" s="3">
        <f>정규화데이터!F543</f>
        <v>1</v>
      </c>
      <c r="G543" s="3">
        <f>정규화데이터!G543</f>
        <v>119000</v>
      </c>
      <c r="H543" s="3">
        <f>정규화데이터!H543</f>
        <v>119000</v>
      </c>
      <c r="I543" s="3">
        <f>정규화데이터!I543</f>
        <v>80920</v>
      </c>
      <c r="J543" s="3">
        <f>정규화데이터!J543</f>
        <v>108181.81818181818</v>
      </c>
      <c r="K543" s="25">
        <f>정규화데이터!K543</f>
        <v>61496</v>
      </c>
      <c r="L543" s="25">
        <f>정규화데이터!L543</f>
        <v>61496</v>
      </c>
      <c r="M543" s="21">
        <f t="shared" si="16"/>
        <v>46685.818181818177</v>
      </c>
      <c r="N543" s="52">
        <f t="shared" si="17"/>
        <v>0.43154957983193276</v>
      </c>
    </row>
    <row r="544" spans="1:14" x14ac:dyDescent="0.3">
      <c r="A544" t="str">
        <f>정규화데이터!A544</f>
        <v>SK스토아</v>
      </c>
      <c r="B544">
        <f>정규화데이터!B544</f>
        <v>20260210360438</v>
      </c>
      <c r="C544" t="str">
        <f>정규화데이터!C544</f>
        <v>[워커힐]워커힐 고메 시그니처 양념 본갈비 8팩</v>
      </c>
      <c r="D544">
        <f>정규화데이터!D544</f>
        <v>58481090</v>
      </c>
      <c r="E544" s="16" t="str">
        <f>정규화데이터!E544</f>
        <v>SKU001</v>
      </c>
      <c r="F544" s="3">
        <f>정규화데이터!F544</f>
        <v>1</v>
      </c>
      <c r="G544" s="3">
        <f>정규화데이터!G544</f>
        <v>119000</v>
      </c>
      <c r="H544" s="3">
        <f>정규화데이터!H544</f>
        <v>119000</v>
      </c>
      <c r="I544" s="3">
        <f>정규화데이터!I544</f>
        <v>80920</v>
      </c>
      <c r="J544" s="3">
        <f>정규화데이터!J544</f>
        <v>108181.81818181818</v>
      </c>
      <c r="K544" s="25">
        <f>정규화데이터!K544</f>
        <v>61496</v>
      </c>
      <c r="L544" s="25">
        <f>정규화데이터!L544</f>
        <v>61496</v>
      </c>
      <c r="M544" s="21">
        <f t="shared" si="16"/>
        <v>46685.818181818177</v>
      </c>
      <c r="N544" s="52">
        <f t="shared" si="17"/>
        <v>0.43154957983193276</v>
      </c>
    </row>
    <row r="545" spans="1:14" x14ac:dyDescent="0.3">
      <c r="A545" t="str">
        <f>정규화데이터!A545</f>
        <v>SK스토아</v>
      </c>
      <c r="B545">
        <f>정규화데이터!B545</f>
        <v>20260210361764</v>
      </c>
      <c r="C545" t="str">
        <f>정규화데이터!C545</f>
        <v>[워커힐]워커힐 고메 시그니처 양념 본갈비 8팩</v>
      </c>
      <c r="D545">
        <f>정규화데이터!D545</f>
        <v>58481090</v>
      </c>
      <c r="E545" s="16" t="str">
        <f>정규화데이터!E545</f>
        <v>SKU001</v>
      </c>
      <c r="F545" s="3">
        <f>정규화데이터!F545</f>
        <v>1</v>
      </c>
      <c r="G545" s="3">
        <f>정규화데이터!G545</f>
        <v>119000</v>
      </c>
      <c r="H545" s="3">
        <f>정규화데이터!H545</f>
        <v>119000</v>
      </c>
      <c r="I545" s="3">
        <f>정규화데이터!I545</f>
        <v>80920</v>
      </c>
      <c r="J545" s="3">
        <f>정규화데이터!J545</f>
        <v>108181.81818181818</v>
      </c>
      <c r="K545" s="25">
        <f>정규화데이터!K545</f>
        <v>61496</v>
      </c>
      <c r="L545" s="25">
        <f>정규화데이터!L545</f>
        <v>61496</v>
      </c>
      <c r="M545" s="21">
        <f t="shared" si="16"/>
        <v>46685.818181818177</v>
      </c>
      <c r="N545" s="52">
        <f t="shared" si="17"/>
        <v>0.43154957983193276</v>
      </c>
    </row>
    <row r="546" spans="1:14" x14ac:dyDescent="0.3">
      <c r="A546" t="str">
        <f>정규화데이터!A546</f>
        <v>SK스토아</v>
      </c>
      <c r="B546">
        <f>정규화데이터!B546</f>
        <v>20260210361158</v>
      </c>
      <c r="C546" t="str">
        <f>정규화데이터!C546</f>
        <v>[워커힐]워커힐 고메 시그니처 양념 본갈비 8팩</v>
      </c>
      <c r="D546">
        <f>정규화데이터!D546</f>
        <v>58481090</v>
      </c>
      <c r="E546" s="16" t="str">
        <f>정규화데이터!E546</f>
        <v>SKU001</v>
      </c>
      <c r="F546" s="3">
        <f>정규화데이터!F546</f>
        <v>1</v>
      </c>
      <c r="G546" s="3">
        <f>정규화데이터!G546</f>
        <v>119000</v>
      </c>
      <c r="H546" s="3">
        <f>정규화데이터!H546</f>
        <v>113050</v>
      </c>
      <c r="I546" s="3">
        <f>정규화데이터!I546</f>
        <v>80920</v>
      </c>
      <c r="J546" s="3">
        <f>정규화데이터!J546</f>
        <v>102772.72727272726</v>
      </c>
      <c r="K546" s="25">
        <f>정규화데이터!K546</f>
        <v>61496</v>
      </c>
      <c r="L546" s="25">
        <f>정규화데이터!L546</f>
        <v>61496</v>
      </c>
      <c r="M546" s="21">
        <f t="shared" si="16"/>
        <v>41276.727272727265</v>
      </c>
      <c r="N546" s="52">
        <f t="shared" si="17"/>
        <v>0.40163113666519235</v>
      </c>
    </row>
    <row r="547" spans="1:14" x14ac:dyDescent="0.3">
      <c r="A547" t="str">
        <f>정규화데이터!A547</f>
        <v>SK스토아</v>
      </c>
      <c r="B547">
        <f>정규화데이터!B547</f>
        <v>20260210360710</v>
      </c>
      <c r="C547" t="str">
        <f>정규화데이터!C547</f>
        <v>[워커힐]워커힐 고메 시그니처 양념 본갈비 8팩</v>
      </c>
      <c r="D547">
        <f>정규화데이터!D547</f>
        <v>58481090</v>
      </c>
      <c r="E547" s="16" t="str">
        <f>정규화데이터!E547</f>
        <v>SKU001</v>
      </c>
      <c r="F547" s="3">
        <f>정규화데이터!F547</f>
        <v>1</v>
      </c>
      <c r="G547" s="3">
        <f>정규화데이터!G547</f>
        <v>119000</v>
      </c>
      <c r="H547" s="3">
        <f>정규화데이터!H547</f>
        <v>119000</v>
      </c>
      <c r="I547" s="3">
        <f>정규화데이터!I547</f>
        <v>80920</v>
      </c>
      <c r="J547" s="3">
        <f>정규화데이터!J547</f>
        <v>108181.81818181818</v>
      </c>
      <c r="K547" s="25">
        <f>정규화데이터!K547</f>
        <v>61496</v>
      </c>
      <c r="L547" s="25">
        <f>정규화데이터!L547</f>
        <v>61496</v>
      </c>
      <c r="M547" s="21">
        <f t="shared" si="16"/>
        <v>46685.818181818177</v>
      </c>
      <c r="N547" s="52">
        <f t="shared" si="17"/>
        <v>0.43154957983193276</v>
      </c>
    </row>
    <row r="548" spans="1:14" x14ac:dyDescent="0.3">
      <c r="A548" t="str">
        <f>정규화데이터!A548</f>
        <v>SK스토아</v>
      </c>
      <c r="B548">
        <f>정규화데이터!B548</f>
        <v>20260210361717</v>
      </c>
      <c r="C548" t="str">
        <f>정규화데이터!C548</f>
        <v>[워커힐]워커힐 고메 시그니처 양념 본갈비 8팩</v>
      </c>
      <c r="D548">
        <f>정규화데이터!D548</f>
        <v>58481090</v>
      </c>
      <c r="E548" s="16" t="str">
        <f>정규화데이터!E548</f>
        <v>SKU001</v>
      </c>
      <c r="F548" s="3">
        <f>정규화데이터!F548</f>
        <v>1</v>
      </c>
      <c r="G548" s="3">
        <f>정규화데이터!G548</f>
        <v>119000</v>
      </c>
      <c r="H548" s="3">
        <f>정규화데이터!H548</f>
        <v>119000</v>
      </c>
      <c r="I548" s="3">
        <f>정규화데이터!I548</f>
        <v>80920</v>
      </c>
      <c r="J548" s="3">
        <f>정규화데이터!J548</f>
        <v>108181.81818181818</v>
      </c>
      <c r="K548" s="25">
        <f>정규화데이터!K548</f>
        <v>61496</v>
      </c>
      <c r="L548" s="25">
        <f>정규화데이터!L548</f>
        <v>61496</v>
      </c>
      <c r="M548" s="21">
        <f t="shared" si="16"/>
        <v>46685.818181818177</v>
      </c>
      <c r="N548" s="52">
        <f t="shared" si="17"/>
        <v>0.43154957983193276</v>
      </c>
    </row>
    <row r="549" spans="1:14" x14ac:dyDescent="0.3">
      <c r="A549" t="str">
        <f>정규화데이터!A549</f>
        <v>SK스토아</v>
      </c>
      <c r="B549">
        <f>정규화데이터!B549</f>
        <v>20260210362658</v>
      </c>
      <c r="C549" t="str">
        <f>정규화데이터!C549</f>
        <v>[워커힐]워커힐 고메 시그니처 양념 본갈비 8팩</v>
      </c>
      <c r="D549">
        <f>정규화데이터!D549</f>
        <v>58481090</v>
      </c>
      <c r="E549" s="16" t="str">
        <f>정규화데이터!E549</f>
        <v>SKU001</v>
      </c>
      <c r="F549" s="3">
        <f>정규화데이터!F549</f>
        <v>1</v>
      </c>
      <c r="G549" s="3">
        <f>정규화데이터!G549</f>
        <v>119000</v>
      </c>
      <c r="H549" s="3">
        <f>정규화데이터!H549</f>
        <v>113050</v>
      </c>
      <c r="I549" s="3">
        <f>정규화데이터!I549</f>
        <v>80920</v>
      </c>
      <c r="J549" s="3">
        <f>정규화데이터!J549</f>
        <v>102772.72727272726</v>
      </c>
      <c r="K549" s="25">
        <f>정규화데이터!K549</f>
        <v>61496</v>
      </c>
      <c r="L549" s="25">
        <f>정규화데이터!L549</f>
        <v>61496</v>
      </c>
      <c r="M549" s="21">
        <f t="shared" si="16"/>
        <v>41276.727272727265</v>
      </c>
      <c r="N549" s="52">
        <f t="shared" si="17"/>
        <v>0.40163113666519235</v>
      </c>
    </row>
    <row r="550" spans="1:14" x14ac:dyDescent="0.3">
      <c r="A550" t="str">
        <f>정규화데이터!A550</f>
        <v>SK스토아</v>
      </c>
      <c r="B550">
        <f>정규화데이터!B550</f>
        <v>20260210360971</v>
      </c>
      <c r="C550" t="str">
        <f>정규화데이터!C550</f>
        <v>[워커힐]워커힐 고메 시그니처 양념 본갈비 8팩</v>
      </c>
      <c r="D550">
        <f>정규화데이터!D550</f>
        <v>58481090</v>
      </c>
      <c r="E550" s="16" t="str">
        <f>정규화데이터!E550</f>
        <v>SKU001</v>
      </c>
      <c r="F550" s="3">
        <f>정규화데이터!F550</f>
        <v>1</v>
      </c>
      <c r="G550" s="3">
        <f>정규화데이터!G550</f>
        <v>119000</v>
      </c>
      <c r="H550" s="3">
        <f>정규화데이터!H550</f>
        <v>119000</v>
      </c>
      <c r="I550" s="3">
        <f>정규화데이터!I550</f>
        <v>80920</v>
      </c>
      <c r="J550" s="3">
        <f>정규화데이터!J550</f>
        <v>108181.81818181818</v>
      </c>
      <c r="K550" s="25">
        <f>정규화데이터!K550</f>
        <v>61496</v>
      </c>
      <c r="L550" s="25">
        <f>정규화데이터!L550</f>
        <v>61496</v>
      </c>
      <c r="M550" s="21">
        <f t="shared" si="16"/>
        <v>46685.818181818177</v>
      </c>
      <c r="N550" s="52">
        <f t="shared" si="17"/>
        <v>0.43154957983193276</v>
      </c>
    </row>
    <row r="551" spans="1:14" x14ac:dyDescent="0.3">
      <c r="A551" t="str">
        <f>정규화데이터!A551</f>
        <v>SK스토아</v>
      </c>
      <c r="B551">
        <f>정규화데이터!B551</f>
        <v>20260210360957</v>
      </c>
      <c r="C551" t="str">
        <f>정규화데이터!C551</f>
        <v>[워커힐]워커힐 고메 시그니처 양념 본갈비 8팩</v>
      </c>
      <c r="D551">
        <f>정규화데이터!D551</f>
        <v>58481090</v>
      </c>
      <c r="E551" s="16" t="str">
        <f>정규화데이터!E551</f>
        <v>SKU001</v>
      </c>
      <c r="F551" s="3">
        <f>정규화데이터!F551</f>
        <v>1</v>
      </c>
      <c r="G551" s="3">
        <f>정규화데이터!G551</f>
        <v>119000</v>
      </c>
      <c r="H551" s="3">
        <f>정규화데이터!H551</f>
        <v>113050</v>
      </c>
      <c r="I551" s="3">
        <f>정규화데이터!I551</f>
        <v>80920</v>
      </c>
      <c r="J551" s="3">
        <f>정규화데이터!J551</f>
        <v>102772.72727272726</v>
      </c>
      <c r="K551" s="25">
        <f>정규화데이터!K551</f>
        <v>61496</v>
      </c>
      <c r="L551" s="25">
        <f>정규화데이터!L551</f>
        <v>61496</v>
      </c>
      <c r="M551" s="21">
        <f t="shared" si="16"/>
        <v>41276.727272727265</v>
      </c>
      <c r="N551" s="52">
        <f t="shared" si="17"/>
        <v>0.40163113666519235</v>
      </c>
    </row>
    <row r="552" spans="1:14" x14ac:dyDescent="0.3">
      <c r="A552" t="str">
        <f>정규화데이터!A552</f>
        <v>SK스토아</v>
      </c>
      <c r="B552">
        <f>정규화데이터!B552</f>
        <v>20260210362164</v>
      </c>
      <c r="C552" t="str">
        <f>정규화데이터!C552</f>
        <v>[워커힐]워커힐 고메 시그니처 양념 본갈비 8팩</v>
      </c>
      <c r="D552">
        <f>정규화데이터!D552</f>
        <v>58481090</v>
      </c>
      <c r="E552" s="16" t="str">
        <f>정규화데이터!E552</f>
        <v>SKU001</v>
      </c>
      <c r="F552" s="3">
        <f>정규화데이터!F552</f>
        <v>1</v>
      </c>
      <c r="G552" s="3">
        <f>정규화데이터!G552</f>
        <v>119000</v>
      </c>
      <c r="H552" s="3">
        <f>정규화데이터!H552</f>
        <v>119000</v>
      </c>
      <c r="I552" s="3">
        <f>정규화데이터!I552</f>
        <v>80920</v>
      </c>
      <c r="J552" s="3">
        <f>정규화데이터!J552</f>
        <v>108181.81818181818</v>
      </c>
      <c r="K552" s="25">
        <f>정규화데이터!K552</f>
        <v>61496</v>
      </c>
      <c r="L552" s="25">
        <f>정규화데이터!L552</f>
        <v>61496</v>
      </c>
      <c r="M552" s="21">
        <f t="shared" si="16"/>
        <v>46685.818181818177</v>
      </c>
      <c r="N552" s="52">
        <f t="shared" si="17"/>
        <v>0.43154957983193276</v>
      </c>
    </row>
    <row r="553" spans="1:14" x14ac:dyDescent="0.3">
      <c r="A553" t="str">
        <f>정규화데이터!A553</f>
        <v>SK스토아</v>
      </c>
      <c r="B553">
        <f>정규화데이터!B553</f>
        <v>20260210362189</v>
      </c>
      <c r="C553" t="str">
        <f>정규화데이터!C553</f>
        <v>[워커힐]워커힐 고메 시그니처 양념 본갈비 8팩</v>
      </c>
      <c r="D553">
        <f>정규화데이터!D553</f>
        <v>58481090</v>
      </c>
      <c r="E553" s="16" t="str">
        <f>정규화데이터!E553</f>
        <v>SKU001</v>
      </c>
      <c r="F553" s="3">
        <f>정규화데이터!F553</f>
        <v>1</v>
      </c>
      <c r="G553" s="3">
        <f>정규화데이터!G553</f>
        <v>119000</v>
      </c>
      <c r="H553" s="3">
        <f>정규화데이터!H553</f>
        <v>113050</v>
      </c>
      <c r="I553" s="3">
        <f>정규화데이터!I553</f>
        <v>80920</v>
      </c>
      <c r="J553" s="3">
        <f>정규화데이터!J553</f>
        <v>102772.72727272726</v>
      </c>
      <c r="K553" s="25">
        <f>정규화데이터!K553</f>
        <v>61496</v>
      </c>
      <c r="L553" s="25">
        <f>정규화데이터!L553</f>
        <v>61496</v>
      </c>
      <c r="M553" s="21">
        <f t="shared" si="16"/>
        <v>41276.727272727265</v>
      </c>
      <c r="N553" s="52">
        <f t="shared" si="17"/>
        <v>0.40163113666519235</v>
      </c>
    </row>
    <row r="554" spans="1:14" x14ac:dyDescent="0.3">
      <c r="A554" t="str">
        <f>정규화데이터!A554</f>
        <v>SK스토아</v>
      </c>
      <c r="B554">
        <f>정규화데이터!B554</f>
        <v>20260210360419</v>
      </c>
      <c r="C554" t="str">
        <f>정규화데이터!C554</f>
        <v>[워커힐]워커힐 고메 시그니처 양념 본갈비 8팩</v>
      </c>
      <c r="D554">
        <f>정규화데이터!D554</f>
        <v>58481090</v>
      </c>
      <c r="E554" s="16" t="str">
        <f>정규화데이터!E554</f>
        <v>SKU001</v>
      </c>
      <c r="F554" s="3">
        <f>정규화데이터!F554</f>
        <v>1</v>
      </c>
      <c r="G554" s="3">
        <f>정규화데이터!G554</f>
        <v>119000</v>
      </c>
      <c r="H554" s="3">
        <f>정규화데이터!H554</f>
        <v>119000</v>
      </c>
      <c r="I554" s="3">
        <f>정규화데이터!I554</f>
        <v>80920</v>
      </c>
      <c r="J554" s="3">
        <f>정규화데이터!J554</f>
        <v>108181.81818181818</v>
      </c>
      <c r="K554" s="25">
        <f>정규화데이터!K554</f>
        <v>61496</v>
      </c>
      <c r="L554" s="25">
        <f>정규화데이터!L554</f>
        <v>61496</v>
      </c>
      <c r="M554" s="21">
        <f t="shared" si="16"/>
        <v>46685.818181818177</v>
      </c>
      <c r="N554" s="52">
        <f t="shared" si="17"/>
        <v>0.43154957983193276</v>
      </c>
    </row>
    <row r="555" spans="1:14" x14ac:dyDescent="0.3">
      <c r="A555" t="str">
        <f>정규화데이터!A555</f>
        <v>SK스토아</v>
      </c>
      <c r="B555">
        <f>정규화데이터!B555</f>
        <v>20260210361724</v>
      </c>
      <c r="C555" t="str">
        <f>정규화데이터!C555</f>
        <v>[워커힐]워커힐 고메 시그니처 양념 본갈비 8팩</v>
      </c>
      <c r="D555">
        <f>정규화데이터!D555</f>
        <v>58481090</v>
      </c>
      <c r="E555" s="16" t="str">
        <f>정규화데이터!E555</f>
        <v>SKU001</v>
      </c>
      <c r="F555" s="3">
        <f>정규화데이터!F555</f>
        <v>1</v>
      </c>
      <c r="G555" s="3">
        <f>정규화데이터!G555</f>
        <v>119000</v>
      </c>
      <c r="H555" s="3">
        <f>정규화데이터!H555</f>
        <v>119000</v>
      </c>
      <c r="I555" s="3">
        <f>정규화데이터!I555</f>
        <v>80920</v>
      </c>
      <c r="J555" s="3">
        <f>정규화데이터!J555</f>
        <v>108181.81818181818</v>
      </c>
      <c r="K555" s="25">
        <f>정규화데이터!K555</f>
        <v>61496</v>
      </c>
      <c r="L555" s="25">
        <f>정규화데이터!L555</f>
        <v>61496</v>
      </c>
      <c r="M555" s="21">
        <f t="shared" si="16"/>
        <v>46685.818181818177</v>
      </c>
      <c r="N555" s="52">
        <f t="shared" si="17"/>
        <v>0.43154957983193276</v>
      </c>
    </row>
    <row r="556" spans="1:14" x14ac:dyDescent="0.3">
      <c r="A556" t="str">
        <f>정규화데이터!A556</f>
        <v>SK스토아</v>
      </c>
      <c r="B556">
        <f>정규화데이터!B556</f>
        <v>20260210360288</v>
      </c>
      <c r="C556" t="str">
        <f>정규화데이터!C556</f>
        <v>[워커힐]워커힐 고메 시그니처 양념 본갈비 8팩</v>
      </c>
      <c r="D556">
        <f>정규화데이터!D556</f>
        <v>58481090</v>
      </c>
      <c r="E556" s="16" t="str">
        <f>정규화데이터!E556</f>
        <v>SKU001</v>
      </c>
      <c r="F556" s="3">
        <f>정규화데이터!F556</f>
        <v>1</v>
      </c>
      <c r="G556" s="3">
        <f>정규화데이터!G556</f>
        <v>119000</v>
      </c>
      <c r="H556" s="3">
        <f>정규화데이터!H556</f>
        <v>119000</v>
      </c>
      <c r="I556" s="3">
        <f>정규화데이터!I556</f>
        <v>80920</v>
      </c>
      <c r="J556" s="3">
        <f>정규화데이터!J556</f>
        <v>108181.81818181818</v>
      </c>
      <c r="K556" s="25">
        <f>정규화데이터!K556</f>
        <v>61496</v>
      </c>
      <c r="L556" s="25">
        <f>정규화데이터!L556</f>
        <v>61496</v>
      </c>
      <c r="M556" s="21">
        <f t="shared" si="16"/>
        <v>46685.818181818177</v>
      </c>
      <c r="N556" s="52">
        <f t="shared" si="17"/>
        <v>0.43154957983193276</v>
      </c>
    </row>
    <row r="557" spans="1:14" x14ac:dyDescent="0.3">
      <c r="A557" t="str">
        <f>정규화데이터!A557</f>
        <v>SK스토아</v>
      </c>
      <c r="B557">
        <f>정규화데이터!B557</f>
        <v>20260210361616</v>
      </c>
      <c r="C557" t="str">
        <f>정규화데이터!C557</f>
        <v>[워커힐]워커힐 고메 시그니처 양념 본갈비 8팩</v>
      </c>
      <c r="D557">
        <f>정규화데이터!D557</f>
        <v>58481090</v>
      </c>
      <c r="E557" s="16" t="str">
        <f>정규화데이터!E557</f>
        <v>SKU001</v>
      </c>
      <c r="F557" s="3">
        <f>정규화데이터!F557</f>
        <v>1</v>
      </c>
      <c r="G557" s="3">
        <f>정규화데이터!G557</f>
        <v>119000</v>
      </c>
      <c r="H557" s="3">
        <f>정규화데이터!H557</f>
        <v>113050</v>
      </c>
      <c r="I557" s="3">
        <f>정규화데이터!I557</f>
        <v>80920</v>
      </c>
      <c r="J557" s="3">
        <f>정규화데이터!J557</f>
        <v>102772.72727272726</v>
      </c>
      <c r="K557" s="25">
        <f>정규화데이터!K557</f>
        <v>61496</v>
      </c>
      <c r="L557" s="25">
        <f>정규화데이터!L557</f>
        <v>61496</v>
      </c>
      <c r="M557" s="21">
        <f t="shared" si="16"/>
        <v>41276.727272727265</v>
      </c>
      <c r="N557" s="52">
        <f t="shared" si="17"/>
        <v>0.40163113666519235</v>
      </c>
    </row>
    <row r="558" spans="1:14" x14ac:dyDescent="0.3">
      <c r="A558" t="str">
        <f>정규화데이터!A558</f>
        <v>SK스토아</v>
      </c>
      <c r="B558">
        <f>정규화데이터!B558</f>
        <v>20260210361828</v>
      </c>
      <c r="C558" t="str">
        <f>정규화데이터!C558</f>
        <v>[워커힐]워커힐 고메 시그니처 양념 본갈비 8팩</v>
      </c>
      <c r="D558">
        <f>정규화데이터!D558</f>
        <v>58481090</v>
      </c>
      <c r="E558" s="16" t="str">
        <f>정규화데이터!E558</f>
        <v>SKU001</v>
      </c>
      <c r="F558" s="3">
        <f>정규화데이터!F558</f>
        <v>1</v>
      </c>
      <c r="G558" s="3">
        <f>정규화데이터!G558</f>
        <v>119000</v>
      </c>
      <c r="H558" s="3">
        <f>정규화데이터!H558</f>
        <v>119000</v>
      </c>
      <c r="I558" s="3">
        <f>정규화데이터!I558</f>
        <v>80920</v>
      </c>
      <c r="J558" s="3">
        <f>정규화데이터!J558</f>
        <v>108181.81818181818</v>
      </c>
      <c r="K558" s="25">
        <f>정규화데이터!K558</f>
        <v>61496</v>
      </c>
      <c r="L558" s="25">
        <f>정규화데이터!L558</f>
        <v>61496</v>
      </c>
      <c r="M558" s="21">
        <f t="shared" si="16"/>
        <v>46685.818181818177</v>
      </c>
      <c r="N558" s="52">
        <f t="shared" si="17"/>
        <v>0.43154957983193276</v>
      </c>
    </row>
    <row r="559" spans="1:14" x14ac:dyDescent="0.3">
      <c r="A559" t="str">
        <f>정규화데이터!A559</f>
        <v>SK스토아</v>
      </c>
      <c r="B559">
        <f>정규화데이터!B559</f>
        <v>20260210361688</v>
      </c>
      <c r="C559" t="str">
        <f>정규화데이터!C559</f>
        <v>[워커힐]워커힐 고메 시그니처 양념 본갈비 8팩</v>
      </c>
      <c r="D559">
        <f>정규화데이터!D559</f>
        <v>58481090</v>
      </c>
      <c r="E559" s="16" t="str">
        <f>정규화데이터!E559</f>
        <v>SKU001</v>
      </c>
      <c r="F559" s="3">
        <f>정규화데이터!F559</f>
        <v>1</v>
      </c>
      <c r="G559" s="3">
        <f>정규화데이터!G559</f>
        <v>119000</v>
      </c>
      <c r="H559" s="3">
        <f>정규화데이터!H559</f>
        <v>119000</v>
      </c>
      <c r="I559" s="3">
        <f>정규화데이터!I559</f>
        <v>80920</v>
      </c>
      <c r="J559" s="3">
        <f>정규화데이터!J559</f>
        <v>108181.81818181818</v>
      </c>
      <c r="K559" s="25">
        <f>정규화데이터!K559</f>
        <v>61496</v>
      </c>
      <c r="L559" s="25">
        <f>정규화데이터!L559</f>
        <v>61496</v>
      </c>
      <c r="M559" s="21">
        <f t="shared" si="16"/>
        <v>46685.818181818177</v>
      </c>
      <c r="N559" s="52">
        <f t="shared" si="17"/>
        <v>0.43154957983193276</v>
      </c>
    </row>
    <row r="560" spans="1:14" x14ac:dyDescent="0.3">
      <c r="A560" t="str">
        <f>정규화데이터!A560</f>
        <v>SK스토아</v>
      </c>
      <c r="B560">
        <f>정규화데이터!B560</f>
        <v>20260210361789</v>
      </c>
      <c r="C560" t="str">
        <f>정규화데이터!C560</f>
        <v>[워커힐]워커힐 고메 시그니처 양념 본갈비 8팩</v>
      </c>
      <c r="D560">
        <f>정규화데이터!D560</f>
        <v>58481090</v>
      </c>
      <c r="E560" s="16" t="str">
        <f>정규화데이터!E560</f>
        <v>SKU001</v>
      </c>
      <c r="F560" s="3">
        <f>정규화데이터!F560</f>
        <v>1</v>
      </c>
      <c r="G560" s="3">
        <f>정규화데이터!G560</f>
        <v>119000</v>
      </c>
      <c r="H560" s="3">
        <f>정규화데이터!H560</f>
        <v>119000</v>
      </c>
      <c r="I560" s="3">
        <f>정규화데이터!I560</f>
        <v>80920</v>
      </c>
      <c r="J560" s="3">
        <f>정규화데이터!J560</f>
        <v>108181.81818181818</v>
      </c>
      <c r="K560" s="25">
        <f>정규화데이터!K560</f>
        <v>61496</v>
      </c>
      <c r="L560" s="25">
        <f>정규화데이터!L560</f>
        <v>61496</v>
      </c>
      <c r="M560" s="21">
        <f t="shared" si="16"/>
        <v>46685.818181818177</v>
      </c>
      <c r="N560" s="52">
        <f t="shared" si="17"/>
        <v>0.43154957983193276</v>
      </c>
    </row>
    <row r="561" spans="1:14" x14ac:dyDescent="0.3">
      <c r="A561" t="str">
        <f>정규화데이터!A561</f>
        <v>SK스토아</v>
      </c>
      <c r="B561">
        <f>정규화데이터!B561</f>
        <v>20260210360385</v>
      </c>
      <c r="C561" t="str">
        <f>정규화데이터!C561</f>
        <v>[워커힐]워커힐 고메 시그니처 양념 본갈비 8팩</v>
      </c>
      <c r="D561">
        <f>정규화데이터!D561</f>
        <v>58481090</v>
      </c>
      <c r="E561" s="16" t="str">
        <f>정규화데이터!E561</f>
        <v>SKU001</v>
      </c>
      <c r="F561" s="3">
        <f>정규화데이터!F561</f>
        <v>1</v>
      </c>
      <c r="G561" s="3">
        <f>정규화데이터!G561</f>
        <v>119000</v>
      </c>
      <c r="H561" s="3">
        <f>정규화데이터!H561</f>
        <v>119000</v>
      </c>
      <c r="I561" s="3">
        <f>정규화데이터!I561</f>
        <v>80920</v>
      </c>
      <c r="J561" s="3">
        <f>정규화데이터!J561</f>
        <v>108181.81818181818</v>
      </c>
      <c r="K561" s="25">
        <f>정규화데이터!K561</f>
        <v>61496</v>
      </c>
      <c r="L561" s="25">
        <f>정규화데이터!L561</f>
        <v>61496</v>
      </c>
      <c r="M561" s="21">
        <f t="shared" si="16"/>
        <v>46685.818181818177</v>
      </c>
      <c r="N561" s="52">
        <f t="shared" si="17"/>
        <v>0.43154957983193276</v>
      </c>
    </row>
    <row r="562" spans="1:14" x14ac:dyDescent="0.3">
      <c r="A562" t="str">
        <f>정규화데이터!A562</f>
        <v>SK스토아</v>
      </c>
      <c r="B562">
        <f>정규화데이터!B562</f>
        <v>20260210361225</v>
      </c>
      <c r="C562" t="str">
        <f>정규화데이터!C562</f>
        <v>[워커힐]워커힐 고메 시그니처 양념 본갈비 8팩</v>
      </c>
      <c r="D562">
        <f>정규화데이터!D562</f>
        <v>58481090</v>
      </c>
      <c r="E562" s="16" t="str">
        <f>정규화데이터!E562</f>
        <v>SKU001</v>
      </c>
      <c r="F562" s="3">
        <f>정규화데이터!F562</f>
        <v>1</v>
      </c>
      <c r="G562" s="3">
        <f>정규화데이터!G562</f>
        <v>119000</v>
      </c>
      <c r="H562" s="3">
        <f>정규화데이터!H562</f>
        <v>113050</v>
      </c>
      <c r="I562" s="3">
        <f>정규화데이터!I562</f>
        <v>80920</v>
      </c>
      <c r="J562" s="3">
        <f>정규화데이터!J562</f>
        <v>102772.72727272726</v>
      </c>
      <c r="K562" s="25">
        <f>정규화데이터!K562</f>
        <v>61496</v>
      </c>
      <c r="L562" s="25">
        <f>정규화데이터!L562</f>
        <v>61496</v>
      </c>
      <c r="M562" s="21">
        <f t="shared" si="16"/>
        <v>41276.727272727265</v>
      </c>
      <c r="N562" s="52">
        <f t="shared" si="17"/>
        <v>0.40163113666519235</v>
      </c>
    </row>
    <row r="563" spans="1:14" x14ac:dyDescent="0.3">
      <c r="A563" t="str">
        <f>정규화데이터!A563</f>
        <v>SK스토아</v>
      </c>
      <c r="B563">
        <f>정규화데이터!B563</f>
        <v>20260210360980</v>
      </c>
      <c r="C563" t="str">
        <f>정규화데이터!C563</f>
        <v>[워커힐]워커힐 고메 시그니처 양념 본갈비 8팩</v>
      </c>
      <c r="D563">
        <f>정규화데이터!D563</f>
        <v>58481090</v>
      </c>
      <c r="E563" s="16" t="str">
        <f>정규화데이터!E563</f>
        <v>SKU001</v>
      </c>
      <c r="F563" s="3">
        <f>정규화데이터!F563</f>
        <v>1</v>
      </c>
      <c r="G563" s="3">
        <f>정규화데이터!G563</f>
        <v>119000</v>
      </c>
      <c r="H563" s="3">
        <f>정규화데이터!H563</f>
        <v>119000</v>
      </c>
      <c r="I563" s="3">
        <f>정규화데이터!I563</f>
        <v>80920</v>
      </c>
      <c r="J563" s="3">
        <f>정규화데이터!J563</f>
        <v>108181.81818181818</v>
      </c>
      <c r="K563" s="25">
        <f>정규화데이터!K563</f>
        <v>61496</v>
      </c>
      <c r="L563" s="25">
        <f>정규화데이터!L563</f>
        <v>61496</v>
      </c>
      <c r="M563" s="21">
        <f t="shared" si="16"/>
        <v>46685.818181818177</v>
      </c>
      <c r="N563" s="52">
        <f t="shared" si="17"/>
        <v>0.43154957983193276</v>
      </c>
    </row>
    <row r="564" spans="1:14" x14ac:dyDescent="0.3">
      <c r="A564" t="str">
        <f>정규화데이터!A564</f>
        <v>SK스토아</v>
      </c>
      <c r="B564">
        <f>정규화데이터!B564</f>
        <v>20260210360551</v>
      </c>
      <c r="C564" t="str">
        <f>정규화데이터!C564</f>
        <v>[워커힐]워커힐 고메 시그니처 양념 본갈비 8팩</v>
      </c>
      <c r="D564">
        <f>정규화데이터!D564</f>
        <v>58481090</v>
      </c>
      <c r="E564" s="16" t="str">
        <f>정규화데이터!E564</f>
        <v>SKU001</v>
      </c>
      <c r="F564" s="3">
        <f>정규화데이터!F564</f>
        <v>1</v>
      </c>
      <c r="G564" s="3">
        <f>정규화데이터!G564</f>
        <v>119000</v>
      </c>
      <c r="H564" s="3">
        <f>정규화데이터!H564</f>
        <v>119000</v>
      </c>
      <c r="I564" s="3">
        <f>정규화데이터!I564</f>
        <v>80920</v>
      </c>
      <c r="J564" s="3">
        <f>정규화데이터!J564</f>
        <v>108181.81818181818</v>
      </c>
      <c r="K564" s="25">
        <f>정규화데이터!K564</f>
        <v>61496</v>
      </c>
      <c r="L564" s="25">
        <f>정규화데이터!L564</f>
        <v>61496</v>
      </c>
      <c r="M564" s="21">
        <f t="shared" si="16"/>
        <v>46685.818181818177</v>
      </c>
      <c r="N564" s="52">
        <f t="shared" si="17"/>
        <v>0.43154957983193276</v>
      </c>
    </row>
    <row r="565" spans="1:14" x14ac:dyDescent="0.3">
      <c r="A565" t="str">
        <f>정규화데이터!A565</f>
        <v>SK스토아</v>
      </c>
      <c r="B565">
        <f>정규화데이터!B565</f>
        <v>20260210361462</v>
      </c>
      <c r="C565" t="str">
        <f>정규화데이터!C565</f>
        <v>[워커힐]워커힐 고메 시그니처 양념 본갈비 8팩</v>
      </c>
      <c r="D565">
        <f>정규화데이터!D565</f>
        <v>58481090</v>
      </c>
      <c r="E565" s="16" t="str">
        <f>정규화데이터!E565</f>
        <v>SKU001</v>
      </c>
      <c r="F565" s="3">
        <f>정규화데이터!F565</f>
        <v>1</v>
      </c>
      <c r="G565" s="3">
        <f>정규화데이터!G565</f>
        <v>119000</v>
      </c>
      <c r="H565" s="3">
        <f>정규화데이터!H565</f>
        <v>119000</v>
      </c>
      <c r="I565" s="3">
        <f>정규화데이터!I565</f>
        <v>80920</v>
      </c>
      <c r="J565" s="3">
        <f>정규화데이터!J565</f>
        <v>108181.81818181818</v>
      </c>
      <c r="K565" s="25">
        <f>정규화데이터!K565</f>
        <v>61496</v>
      </c>
      <c r="L565" s="25">
        <f>정규화데이터!L565</f>
        <v>61496</v>
      </c>
      <c r="M565" s="21">
        <f t="shared" si="16"/>
        <v>46685.818181818177</v>
      </c>
      <c r="N565" s="52">
        <f t="shared" si="17"/>
        <v>0.43154957983193276</v>
      </c>
    </row>
    <row r="566" spans="1:14" x14ac:dyDescent="0.3">
      <c r="A566" t="str">
        <f>정규화데이터!A566</f>
        <v>SK스토아</v>
      </c>
      <c r="B566">
        <f>정규화데이터!B566</f>
        <v>20260210360692</v>
      </c>
      <c r="C566" t="str">
        <f>정규화데이터!C566</f>
        <v>[워커힐]워커힐 고메 시그니처 양념 본갈비 8팩</v>
      </c>
      <c r="D566">
        <f>정규화데이터!D566</f>
        <v>58481090</v>
      </c>
      <c r="E566" s="16" t="str">
        <f>정규화데이터!E566</f>
        <v>SKU001</v>
      </c>
      <c r="F566" s="3">
        <f>정규화데이터!F566</f>
        <v>1</v>
      </c>
      <c r="G566" s="3">
        <f>정규화데이터!G566</f>
        <v>119000</v>
      </c>
      <c r="H566" s="3">
        <f>정규화데이터!H566</f>
        <v>119000</v>
      </c>
      <c r="I566" s="3">
        <f>정규화데이터!I566</f>
        <v>80920</v>
      </c>
      <c r="J566" s="3">
        <f>정규화데이터!J566</f>
        <v>108181.81818181818</v>
      </c>
      <c r="K566" s="25">
        <f>정규화데이터!K566</f>
        <v>61496</v>
      </c>
      <c r="L566" s="25">
        <f>정규화데이터!L566</f>
        <v>61496</v>
      </c>
      <c r="M566" s="21">
        <f t="shared" si="16"/>
        <v>46685.818181818177</v>
      </c>
      <c r="N566" s="52">
        <f t="shared" si="17"/>
        <v>0.43154957983193276</v>
      </c>
    </row>
    <row r="567" spans="1:14" x14ac:dyDescent="0.3">
      <c r="A567" t="str">
        <f>정규화데이터!A567</f>
        <v>SK스토아</v>
      </c>
      <c r="B567">
        <f>정규화데이터!B567</f>
        <v>20260210361797</v>
      </c>
      <c r="C567" t="str">
        <f>정규화데이터!C567</f>
        <v>[워커힐]워커힐 고메 시그니처 양념 본갈비 8팩</v>
      </c>
      <c r="D567">
        <f>정규화데이터!D567</f>
        <v>58481090</v>
      </c>
      <c r="E567" s="16" t="str">
        <f>정규화데이터!E567</f>
        <v>SKU001</v>
      </c>
      <c r="F567" s="3">
        <f>정규화데이터!F567</f>
        <v>1</v>
      </c>
      <c r="G567" s="3">
        <f>정규화데이터!G567</f>
        <v>119000</v>
      </c>
      <c r="H567" s="3">
        <f>정규화데이터!H567</f>
        <v>119000</v>
      </c>
      <c r="I567" s="3">
        <f>정규화데이터!I567</f>
        <v>80920</v>
      </c>
      <c r="J567" s="3">
        <f>정규화데이터!J567</f>
        <v>108181.81818181818</v>
      </c>
      <c r="K567" s="25">
        <f>정규화데이터!K567</f>
        <v>61496</v>
      </c>
      <c r="L567" s="25">
        <f>정규화데이터!L567</f>
        <v>61496</v>
      </c>
      <c r="M567" s="21">
        <f t="shared" si="16"/>
        <v>46685.818181818177</v>
      </c>
      <c r="N567" s="52">
        <f t="shared" si="17"/>
        <v>0.43154957983193276</v>
      </c>
    </row>
    <row r="568" spans="1:14" x14ac:dyDescent="0.3">
      <c r="A568" t="str">
        <f>정규화데이터!A568</f>
        <v>SK스토아</v>
      </c>
      <c r="B568">
        <f>정규화데이터!B568</f>
        <v>20260210361781</v>
      </c>
      <c r="C568" t="str">
        <f>정규화데이터!C568</f>
        <v>[워커힐]워커힐 고메 시그니처 양념 본갈비 8팩</v>
      </c>
      <c r="D568">
        <f>정규화데이터!D568</f>
        <v>58481090</v>
      </c>
      <c r="E568" s="16" t="str">
        <f>정규화데이터!E568</f>
        <v>SKU001</v>
      </c>
      <c r="F568" s="3">
        <f>정규화데이터!F568</f>
        <v>1</v>
      </c>
      <c r="G568" s="3">
        <f>정규화데이터!G568</f>
        <v>119000</v>
      </c>
      <c r="H568" s="3">
        <f>정규화데이터!H568</f>
        <v>119000</v>
      </c>
      <c r="I568" s="3">
        <f>정규화데이터!I568</f>
        <v>80920</v>
      </c>
      <c r="J568" s="3">
        <f>정규화데이터!J568</f>
        <v>108181.81818181818</v>
      </c>
      <c r="K568" s="25">
        <f>정규화데이터!K568</f>
        <v>61496</v>
      </c>
      <c r="L568" s="25">
        <f>정규화데이터!L568</f>
        <v>61496</v>
      </c>
      <c r="M568" s="21">
        <f t="shared" si="16"/>
        <v>46685.818181818177</v>
      </c>
      <c r="N568" s="52">
        <f t="shared" si="17"/>
        <v>0.43154957983193276</v>
      </c>
    </row>
    <row r="569" spans="1:14" x14ac:dyDescent="0.3">
      <c r="A569" t="str">
        <f>정규화데이터!A569</f>
        <v>SK스토아</v>
      </c>
      <c r="B569">
        <f>정규화데이터!B569</f>
        <v>20260210361934</v>
      </c>
      <c r="C569" t="str">
        <f>정규화데이터!C569</f>
        <v>[워커힐]워커힐 고메 시그니처 양념 본갈비 8팩</v>
      </c>
      <c r="D569">
        <f>정규화데이터!D569</f>
        <v>58481090</v>
      </c>
      <c r="E569" s="16" t="str">
        <f>정규화데이터!E569</f>
        <v>SKU001</v>
      </c>
      <c r="F569" s="3">
        <f>정규화데이터!F569</f>
        <v>1</v>
      </c>
      <c r="G569" s="3">
        <f>정규화데이터!G569</f>
        <v>119000</v>
      </c>
      <c r="H569" s="3">
        <f>정규화데이터!H569</f>
        <v>119000</v>
      </c>
      <c r="I569" s="3">
        <f>정규화데이터!I569</f>
        <v>80920</v>
      </c>
      <c r="J569" s="3">
        <f>정규화데이터!J569</f>
        <v>108181.81818181818</v>
      </c>
      <c r="K569" s="25">
        <f>정규화데이터!K569</f>
        <v>61496</v>
      </c>
      <c r="L569" s="25">
        <f>정규화데이터!L569</f>
        <v>61496</v>
      </c>
      <c r="M569" s="21">
        <f t="shared" si="16"/>
        <v>46685.818181818177</v>
      </c>
      <c r="N569" s="52">
        <f t="shared" si="17"/>
        <v>0.43154957983193276</v>
      </c>
    </row>
    <row r="570" spans="1:14" x14ac:dyDescent="0.3">
      <c r="A570" t="str">
        <f>정규화데이터!A570</f>
        <v>SK스토아</v>
      </c>
      <c r="B570">
        <f>정규화데이터!B570</f>
        <v>20260210361402</v>
      </c>
      <c r="C570" t="str">
        <f>정규화데이터!C570</f>
        <v>[워커힐]워커힐 고메 시그니처 양념 본갈비 8팩</v>
      </c>
      <c r="D570">
        <f>정규화데이터!D570</f>
        <v>58481090</v>
      </c>
      <c r="E570" s="16" t="str">
        <f>정규화데이터!E570</f>
        <v>SKU001</v>
      </c>
      <c r="F570" s="3">
        <f>정규화데이터!F570</f>
        <v>1</v>
      </c>
      <c r="G570" s="3">
        <f>정규화데이터!G570</f>
        <v>119000</v>
      </c>
      <c r="H570" s="3">
        <f>정규화데이터!H570</f>
        <v>119000</v>
      </c>
      <c r="I570" s="3">
        <f>정규화데이터!I570</f>
        <v>80920</v>
      </c>
      <c r="J570" s="3">
        <f>정규화데이터!J570</f>
        <v>108181.81818181818</v>
      </c>
      <c r="K570" s="25">
        <f>정규화데이터!K570</f>
        <v>61496</v>
      </c>
      <c r="L570" s="25">
        <f>정규화데이터!L570</f>
        <v>61496</v>
      </c>
      <c r="M570" s="21">
        <f t="shared" si="16"/>
        <v>46685.818181818177</v>
      </c>
      <c r="N570" s="52">
        <f t="shared" si="17"/>
        <v>0.43154957983193276</v>
      </c>
    </row>
    <row r="571" spans="1:14" x14ac:dyDescent="0.3">
      <c r="A571" t="str">
        <f>정규화데이터!A571</f>
        <v>SK스토아</v>
      </c>
      <c r="B571">
        <f>정규화데이터!B571</f>
        <v>20260210360997</v>
      </c>
      <c r="C571" t="str">
        <f>정규화데이터!C571</f>
        <v>[워커힐]워커힐 고메 시그니처 양념 본갈비 8팩</v>
      </c>
      <c r="D571">
        <f>정규화데이터!D571</f>
        <v>58481090</v>
      </c>
      <c r="E571" s="16" t="str">
        <f>정규화데이터!E571</f>
        <v>SKU001</v>
      </c>
      <c r="F571" s="3">
        <f>정규화데이터!F571</f>
        <v>1</v>
      </c>
      <c r="G571" s="3">
        <f>정규화데이터!G571</f>
        <v>119000</v>
      </c>
      <c r="H571" s="3">
        <f>정규화데이터!H571</f>
        <v>119000</v>
      </c>
      <c r="I571" s="3">
        <f>정규화데이터!I571</f>
        <v>80920</v>
      </c>
      <c r="J571" s="3">
        <f>정규화데이터!J571</f>
        <v>108181.81818181818</v>
      </c>
      <c r="K571" s="25">
        <f>정규화데이터!K571</f>
        <v>61496</v>
      </c>
      <c r="L571" s="25">
        <f>정규화데이터!L571</f>
        <v>61496</v>
      </c>
      <c r="M571" s="21">
        <f t="shared" si="16"/>
        <v>46685.818181818177</v>
      </c>
      <c r="N571" s="52">
        <f t="shared" si="17"/>
        <v>0.43154957983193276</v>
      </c>
    </row>
    <row r="572" spans="1:14" x14ac:dyDescent="0.3">
      <c r="A572" t="str">
        <f>정규화데이터!A572</f>
        <v>SK스토아</v>
      </c>
      <c r="B572">
        <f>정규화데이터!B572</f>
        <v>20260210361134</v>
      </c>
      <c r="C572" t="str">
        <f>정규화데이터!C572</f>
        <v>[워커힐]워커힐 고메 시그니처 양념 본갈비 8팩</v>
      </c>
      <c r="D572">
        <f>정규화데이터!D572</f>
        <v>58481090</v>
      </c>
      <c r="E572" s="16" t="str">
        <f>정규화데이터!E572</f>
        <v>SKU001</v>
      </c>
      <c r="F572" s="3">
        <f>정규화데이터!F572</f>
        <v>1</v>
      </c>
      <c r="G572" s="3">
        <f>정규화데이터!G572</f>
        <v>119000</v>
      </c>
      <c r="H572" s="3">
        <f>정규화데이터!H572</f>
        <v>119000</v>
      </c>
      <c r="I572" s="3">
        <f>정규화데이터!I572</f>
        <v>80920</v>
      </c>
      <c r="J572" s="3">
        <f>정규화데이터!J572</f>
        <v>108181.81818181818</v>
      </c>
      <c r="K572" s="25">
        <f>정규화데이터!K572</f>
        <v>61496</v>
      </c>
      <c r="L572" s="25">
        <f>정규화데이터!L572</f>
        <v>61496</v>
      </c>
      <c r="M572" s="21">
        <f t="shared" si="16"/>
        <v>46685.818181818177</v>
      </c>
      <c r="N572" s="52">
        <f t="shared" si="17"/>
        <v>0.43154957983193276</v>
      </c>
    </row>
    <row r="573" spans="1:14" x14ac:dyDescent="0.3">
      <c r="A573" t="str">
        <f>정규화데이터!A573</f>
        <v>SK스토아</v>
      </c>
      <c r="B573">
        <f>정규화데이터!B573</f>
        <v>20260210362141</v>
      </c>
      <c r="C573" t="str">
        <f>정규화데이터!C573</f>
        <v>[워커힐]워커힐 고메 시그니처 양념 본갈비 8팩</v>
      </c>
      <c r="D573">
        <f>정규화데이터!D573</f>
        <v>58481090</v>
      </c>
      <c r="E573" s="16" t="str">
        <f>정규화데이터!E573</f>
        <v>SKU001</v>
      </c>
      <c r="F573" s="3">
        <f>정규화데이터!F573</f>
        <v>1</v>
      </c>
      <c r="G573" s="3">
        <f>정규화데이터!G573</f>
        <v>119000</v>
      </c>
      <c r="H573" s="3">
        <f>정규화데이터!H573</f>
        <v>119000</v>
      </c>
      <c r="I573" s="3">
        <f>정규화데이터!I573</f>
        <v>80920</v>
      </c>
      <c r="J573" s="3">
        <f>정규화데이터!J573</f>
        <v>108181.81818181818</v>
      </c>
      <c r="K573" s="25">
        <f>정규화데이터!K573</f>
        <v>61496</v>
      </c>
      <c r="L573" s="25">
        <f>정규화데이터!L573</f>
        <v>61496</v>
      </c>
      <c r="M573" s="21">
        <f t="shared" si="16"/>
        <v>46685.818181818177</v>
      </c>
      <c r="N573" s="52">
        <f t="shared" si="17"/>
        <v>0.43154957983193276</v>
      </c>
    </row>
    <row r="574" spans="1:14" x14ac:dyDescent="0.3">
      <c r="A574" t="str">
        <f>정규화데이터!A574</f>
        <v>SK스토아</v>
      </c>
      <c r="B574">
        <f>정규화데이터!B574</f>
        <v>20260210362293</v>
      </c>
      <c r="C574" t="str">
        <f>정규화데이터!C574</f>
        <v>[워커힐]워커힐 고메 시그니처 양념 본갈비 8팩</v>
      </c>
      <c r="D574">
        <f>정규화데이터!D574</f>
        <v>58481090</v>
      </c>
      <c r="E574" s="16" t="str">
        <f>정규화데이터!E574</f>
        <v>SKU001</v>
      </c>
      <c r="F574" s="3">
        <f>정규화데이터!F574</f>
        <v>1</v>
      </c>
      <c r="G574" s="3">
        <f>정규화데이터!G574</f>
        <v>119000</v>
      </c>
      <c r="H574" s="3">
        <f>정규화데이터!H574</f>
        <v>108300</v>
      </c>
      <c r="I574" s="3">
        <f>정규화데이터!I574</f>
        <v>80920</v>
      </c>
      <c r="J574" s="3">
        <f>정규화데이터!J574</f>
        <v>98454.545454545441</v>
      </c>
      <c r="K574" s="25">
        <f>정규화데이터!K574</f>
        <v>61496</v>
      </c>
      <c r="L574" s="25">
        <f>정규화데이터!L574</f>
        <v>61496</v>
      </c>
      <c r="M574" s="21">
        <f t="shared" si="16"/>
        <v>36958.545454545441</v>
      </c>
      <c r="N574" s="52">
        <f t="shared" si="17"/>
        <v>0.37538688827331479</v>
      </c>
    </row>
    <row r="575" spans="1:14" x14ac:dyDescent="0.3">
      <c r="A575" t="str">
        <f>정규화데이터!A575</f>
        <v>SK스토아</v>
      </c>
      <c r="B575">
        <f>정규화데이터!B575</f>
        <v>20260210360398</v>
      </c>
      <c r="C575" t="str">
        <f>정규화데이터!C575</f>
        <v>[워커힐]워커힐 고메 시그니처 양념 본갈비 8팩</v>
      </c>
      <c r="D575">
        <f>정규화데이터!D575</f>
        <v>58481090</v>
      </c>
      <c r="E575" s="16" t="str">
        <f>정규화데이터!E575</f>
        <v>SKU001</v>
      </c>
      <c r="F575" s="3">
        <f>정규화데이터!F575</f>
        <v>1</v>
      </c>
      <c r="G575" s="3">
        <f>정규화데이터!G575</f>
        <v>119000</v>
      </c>
      <c r="H575" s="3">
        <f>정규화데이터!H575</f>
        <v>119000</v>
      </c>
      <c r="I575" s="3">
        <f>정규화데이터!I575</f>
        <v>80920</v>
      </c>
      <c r="J575" s="3">
        <f>정규화데이터!J575</f>
        <v>108181.81818181818</v>
      </c>
      <c r="K575" s="25">
        <f>정규화데이터!K575</f>
        <v>61496</v>
      </c>
      <c r="L575" s="25">
        <f>정규화데이터!L575</f>
        <v>61496</v>
      </c>
      <c r="M575" s="21">
        <f t="shared" si="16"/>
        <v>46685.818181818177</v>
      </c>
      <c r="N575" s="52">
        <f t="shared" si="17"/>
        <v>0.43154957983193276</v>
      </c>
    </row>
    <row r="576" spans="1:14" x14ac:dyDescent="0.3">
      <c r="A576" t="str">
        <f>정규화데이터!A576</f>
        <v>SK스토아</v>
      </c>
      <c r="B576">
        <f>정규화데이터!B576</f>
        <v>20260210361270</v>
      </c>
      <c r="C576" t="str">
        <f>정규화데이터!C576</f>
        <v>[워커힐]워커힐 고메 시그니처 양념 본갈비 8팩</v>
      </c>
      <c r="D576">
        <f>정규화데이터!D576</f>
        <v>58481090</v>
      </c>
      <c r="E576" s="16" t="str">
        <f>정규화데이터!E576</f>
        <v>SKU001</v>
      </c>
      <c r="F576" s="3">
        <f>정규화데이터!F576</f>
        <v>1</v>
      </c>
      <c r="G576" s="3">
        <f>정규화데이터!G576</f>
        <v>119000</v>
      </c>
      <c r="H576" s="3">
        <f>정규화데이터!H576</f>
        <v>119000</v>
      </c>
      <c r="I576" s="3">
        <f>정규화데이터!I576</f>
        <v>80920</v>
      </c>
      <c r="J576" s="3">
        <f>정규화데이터!J576</f>
        <v>108181.81818181818</v>
      </c>
      <c r="K576" s="25">
        <f>정규화데이터!K576</f>
        <v>61496</v>
      </c>
      <c r="L576" s="25">
        <f>정규화데이터!L576</f>
        <v>61496</v>
      </c>
      <c r="M576" s="21">
        <f t="shared" si="16"/>
        <v>46685.818181818177</v>
      </c>
      <c r="N576" s="52">
        <f t="shared" si="17"/>
        <v>0.43154957983193276</v>
      </c>
    </row>
    <row r="577" spans="1:14" x14ac:dyDescent="0.3">
      <c r="A577" t="str">
        <f>정규화데이터!A577</f>
        <v>SK스토아</v>
      </c>
      <c r="B577">
        <f>정규화데이터!B577</f>
        <v>20260210361324</v>
      </c>
      <c r="C577" t="str">
        <f>정규화데이터!C577</f>
        <v>[워커힐]워커힐 고메 시그니처 양념 본갈비 8팩</v>
      </c>
      <c r="D577">
        <f>정규화데이터!D577</f>
        <v>58481090</v>
      </c>
      <c r="E577" s="16" t="str">
        <f>정규화데이터!E577</f>
        <v>SKU001</v>
      </c>
      <c r="F577" s="3">
        <f>정규화데이터!F577</f>
        <v>1</v>
      </c>
      <c r="G577" s="3">
        <f>정규화데이터!G577</f>
        <v>119000</v>
      </c>
      <c r="H577" s="3">
        <f>정규화데이터!H577</f>
        <v>113050</v>
      </c>
      <c r="I577" s="3">
        <f>정규화데이터!I577</f>
        <v>80920</v>
      </c>
      <c r="J577" s="3">
        <f>정규화데이터!J577</f>
        <v>102772.72727272726</v>
      </c>
      <c r="K577" s="25">
        <f>정규화데이터!K577</f>
        <v>61496</v>
      </c>
      <c r="L577" s="25">
        <f>정규화데이터!L577</f>
        <v>61496</v>
      </c>
      <c r="M577" s="21">
        <f t="shared" si="16"/>
        <v>41276.727272727265</v>
      </c>
      <c r="N577" s="52">
        <f t="shared" si="17"/>
        <v>0.40163113666519235</v>
      </c>
    </row>
    <row r="578" spans="1:14" x14ac:dyDescent="0.3">
      <c r="A578" t="str">
        <f>정규화데이터!A578</f>
        <v>SK스토아</v>
      </c>
      <c r="B578">
        <f>정규화데이터!B578</f>
        <v>20260210361350</v>
      </c>
      <c r="C578" t="str">
        <f>정규화데이터!C578</f>
        <v>[워커힐]워커힐 고메 시그니처 양념 본갈비 8팩</v>
      </c>
      <c r="D578">
        <f>정규화데이터!D578</f>
        <v>58481090</v>
      </c>
      <c r="E578" s="16" t="str">
        <f>정규화데이터!E578</f>
        <v>SKU001</v>
      </c>
      <c r="F578" s="3">
        <f>정규화데이터!F578</f>
        <v>1</v>
      </c>
      <c r="G578" s="3">
        <f>정규화데이터!G578</f>
        <v>119000</v>
      </c>
      <c r="H578" s="3">
        <f>정규화데이터!H578</f>
        <v>119000</v>
      </c>
      <c r="I578" s="3">
        <f>정규화데이터!I578</f>
        <v>80920</v>
      </c>
      <c r="J578" s="3">
        <f>정규화데이터!J578</f>
        <v>108181.81818181818</v>
      </c>
      <c r="K578" s="25">
        <f>정규화데이터!K578</f>
        <v>61496</v>
      </c>
      <c r="L578" s="25">
        <f>정규화데이터!L578</f>
        <v>61496</v>
      </c>
      <c r="M578" s="21">
        <f t="shared" si="16"/>
        <v>46685.818181818177</v>
      </c>
      <c r="N578" s="52">
        <f t="shared" si="17"/>
        <v>0.43154957983193276</v>
      </c>
    </row>
    <row r="579" spans="1:14" x14ac:dyDescent="0.3">
      <c r="A579" t="str">
        <f>정규화데이터!A579</f>
        <v>SK스토아</v>
      </c>
      <c r="B579">
        <f>정규화데이터!B579</f>
        <v>20260210360281</v>
      </c>
      <c r="C579" t="str">
        <f>정규화데이터!C579</f>
        <v>[워커힐]워커힐 고메 시그니처 양념 본갈비 8팩</v>
      </c>
      <c r="D579">
        <f>정규화데이터!D579</f>
        <v>58481090</v>
      </c>
      <c r="E579" s="16" t="str">
        <f>정규화데이터!E579</f>
        <v>SKU001</v>
      </c>
      <c r="F579" s="3">
        <f>정규화데이터!F579</f>
        <v>1</v>
      </c>
      <c r="G579" s="3">
        <f>정규화데이터!G579</f>
        <v>119000</v>
      </c>
      <c r="H579" s="3">
        <f>정규화데이터!H579</f>
        <v>119000</v>
      </c>
      <c r="I579" s="3">
        <f>정규화데이터!I579</f>
        <v>80920</v>
      </c>
      <c r="J579" s="3">
        <f>정규화데이터!J579</f>
        <v>108181.81818181818</v>
      </c>
      <c r="K579" s="25">
        <f>정규화데이터!K579</f>
        <v>61496</v>
      </c>
      <c r="L579" s="25">
        <f>정규화데이터!L579</f>
        <v>61496</v>
      </c>
      <c r="M579" s="21">
        <f t="shared" ref="M579:M642" si="18">J579-L579</f>
        <v>46685.818181818177</v>
      </c>
      <c r="N579" s="52">
        <f t="shared" ref="N579:N642" si="19">IF(J579=0,0,M579/J579)</f>
        <v>0.43154957983193276</v>
      </c>
    </row>
    <row r="580" spans="1:14" x14ac:dyDescent="0.3">
      <c r="A580" t="str">
        <f>정규화데이터!A580</f>
        <v>SK스토아</v>
      </c>
      <c r="B580">
        <f>정규화데이터!B580</f>
        <v>20260210361461</v>
      </c>
      <c r="C580" t="str">
        <f>정규화데이터!C580</f>
        <v>[워커힐]워커힐 고메 시그니처 양념 본갈비 8팩</v>
      </c>
      <c r="D580">
        <f>정규화데이터!D580</f>
        <v>58481090</v>
      </c>
      <c r="E580" s="16" t="str">
        <f>정규화데이터!E580</f>
        <v>SKU001</v>
      </c>
      <c r="F580" s="3">
        <f>정규화데이터!F580</f>
        <v>1</v>
      </c>
      <c r="G580" s="3">
        <f>정규화데이터!G580</f>
        <v>119000</v>
      </c>
      <c r="H580" s="3">
        <f>정규화데이터!H580</f>
        <v>113050</v>
      </c>
      <c r="I580" s="3">
        <f>정규화데이터!I580</f>
        <v>80920</v>
      </c>
      <c r="J580" s="3">
        <f>정규화데이터!J580</f>
        <v>102772.72727272726</v>
      </c>
      <c r="K580" s="25">
        <f>정규화데이터!K580</f>
        <v>61496</v>
      </c>
      <c r="L580" s="25">
        <f>정규화데이터!L580</f>
        <v>61496</v>
      </c>
      <c r="M580" s="21">
        <f t="shared" si="18"/>
        <v>41276.727272727265</v>
      </c>
      <c r="N580" s="52">
        <f t="shared" si="19"/>
        <v>0.40163113666519235</v>
      </c>
    </row>
    <row r="581" spans="1:14" x14ac:dyDescent="0.3">
      <c r="A581" t="str">
        <f>정규화데이터!A581</f>
        <v>SK스토아</v>
      </c>
      <c r="B581">
        <f>정규화데이터!B581</f>
        <v>20260210361504</v>
      </c>
      <c r="C581" t="str">
        <f>정규화데이터!C581</f>
        <v>[워커힐]워커힐 고메 시그니처 양념 본갈비 8팩</v>
      </c>
      <c r="D581">
        <f>정규화데이터!D581</f>
        <v>58481090</v>
      </c>
      <c r="E581" s="16" t="str">
        <f>정규화데이터!E581</f>
        <v>SKU001</v>
      </c>
      <c r="F581" s="3">
        <f>정규화데이터!F581</f>
        <v>1</v>
      </c>
      <c r="G581" s="3">
        <f>정규화데이터!G581</f>
        <v>119000</v>
      </c>
      <c r="H581" s="3">
        <f>정규화데이터!H581</f>
        <v>98770</v>
      </c>
      <c r="I581" s="3">
        <f>정규화데이터!I581</f>
        <v>80920</v>
      </c>
      <c r="J581" s="3">
        <f>정규화데이터!J581</f>
        <v>89790.909090909088</v>
      </c>
      <c r="K581" s="25">
        <f>정규화데이터!K581</f>
        <v>61496</v>
      </c>
      <c r="L581" s="25">
        <f>정규화데이터!L581</f>
        <v>61496</v>
      </c>
      <c r="M581" s="21">
        <f t="shared" si="18"/>
        <v>28294.909090909088</v>
      </c>
      <c r="N581" s="52">
        <f t="shared" si="19"/>
        <v>0.31511997570112382</v>
      </c>
    </row>
    <row r="582" spans="1:14" x14ac:dyDescent="0.3">
      <c r="A582" t="str">
        <f>정규화데이터!A582</f>
        <v>SK스토아</v>
      </c>
      <c r="B582">
        <f>정규화데이터!B582</f>
        <v>20260210361566</v>
      </c>
      <c r="C582" t="str">
        <f>정규화데이터!C582</f>
        <v>[워커힐]워커힐 고메 시그니처 양념 본갈비 8팩</v>
      </c>
      <c r="D582">
        <f>정규화데이터!D582</f>
        <v>58481090</v>
      </c>
      <c r="E582" s="16" t="str">
        <f>정규화데이터!E582</f>
        <v>SKU001</v>
      </c>
      <c r="F582" s="3">
        <f>정규화데이터!F582</f>
        <v>1</v>
      </c>
      <c r="G582" s="3">
        <f>정규화데이터!G582</f>
        <v>119000</v>
      </c>
      <c r="H582" s="3">
        <f>정규화데이터!H582</f>
        <v>119000</v>
      </c>
      <c r="I582" s="3">
        <f>정규화데이터!I582</f>
        <v>80920</v>
      </c>
      <c r="J582" s="3">
        <f>정규화데이터!J582</f>
        <v>108181.81818181818</v>
      </c>
      <c r="K582" s="25">
        <f>정규화데이터!K582</f>
        <v>61496</v>
      </c>
      <c r="L582" s="25">
        <f>정규화데이터!L582</f>
        <v>61496</v>
      </c>
      <c r="M582" s="21">
        <f t="shared" si="18"/>
        <v>46685.818181818177</v>
      </c>
      <c r="N582" s="52">
        <f t="shared" si="19"/>
        <v>0.43154957983193276</v>
      </c>
    </row>
    <row r="583" spans="1:14" x14ac:dyDescent="0.3">
      <c r="A583" t="str">
        <f>정규화데이터!A583</f>
        <v>SK스토아</v>
      </c>
      <c r="B583">
        <f>정규화데이터!B583</f>
        <v>20260210361903</v>
      </c>
      <c r="C583" t="str">
        <f>정규화데이터!C583</f>
        <v>[워커힐]워커힐 고메 시그니처 양념 본갈비 8팩</v>
      </c>
      <c r="D583">
        <f>정규화데이터!D583</f>
        <v>58481090</v>
      </c>
      <c r="E583" s="16" t="str">
        <f>정규화데이터!E583</f>
        <v>SKU001</v>
      </c>
      <c r="F583" s="3">
        <f>정규화데이터!F583</f>
        <v>1</v>
      </c>
      <c r="G583" s="3">
        <f>정규화데이터!G583</f>
        <v>119000</v>
      </c>
      <c r="H583" s="3">
        <f>정규화데이터!H583</f>
        <v>119000</v>
      </c>
      <c r="I583" s="3">
        <f>정규화데이터!I583</f>
        <v>80920</v>
      </c>
      <c r="J583" s="3">
        <f>정규화데이터!J583</f>
        <v>108181.81818181818</v>
      </c>
      <c r="K583" s="25">
        <f>정규화데이터!K583</f>
        <v>61496</v>
      </c>
      <c r="L583" s="25">
        <f>정규화데이터!L583</f>
        <v>61496</v>
      </c>
      <c r="M583" s="21">
        <f t="shared" si="18"/>
        <v>46685.818181818177</v>
      </c>
      <c r="N583" s="52">
        <f t="shared" si="19"/>
        <v>0.43154957983193276</v>
      </c>
    </row>
    <row r="584" spans="1:14" x14ac:dyDescent="0.3">
      <c r="A584" t="str">
        <f>정규화데이터!A584</f>
        <v>SK스토아</v>
      </c>
      <c r="B584">
        <f>정규화데이터!B584</f>
        <v>20260210361968</v>
      </c>
      <c r="C584" t="str">
        <f>정규화데이터!C584</f>
        <v>[워커힐]워커힐 고메 시그니처 양념 본갈비 8팩</v>
      </c>
      <c r="D584">
        <f>정규화데이터!D584</f>
        <v>58481090</v>
      </c>
      <c r="E584" s="16" t="str">
        <f>정규화데이터!E584</f>
        <v>SKU001</v>
      </c>
      <c r="F584" s="3">
        <f>정규화데이터!F584</f>
        <v>1</v>
      </c>
      <c r="G584" s="3">
        <f>정규화데이터!G584</f>
        <v>119000</v>
      </c>
      <c r="H584" s="3">
        <f>정규화데이터!H584</f>
        <v>119000</v>
      </c>
      <c r="I584" s="3">
        <f>정규화데이터!I584</f>
        <v>80920</v>
      </c>
      <c r="J584" s="3">
        <f>정규화데이터!J584</f>
        <v>108181.81818181818</v>
      </c>
      <c r="K584" s="25">
        <f>정규화데이터!K584</f>
        <v>61496</v>
      </c>
      <c r="L584" s="25">
        <f>정규화데이터!L584</f>
        <v>61496</v>
      </c>
      <c r="M584" s="21">
        <f t="shared" si="18"/>
        <v>46685.818181818177</v>
      </c>
      <c r="N584" s="52">
        <f t="shared" si="19"/>
        <v>0.43154957983193276</v>
      </c>
    </row>
    <row r="585" spans="1:14" x14ac:dyDescent="0.3">
      <c r="A585" t="str">
        <f>정규화데이터!A585</f>
        <v>SK스토아</v>
      </c>
      <c r="B585">
        <f>정규화데이터!B585</f>
        <v>20260210361727</v>
      </c>
      <c r="C585" t="str">
        <f>정규화데이터!C585</f>
        <v>[워커힐]워커힐 고메 시그니처 양념 본갈비 8팩</v>
      </c>
      <c r="D585">
        <f>정규화데이터!D585</f>
        <v>58481090</v>
      </c>
      <c r="E585" s="16" t="str">
        <f>정규화데이터!E585</f>
        <v>SKU001</v>
      </c>
      <c r="F585" s="3">
        <f>정규화데이터!F585</f>
        <v>1</v>
      </c>
      <c r="G585" s="3">
        <f>정규화데이터!G585</f>
        <v>119000</v>
      </c>
      <c r="H585" s="3">
        <f>정규화데이터!H585</f>
        <v>95200</v>
      </c>
      <c r="I585" s="3">
        <f>정규화데이터!I585</f>
        <v>80920</v>
      </c>
      <c r="J585" s="3">
        <f>정규화데이터!J585</f>
        <v>86545.454545454544</v>
      </c>
      <c r="K585" s="25">
        <f>정규화데이터!K585</f>
        <v>61496</v>
      </c>
      <c r="L585" s="25">
        <f>정규화데이터!L585</f>
        <v>61496</v>
      </c>
      <c r="M585" s="21">
        <f t="shared" si="18"/>
        <v>25049.454545454544</v>
      </c>
      <c r="N585" s="52">
        <f t="shared" si="19"/>
        <v>0.28943697478991598</v>
      </c>
    </row>
    <row r="586" spans="1:14" x14ac:dyDescent="0.3">
      <c r="A586" t="str">
        <f>정규화데이터!A586</f>
        <v>SK스토아</v>
      </c>
      <c r="B586">
        <f>정규화데이터!B586</f>
        <v>20260210362163</v>
      </c>
      <c r="C586" t="str">
        <f>정규화데이터!C586</f>
        <v>[워커힐]워커힐 고메 시그니처 양념 본갈비 8팩</v>
      </c>
      <c r="D586">
        <f>정규화데이터!D586</f>
        <v>58481090</v>
      </c>
      <c r="E586" s="16" t="str">
        <f>정규화데이터!E586</f>
        <v>SKU001</v>
      </c>
      <c r="F586" s="3">
        <f>정규화데이터!F586</f>
        <v>1</v>
      </c>
      <c r="G586" s="3">
        <f>정규화데이터!G586</f>
        <v>119000</v>
      </c>
      <c r="H586" s="3">
        <f>정규화데이터!H586</f>
        <v>119000</v>
      </c>
      <c r="I586" s="3">
        <f>정규화데이터!I586</f>
        <v>80920</v>
      </c>
      <c r="J586" s="3">
        <f>정규화데이터!J586</f>
        <v>108181.81818181818</v>
      </c>
      <c r="K586" s="25">
        <f>정규화데이터!K586</f>
        <v>61496</v>
      </c>
      <c r="L586" s="25">
        <f>정규화데이터!L586</f>
        <v>61496</v>
      </c>
      <c r="M586" s="21">
        <f t="shared" si="18"/>
        <v>46685.818181818177</v>
      </c>
      <c r="N586" s="52">
        <f t="shared" si="19"/>
        <v>0.43154957983193276</v>
      </c>
    </row>
    <row r="587" spans="1:14" x14ac:dyDescent="0.3">
      <c r="A587" t="str">
        <f>정규화데이터!A587</f>
        <v>SK스토아</v>
      </c>
      <c r="B587">
        <f>정규화데이터!B587</f>
        <v>20260210360760</v>
      </c>
      <c r="C587" t="str">
        <f>정규화데이터!C587</f>
        <v>[워커힐]워커힐 고메 시그니처 양념 본갈비 8팩</v>
      </c>
      <c r="D587">
        <f>정규화데이터!D587</f>
        <v>58481090</v>
      </c>
      <c r="E587" s="16" t="str">
        <f>정규화데이터!E587</f>
        <v>SKU001</v>
      </c>
      <c r="F587" s="3">
        <f>정규화데이터!F587</f>
        <v>1</v>
      </c>
      <c r="G587" s="3">
        <f>정규화데이터!G587</f>
        <v>119000</v>
      </c>
      <c r="H587" s="3">
        <f>정규화데이터!H587</f>
        <v>119000</v>
      </c>
      <c r="I587" s="3">
        <f>정규화데이터!I587</f>
        <v>80920</v>
      </c>
      <c r="J587" s="3">
        <f>정규화데이터!J587</f>
        <v>108181.81818181818</v>
      </c>
      <c r="K587" s="25">
        <f>정규화데이터!K587</f>
        <v>61496</v>
      </c>
      <c r="L587" s="25">
        <f>정규화데이터!L587</f>
        <v>61496</v>
      </c>
      <c r="M587" s="21">
        <f t="shared" si="18"/>
        <v>46685.818181818177</v>
      </c>
      <c r="N587" s="52">
        <f t="shared" si="19"/>
        <v>0.43154957983193276</v>
      </c>
    </row>
    <row r="588" spans="1:14" x14ac:dyDescent="0.3">
      <c r="A588" t="str">
        <f>정규화데이터!A588</f>
        <v>SK스토아</v>
      </c>
      <c r="B588">
        <f>정규화데이터!B588</f>
        <v>20260210361126</v>
      </c>
      <c r="C588" t="str">
        <f>정규화데이터!C588</f>
        <v>[워커힐]워커힐 고메 시그니처 양념 본갈비 8팩</v>
      </c>
      <c r="D588">
        <f>정규화데이터!D588</f>
        <v>58481090</v>
      </c>
      <c r="E588" s="16" t="str">
        <f>정규화데이터!E588</f>
        <v>SKU001</v>
      </c>
      <c r="F588" s="3">
        <f>정규화데이터!F588</f>
        <v>1</v>
      </c>
      <c r="G588" s="3">
        <f>정규화데이터!G588</f>
        <v>119000</v>
      </c>
      <c r="H588" s="3">
        <f>정규화데이터!H588</f>
        <v>119000</v>
      </c>
      <c r="I588" s="3">
        <f>정규화데이터!I588</f>
        <v>80920</v>
      </c>
      <c r="J588" s="3">
        <f>정규화데이터!J588</f>
        <v>108181.81818181818</v>
      </c>
      <c r="K588" s="25">
        <f>정규화데이터!K588</f>
        <v>61496</v>
      </c>
      <c r="L588" s="25">
        <f>정규화데이터!L588</f>
        <v>61496</v>
      </c>
      <c r="M588" s="21">
        <f t="shared" si="18"/>
        <v>46685.818181818177</v>
      </c>
      <c r="N588" s="52">
        <f t="shared" si="19"/>
        <v>0.43154957983193276</v>
      </c>
    </row>
    <row r="589" spans="1:14" x14ac:dyDescent="0.3">
      <c r="A589" t="str">
        <f>정규화데이터!A589</f>
        <v>SK스토아</v>
      </c>
      <c r="B589">
        <f>정규화데이터!B589</f>
        <v>20260210361312</v>
      </c>
      <c r="C589" t="str">
        <f>정규화데이터!C589</f>
        <v>[워커힐]워커힐 고메 시그니처 양념 본갈비 8팩</v>
      </c>
      <c r="D589">
        <f>정규화데이터!D589</f>
        <v>58481090</v>
      </c>
      <c r="E589" s="16" t="str">
        <f>정규화데이터!E589</f>
        <v>SKU001</v>
      </c>
      <c r="F589" s="3">
        <f>정규화데이터!F589</f>
        <v>1</v>
      </c>
      <c r="G589" s="3">
        <f>정규화데이터!G589</f>
        <v>119000</v>
      </c>
      <c r="H589" s="3">
        <f>정규화데이터!H589</f>
        <v>119000</v>
      </c>
      <c r="I589" s="3">
        <f>정규화데이터!I589</f>
        <v>80920</v>
      </c>
      <c r="J589" s="3">
        <f>정규화데이터!J589</f>
        <v>108181.81818181818</v>
      </c>
      <c r="K589" s="25">
        <f>정규화데이터!K589</f>
        <v>61496</v>
      </c>
      <c r="L589" s="25">
        <f>정규화데이터!L589</f>
        <v>61496</v>
      </c>
      <c r="M589" s="21">
        <f t="shared" si="18"/>
        <v>46685.818181818177</v>
      </c>
      <c r="N589" s="52">
        <f t="shared" si="19"/>
        <v>0.43154957983193276</v>
      </c>
    </row>
    <row r="590" spans="1:14" x14ac:dyDescent="0.3">
      <c r="A590" t="str">
        <f>정규화데이터!A590</f>
        <v>SK스토아</v>
      </c>
      <c r="B590">
        <f>정규화데이터!B590</f>
        <v>20260210361447</v>
      </c>
      <c r="C590" t="str">
        <f>정규화데이터!C590</f>
        <v>[워커힐]워커힐 고메 시그니처 양념 본갈비 8팩</v>
      </c>
      <c r="D590">
        <f>정규화데이터!D590</f>
        <v>58481090</v>
      </c>
      <c r="E590" s="16" t="str">
        <f>정규화데이터!E590</f>
        <v>SKU001</v>
      </c>
      <c r="F590" s="3">
        <f>정규화데이터!F590</f>
        <v>1</v>
      </c>
      <c r="G590" s="3">
        <f>정규화데이터!G590</f>
        <v>119000</v>
      </c>
      <c r="H590" s="3">
        <f>정규화데이터!H590</f>
        <v>119000</v>
      </c>
      <c r="I590" s="3">
        <f>정규화데이터!I590</f>
        <v>80920</v>
      </c>
      <c r="J590" s="3">
        <f>정규화데이터!J590</f>
        <v>108181.81818181818</v>
      </c>
      <c r="K590" s="25">
        <f>정규화데이터!K590</f>
        <v>61496</v>
      </c>
      <c r="L590" s="25">
        <f>정규화데이터!L590</f>
        <v>61496</v>
      </c>
      <c r="M590" s="21">
        <f t="shared" si="18"/>
        <v>46685.818181818177</v>
      </c>
      <c r="N590" s="52">
        <f t="shared" si="19"/>
        <v>0.43154957983193276</v>
      </c>
    </row>
    <row r="591" spans="1:14" x14ac:dyDescent="0.3">
      <c r="A591" t="str">
        <f>정규화데이터!A591</f>
        <v>SK스토아</v>
      </c>
      <c r="B591">
        <f>정규화데이터!B591</f>
        <v>20260210361487</v>
      </c>
      <c r="C591" t="str">
        <f>정규화데이터!C591</f>
        <v>[워커힐]워커힐 고메 시그니처 양념 본갈비 8팩</v>
      </c>
      <c r="D591">
        <f>정규화데이터!D591</f>
        <v>58481090</v>
      </c>
      <c r="E591" s="16" t="str">
        <f>정규화데이터!E591</f>
        <v>SKU001</v>
      </c>
      <c r="F591" s="3">
        <f>정규화데이터!F591</f>
        <v>1</v>
      </c>
      <c r="G591" s="3">
        <f>정규화데이터!G591</f>
        <v>119000</v>
      </c>
      <c r="H591" s="3">
        <f>정규화데이터!H591</f>
        <v>119000</v>
      </c>
      <c r="I591" s="3">
        <f>정규화데이터!I591</f>
        <v>80920</v>
      </c>
      <c r="J591" s="3">
        <f>정규화데이터!J591</f>
        <v>108181.81818181818</v>
      </c>
      <c r="K591" s="25">
        <f>정규화데이터!K591</f>
        <v>61496</v>
      </c>
      <c r="L591" s="25">
        <f>정규화데이터!L591</f>
        <v>61496</v>
      </c>
      <c r="M591" s="21">
        <f t="shared" si="18"/>
        <v>46685.818181818177</v>
      </c>
      <c r="N591" s="52">
        <f t="shared" si="19"/>
        <v>0.43154957983193276</v>
      </c>
    </row>
    <row r="592" spans="1:14" x14ac:dyDescent="0.3">
      <c r="A592" t="str">
        <f>정규화데이터!A592</f>
        <v>SK스토아</v>
      </c>
      <c r="B592">
        <f>정규화데이터!B592</f>
        <v>20260210361437</v>
      </c>
      <c r="C592" t="str">
        <f>정규화데이터!C592</f>
        <v>[워커힐]워커힐 고메 시그니처 양념 본갈비 8팩</v>
      </c>
      <c r="D592">
        <f>정규화데이터!D592</f>
        <v>58481090</v>
      </c>
      <c r="E592" s="16" t="str">
        <f>정규화데이터!E592</f>
        <v>SKU001</v>
      </c>
      <c r="F592" s="3">
        <f>정규화데이터!F592</f>
        <v>1</v>
      </c>
      <c r="G592" s="3">
        <f>정규화데이터!G592</f>
        <v>119000</v>
      </c>
      <c r="H592" s="3">
        <f>정규화데이터!H592</f>
        <v>119000</v>
      </c>
      <c r="I592" s="3">
        <f>정규화데이터!I592</f>
        <v>80920</v>
      </c>
      <c r="J592" s="3">
        <f>정규화데이터!J592</f>
        <v>108181.81818181818</v>
      </c>
      <c r="K592" s="25">
        <f>정규화데이터!K592</f>
        <v>61496</v>
      </c>
      <c r="L592" s="25">
        <f>정규화데이터!L592</f>
        <v>61496</v>
      </c>
      <c r="M592" s="21">
        <f t="shared" si="18"/>
        <v>46685.818181818177</v>
      </c>
      <c r="N592" s="52">
        <f t="shared" si="19"/>
        <v>0.43154957983193276</v>
      </c>
    </row>
    <row r="593" spans="1:14" x14ac:dyDescent="0.3">
      <c r="A593" t="str">
        <f>정규화데이터!A593</f>
        <v>SK스토아</v>
      </c>
      <c r="B593">
        <f>정규화데이터!B593</f>
        <v>20260210361980</v>
      </c>
      <c r="C593" t="str">
        <f>정규화데이터!C593</f>
        <v>[워커힐]워커힐 고메 시그니처 양념 본갈비 8팩</v>
      </c>
      <c r="D593">
        <f>정규화데이터!D593</f>
        <v>58481090</v>
      </c>
      <c r="E593" s="16" t="str">
        <f>정규화데이터!E593</f>
        <v>SKU001</v>
      </c>
      <c r="F593" s="3">
        <f>정규화데이터!F593</f>
        <v>1</v>
      </c>
      <c r="G593" s="3">
        <f>정규화데이터!G593</f>
        <v>119000</v>
      </c>
      <c r="H593" s="3">
        <f>정규화데이터!H593</f>
        <v>119000</v>
      </c>
      <c r="I593" s="3">
        <f>정규화데이터!I593</f>
        <v>80920</v>
      </c>
      <c r="J593" s="3">
        <f>정규화데이터!J593</f>
        <v>108181.81818181818</v>
      </c>
      <c r="K593" s="25">
        <f>정규화데이터!K593</f>
        <v>61496</v>
      </c>
      <c r="L593" s="25">
        <f>정규화데이터!L593</f>
        <v>61496</v>
      </c>
      <c r="M593" s="21">
        <f t="shared" si="18"/>
        <v>46685.818181818177</v>
      </c>
      <c r="N593" s="52">
        <f t="shared" si="19"/>
        <v>0.43154957983193276</v>
      </c>
    </row>
    <row r="594" spans="1:14" x14ac:dyDescent="0.3">
      <c r="A594" t="str">
        <f>정규화데이터!A594</f>
        <v>SK스토아</v>
      </c>
      <c r="B594">
        <f>정규화데이터!B594</f>
        <v>20260210361671</v>
      </c>
      <c r="C594" t="str">
        <f>정규화데이터!C594</f>
        <v>[워커힐]워커힐 고메 시그니처 양념 본갈비 8팩</v>
      </c>
      <c r="D594">
        <f>정규화데이터!D594</f>
        <v>58481090</v>
      </c>
      <c r="E594" s="16" t="str">
        <f>정규화데이터!E594</f>
        <v>SKU001</v>
      </c>
      <c r="F594" s="3">
        <f>정규화데이터!F594</f>
        <v>1</v>
      </c>
      <c r="G594" s="3">
        <f>정규화데이터!G594</f>
        <v>119000</v>
      </c>
      <c r="H594" s="3">
        <f>정규화데이터!H594</f>
        <v>119000</v>
      </c>
      <c r="I594" s="3">
        <f>정규화데이터!I594</f>
        <v>80920</v>
      </c>
      <c r="J594" s="3">
        <f>정규화데이터!J594</f>
        <v>108181.81818181818</v>
      </c>
      <c r="K594" s="25">
        <f>정규화데이터!K594</f>
        <v>61496</v>
      </c>
      <c r="L594" s="25">
        <f>정규화데이터!L594</f>
        <v>61496</v>
      </c>
      <c r="M594" s="21">
        <f t="shared" si="18"/>
        <v>46685.818181818177</v>
      </c>
      <c r="N594" s="52">
        <f t="shared" si="19"/>
        <v>0.43154957983193276</v>
      </c>
    </row>
    <row r="595" spans="1:14" x14ac:dyDescent="0.3">
      <c r="A595" t="str">
        <f>정규화데이터!A595</f>
        <v>SK스토아</v>
      </c>
      <c r="B595">
        <f>정규화데이터!B595</f>
        <v>20260210361805</v>
      </c>
      <c r="C595" t="str">
        <f>정규화데이터!C595</f>
        <v>[워커힐]워커힐 고메 시그니처 양념 본갈비 8팩</v>
      </c>
      <c r="D595">
        <f>정규화데이터!D595</f>
        <v>58481090</v>
      </c>
      <c r="E595" s="16" t="str">
        <f>정규화데이터!E595</f>
        <v>SKU001</v>
      </c>
      <c r="F595" s="3">
        <f>정규화데이터!F595</f>
        <v>1</v>
      </c>
      <c r="G595" s="3">
        <f>정규화데이터!G595</f>
        <v>119000</v>
      </c>
      <c r="H595" s="3">
        <f>정규화데이터!H595</f>
        <v>119000</v>
      </c>
      <c r="I595" s="3">
        <f>정규화데이터!I595</f>
        <v>80920</v>
      </c>
      <c r="J595" s="3">
        <f>정규화데이터!J595</f>
        <v>108181.81818181818</v>
      </c>
      <c r="K595" s="25">
        <f>정규화데이터!K595</f>
        <v>61496</v>
      </c>
      <c r="L595" s="25">
        <f>정규화데이터!L595</f>
        <v>61496</v>
      </c>
      <c r="M595" s="21">
        <f t="shared" si="18"/>
        <v>46685.818181818177</v>
      </c>
      <c r="N595" s="52">
        <f t="shared" si="19"/>
        <v>0.43154957983193276</v>
      </c>
    </row>
    <row r="596" spans="1:14" x14ac:dyDescent="0.3">
      <c r="A596" t="str">
        <f>정규화데이터!A596</f>
        <v>SK스토아</v>
      </c>
      <c r="B596">
        <f>정규화데이터!B596</f>
        <v>20260210361070</v>
      </c>
      <c r="C596" t="str">
        <f>정규화데이터!C596</f>
        <v>[워커힐]워커힐 고메 시그니처 양념 본갈비 8팩</v>
      </c>
      <c r="D596">
        <f>정규화데이터!D596</f>
        <v>58481090</v>
      </c>
      <c r="E596" s="16" t="str">
        <f>정규화데이터!E596</f>
        <v>SKU001</v>
      </c>
      <c r="F596" s="3">
        <f>정규화데이터!F596</f>
        <v>1</v>
      </c>
      <c r="G596" s="3">
        <f>정규화데이터!G596</f>
        <v>119000</v>
      </c>
      <c r="H596" s="3">
        <f>정규화데이터!H596</f>
        <v>119000</v>
      </c>
      <c r="I596" s="3">
        <f>정규화데이터!I596</f>
        <v>80920</v>
      </c>
      <c r="J596" s="3">
        <f>정규화데이터!J596</f>
        <v>108181.81818181818</v>
      </c>
      <c r="K596" s="25">
        <f>정규화데이터!K596</f>
        <v>61496</v>
      </c>
      <c r="L596" s="25">
        <f>정규화데이터!L596</f>
        <v>61496</v>
      </c>
      <c r="M596" s="21">
        <f t="shared" si="18"/>
        <v>46685.818181818177</v>
      </c>
      <c r="N596" s="52">
        <f t="shared" si="19"/>
        <v>0.43154957983193276</v>
      </c>
    </row>
    <row r="597" spans="1:14" x14ac:dyDescent="0.3">
      <c r="A597" t="str">
        <f>정규화데이터!A597</f>
        <v>SK스토아</v>
      </c>
      <c r="B597">
        <f>정규화데이터!B597</f>
        <v>20260210361609</v>
      </c>
      <c r="C597" t="str">
        <f>정규화데이터!C597</f>
        <v>[워커힐]워커힐 고메 시그니처 양념 본갈비 8팩</v>
      </c>
      <c r="D597">
        <f>정규화데이터!D597</f>
        <v>58481090</v>
      </c>
      <c r="E597" s="16" t="str">
        <f>정규화데이터!E597</f>
        <v>SKU001</v>
      </c>
      <c r="F597" s="3">
        <f>정규화데이터!F597</f>
        <v>1</v>
      </c>
      <c r="G597" s="3">
        <f>정규화데이터!G597</f>
        <v>119000</v>
      </c>
      <c r="H597" s="3">
        <f>정규화데이터!H597</f>
        <v>109000</v>
      </c>
      <c r="I597" s="3">
        <f>정규화데이터!I597</f>
        <v>80920</v>
      </c>
      <c r="J597" s="3">
        <f>정규화데이터!J597</f>
        <v>99090.909090909074</v>
      </c>
      <c r="K597" s="25">
        <f>정규화데이터!K597</f>
        <v>61496</v>
      </c>
      <c r="L597" s="25">
        <f>정규화데이터!L597</f>
        <v>61496</v>
      </c>
      <c r="M597" s="21">
        <f t="shared" si="18"/>
        <v>37594.909090909074</v>
      </c>
      <c r="N597" s="52">
        <f t="shared" si="19"/>
        <v>0.3793981651376146</v>
      </c>
    </row>
    <row r="598" spans="1:14" x14ac:dyDescent="0.3">
      <c r="A598" t="str">
        <f>정규화데이터!A598</f>
        <v>SK스토아</v>
      </c>
      <c r="B598">
        <f>정규화데이터!B598</f>
        <v>20260210361990</v>
      </c>
      <c r="C598" t="str">
        <f>정규화데이터!C598</f>
        <v>[워커힐]워커힐 고메 시그니처 양념 본갈비 8팩</v>
      </c>
      <c r="D598">
        <f>정규화데이터!D598</f>
        <v>58481090</v>
      </c>
      <c r="E598" s="16" t="str">
        <f>정규화데이터!E598</f>
        <v>SKU001</v>
      </c>
      <c r="F598" s="3">
        <f>정규화데이터!F598</f>
        <v>1</v>
      </c>
      <c r="G598" s="3">
        <f>정규화데이터!G598</f>
        <v>119000</v>
      </c>
      <c r="H598" s="3">
        <f>정규화데이터!H598</f>
        <v>113050</v>
      </c>
      <c r="I598" s="3">
        <f>정규화데이터!I598</f>
        <v>80920</v>
      </c>
      <c r="J598" s="3">
        <f>정규화데이터!J598</f>
        <v>102772.72727272726</v>
      </c>
      <c r="K598" s="25">
        <f>정규화데이터!K598</f>
        <v>61496</v>
      </c>
      <c r="L598" s="25">
        <f>정규화데이터!L598</f>
        <v>61496</v>
      </c>
      <c r="M598" s="21">
        <f t="shared" si="18"/>
        <v>41276.727272727265</v>
      </c>
      <c r="N598" s="52">
        <f t="shared" si="19"/>
        <v>0.40163113666519235</v>
      </c>
    </row>
    <row r="599" spans="1:14" x14ac:dyDescent="0.3">
      <c r="A599" t="str">
        <f>정규화데이터!A599</f>
        <v>SK스토아</v>
      </c>
      <c r="B599">
        <f>정규화데이터!B599</f>
        <v>20260210361401</v>
      </c>
      <c r="C599" t="str">
        <f>정규화데이터!C599</f>
        <v>[워커힐]워커힐 고메 시그니처 양념 본갈비 8팩</v>
      </c>
      <c r="D599">
        <f>정규화데이터!D599</f>
        <v>58481090</v>
      </c>
      <c r="E599" s="16" t="str">
        <f>정규화데이터!E599</f>
        <v>SKU001</v>
      </c>
      <c r="F599" s="3">
        <f>정규화데이터!F599</f>
        <v>1</v>
      </c>
      <c r="G599" s="3">
        <f>정규화데이터!G599</f>
        <v>119000</v>
      </c>
      <c r="H599" s="3">
        <f>정규화데이터!H599</f>
        <v>119000</v>
      </c>
      <c r="I599" s="3">
        <f>정규화데이터!I599</f>
        <v>80920</v>
      </c>
      <c r="J599" s="3">
        <f>정규화데이터!J599</f>
        <v>108181.81818181818</v>
      </c>
      <c r="K599" s="25">
        <f>정규화데이터!K599</f>
        <v>61496</v>
      </c>
      <c r="L599" s="25">
        <f>정규화데이터!L599</f>
        <v>61496</v>
      </c>
      <c r="M599" s="21">
        <f t="shared" si="18"/>
        <v>46685.818181818177</v>
      </c>
      <c r="N599" s="52">
        <f t="shared" si="19"/>
        <v>0.43154957983193276</v>
      </c>
    </row>
    <row r="600" spans="1:14" x14ac:dyDescent="0.3">
      <c r="A600" t="str">
        <f>정규화데이터!A600</f>
        <v>SK스토아</v>
      </c>
      <c r="B600">
        <f>정규화데이터!B600</f>
        <v>20260210360406</v>
      </c>
      <c r="C600" t="str">
        <f>정규화데이터!C600</f>
        <v>[워커힐]워커힐 고메 시그니처 양념 본갈비 8팩</v>
      </c>
      <c r="D600">
        <f>정규화데이터!D600</f>
        <v>58481090</v>
      </c>
      <c r="E600" s="16" t="str">
        <f>정규화데이터!E600</f>
        <v>SKU001</v>
      </c>
      <c r="F600" s="3">
        <f>정규화데이터!F600</f>
        <v>1</v>
      </c>
      <c r="G600" s="3">
        <f>정규화데이터!G600</f>
        <v>119000</v>
      </c>
      <c r="H600" s="3">
        <f>정규화데이터!H600</f>
        <v>119000</v>
      </c>
      <c r="I600" s="3">
        <f>정규화데이터!I600</f>
        <v>80920</v>
      </c>
      <c r="J600" s="3">
        <f>정규화데이터!J600</f>
        <v>108181.81818181818</v>
      </c>
      <c r="K600" s="25">
        <f>정규화데이터!K600</f>
        <v>61496</v>
      </c>
      <c r="L600" s="25">
        <f>정규화데이터!L600</f>
        <v>61496</v>
      </c>
      <c r="M600" s="21">
        <f t="shared" si="18"/>
        <v>46685.818181818177</v>
      </c>
      <c r="N600" s="52">
        <f t="shared" si="19"/>
        <v>0.43154957983193276</v>
      </c>
    </row>
    <row r="601" spans="1:14" x14ac:dyDescent="0.3">
      <c r="A601" t="str">
        <f>정규화데이터!A601</f>
        <v>SK스토아</v>
      </c>
      <c r="B601">
        <f>정규화데이터!B601</f>
        <v>20260210361356</v>
      </c>
      <c r="C601" t="str">
        <f>정규화데이터!C601</f>
        <v>[워커힐]워커힐 고메 시그니처 양념 본갈비 8팩</v>
      </c>
      <c r="D601">
        <f>정규화데이터!D601</f>
        <v>58481090</v>
      </c>
      <c r="E601" s="16" t="str">
        <f>정규화데이터!E601</f>
        <v>SKU001</v>
      </c>
      <c r="F601" s="3">
        <f>정규화데이터!F601</f>
        <v>1</v>
      </c>
      <c r="G601" s="3">
        <f>정규화데이터!G601</f>
        <v>119000</v>
      </c>
      <c r="H601" s="3">
        <f>정규화데이터!H601</f>
        <v>119000</v>
      </c>
      <c r="I601" s="3">
        <f>정규화데이터!I601</f>
        <v>80920</v>
      </c>
      <c r="J601" s="3">
        <f>정규화데이터!J601</f>
        <v>108181.81818181818</v>
      </c>
      <c r="K601" s="25">
        <f>정규화데이터!K601</f>
        <v>61496</v>
      </c>
      <c r="L601" s="25">
        <f>정규화데이터!L601</f>
        <v>61496</v>
      </c>
      <c r="M601" s="21">
        <f t="shared" si="18"/>
        <v>46685.818181818177</v>
      </c>
      <c r="N601" s="52">
        <f t="shared" si="19"/>
        <v>0.43154957983193276</v>
      </c>
    </row>
    <row r="602" spans="1:14" x14ac:dyDescent="0.3">
      <c r="A602" t="str">
        <f>정규화데이터!A602</f>
        <v>SK스토아</v>
      </c>
      <c r="B602">
        <f>정규화데이터!B602</f>
        <v>20260210360454</v>
      </c>
      <c r="C602" t="str">
        <f>정규화데이터!C602</f>
        <v>[워커힐]워커힐 고메 시그니처 양념 본갈비 8팩</v>
      </c>
      <c r="D602">
        <f>정규화데이터!D602</f>
        <v>58481090</v>
      </c>
      <c r="E602" s="16" t="str">
        <f>정규화데이터!E602</f>
        <v>SKU001</v>
      </c>
      <c r="F602" s="3">
        <f>정규화데이터!F602</f>
        <v>1</v>
      </c>
      <c r="G602" s="3">
        <f>정규화데이터!G602</f>
        <v>119000</v>
      </c>
      <c r="H602" s="3">
        <f>정규화데이터!H602</f>
        <v>119000</v>
      </c>
      <c r="I602" s="3">
        <f>정규화데이터!I602</f>
        <v>80920</v>
      </c>
      <c r="J602" s="3">
        <f>정규화데이터!J602</f>
        <v>108181.81818181818</v>
      </c>
      <c r="K602" s="25">
        <f>정규화데이터!K602</f>
        <v>61496</v>
      </c>
      <c r="L602" s="25">
        <f>정규화데이터!L602</f>
        <v>61496</v>
      </c>
      <c r="M602" s="21">
        <f t="shared" si="18"/>
        <v>46685.818181818177</v>
      </c>
      <c r="N602" s="52">
        <f t="shared" si="19"/>
        <v>0.43154957983193276</v>
      </c>
    </row>
    <row r="603" spans="1:14" x14ac:dyDescent="0.3">
      <c r="A603" t="str">
        <f>정규화데이터!A603</f>
        <v>SK스토아</v>
      </c>
      <c r="B603">
        <f>정규화데이터!B603</f>
        <v>20260210360688</v>
      </c>
      <c r="C603" t="str">
        <f>정규화데이터!C603</f>
        <v>[워커힐]워커힐 고메 시그니처 양념 본갈비 8팩</v>
      </c>
      <c r="D603">
        <f>정규화데이터!D603</f>
        <v>58481090</v>
      </c>
      <c r="E603" s="16" t="str">
        <f>정규화데이터!E603</f>
        <v>SKU001</v>
      </c>
      <c r="F603" s="3">
        <f>정규화데이터!F603</f>
        <v>1</v>
      </c>
      <c r="G603" s="3">
        <f>정규화데이터!G603</f>
        <v>119000</v>
      </c>
      <c r="H603" s="3">
        <f>정규화데이터!H603</f>
        <v>119000</v>
      </c>
      <c r="I603" s="3">
        <f>정규화데이터!I603</f>
        <v>80920</v>
      </c>
      <c r="J603" s="3">
        <f>정규화데이터!J603</f>
        <v>108181.81818181818</v>
      </c>
      <c r="K603" s="25">
        <f>정규화데이터!K603</f>
        <v>61496</v>
      </c>
      <c r="L603" s="25">
        <f>정규화데이터!L603</f>
        <v>61496</v>
      </c>
      <c r="M603" s="21">
        <f t="shared" si="18"/>
        <v>46685.818181818177</v>
      </c>
      <c r="N603" s="52">
        <f t="shared" si="19"/>
        <v>0.43154957983193276</v>
      </c>
    </row>
    <row r="604" spans="1:14" x14ac:dyDescent="0.3">
      <c r="A604" t="str">
        <f>정규화데이터!A604</f>
        <v>SK스토아</v>
      </c>
      <c r="B604">
        <f>정규화데이터!B604</f>
        <v>20260210361042</v>
      </c>
      <c r="C604" t="str">
        <f>정규화데이터!C604</f>
        <v>[워커힐]워커힐 고메 시그니처 양념 본갈비 8팩</v>
      </c>
      <c r="D604">
        <f>정규화데이터!D604</f>
        <v>58481090</v>
      </c>
      <c r="E604" s="16" t="str">
        <f>정규화데이터!E604</f>
        <v>SKU001</v>
      </c>
      <c r="F604" s="3">
        <f>정규화데이터!F604</f>
        <v>1</v>
      </c>
      <c r="G604" s="3">
        <f>정규화데이터!G604</f>
        <v>119000</v>
      </c>
      <c r="H604" s="3">
        <f>정규화데이터!H604</f>
        <v>119000</v>
      </c>
      <c r="I604" s="3">
        <f>정규화데이터!I604</f>
        <v>80920</v>
      </c>
      <c r="J604" s="3">
        <f>정규화데이터!J604</f>
        <v>108181.81818181818</v>
      </c>
      <c r="K604" s="25">
        <f>정규화데이터!K604</f>
        <v>61496</v>
      </c>
      <c r="L604" s="25">
        <f>정규화데이터!L604</f>
        <v>61496</v>
      </c>
      <c r="M604" s="21">
        <f t="shared" si="18"/>
        <v>46685.818181818177</v>
      </c>
      <c r="N604" s="52">
        <f t="shared" si="19"/>
        <v>0.43154957983193276</v>
      </c>
    </row>
    <row r="605" spans="1:14" x14ac:dyDescent="0.3">
      <c r="A605" t="str">
        <f>정규화데이터!A605</f>
        <v>SK스토아</v>
      </c>
      <c r="B605">
        <f>정규화데이터!B605</f>
        <v>20260210360204</v>
      </c>
      <c r="C605" t="str">
        <f>정규화데이터!C605</f>
        <v>[워커힐]워커힐 고메 시그니처 양념 본갈비 8팩</v>
      </c>
      <c r="D605">
        <f>정규화데이터!D605</f>
        <v>58481090</v>
      </c>
      <c r="E605" s="16" t="str">
        <f>정규화데이터!E605</f>
        <v>SKU001</v>
      </c>
      <c r="F605" s="3">
        <f>정규화데이터!F605</f>
        <v>1</v>
      </c>
      <c r="G605" s="3">
        <f>정규화데이터!G605</f>
        <v>119000</v>
      </c>
      <c r="H605" s="3">
        <f>정규화데이터!H605</f>
        <v>119000</v>
      </c>
      <c r="I605" s="3">
        <f>정규화데이터!I605</f>
        <v>80920</v>
      </c>
      <c r="J605" s="3">
        <f>정규화데이터!J605</f>
        <v>108181.81818181818</v>
      </c>
      <c r="K605" s="25">
        <f>정규화데이터!K605</f>
        <v>61496</v>
      </c>
      <c r="L605" s="25">
        <f>정규화데이터!L605</f>
        <v>61496</v>
      </c>
      <c r="M605" s="21">
        <f t="shared" si="18"/>
        <v>46685.818181818177</v>
      </c>
      <c r="N605" s="52">
        <f t="shared" si="19"/>
        <v>0.43154957983193276</v>
      </c>
    </row>
    <row r="606" spans="1:14" x14ac:dyDescent="0.3">
      <c r="A606" t="str">
        <f>정규화데이터!A606</f>
        <v>SK스토아</v>
      </c>
      <c r="B606">
        <f>정규화데이터!B606</f>
        <v>20260210360435</v>
      </c>
      <c r="C606" t="str">
        <f>정규화데이터!C606</f>
        <v>[워커힐]워커힐 고메 시그니처 양념 본갈비 8팩</v>
      </c>
      <c r="D606">
        <f>정규화데이터!D606</f>
        <v>58481090</v>
      </c>
      <c r="E606" s="16" t="str">
        <f>정규화데이터!E606</f>
        <v>SKU001</v>
      </c>
      <c r="F606" s="3">
        <f>정규화데이터!F606</f>
        <v>1</v>
      </c>
      <c r="G606" s="3">
        <f>정규화데이터!G606</f>
        <v>119000</v>
      </c>
      <c r="H606" s="3">
        <f>정규화데이터!H606</f>
        <v>119000</v>
      </c>
      <c r="I606" s="3">
        <f>정규화데이터!I606</f>
        <v>80920</v>
      </c>
      <c r="J606" s="3">
        <f>정규화데이터!J606</f>
        <v>108181.81818181818</v>
      </c>
      <c r="K606" s="25">
        <f>정규화데이터!K606</f>
        <v>61496</v>
      </c>
      <c r="L606" s="25">
        <f>정규화데이터!L606</f>
        <v>61496</v>
      </c>
      <c r="M606" s="21">
        <f t="shared" si="18"/>
        <v>46685.818181818177</v>
      </c>
      <c r="N606" s="52">
        <f t="shared" si="19"/>
        <v>0.43154957983193276</v>
      </c>
    </row>
    <row r="607" spans="1:14" x14ac:dyDescent="0.3">
      <c r="A607" t="str">
        <f>정규화데이터!A607</f>
        <v>SK스토아</v>
      </c>
      <c r="B607">
        <f>정규화데이터!B607</f>
        <v>20260210360324</v>
      </c>
      <c r="C607" t="str">
        <f>정규화데이터!C607</f>
        <v>[워커힐]워커힐 고메 시그니처 양념 본갈비 8팩</v>
      </c>
      <c r="D607">
        <f>정규화데이터!D607</f>
        <v>58481090</v>
      </c>
      <c r="E607" s="16" t="str">
        <f>정규화데이터!E607</f>
        <v>SKU001</v>
      </c>
      <c r="F607" s="3">
        <f>정규화데이터!F607</f>
        <v>1</v>
      </c>
      <c r="G607" s="3">
        <f>정규화데이터!G607</f>
        <v>119000</v>
      </c>
      <c r="H607" s="3">
        <f>정규화데이터!H607</f>
        <v>119000</v>
      </c>
      <c r="I607" s="3">
        <f>정규화데이터!I607</f>
        <v>80920</v>
      </c>
      <c r="J607" s="3">
        <f>정규화데이터!J607</f>
        <v>108181.81818181818</v>
      </c>
      <c r="K607" s="25">
        <f>정규화데이터!K607</f>
        <v>61496</v>
      </c>
      <c r="L607" s="25">
        <f>정규화데이터!L607</f>
        <v>61496</v>
      </c>
      <c r="M607" s="21">
        <f t="shared" si="18"/>
        <v>46685.818181818177</v>
      </c>
      <c r="N607" s="52">
        <f t="shared" si="19"/>
        <v>0.43154957983193276</v>
      </c>
    </row>
    <row r="608" spans="1:14" x14ac:dyDescent="0.3">
      <c r="A608" t="str">
        <f>정규화데이터!A608</f>
        <v>SK스토아</v>
      </c>
      <c r="B608">
        <f>정규화데이터!B608</f>
        <v>20260210361911</v>
      </c>
      <c r="C608" t="str">
        <f>정규화데이터!C608</f>
        <v>[워커힐]워커힐 고메 시그니처 양념 본갈비 8팩</v>
      </c>
      <c r="D608">
        <f>정규화데이터!D608</f>
        <v>58481090</v>
      </c>
      <c r="E608" s="16" t="str">
        <f>정규화데이터!E608</f>
        <v>SKU001</v>
      </c>
      <c r="F608" s="3">
        <f>정규화데이터!F608</f>
        <v>1</v>
      </c>
      <c r="G608" s="3">
        <f>정규화데이터!G608</f>
        <v>119000</v>
      </c>
      <c r="H608" s="3">
        <f>정규화데이터!H608</f>
        <v>119000</v>
      </c>
      <c r="I608" s="3">
        <f>정규화데이터!I608</f>
        <v>80920</v>
      </c>
      <c r="J608" s="3">
        <f>정규화데이터!J608</f>
        <v>108181.81818181818</v>
      </c>
      <c r="K608" s="25">
        <f>정규화데이터!K608</f>
        <v>61496</v>
      </c>
      <c r="L608" s="25">
        <f>정규화데이터!L608</f>
        <v>61496</v>
      </c>
      <c r="M608" s="21">
        <f t="shared" si="18"/>
        <v>46685.818181818177</v>
      </c>
      <c r="N608" s="52">
        <f t="shared" si="19"/>
        <v>0.43154957983193276</v>
      </c>
    </row>
    <row r="609" spans="1:14" x14ac:dyDescent="0.3">
      <c r="A609" t="str">
        <f>정규화데이터!A609</f>
        <v>SK스토아</v>
      </c>
      <c r="B609">
        <f>정규화데이터!B609</f>
        <v>20260210360246</v>
      </c>
      <c r="C609" t="str">
        <f>정규화데이터!C609</f>
        <v>[워커힐]워커힐 고메 시그니처 양념 본갈비 8팩</v>
      </c>
      <c r="D609">
        <f>정규화데이터!D609</f>
        <v>58481090</v>
      </c>
      <c r="E609" s="16" t="str">
        <f>정규화데이터!E609</f>
        <v>SKU001</v>
      </c>
      <c r="F609" s="3">
        <f>정규화데이터!F609</f>
        <v>1</v>
      </c>
      <c r="G609" s="3">
        <f>정규화데이터!G609</f>
        <v>119000</v>
      </c>
      <c r="H609" s="3">
        <f>정규화데이터!H609</f>
        <v>119000</v>
      </c>
      <c r="I609" s="3">
        <f>정규화데이터!I609</f>
        <v>80920</v>
      </c>
      <c r="J609" s="3">
        <f>정규화데이터!J609</f>
        <v>108181.81818181818</v>
      </c>
      <c r="K609" s="25">
        <f>정규화데이터!K609</f>
        <v>61496</v>
      </c>
      <c r="L609" s="25">
        <f>정규화데이터!L609</f>
        <v>61496</v>
      </c>
      <c r="M609" s="21">
        <f t="shared" si="18"/>
        <v>46685.818181818177</v>
      </c>
      <c r="N609" s="52">
        <f t="shared" si="19"/>
        <v>0.43154957983193276</v>
      </c>
    </row>
    <row r="610" spans="1:14" x14ac:dyDescent="0.3">
      <c r="A610" t="str">
        <f>정규화데이터!A610</f>
        <v>SK스토아</v>
      </c>
      <c r="B610">
        <f>정규화데이터!B610</f>
        <v>20260210361622</v>
      </c>
      <c r="C610" t="str">
        <f>정규화데이터!C610</f>
        <v>[워커힐]워커힐 고메 시그니처 양념 본갈비 8팩</v>
      </c>
      <c r="D610">
        <f>정규화데이터!D610</f>
        <v>58481090</v>
      </c>
      <c r="E610" s="16" t="str">
        <f>정규화데이터!E610</f>
        <v>SKU001</v>
      </c>
      <c r="F610" s="3">
        <f>정규화데이터!F610</f>
        <v>1</v>
      </c>
      <c r="G610" s="3">
        <f>정규화데이터!G610</f>
        <v>119000</v>
      </c>
      <c r="H610" s="3">
        <f>정규화데이터!H610</f>
        <v>119000</v>
      </c>
      <c r="I610" s="3">
        <f>정규화데이터!I610</f>
        <v>80920</v>
      </c>
      <c r="J610" s="3">
        <f>정규화데이터!J610</f>
        <v>108181.81818181818</v>
      </c>
      <c r="K610" s="25">
        <f>정규화데이터!K610</f>
        <v>61496</v>
      </c>
      <c r="L610" s="25">
        <f>정규화데이터!L610</f>
        <v>61496</v>
      </c>
      <c r="M610" s="21">
        <f t="shared" si="18"/>
        <v>46685.818181818177</v>
      </c>
      <c r="N610" s="52">
        <f t="shared" si="19"/>
        <v>0.43154957983193276</v>
      </c>
    </row>
    <row r="611" spans="1:14" x14ac:dyDescent="0.3">
      <c r="A611" t="str">
        <f>정규화데이터!A611</f>
        <v>SK스토아</v>
      </c>
      <c r="B611">
        <f>정규화데이터!B611</f>
        <v>20260210361123</v>
      </c>
      <c r="C611" t="str">
        <f>정규화데이터!C611</f>
        <v>[워커힐]워커힐 고메 시그니처 양념 본갈비 8팩</v>
      </c>
      <c r="D611">
        <f>정규화데이터!D611</f>
        <v>58481090</v>
      </c>
      <c r="E611" s="16" t="str">
        <f>정규화데이터!E611</f>
        <v>SKU001</v>
      </c>
      <c r="F611" s="3">
        <f>정규화데이터!F611</f>
        <v>1</v>
      </c>
      <c r="G611" s="3">
        <f>정규화데이터!G611</f>
        <v>119000</v>
      </c>
      <c r="H611" s="3">
        <f>정규화데이터!H611</f>
        <v>119000</v>
      </c>
      <c r="I611" s="3">
        <f>정규화데이터!I611</f>
        <v>80920</v>
      </c>
      <c r="J611" s="3">
        <f>정규화데이터!J611</f>
        <v>108181.81818181818</v>
      </c>
      <c r="K611" s="25">
        <f>정규화데이터!K611</f>
        <v>61496</v>
      </c>
      <c r="L611" s="25">
        <f>정규화데이터!L611</f>
        <v>61496</v>
      </c>
      <c r="M611" s="21">
        <f t="shared" si="18"/>
        <v>46685.818181818177</v>
      </c>
      <c r="N611" s="52">
        <f t="shared" si="19"/>
        <v>0.43154957983193276</v>
      </c>
    </row>
    <row r="612" spans="1:14" x14ac:dyDescent="0.3">
      <c r="A612" t="str">
        <f>정규화데이터!A612</f>
        <v>SK스토아</v>
      </c>
      <c r="B612">
        <f>정규화데이터!B612</f>
        <v>20260210361987</v>
      </c>
      <c r="C612" t="str">
        <f>정규화데이터!C612</f>
        <v>[워커힐]워커힐 고메 시그니처 양념 본갈비 8팩</v>
      </c>
      <c r="D612">
        <f>정규화데이터!D612</f>
        <v>58481090</v>
      </c>
      <c r="E612" s="16" t="str">
        <f>정규화데이터!E612</f>
        <v>SKU001</v>
      </c>
      <c r="F612" s="3">
        <f>정규화데이터!F612</f>
        <v>1</v>
      </c>
      <c r="G612" s="3">
        <f>정규화데이터!G612</f>
        <v>119000</v>
      </c>
      <c r="H612" s="3">
        <f>정규화데이터!H612</f>
        <v>113050</v>
      </c>
      <c r="I612" s="3">
        <f>정규화데이터!I612</f>
        <v>80920</v>
      </c>
      <c r="J612" s="3">
        <f>정규화데이터!J612</f>
        <v>102772.72727272726</v>
      </c>
      <c r="K612" s="25">
        <f>정규화데이터!K612</f>
        <v>61496</v>
      </c>
      <c r="L612" s="25">
        <f>정규화데이터!L612</f>
        <v>61496</v>
      </c>
      <c r="M612" s="21">
        <f t="shared" si="18"/>
        <v>41276.727272727265</v>
      </c>
      <c r="N612" s="52">
        <f t="shared" si="19"/>
        <v>0.40163113666519235</v>
      </c>
    </row>
    <row r="613" spans="1:14" x14ac:dyDescent="0.3">
      <c r="A613" t="str">
        <f>정규화데이터!A613</f>
        <v>SK스토아</v>
      </c>
      <c r="B613">
        <f>정규화데이터!B613</f>
        <v>20260210360357</v>
      </c>
      <c r="C613" t="str">
        <f>정규화데이터!C613</f>
        <v>[워커힐]워커힐 고메 시그니처 양념 본갈비 8팩</v>
      </c>
      <c r="D613">
        <f>정규화데이터!D613</f>
        <v>58481090</v>
      </c>
      <c r="E613" s="16" t="str">
        <f>정규화데이터!E613</f>
        <v>SKU001</v>
      </c>
      <c r="F613" s="3">
        <f>정규화데이터!F613</f>
        <v>1</v>
      </c>
      <c r="G613" s="3">
        <f>정규화데이터!G613</f>
        <v>119000</v>
      </c>
      <c r="H613" s="3">
        <f>정규화데이터!H613</f>
        <v>113050</v>
      </c>
      <c r="I613" s="3">
        <f>정규화데이터!I613</f>
        <v>80920</v>
      </c>
      <c r="J613" s="3">
        <f>정규화데이터!J613</f>
        <v>102772.72727272726</v>
      </c>
      <c r="K613" s="25">
        <f>정규화데이터!K613</f>
        <v>61496</v>
      </c>
      <c r="L613" s="25">
        <f>정규화데이터!L613</f>
        <v>61496</v>
      </c>
      <c r="M613" s="21">
        <f t="shared" si="18"/>
        <v>41276.727272727265</v>
      </c>
      <c r="N613" s="52">
        <f t="shared" si="19"/>
        <v>0.40163113666519235</v>
      </c>
    </row>
    <row r="614" spans="1:14" x14ac:dyDescent="0.3">
      <c r="A614" t="str">
        <f>정규화데이터!A614</f>
        <v>SK스토아</v>
      </c>
      <c r="B614">
        <f>정규화데이터!B614</f>
        <v>20260210361780</v>
      </c>
      <c r="C614" t="str">
        <f>정규화데이터!C614</f>
        <v>[워커힐]워커힐 고메 시그니처 양념 본갈비 8팩</v>
      </c>
      <c r="D614">
        <f>정규화데이터!D614</f>
        <v>58481090</v>
      </c>
      <c r="E614" s="16" t="str">
        <f>정규화데이터!E614</f>
        <v>SKU001</v>
      </c>
      <c r="F614" s="3">
        <f>정규화데이터!F614</f>
        <v>1</v>
      </c>
      <c r="G614" s="3">
        <f>정규화데이터!G614</f>
        <v>119000</v>
      </c>
      <c r="H614" s="3">
        <f>정규화데이터!H614</f>
        <v>95200</v>
      </c>
      <c r="I614" s="3">
        <f>정규화데이터!I614</f>
        <v>80920</v>
      </c>
      <c r="J614" s="3">
        <f>정규화데이터!J614</f>
        <v>86545.454545454544</v>
      </c>
      <c r="K614" s="25">
        <f>정규화데이터!K614</f>
        <v>61496</v>
      </c>
      <c r="L614" s="25">
        <f>정규화데이터!L614</f>
        <v>61496</v>
      </c>
      <c r="M614" s="21">
        <f t="shared" si="18"/>
        <v>25049.454545454544</v>
      </c>
      <c r="N614" s="52">
        <f t="shared" si="19"/>
        <v>0.28943697478991598</v>
      </c>
    </row>
    <row r="615" spans="1:14" x14ac:dyDescent="0.3">
      <c r="A615" t="str">
        <f>정규화데이터!A615</f>
        <v>SK스토아</v>
      </c>
      <c r="B615">
        <f>정규화데이터!B615</f>
        <v>20260210362100</v>
      </c>
      <c r="C615" t="str">
        <f>정규화데이터!C615</f>
        <v>[워커힐]워커힐 고메 시그니처 양념 본갈비 8팩</v>
      </c>
      <c r="D615">
        <f>정규화데이터!D615</f>
        <v>58481090</v>
      </c>
      <c r="E615" s="16" t="str">
        <f>정규화데이터!E615</f>
        <v>SKU001</v>
      </c>
      <c r="F615" s="3">
        <f>정규화데이터!F615</f>
        <v>1</v>
      </c>
      <c r="G615" s="3">
        <f>정규화데이터!G615</f>
        <v>119000</v>
      </c>
      <c r="H615" s="3">
        <f>정규화데이터!H615</f>
        <v>109000</v>
      </c>
      <c r="I615" s="3">
        <f>정규화데이터!I615</f>
        <v>80920</v>
      </c>
      <c r="J615" s="3">
        <f>정규화데이터!J615</f>
        <v>99090.909090909074</v>
      </c>
      <c r="K615" s="25">
        <f>정규화데이터!K615</f>
        <v>61496</v>
      </c>
      <c r="L615" s="25">
        <f>정규화데이터!L615</f>
        <v>61496</v>
      </c>
      <c r="M615" s="21">
        <f t="shared" si="18"/>
        <v>37594.909090909074</v>
      </c>
      <c r="N615" s="52">
        <f t="shared" si="19"/>
        <v>0.3793981651376146</v>
      </c>
    </row>
    <row r="616" spans="1:14" x14ac:dyDescent="0.3">
      <c r="A616" t="str">
        <f>정규화데이터!A616</f>
        <v>SK스토아</v>
      </c>
      <c r="B616">
        <f>정규화데이터!B616</f>
        <v>20260210362228</v>
      </c>
      <c r="C616" t="str">
        <f>정규화데이터!C616</f>
        <v>[워커힐]워커힐 고메 시그니처 양념 본갈비 8팩</v>
      </c>
      <c r="D616">
        <f>정규화데이터!D616</f>
        <v>58481090</v>
      </c>
      <c r="E616" s="16" t="str">
        <f>정규화데이터!E616</f>
        <v>SKU001</v>
      </c>
      <c r="F616" s="3">
        <f>정규화데이터!F616</f>
        <v>1</v>
      </c>
      <c r="G616" s="3">
        <f>정규화데이터!G616</f>
        <v>119000</v>
      </c>
      <c r="H616" s="3">
        <f>정규화데이터!H616</f>
        <v>95200</v>
      </c>
      <c r="I616" s="3">
        <f>정규화데이터!I616</f>
        <v>80920</v>
      </c>
      <c r="J616" s="3">
        <f>정규화데이터!J616</f>
        <v>86545.454545454544</v>
      </c>
      <c r="K616" s="25">
        <f>정규화데이터!K616</f>
        <v>61496</v>
      </c>
      <c r="L616" s="25">
        <f>정규화데이터!L616</f>
        <v>61496</v>
      </c>
      <c r="M616" s="21">
        <f t="shared" si="18"/>
        <v>25049.454545454544</v>
      </c>
      <c r="N616" s="52">
        <f t="shared" si="19"/>
        <v>0.28943697478991598</v>
      </c>
    </row>
    <row r="617" spans="1:14" x14ac:dyDescent="0.3">
      <c r="A617" t="str">
        <f>정규화데이터!A617</f>
        <v>SK스토아</v>
      </c>
      <c r="B617">
        <f>정규화데이터!B617</f>
        <v>20260210362212</v>
      </c>
      <c r="C617" t="str">
        <f>정규화데이터!C617</f>
        <v>[워커힐]워커힐 고메 시그니처 양념 본갈비 8팩</v>
      </c>
      <c r="D617">
        <f>정규화데이터!D617</f>
        <v>58481090</v>
      </c>
      <c r="E617" s="16" t="str">
        <f>정규화데이터!E617</f>
        <v>SKU001</v>
      </c>
      <c r="F617" s="3">
        <f>정규화데이터!F617</f>
        <v>1</v>
      </c>
      <c r="G617" s="3">
        <f>정규화데이터!G617</f>
        <v>119000</v>
      </c>
      <c r="H617" s="3">
        <f>정규화데이터!H617</f>
        <v>113050</v>
      </c>
      <c r="I617" s="3">
        <f>정규화데이터!I617</f>
        <v>80920</v>
      </c>
      <c r="J617" s="3">
        <f>정규화데이터!J617</f>
        <v>102772.72727272726</v>
      </c>
      <c r="K617" s="25">
        <f>정규화데이터!K617</f>
        <v>61496</v>
      </c>
      <c r="L617" s="25">
        <f>정규화데이터!L617</f>
        <v>61496</v>
      </c>
      <c r="M617" s="21">
        <f t="shared" si="18"/>
        <v>41276.727272727265</v>
      </c>
      <c r="N617" s="52">
        <f t="shared" si="19"/>
        <v>0.40163113666519235</v>
      </c>
    </row>
    <row r="618" spans="1:14" x14ac:dyDescent="0.3">
      <c r="A618" t="str">
        <f>정규화데이터!A618</f>
        <v>SK스토아</v>
      </c>
      <c r="B618">
        <f>정규화데이터!B618</f>
        <v>20260210360287</v>
      </c>
      <c r="C618" t="str">
        <f>정규화데이터!C618</f>
        <v>[워커힐]워커힐 고메 시그니처 양념 본갈비 8팩</v>
      </c>
      <c r="D618">
        <f>정규화데이터!D618</f>
        <v>58481090</v>
      </c>
      <c r="E618" s="16" t="str">
        <f>정규화데이터!E618</f>
        <v>SKU001</v>
      </c>
      <c r="F618" s="3">
        <f>정규화데이터!F618</f>
        <v>1</v>
      </c>
      <c r="G618" s="3">
        <f>정규화데이터!G618</f>
        <v>119000</v>
      </c>
      <c r="H618" s="3">
        <f>정규화데이터!H618</f>
        <v>119000</v>
      </c>
      <c r="I618" s="3">
        <f>정규화데이터!I618</f>
        <v>80920</v>
      </c>
      <c r="J618" s="3">
        <f>정규화데이터!J618</f>
        <v>108181.81818181818</v>
      </c>
      <c r="K618" s="25">
        <f>정규화데이터!K618</f>
        <v>61496</v>
      </c>
      <c r="L618" s="25">
        <f>정규화데이터!L618</f>
        <v>61496</v>
      </c>
      <c r="M618" s="21">
        <f t="shared" si="18"/>
        <v>46685.818181818177</v>
      </c>
      <c r="N618" s="52">
        <f t="shared" si="19"/>
        <v>0.43154957983193276</v>
      </c>
    </row>
    <row r="619" spans="1:14" x14ac:dyDescent="0.3">
      <c r="A619" t="str">
        <f>정규화데이터!A619</f>
        <v>SK스토아</v>
      </c>
      <c r="B619">
        <f>정규화데이터!B619</f>
        <v>20260210361930</v>
      </c>
      <c r="C619" t="str">
        <f>정규화데이터!C619</f>
        <v>[워커힐]워커힐 고메 시그니처 양념 본갈비 8팩</v>
      </c>
      <c r="D619">
        <f>정규화데이터!D619</f>
        <v>58481090</v>
      </c>
      <c r="E619" s="16" t="str">
        <f>정규화데이터!E619</f>
        <v>SKU001</v>
      </c>
      <c r="F619" s="3">
        <f>정규화데이터!F619</f>
        <v>1</v>
      </c>
      <c r="G619" s="3">
        <f>정규화데이터!G619</f>
        <v>119000</v>
      </c>
      <c r="H619" s="3">
        <f>정규화데이터!H619</f>
        <v>119000</v>
      </c>
      <c r="I619" s="3">
        <f>정규화데이터!I619</f>
        <v>80920</v>
      </c>
      <c r="J619" s="3">
        <f>정규화데이터!J619</f>
        <v>108181.81818181818</v>
      </c>
      <c r="K619" s="25">
        <f>정규화데이터!K619</f>
        <v>61496</v>
      </c>
      <c r="L619" s="25">
        <f>정규화데이터!L619</f>
        <v>61496</v>
      </c>
      <c r="M619" s="21">
        <f t="shared" si="18"/>
        <v>46685.818181818177</v>
      </c>
      <c r="N619" s="52">
        <f t="shared" si="19"/>
        <v>0.43154957983193276</v>
      </c>
    </row>
    <row r="620" spans="1:14" x14ac:dyDescent="0.3">
      <c r="A620" t="str">
        <f>정규화데이터!A620</f>
        <v>SK스토아</v>
      </c>
      <c r="B620">
        <f>정규화데이터!B620</f>
        <v>20260210360895</v>
      </c>
      <c r="C620" t="str">
        <f>정규화데이터!C620</f>
        <v>[워커힐]워커힐 고메 시그니처 양념 본갈비 8팩</v>
      </c>
      <c r="D620">
        <f>정규화데이터!D620</f>
        <v>58481090</v>
      </c>
      <c r="E620" s="16" t="str">
        <f>정규화데이터!E620</f>
        <v>SKU001</v>
      </c>
      <c r="F620" s="3">
        <f>정규화데이터!F620</f>
        <v>1</v>
      </c>
      <c r="G620" s="3">
        <f>정규화데이터!G620</f>
        <v>119000</v>
      </c>
      <c r="H620" s="3">
        <f>정규화데이터!H620</f>
        <v>119000</v>
      </c>
      <c r="I620" s="3">
        <f>정규화데이터!I620</f>
        <v>80920</v>
      </c>
      <c r="J620" s="3">
        <f>정규화데이터!J620</f>
        <v>108181.81818181818</v>
      </c>
      <c r="K620" s="25">
        <f>정규화데이터!K620</f>
        <v>61496</v>
      </c>
      <c r="L620" s="25">
        <f>정규화데이터!L620</f>
        <v>61496</v>
      </c>
      <c r="M620" s="21">
        <f t="shared" si="18"/>
        <v>46685.818181818177</v>
      </c>
      <c r="N620" s="52">
        <f t="shared" si="19"/>
        <v>0.43154957983193276</v>
      </c>
    </row>
    <row r="621" spans="1:14" x14ac:dyDescent="0.3">
      <c r="A621" t="str">
        <f>정규화데이터!A621</f>
        <v>SK스토아</v>
      </c>
      <c r="B621">
        <f>정규화데이터!B621</f>
        <v>20260210362231</v>
      </c>
      <c r="C621" t="str">
        <f>정규화데이터!C621</f>
        <v>[워커힐]워커힐 고메 시그니처 양념 본갈비 8팩</v>
      </c>
      <c r="D621">
        <f>정규화데이터!D621</f>
        <v>58481090</v>
      </c>
      <c r="E621" s="16" t="str">
        <f>정규화데이터!E621</f>
        <v>SKU001</v>
      </c>
      <c r="F621" s="3">
        <f>정규화데이터!F621</f>
        <v>1</v>
      </c>
      <c r="G621" s="3">
        <f>정규화데이터!G621</f>
        <v>119000</v>
      </c>
      <c r="H621" s="3">
        <f>정규화데이터!H621</f>
        <v>119000</v>
      </c>
      <c r="I621" s="3">
        <f>정규화데이터!I621</f>
        <v>80920</v>
      </c>
      <c r="J621" s="3">
        <f>정규화데이터!J621</f>
        <v>108181.81818181818</v>
      </c>
      <c r="K621" s="25">
        <f>정규화데이터!K621</f>
        <v>61496</v>
      </c>
      <c r="L621" s="25">
        <f>정규화데이터!L621</f>
        <v>61496</v>
      </c>
      <c r="M621" s="21">
        <f t="shared" si="18"/>
        <v>46685.818181818177</v>
      </c>
      <c r="N621" s="52">
        <f t="shared" si="19"/>
        <v>0.43154957983193276</v>
      </c>
    </row>
    <row r="622" spans="1:14" x14ac:dyDescent="0.3">
      <c r="A622" t="str">
        <f>정규화데이터!A622</f>
        <v>SK스토아</v>
      </c>
      <c r="B622">
        <f>정규화데이터!B622</f>
        <v>20260210360226</v>
      </c>
      <c r="C622" t="str">
        <f>정규화데이터!C622</f>
        <v>[워커힐]워커힐 고메 시그니처 양념 본갈비 8팩</v>
      </c>
      <c r="D622">
        <f>정규화데이터!D622</f>
        <v>58481090</v>
      </c>
      <c r="E622" s="16" t="str">
        <f>정규화데이터!E622</f>
        <v>SKU001</v>
      </c>
      <c r="F622" s="3">
        <f>정규화데이터!F622</f>
        <v>1</v>
      </c>
      <c r="G622" s="3">
        <f>정규화데이터!G622</f>
        <v>119000</v>
      </c>
      <c r="H622" s="3">
        <f>정규화데이터!H622</f>
        <v>119000</v>
      </c>
      <c r="I622" s="3">
        <f>정규화데이터!I622</f>
        <v>80920</v>
      </c>
      <c r="J622" s="3">
        <f>정규화데이터!J622</f>
        <v>108181.81818181818</v>
      </c>
      <c r="K622" s="25">
        <f>정규화데이터!K622</f>
        <v>61496</v>
      </c>
      <c r="L622" s="25">
        <f>정규화데이터!L622</f>
        <v>61496</v>
      </c>
      <c r="M622" s="21">
        <f t="shared" si="18"/>
        <v>46685.818181818177</v>
      </c>
      <c r="N622" s="52">
        <f t="shared" si="19"/>
        <v>0.43154957983193276</v>
      </c>
    </row>
    <row r="623" spans="1:14" x14ac:dyDescent="0.3">
      <c r="A623" t="str">
        <f>정규화데이터!A623</f>
        <v>SK스토아</v>
      </c>
      <c r="B623">
        <f>정규화데이터!B623</f>
        <v>20260210361153</v>
      </c>
      <c r="C623" t="str">
        <f>정규화데이터!C623</f>
        <v>[워커힐]워커힐 고메 시그니처 양념 본갈비 8팩</v>
      </c>
      <c r="D623">
        <f>정규화데이터!D623</f>
        <v>58481090</v>
      </c>
      <c r="E623" s="16" t="str">
        <f>정규화데이터!E623</f>
        <v>SKU001</v>
      </c>
      <c r="F623" s="3">
        <f>정규화데이터!F623</f>
        <v>1</v>
      </c>
      <c r="G623" s="3">
        <f>정규화데이터!G623</f>
        <v>119000</v>
      </c>
      <c r="H623" s="3">
        <f>정규화데이터!H623</f>
        <v>119000</v>
      </c>
      <c r="I623" s="3">
        <f>정규화데이터!I623</f>
        <v>80920</v>
      </c>
      <c r="J623" s="3">
        <f>정규화데이터!J623</f>
        <v>108181.81818181818</v>
      </c>
      <c r="K623" s="25">
        <f>정규화데이터!K623</f>
        <v>61496</v>
      </c>
      <c r="L623" s="25">
        <f>정규화데이터!L623</f>
        <v>61496</v>
      </c>
      <c r="M623" s="21">
        <f t="shared" si="18"/>
        <v>46685.818181818177</v>
      </c>
      <c r="N623" s="52">
        <f t="shared" si="19"/>
        <v>0.43154957983193276</v>
      </c>
    </row>
    <row r="624" spans="1:14" x14ac:dyDescent="0.3">
      <c r="A624" t="str">
        <f>정규화데이터!A624</f>
        <v>SK스토아</v>
      </c>
      <c r="B624">
        <f>정규화데이터!B624</f>
        <v>20260210360972</v>
      </c>
      <c r="C624" t="str">
        <f>정규화데이터!C624</f>
        <v>[워커힐]워커힐 고메 시그니처 양념 본갈비 8팩</v>
      </c>
      <c r="D624">
        <f>정규화데이터!D624</f>
        <v>58481090</v>
      </c>
      <c r="E624" s="16" t="str">
        <f>정규화데이터!E624</f>
        <v>SKU001</v>
      </c>
      <c r="F624" s="3">
        <f>정규화데이터!F624</f>
        <v>1</v>
      </c>
      <c r="G624" s="3">
        <f>정규화데이터!G624</f>
        <v>119000</v>
      </c>
      <c r="H624" s="3">
        <f>정규화데이터!H624</f>
        <v>119000</v>
      </c>
      <c r="I624" s="3">
        <f>정규화데이터!I624</f>
        <v>80920</v>
      </c>
      <c r="J624" s="3">
        <f>정규화데이터!J624</f>
        <v>108181.81818181818</v>
      </c>
      <c r="K624" s="25">
        <f>정규화데이터!K624</f>
        <v>61496</v>
      </c>
      <c r="L624" s="25">
        <f>정규화데이터!L624</f>
        <v>61496</v>
      </c>
      <c r="M624" s="21">
        <f t="shared" si="18"/>
        <v>46685.818181818177</v>
      </c>
      <c r="N624" s="52">
        <f t="shared" si="19"/>
        <v>0.43154957983193276</v>
      </c>
    </row>
    <row r="625" spans="1:14" x14ac:dyDescent="0.3">
      <c r="A625" t="str">
        <f>정규화데이터!A625</f>
        <v>SK스토아</v>
      </c>
      <c r="B625">
        <f>정규화데이터!B625</f>
        <v>20260210360094</v>
      </c>
      <c r="C625" t="str">
        <f>정규화데이터!C625</f>
        <v>[워커힐]워커힐 고메 시그니처 양념 본갈비 8팩</v>
      </c>
      <c r="D625">
        <f>정규화데이터!D625</f>
        <v>58481090</v>
      </c>
      <c r="E625" s="16" t="str">
        <f>정규화데이터!E625</f>
        <v>SKU001</v>
      </c>
      <c r="F625" s="3">
        <f>정규화데이터!F625</f>
        <v>1</v>
      </c>
      <c r="G625" s="3">
        <f>정규화데이터!G625</f>
        <v>119000</v>
      </c>
      <c r="H625" s="3">
        <f>정규화데이터!H625</f>
        <v>119000</v>
      </c>
      <c r="I625" s="3">
        <f>정규화데이터!I625</f>
        <v>80920</v>
      </c>
      <c r="J625" s="3">
        <f>정규화데이터!J625</f>
        <v>108181.81818181818</v>
      </c>
      <c r="K625" s="25">
        <f>정규화데이터!K625</f>
        <v>61496</v>
      </c>
      <c r="L625" s="25">
        <f>정규화데이터!L625</f>
        <v>61496</v>
      </c>
      <c r="M625" s="21">
        <f t="shared" si="18"/>
        <v>46685.818181818177</v>
      </c>
      <c r="N625" s="52">
        <f t="shared" si="19"/>
        <v>0.43154957983193276</v>
      </c>
    </row>
    <row r="626" spans="1:14" x14ac:dyDescent="0.3">
      <c r="A626" t="str">
        <f>정규화데이터!A626</f>
        <v>SK스토아</v>
      </c>
      <c r="B626">
        <f>정규화데이터!B626</f>
        <v>20260210360523</v>
      </c>
      <c r="C626" t="str">
        <f>정규화데이터!C626</f>
        <v>[워커힐]워커힐 고메 시그니처 양념 본갈비 8팩</v>
      </c>
      <c r="D626">
        <f>정규화데이터!D626</f>
        <v>58481090</v>
      </c>
      <c r="E626" s="16" t="str">
        <f>정규화데이터!E626</f>
        <v>SKU001</v>
      </c>
      <c r="F626" s="3">
        <f>정규화데이터!F626</f>
        <v>1</v>
      </c>
      <c r="G626" s="3">
        <f>정규화데이터!G626</f>
        <v>119000</v>
      </c>
      <c r="H626" s="3">
        <f>정규화데이터!H626</f>
        <v>109000</v>
      </c>
      <c r="I626" s="3">
        <f>정규화데이터!I626</f>
        <v>80920</v>
      </c>
      <c r="J626" s="3">
        <f>정규화데이터!J626</f>
        <v>99090.909090909074</v>
      </c>
      <c r="K626" s="25">
        <f>정규화데이터!K626</f>
        <v>61496</v>
      </c>
      <c r="L626" s="25">
        <f>정규화데이터!L626</f>
        <v>61496</v>
      </c>
      <c r="M626" s="21">
        <f t="shared" si="18"/>
        <v>37594.909090909074</v>
      </c>
      <c r="N626" s="52">
        <f t="shared" si="19"/>
        <v>0.3793981651376146</v>
      </c>
    </row>
    <row r="627" spans="1:14" x14ac:dyDescent="0.3">
      <c r="A627" t="str">
        <f>정규화데이터!A627</f>
        <v>SK스토아</v>
      </c>
      <c r="B627">
        <f>정규화데이터!B627</f>
        <v>20260210360229</v>
      </c>
      <c r="C627" t="str">
        <f>정규화데이터!C627</f>
        <v>[워커힐]워커힐 고메 시그니처 양념 본갈비 8팩</v>
      </c>
      <c r="D627">
        <f>정규화데이터!D627</f>
        <v>58481090</v>
      </c>
      <c r="E627" s="16" t="str">
        <f>정규화데이터!E627</f>
        <v>SKU001</v>
      </c>
      <c r="F627" s="3">
        <f>정규화데이터!F627</f>
        <v>1</v>
      </c>
      <c r="G627" s="3">
        <f>정규화데이터!G627</f>
        <v>119000</v>
      </c>
      <c r="H627" s="3">
        <f>정규화데이터!H627</f>
        <v>119000</v>
      </c>
      <c r="I627" s="3">
        <f>정규화데이터!I627</f>
        <v>80920</v>
      </c>
      <c r="J627" s="3">
        <f>정규화데이터!J627</f>
        <v>108181.81818181818</v>
      </c>
      <c r="K627" s="25">
        <f>정규화데이터!K627</f>
        <v>61496</v>
      </c>
      <c r="L627" s="25">
        <f>정규화데이터!L627</f>
        <v>61496</v>
      </c>
      <c r="M627" s="21">
        <f t="shared" si="18"/>
        <v>46685.818181818177</v>
      </c>
      <c r="N627" s="52">
        <f t="shared" si="19"/>
        <v>0.43154957983193276</v>
      </c>
    </row>
    <row r="628" spans="1:14" x14ac:dyDescent="0.3">
      <c r="A628" t="str">
        <f>정규화데이터!A628</f>
        <v>SK스토아</v>
      </c>
      <c r="B628">
        <f>정규화데이터!B628</f>
        <v>20260205993517</v>
      </c>
      <c r="C628" t="str">
        <f>정규화데이터!C628</f>
        <v>[워커힐]워커힐 고메 시그니처 양념 본갈비 8팩</v>
      </c>
      <c r="D628">
        <f>정규화데이터!D628</f>
        <v>58481090</v>
      </c>
      <c r="E628" s="16" t="str">
        <f>정규화데이터!E628</f>
        <v>SKU001</v>
      </c>
      <c r="F628" s="3">
        <f>정규화데이터!F628</f>
        <v>1</v>
      </c>
      <c r="G628" s="3">
        <f>정규화데이터!G628</f>
        <v>119000</v>
      </c>
      <c r="H628" s="3">
        <f>정규화데이터!H628</f>
        <v>109000</v>
      </c>
      <c r="I628" s="3">
        <f>정규화데이터!I628</f>
        <v>82110</v>
      </c>
      <c r="J628" s="3">
        <f>정규화데이터!J628</f>
        <v>99090.909090909074</v>
      </c>
      <c r="K628" s="25">
        <f>정규화데이터!K628</f>
        <v>61496</v>
      </c>
      <c r="L628" s="25">
        <f>정규화데이터!L628</f>
        <v>61496</v>
      </c>
      <c r="M628" s="21">
        <f t="shared" si="18"/>
        <v>37594.909090909074</v>
      </c>
      <c r="N628" s="52">
        <f t="shared" si="19"/>
        <v>0.3793981651376146</v>
      </c>
    </row>
    <row r="629" spans="1:14" x14ac:dyDescent="0.3">
      <c r="A629" t="str">
        <f>정규화데이터!A629</f>
        <v>SK스토아</v>
      </c>
      <c r="B629">
        <f>정규화데이터!B629</f>
        <v>20260210361686</v>
      </c>
      <c r="C629" t="str">
        <f>정규화데이터!C629</f>
        <v>[워커힐]워커힐 고메 시그니처 양념 본갈비 8팩</v>
      </c>
      <c r="D629">
        <f>정규화데이터!D629</f>
        <v>58481090</v>
      </c>
      <c r="E629" s="16" t="str">
        <f>정규화데이터!E629</f>
        <v>SKU001</v>
      </c>
      <c r="F629" s="3">
        <f>정규화데이터!F629</f>
        <v>1</v>
      </c>
      <c r="G629" s="3">
        <f>정규화데이터!G629</f>
        <v>119000</v>
      </c>
      <c r="H629" s="3">
        <f>정규화데이터!H629</f>
        <v>119000</v>
      </c>
      <c r="I629" s="3">
        <f>정규화데이터!I629</f>
        <v>80920</v>
      </c>
      <c r="J629" s="3">
        <f>정규화데이터!J629</f>
        <v>108181.81818181818</v>
      </c>
      <c r="K629" s="25">
        <f>정규화데이터!K629</f>
        <v>61496</v>
      </c>
      <c r="L629" s="25">
        <f>정규화데이터!L629</f>
        <v>61496</v>
      </c>
      <c r="M629" s="21">
        <f t="shared" si="18"/>
        <v>46685.818181818177</v>
      </c>
      <c r="N629" s="52">
        <f t="shared" si="19"/>
        <v>0.43154957983193276</v>
      </c>
    </row>
    <row r="630" spans="1:14" x14ac:dyDescent="0.3">
      <c r="A630" t="str">
        <f>정규화데이터!A630</f>
        <v>SK스토아</v>
      </c>
      <c r="B630">
        <f>정규화데이터!B630</f>
        <v>20260210362230</v>
      </c>
      <c r="C630" t="str">
        <f>정규화데이터!C630</f>
        <v>[워커힐]워커힐 고메 시그니처 양념 본갈비 8팩</v>
      </c>
      <c r="D630">
        <f>정규화데이터!D630</f>
        <v>58481090</v>
      </c>
      <c r="E630" s="16" t="str">
        <f>정규화데이터!E630</f>
        <v>SKU001</v>
      </c>
      <c r="F630" s="3">
        <f>정규화데이터!F630</f>
        <v>1</v>
      </c>
      <c r="G630" s="3">
        <f>정규화데이터!G630</f>
        <v>119000</v>
      </c>
      <c r="H630" s="3">
        <f>정규화데이터!H630</f>
        <v>119000</v>
      </c>
      <c r="I630" s="3">
        <f>정규화데이터!I630</f>
        <v>80920</v>
      </c>
      <c r="J630" s="3">
        <f>정규화데이터!J630</f>
        <v>108181.81818181818</v>
      </c>
      <c r="K630" s="25">
        <f>정규화데이터!K630</f>
        <v>61496</v>
      </c>
      <c r="L630" s="25">
        <f>정규화데이터!L630</f>
        <v>61496</v>
      </c>
      <c r="M630" s="21">
        <f t="shared" si="18"/>
        <v>46685.818181818177</v>
      </c>
      <c r="N630" s="52">
        <f t="shared" si="19"/>
        <v>0.43154957983193276</v>
      </c>
    </row>
    <row r="631" spans="1:14" x14ac:dyDescent="0.3">
      <c r="A631" t="str">
        <f>정규화데이터!A631</f>
        <v>SK스토아</v>
      </c>
      <c r="B631">
        <f>정규화데이터!B631</f>
        <v>20260210362386</v>
      </c>
      <c r="C631" t="str">
        <f>정규화데이터!C631</f>
        <v>[워커힐]워커힐 고메 시그니처 양념 본갈비 8팩</v>
      </c>
      <c r="D631">
        <f>정규화데이터!D631</f>
        <v>58481090</v>
      </c>
      <c r="E631" s="16" t="str">
        <f>정규화데이터!E631</f>
        <v>SKU001</v>
      </c>
      <c r="F631" s="3">
        <f>정규화데이터!F631</f>
        <v>1</v>
      </c>
      <c r="G631" s="3">
        <f>정규화데이터!G631</f>
        <v>119000</v>
      </c>
      <c r="H631" s="3">
        <f>정규화데이터!H631</f>
        <v>119000</v>
      </c>
      <c r="I631" s="3">
        <f>정규화데이터!I631</f>
        <v>80920</v>
      </c>
      <c r="J631" s="3">
        <f>정규화데이터!J631</f>
        <v>108181.81818181818</v>
      </c>
      <c r="K631" s="25">
        <f>정규화데이터!K631</f>
        <v>61496</v>
      </c>
      <c r="L631" s="25">
        <f>정규화데이터!L631</f>
        <v>61496</v>
      </c>
      <c r="M631" s="21">
        <f t="shared" si="18"/>
        <v>46685.818181818177</v>
      </c>
      <c r="N631" s="52">
        <f t="shared" si="19"/>
        <v>0.43154957983193276</v>
      </c>
    </row>
    <row r="632" spans="1:14" x14ac:dyDescent="0.3">
      <c r="A632" t="str">
        <f>정규화데이터!A632</f>
        <v>SK스토아</v>
      </c>
      <c r="B632">
        <f>정규화데이터!B632</f>
        <v>20260210360765</v>
      </c>
      <c r="C632" t="str">
        <f>정규화데이터!C632</f>
        <v>[워커힐]워커힐 고메 시그니처 양념 본갈비 8팩</v>
      </c>
      <c r="D632">
        <f>정규화데이터!D632</f>
        <v>58481090</v>
      </c>
      <c r="E632" s="16" t="str">
        <f>정규화데이터!E632</f>
        <v>SKU001</v>
      </c>
      <c r="F632" s="3">
        <f>정규화데이터!F632</f>
        <v>1</v>
      </c>
      <c r="G632" s="3">
        <f>정규화데이터!G632</f>
        <v>119000</v>
      </c>
      <c r="H632" s="3">
        <f>정규화데이터!H632</f>
        <v>119000</v>
      </c>
      <c r="I632" s="3">
        <f>정규화데이터!I632</f>
        <v>80920</v>
      </c>
      <c r="J632" s="3">
        <f>정규화데이터!J632</f>
        <v>108181.81818181818</v>
      </c>
      <c r="K632" s="25">
        <f>정규화데이터!K632</f>
        <v>61496</v>
      </c>
      <c r="L632" s="25">
        <f>정규화데이터!L632</f>
        <v>61496</v>
      </c>
      <c r="M632" s="21">
        <f t="shared" si="18"/>
        <v>46685.818181818177</v>
      </c>
      <c r="N632" s="52">
        <f t="shared" si="19"/>
        <v>0.43154957983193276</v>
      </c>
    </row>
    <row r="633" spans="1:14" x14ac:dyDescent="0.3">
      <c r="A633" t="str">
        <f>정규화데이터!A633</f>
        <v>SK스토아</v>
      </c>
      <c r="B633">
        <f>정규화데이터!B633</f>
        <v>20260210362168</v>
      </c>
      <c r="C633" t="str">
        <f>정규화데이터!C633</f>
        <v>[워커힐]워커힐 고메 시그니처 양념 본갈비 8팩</v>
      </c>
      <c r="D633">
        <f>정규화데이터!D633</f>
        <v>58481090</v>
      </c>
      <c r="E633" s="16" t="str">
        <f>정규화데이터!E633</f>
        <v>SKU001</v>
      </c>
      <c r="F633" s="3">
        <f>정규화데이터!F633</f>
        <v>1</v>
      </c>
      <c r="G633" s="3">
        <f>정규화데이터!G633</f>
        <v>119000</v>
      </c>
      <c r="H633" s="3">
        <f>정규화데이터!H633</f>
        <v>119000</v>
      </c>
      <c r="I633" s="3">
        <f>정규화데이터!I633</f>
        <v>80920</v>
      </c>
      <c r="J633" s="3">
        <f>정규화데이터!J633</f>
        <v>108181.81818181818</v>
      </c>
      <c r="K633" s="25">
        <f>정규화데이터!K633</f>
        <v>61496</v>
      </c>
      <c r="L633" s="25">
        <f>정규화데이터!L633</f>
        <v>61496</v>
      </c>
      <c r="M633" s="21">
        <f t="shared" si="18"/>
        <v>46685.818181818177</v>
      </c>
      <c r="N633" s="52">
        <f t="shared" si="19"/>
        <v>0.43154957983193276</v>
      </c>
    </row>
    <row r="634" spans="1:14" x14ac:dyDescent="0.3">
      <c r="A634" t="str">
        <f>정규화데이터!A634</f>
        <v>SK스토아</v>
      </c>
      <c r="B634">
        <f>정규화데이터!B634</f>
        <v>20260210362117</v>
      </c>
      <c r="C634" t="str">
        <f>정규화데이터!C634</f>
        <v>[워커힐]워커힐 고메 시그니처 양념 본갈비 8팩</v>
      </c>
      <c r="D634">
        <f>정규화데이터!D634</f>
        <v>58481090</v>
      </c>
      <c r="E634" s="16" t="str">
        <f>정규화데이터!E634</f>
        <v>SKU001</v>
      </c>
      <c r="F634" s="3">
        <f>정규화데이터!F634</f>
        <v>1</v>
      </c>
      <c r="G634" s="3">
        <f>정규화데이터!G634</f>
        <v>119000</v>
      </c>
      <c r="H634" s="3">
        <f>정규화데이터!H634</f>
        <v>119000</v>
      </c>
      <c r="I634" s="3">
        <f>정규화데이터!I634</f>
        <v>80920</v>
      </c>
      <c r="J634" s="3">
        <f>정규화데이터!J634</f>
        <v>108181.81818181818</v>
      </c>
      <c r="K634" s="25">
        <f>정규화데이터!K634</f>
        <v>61496</v>
      </c>
      <c r="L634" s="25">
        <f>정규화데이터!L634</f>
        <v>61496</v>
      </c>
      <c r="M634" s="21">
        <f t="shared" si="18"/>
        <v>46685.818181818177</v>
      </c>
      <c r="N634" s="52">
        <f t="shared" si="19"/>
        <v>0.43154957983193276</v>
      </c>
    </row>
    <row r="635" spans="1:14" x14ac:dyDescent="0.3">
      <c r="A635" t="str">
        <f>정규화데이터!A635</f>
        <v>SK스토아</v>
      </c>
      <c r="B635">
        <f>정규화데이터!B635</f>
        <v>20260210360966</v>
      </c>
      <c r="C635" t="str">
        <f>정규화데이터!C635</f>
        <v>[워커힐]워커힐 고메 시그니처 양념 본갈비 8팩</v>
      </c>
      <c r="D635">
        <f>정규화데이터!D635</f>
        <v>58481090</v>
      </c>
      <c r="E635" s="16" t="str">
        <f>정규화데이터!E635</f>
        <v>SKU001</v>
      </c>
      <c r="F635" s="3">
        <f>정규화데이터!F635</f>
        <v>1</v>
      </c>
      <c r="G635" s="3">
        <f>정규화데이터!G635</f>
        <v>119000</v>
      </c>
      <c r="H635" s="3">
        <f>정규화데이터!H635</f>
        <v>119000</v>
      </c>
      <c r="I635" s="3">
        <f>정규화데이터!I635</f>
        <v>80920</v>
      </c>
      <c r="J635" s="3">
        <f>정규화데이터!J635</f>
        <v>108181.81818181818</v>
      </c>
      <c r="K635" s="25">
        <f>정규화데이터!K635</f>
        <v>61496</v>
      </c>
      <c r="L635" s="25">
        <f>정규화데이터!L635</f>
        <v>61496</v>
      </c>
      <c r="M635" s="21">
        <f t="shared" si="18"/>
        <v>46685.818181818177</v>
      </c>
      <c r="N635" s="52">
        <f t="shared" si="19"/>
        <v>0.43154957983193276</v>
      </c>
    </row>
    <row r="636" spans="1:14" x14ac:dyDescent="0.3">
      <c r="A636" t="str">
        <f>정규화데이터!A636</f>
        <v>SK스토아</v>
      </c>
      <c r="B636">
        <f>정규화데이터!B636</f>
        <v>20260210360823</v>
      </c>
      <c r="C636" t="str">
        <f>정규화데이터!C636</f>
        <v>[워커힐]워커힐 고메 시그니처 양념 본갈비 8팩</v>
      </c>
      <c r="D636">
        <f>정규화데이터!D636</f>
        <v>58481090</v>
      </c>
      <c r="E636" s="16" t="str">
        <f>정규화데이터!E636</f>
        <v>SKU001</v>
      </c>
      <c r="F636" s="3">
        <f>정규화데이터!F636</f>
        <v>1</v>
      </c>
      <c r="G636" s="3">
        <f>정규화데이터!G636</f>
        <v>119000</v>
      </c>
      <c r="H636" s="3">
        <f>정규화데이터!H636</f>
        <v>119000</v>
      </c>
      <c r="I636" s="3">
        <f>정규화데이터!I636</f>
        <v>80920</v>
      </c>
      <c r="J636" s="3">
        <f>정규화데이터!J636</f>
        <v>108181.81818181818</v>
      </c>
      <c r="K636" s="25">
        <f>정규화데이터!K636</f>
        <v>61496</v>
      </c>
      <c r="L636" s="25">
        <f>정규화데이터!L636</f>
        <v>61496</v>
      </c>
      <c r="M636" s="21">
        <f t="shared" si="18"/>
        <v>46685.818181818177</v>
      </c>
      <c r="N636" s="52">
        <f t="shared" si="19"/>
        <v>0.43154957983193276</v>
      </c>
    </row>
    <row r="637" spans="1:14" x14ac:dyDescent="0.3">
      <c r="A637" t="str">
        <f>정규화데이터!A637</f>
        <v>SK스토아</v>
      </c>
      <c r="B637">
        <f>정규화데이터!B637</f>
        <v>20260210361576</v>
      </c>
      <c r="C637" t="str">
        <f>정규화데이터!C637</f>
        <v>[워커힐]워커힐 고메 시그니처 양념 본갈비 8팩</v>
      </c>
      <c r="D637">
        <f>정규화데이터!D637</f>
        <v>58481090</v>
      </c>
      <c r="E637" s="16" t="str">
        <f>정규화데이터!E637</f>
        <v>SKU001</v>
      </c>
      <c r="F637" s="3">
        <f>정규화데이터!F637</f>
        <v>1</v>
      </c>
      <c r="G637" s="3">
        <f>정규화데이터!G637</f>
        <v>119000</v>
      </c>
      <c r="H637" s="3">
        <f>정규화데이터!H637</f>
        <v>119000</v>
      </c>
      <c r="I637" s="3">
        <f>정규화데이터!I637</f>
        <v>80920</v>
      </c>
      <c r="J637" s="3">
        <f>정규화데이터!J637</f>
        <v>108181.81818181818</v>
      </c>
      <c r="K637" s="25">
        <f>정규화데이터!K637</f>
        <v>61496</v>
      </c>
      <c r="L637" s="25">
        <f>정규화데이터!L637</f>
        <v>61496</v>
      </c>
      <c r="M637" s="21">
        <f t="shared" si="18"/>
        <v>46685.818181818177</v>
      </c>
      <c r="N637" s="52">
        <f t="shared" si="19"/>
        <v>0.43154957983193276</v>
      </c>
    </row>
    <row r="638" spans="1:14" x14ac:dyDescent="0.3">
      <c r="A638" t="str">
        <f>정규화데이터!A638</f>
        <v>SK스토아</v>
      </c>
      <c r="B638">
        <f>정규화데이터!B638</f>
        <v>20260210360962</v>
      </c>
      <c r="C638" t="str">
        <f>정규화데이터!C638</f>
        <v>[워커힐]워커힐 고메 시그니처 양념 본갈비 8팩</v>
      </c>
      <c r="D638">
        <f>정규화데이터!D638</f>
        <v>58481090</v>
      </c>
      <c r="E638" s="16" t="str">
        <f>정규화데이터!E638</f>
        <v>SKU001</v>
      </c>
      <c r="F638" s="3">
        <f>정규화데이터!F638</f>
        <v>1</v>
      </c>
      <c r="G638" s="3">
        <f>정규화데이터!G638</f>
        <v>119000</v>
      </c>
      <c r="H638" s="3">
        <f>정규화데이터!H638</f>
        <v>119000</v>
      </c>
      <c r="I638" s="3">
        <f>정규화데이터!I638</f>
        <v>80920</v>
      </c>
      <c r="J638" s="3">
        <f>정규화데이터!J638</f>
        <v>108181.81818181818</v>
      </c>
      <c r="K638" s="25">
        <f>정규화데이터!K638</f>
        <v>61496</v>
      </c>
      <c r="L638" s="25">
        <f>정규화데이터!L638</f>
        <v>61496</v>
      </c>
      <c r="M638" s="21">
        <f t="shared" si="18"/>
        <v>46685.818181818177</v>
      </c>
      <c r="N638" s="52">
        <f t="shared" si="19"/>
        <v>0.43154957983193276</v>
      </c>
    </row>
    <row r="639" spans="1:14" x14ac:dyDescent="0.3">
      <c r="A639" t="str">
        <f>정규화데이터!A639</f>
        <v>SK스토아</v>
      </c>
      <c r="B639">
        <f>정규화데이터!B639</f>
        <v>20260210361691</v>
      </c>
      <c r="C639" t="str">
        <f>정규화데이터!C639</f>
        <v>[워커힐]워커힐 고메 시그니처 양념 본갈비 8팩</v>
      </c>
      <c r="D639">
        <f>정규화데이터!D639</f>
        <v>58481090</v>
      </c>
      <c r="E639" s="16" t="str">
        <f>정규화데이터!E639</f>
        <v>SKU001</v>
      </c>
      <c r="F639" s="3">
        <f>정규화데이터!F639</f>
        <v>1</v>
      </c>
      <c r="G639" s="3">
        <f>정규화데이터!G639</f>
        <v>119000</v>
      </c>
      <c r="H639" s="3">
        <f>정규화데이터!H639</f>
        <v>119000</v>
      </c>
      <c r="I639" s="3">
        <f>정규화데이터!I639</f>
        <v>80920</v>
      </c>
      <c r="J639" s="3">
        <f>정규화데이터!J639</f>
        <v>108181.81818181818</v>
      </c>
      <c r="K639" s="25">
        <f>정규화데이터!K639</f>
        <v>61496</v>
      </c>
      <c r="L639" s="25">
        <f>정규화데이터!L639</f>
        <v>61496</v>
      </c>
      <c r="M639" s="21">
        <f t="shared" si="18"/>
        <v>46685.818181818177</v>
      </c>
      <c r="N639" s="52">
        <f t="shared" si="19"/>
        <v>0.43154957983193276</v>
      </c>
    </row>
    <row r="640" spans="1:14" x14ac:dyDescent="0.3">
      <c r="A640" t="str">
        <f>정규화데이터!A640</f>
        <v>SK스토아</v>
      </c>
      <c r="B640">
        <f>정규화데이터!B640</f>
        <v>20260210362134</v>
      </c>
      <c r="C640" t="str">
        <f>정규화데이터!C640</f>
        <v>[워커힐]워커힐 고메 시그니처 양념 본갈비 8팩</v>
      </c>
      <c r="D640">
        <f>정규화데이터!D640</f>
        <v>58481090</v>
      </c>
      <c r="E640" s="16" t="str">
        <f>정규화데이터!E640</f>
        <v>SKU001</v>
      </c>
      <c r="F640" s="3">
        <f>정규화데이터!F640</f>
        <v>1</v>
      </c>
      <c r="G640" s="3">
        <f>정규화데이터!G640</f>
        <v>119000</v>
      </c>
      <c r="H640" s="3">
        <f>정규화데이터!H640</f>
        <v>108300</v>
      </c>
      <c r="I640" s="3">
        <f>정규화데이터!I640</f>
        <v>80920</v>
      </c>
      <c r="J640" s="3">
        <f>정규화데이터!J640</f>
        <v>98454.545454545441</v>
      </c>
      <c r="K640" s="25">
        <f>정규화데이터!K640</f>
        <v>61496</v>
      </c>
      <c r="L640" s="25">
        <f>정규화데이터!L640</f>
        <v>61496</v>
      </c>
      <c r="M640" s="21">
        <f t="shared" si="18"/>
        <v>36958.545454545441</v>
      </c>
      <c r="N640" s="52">
        <f t="shared" si="19"/>
        <v>0.37538688827331479</v>
      </c>
    </row>
    <row r="641" spans="1:14" x14ac:dyDescent="0.3">
      <c r="A641" t="str">
        <f>정규화데이터!A641</f>
        <v>SK스토아</v>
      </c>
      <c r="B641">
        <f>정규화데이터!B641</f>
        <v>20260210361690</v>
      </c>
      <c r="C641" t="str">
        <f>정규화데이터!C641</f>
        <v>[워커힐]워커힐 고메 시그니처 양념 본갈비 8팩</v>
      </c>
      <c r="D641">
        <f>정규화데이터!D641</f>
        <v>58481090</v>
      </c>
      <c r="E641" s="16" t="str">
        <f>정규화데이터!E641</f>
        <v>SKU001</v>
      </c>
      <c r="F641" s="3">
        <f>정규화데이터!F641</f>
        <v>1</v>
      </c>
      <c r="G641" s="3">
        <f>정규화데이터!G641</f>
        <v>119000</v>
      </c>
      <c r="H641" s="3">
        <f>정규화데이터!H641</f>
        <v>119000</v>
      </c>
      <c r="I641" s="3">
        <f>정규화데이터!I641</f>
        <v>80920</v>
      </c>
      <c r="J641" s="3">
        <f>정규화데이터!J641</f>
        <v>108181.81818181818</v>
      </c>
      <c r="K641" s="25">
        <f>정규화데이터!K641</f>
        <v>61496</v>
      </c>
      <c r="L641" s="25">
        <f>정규화데이터!L641</f>
        <v>61496</v>
      </c>
      <c r="M641" s="21">
        <f t="shared" si="18"/>
        <v>46685.818181818177</v>
      </c>
      <c r="N641" s="52">
        <f t="shared" si="19"/>
        <v>0.43154957983193276</v>
      </c>
    </row>
    <row r="642" spans="1:14" x14ac:dyDescent="0.3">
      <c r="A642" t="str">
        <f>정규화데이터!A642</f>
        <v>SK스토아</v>
      </c>
      <c r="B642">
        <f>정규화데이터!B642</f>
        <v>20260210361261</v>
      </c>
      <c r="C642" t="str">
        <f>정규화데이터!C642</f>
        <v>[워커힐]워커힐 고메 시그니처 양념 본갈비 8팩</v>
      </c>
      <c r="D642">
        <f>정규화데이터!D642</f>
        <v>58481090</v>
      </c>
      <c r="E642" s="16" t="str">
        <f>정규화데이터!E642</f>
        <v>SKU001</v>
      </c>
      <c r="F642" s="3">
        <f>정규화데이터!F642</f>
        <v>1</v>
      </c>
      <c r="G642" s="3">
        <f>정규화데이터!G642</f>
        <v>119000</v>
      </c>
      <c r="H642" s="3">
        <f>정규화데이터!H642</f>
        <v>119000</v>
      </c>
      <c r="I642" s="3">
        <f>정규화데이터!I642</f>
        <v>80920</v>
      </c>
      <c r="J642" s="3">
        <f>정규화데이터!J642</f>
        <v>108181.81818181818</v>
      </c>
      <c r="K642" s="25">
        <f>정규화데이터!K642</f>
        <v>61496</v>
      </c>
      <c r="L642" s="25">
        <f>정규화데이터!L642</f>
        <v>61496</v>
      </c>
      <c r="M642" s="21">
        <f t="shared" si="18"/>
        <v>46685.818181818177</v>
      </c>
      <c r="N642" s="52">
        <f t="shared" si="19"/>
        <v>0.43154957983193276</v>
      </c>
    </row>
    <row r="643" spans="1:14" x14ac:dyDescent="0.3">
      <c r="A643" t="str">
        <f>정규화데이터!A643</f>
        <v>SK스토아</v>
      </c>
      <c r="B643">
        <f>정규화데이터!B643</f>
        <v>20260210361855</v>
      </c>
      <c r="C643" t="str">
        <f>정규화데이터!C643</f>
        <v>[워커힐]워커힐 고메 시그니처 양념 본갈비 8팩</v>
      </c>
      <c r="D643">
        <f>정규화데이터!D643</f>
        <v>58481090</v>
      </c>
      <c r="E643" s="16" t="str">
        <f>정규화데이터!E643</f>
        <v>SKU001</v>
      </c>
      <c r="F643" s="3">
        <f>정규화데이터!F643</f>
        <v>1</v>
      </c>
      <c r="G643" s="3">
        <f>정규화데이터!G643</f>
        <v>119000</v>
      </c>
      <c r="H643" s="3">
        <f>정규화데이터!H643</f>
        <v>119000</v>
      </c>
      <c r="I643" s="3">
        <f>정규화데이터!I643</f>
        <v>80920</v>
      </c>
      <c r="J643" s="3">
        <f>정규화데이터!J643</f>
        <v>108181.81818181818</v>
      </c>
      <c r="K643" s="25">
        <f>정규화데이터!K643</f>
        <v>61496</v>
      </c>
      <c r="L643" s="25">
        <f>정규화데이터!L643</f>
        <v>61496</v>
      </c>
      <c r="M643" s="21">
        <f t="shared" ref="M643:M706" si="20">J643-L643</f>
        <v>46685.818181818177</v>
      </c>
      <c r="N643" s="52">
        <f t="shared" ref="N643:N706" si="21">IF(J643=0,0,M643/J643)</f>
        <v>0.43154957983193276</v>
      </c>
    </row>
    <row r="644" spans="1:14" x14ac:dyDescent="0.3">
      <c r="A644" t="str">
        <f>정규화데이터!A644</f>
        <v>SK스토아</v>
      </c>
      <c r="B644">
        <f>정규화데이터!B644</f>
        <v>20260210360736</v>
      </c>
      <c r="C644" t="str">
        <f>정규화데이터!C644</f>
        <v>[워커힐]워커힐 고메 시그니처 양념 본갈비 8팩</v>
      </c>
      <c r="D644">
        <f>정규화데이터!D644</f>
        <v>58481090</v>
      </c>
      <c r="E644" s="16" t="str">
        <f>정규화데이터!E644</f>
        <v>SKU001</v>
      </c>
      <c r="F644" s="3">
        <f>정규화데이터!F644</f>
        <v>1</v>
      </c>
      <c r="G644" s="3">
        <f>정규화데이터!G644</f>
        <v>119000</v>
      </c>
      <c r="H644" s="3">
        <f>정규화데이터!H644</f>
        <v>113050</v>
      </c>
      <c r="I644" s="3">
        <f>정규화데이터!I644</f>
        <v>80920</v>
      </c>
      <c r="J644" s="3">
        <f>정규화데이터!J644</f>
        <v>102772.72727272726</v>
      </c>
      <c r="K644" s="25">
        <f>정규화데이터!K644</f>
        <v>61496</v>
      </c>
      <c r="L644" s="25">
        <f>정규화데이터!L644</f>
        <v>61496</v>
      </c>
      <c r="M644" s="21">
        <f t="shared" si="20"/>
        <v>41276.727272727265</v>
      </c>
      <c r="N644" s="52">
        <f t="shared" si="21"/>
        <v>0.40163113666519235</v>
      </c>
    </row>
    <row r="645" spans="1:14" x14ac:dyDescent="0.3">
      <c r="A645" t="str">
        <f>정규화데이터!A645</f>
        <v>SK스토아</v>
      </c>
      <c r="B645">
        <f>정규화데이터!B645</f>
        <v>20260205994812</v>
      </c>
      <c r="C645" t="str">
        <f>정규화데이터!C645</f>
        <v>[워커힐]워커힐 고메 시그니처 양념 본갈비 8팩</v>
      </c>
      <c r="D645">
        <f>정규화데이터!D645</f>
        <v>58481090</v>
      </c>
      <c r="E645" s="16" t="str">
        <f>정규화데이터!E645</f>
        <v>SKU001</v>
      </c>
      <c r="F645" s="3">
        <f>정규화데이터!F645</f>
        <v>1</v>
      </c>
      <c r="G645" s="3">
        <f>정규화데이터!G645</f>
        <v>119000</v>
      </c>
      <c r="H645" s="3">
        <f>정규화데이터!H645</f>
        <v>119000</v>
      </c>
      <c r="I645" s="3">
        <f>정규화데이터!I645</f>
        <v>82110</v>
      </c>
      <c r="J645" s="3">
        <f>정규화데이터!J645</f>
        <v>108181.81818181818</v>
      </c>
      <c r="K645" s="25">
        <f>정규화데이터!K645</f>
        <v>61496</v>
      </c>
      <c r="L645" s="25">
        <f>정규화데이터!L645</f>
        <v>61496</v>
      </c>
      <c r="M645" s="21">
        <f t="shared" si="20"/>
        <v>46685.818181818177</v>
      </c>
      <c r="N645" s="52">
        <f t="shared" si="21"/>
        <v>0.43154957983193276</v>
      </c>
    </row>
    <row r="646" spans="1:14" x14ac:dyDescent="0.3">
      <c r="A646" t="str">
        <f>정규화데이터!A646</f>
        <v>SK스토아</v>
      </c>
      <c r="B646">
        <f>정규화데이터!B646</f>
        <v>20260210360424</v>
      </c>
      <c r="C646" t="str">
        <f>정규화데이터!C646</f>
        <v>[워커힐]워커힐 고메 시그니처 양념 본갈비 8팩</v>
      </c>
      <c r="D646">
        <f>정규화데이터!D646</f>
        <v>58481090</v>
      </c>
      <c r="E646" s="16" t="str">
        <f>정규화데이터!E646</f>
        <v>SKU001</v>
      </c>
      <c r="F646" s="3">
        <f>정규화데이터!F646</f>
        <v>2</v>
      </c>
      <c r="G646" s="3">
        <f>정규화데이터!G646</f>
        <v>119000</v>
      </c>
      <c r="H646" s="3">
        <f>정규화데이터!H646</f>
        <v>238000</v>
      </c>
      <c r="I646" s="3">
        <f>정규화데이터!I646</f>
        <v>161840</v>
      </c>
      <c r="J646" s="3">
        <f>정규화데이터!J646</f>
        <v>216363.63636363635</v>
      </c>
      <c r="K646" s="25">
        <f>정규화데이터!K646</f>
        <v>61496</v>
      </c>
      <c r="L646" s="25">
        <f>정규화데이터!L646</f>
        <v>122992</v>
      </c>
      <c r="M646" s="21">
        <f t="shared" si="20"/>
        <v>93371.636363636353</v>
      </c>
      <c r="N646" s="52">
        <f t="shared" si="21"/>
        <v>0.43154957983193276</v>
      </c>
    </row>
    <row r="647" spans="1:14" x14ac:dyDescent="0.3">
      <c r="A647" t="str">
        <f>정규화데이터!A647</f>
        <v>SK스토아</v>
      </c>
      <c r="B647">
        <f>정규화데이터!B647</f>
        <v>20260210361466</v>
      </c>
      <c r="C647" t="str">
        <f>정규화데이터!C647</f>
        <v>[워커힐]워커힐 고메 시그니처 양념 본갈비 8팩</v>
      </c>
      <c r="D647">
        <f>정규화데이터!D647</f>
        <v>58481090</v>
      </c>
      <c r="E647" s="16" t="str">
        <f>정규화데이터!E647</f>
        <v>SKU001</v>
      </c>
      <c r="F647" s="3">
        <f>정규화데이터!F647</f>
        <v>1</v>
      </c>
      <c r="G647" s="3">
        <f>정규화데이터!G647</f>
        <v>119000</v>
      </c>
      <c r="H647" s="3">
        <f>정규화데이터!H647</f>
        <v>113050</v>
      </c>
      <c r="I647" s="3">
        <f>정규화데이터!I647</f>
        <v>80920</v>
      </c>
      <c r="J647" s="3">
        <f>정규화데이터!J647</f>
        <v>102772.72727272726</v>
      </c>
      <c r="K647" s="25">
        <f>정규화데이터!K647</f>
        <v>61496</v>
      </c>
      <c r="L647" s="25">
        <f>정규화데이터!L647</f>
        <v>61496</v>
      </c>
      <c r="M647" s="21">
        <f t="shared" si="20"/>
        <v>41276.727272727265</v>
      </c>
      <c r="N647" s="52">
        <f t="shared" si="21"/>
        <v>0.40163113666519235</v>
      </c>
    </row>
    <row r="648" spans="1:14" x14ac:dyDescent="0.3">
      <c r="A648" t="str">
        <f>정규화데이터!A648</f>
        <v>SK스토아</v>
      </c>
      <c r="B648">
        <f>정규화데이터!B648</f>
        <v>20260210360877</v>
      </c>
      <c r="C648" t="str">
        <f>정규화데이터!C648</f>
        <v>[워커힐]워커힐 고메 시그니처 양념 본갈비 8팩</v>
      </c>
      <c r="D648">
        <f>정규화데이터!D648</f>
        <v>58481090</v>
      </c>
      <c r="E648" s="16" t="str">
        <f>정규화데이터!E648</f>
        <v>SKU001</v>
      </c>
      <c r="F648" s="3">
        <f>정규화데이터!F648</f>
        <v>1</v>
      </c>
      <c r="G648" s="3">
        <f>정규화데이터!G648</f>
        <v>119000</v>
      </c>
      <c r="H648" s="3">
        <f>정규화데이터!H648</f>
        <v>119000</v>
      </c>
      <c r="I648" s="3">
        <f>정규화데이터!I648</f>
        <v>80920</v>
      </c>
      <c r="J648" s="3">
        <f>정규화데이터!J648</f>
        <v>108181.81818181818</v>
      </c>
      <c r="K648" s="25">
        <f>정규화데이터!K648</f>
        <v>61496</v>
      </c>
      <c r="L648" s="25">
        <f>정규화데이터!L648</f>
        <v>61496</v>
      </c>
      <c r="M648" s="21">
        <f t="shared" si="20"/>
        <v>46685.818181818177</v>
      </c>
      <c r="N648" s="52">
        <f t="shared" si="21"/>
        <v>0.43154957983193276</v>
      </c>
    </row>
    <row r="649" spans="1:14" x14ac:dyDescent="0.3">
      <c r="A649" t="str">
        <f>정규화데이터!A649</f>
        <v>SK스토아</v>
      </c>
      <c r="B649">
        <f>정규화데이터!B649</f>
        <v>20260210361967</v>
      </c>
      <c r="C649" t="str">
        <f>정규화데이터!C649</f>
        <v>[워커힐]워커힐 고메 시그니처 양념 본갈비 8팩</v>
      </c>
      <c r="D649">
        <f>정규화데이터!D649</f>
        <v>58481090</v>
      </c>
      <c r="E649" s="16" t="str">
        <f>정규화데이터!E649</f>
        <v>SKU001</v>
      </c>
      <c r="F649" s="3">
        <f>정규화데이터!F649</f>
        <v>1</v>
      </c>
      <c r="G649" s="3">
        <f>정규화데이터!G649</f>
        <v>119000</v>
      </c>
      <c r="H649" s="3">
        <f>정규화데이터!H649</f>
        <v>119000</v>
      </c>
      <c r="I649" s="3">
        <f>정규화데이터!I649</f>
        <v>80920</v>
      </c>
      <c r="J649" s="3">
        <f>정규화데이터!J649</f>
        <v>108181.81818181818</v>
      </c>
      <c r="K649" s="25">
        <f>정규화데이터!K649</f>
        <v>61496</v>
      </c>
      <c r="L649" s="25">
        <f>정규화데이터!L649</f>
        <v>61496</v>
      </c>
      <c r="M649" s="21">
        <f t="shared" si="20"/>
        <v>46685.818181818177</v>
      </c>
      <c r="N649" s="52">
        <f t="shared" si="21"/>
        <v>0.43154957983193276</v>
      </c>
    </row>
    <row r="650" spans="1:14" x14ac:dyDescent="0.3">
      <c r="A650" t="str">
        <f>정규화데이터!A650</f>
        <v>SK스토아</v>
      </c>
      <c r="B650">
        <f>정규화데이터!B650</f>
        <v>20260210361778</v>
      </c>
      <c r="C650" t="str">
        <f>정규화데이터!C650</f>
        <v>[워커힐]워커힐 고메 시그니처 양념 본갈비 8팩</v>
      </c>
      <c r="D650">
        <f>정규화데이터!D650</f>
        <v>58481090</v>
      </c>
      <c r="E650" s="16" t="str">
        <f>정규화데이터!E650</f>
        <v>SKU001</v>
      </c>
      <c r="F650" s="3">
        <f>정규화데이터!F650</f>
        <v>1</v>
      </c>
      <c r="G650" s="3">
        <f>정규화데이터!G650</f>
        <v>119000</v>
      </c>
      <c r="H650" s="3">
        <f>정규화데이터!H650</f>
        <v>119000</v>
      </c>
      <c r="I650" s="3">
        <f>정규화데이터!I650</f>
        <v>80920</v>
      </c>
      <c r="J650" s="3">
        <f>정규화데이터!J650</f>
        <v>108181.81818181818</v>
      </c>
      <c r="K650" s="25">
        <f>정규화데이터!K650</f>
        <v>61496</v>
      </c>
      <c r="L650" s="25">
        <f>정규화데이터!L650</f>
        <v>61496</v>
      </c>
      <c r="M650" s="21">
        <f t="shared" si="20"/>
        <v>46685.818181818177</v>
      </c>
      <c r="N650" s="52">
        <f t="shared" si="21"/>
        <v>0.43154957983193276</v>
      </c>
    </row>
    <row r="651" spans="1:14" x14ac:dyDescent="0.3">
      <c r="A651" t="str">
        <f>정규화데이터!A651</f>
        <v>SK스토아</v>
      </c>
      <c r="B651">
        <f>정규화데이터!B651</f>
        <v>20260210360506</v>
      </c>
      <c r="C651" t="str">
        <f>정규화데이터!C651</f>
        <v>[워커힐]워커힐 고메 시그니처 양념 본갈비 8팩</v>
      </c>
      <c r="D651">
        <f>정규화데이터!D651</f>
        <v>58481090</v>
      </c>
      <c r="E651" s="16" t="str">
        <f>정규화데이터!E651</f>
        <v>SKU001</v>
      </c>
      <c r="F651" s="3">
        <f>정규화데이터!F651</f>
        <v>1</v>
      </c>
      <c r="G651" s="3">
        <f>정규화데이터!G651</f>
        <v>119000</v>
      </c>
      <c r="H651" s="3">
        <f>정규화데이터!H651</f>
        <v>113050</v>
      </c>
      <c r="I651" s="3">
        <f>정규화데이터!I651</f>
        <v>80920</v>
      </c>
      <c r="J651" s="3">
        <f>정규화데이터!J651</f>
        <v>102772.72727272726</v>
      </c>
      <c r="K651" s="25">
        <f>정규화데이터!K651</f>
        <v>61496</v>
      </c>
      <c r="L651" s="25">
        <f>정규화데이터!L651</f>
        <v>61496</v>
      </c>
      <c r="M651" s="21">
        <f t="shared" si="20"/>
        <v>41276.727272727265</v>
      </c>
      <c r="N651" s="52">
        <f t="shared" si="21"/>
        <v>0.40163113666519235</v>
      </c>
    </row>
    <row r="652" spans="1:14" x14ac:dyDescent="0.3">
      <c r="A652" t="str">
        <f>정규화데이터!A652</f>
        <v>SK스토아</v>
      </c>
      <c r="B652">
        <f>정규화데이터!B652</f>
        <v>20260210361822</v>
      </c>
      <c r="C652" t="str">
        <f>정규화데이터!C652</f>
        <v>[워커힐]워커힐 고메 시그니처 양념 본갈비 8팩</v>
      </c>
      <c r="D652">
        <f>정규화데이터!D652</f>
        <v>58481090</v>
      </c>
      <c r="E652" s="16" t="str">
        <f>정규화데이터!E652</f>
        <v>SKU001</v>
      </c>
      <c r="F652" s="3">
        <f>정규화데이터!F652</f>
        <v>1</v>
      </c>
      <c r="G652" s="3">
        <f>정규화데이터!G652</f>
        <v>119000</v>
      </c>
      <c r="H652" s="3">
        <f>정규화데이터!H652</f>
        <v>119000</v>
      </c>
      <c r="I652" s="3">
        <f>정규화데이터!I652</f>
        <v>80920</v>
      </c>
      <c r="J652" s="3">
        <f>정규화데이터!J652</f>
        <v>108181.81818181818</v>
      </c>
      <c r="K652" s="25">
        <f>정규화데이터!K652</f>
        <v>61496</v>
      </c>
      <c r="L652" s="25">
        <f>정규화데이터!L652</f>
        <v>61496</v>
      </c>
      <c r="M652" s="21">
        <f t="shared" si="20"/>
        <v>46685.818181818177</v>
      </c>
      <c r="N652" s="52">
        <f t="shared" si="21"/>
        <v>0.43154957983193276</v>
      </c>
    </row>
    <row r="653" spans="1:14" x14ac:dyDescent="0.3">
      <c r="A653" t="str">
        <f>정규화데이터!A653</f>
        <v>SK스토아</v>
      </c>
      <c r="B653">
        <f>정규화데이터!B653</f>
        <v>20260211862060</v>
      </c>
      <c r="C653" t="str">
        <f>정규화데이터!C653</f>
        <v>[워커힐]워커힐 고메 시그니처 양념 본갈비 8팩</v>
      </c>
      <c r="D653">
        <f>정규화데이터!D653</f>
        <v>58481090</v>
      </c>
      <c r="E653" s="16" t="str">
        <f>정규화데이터!E653</f>
        <v>SKU001</v>
      </c>
      <c r="F653" s="3">
        <f>정규화데이터!F653</f>
        <v>1</v>
      </c>
      <c r="G653" s="3">
        <f>정규화데이터!G653</f>
        <v>119000</v>
      </c>
      <c r="H653" s="3">
        <f>정규화데이터!H653</f>
        <v>113050</v>
      </c>
      <c r="I653" s="3">
        <f>정규화데이터!I653</f>
        <v>80920</v>
      </c>
      <c r="J653" s="3">
        <f>정규화데이터!J653</f>
        <v>102772.72727272726</v>
      </c>
      <c r="K653" s="25">
        <f>정규화데이터!K653</f>
        <v>61496</v>
      </c>
      <c r="L653" s="25">
        <f>정규화데이터!L653</f>
        <v>61496</v>
      </c>
      <c r="M653" s="21">
        <f t="shared" si="20"/>
        <v>41276.727272727265</v>
      </c>
      <c r="N653" s="52">
        <f t="shared" si="21"/>
        <v>0.40163113666519235</v>
      </c>
    </row>
    <row r="654" spans="1:14" x14ac:dyDescent="0.3">
      <c r="A654" t="str">
        <f>정규화데이터!A654</f>
        <v>SK스토아</v>
      </c>
      <c r="B654">
        <f>정규화데이터!B654</f>
        <v>20260210361524</v>
      </c>
      <c r="C654" t="str">
        <f>정규화데이터!C654</f>
        <v>[워커힐]워커힐 고메 시그니처 양념 본갈비 8팩</v>
      </c>
      <c r="D654">
        <f>정규화데이터!D654</f>
        <v>58481090</v>
      </c>
      <c r="E654" s="16" t="str">
        <f>정규화데이터!E654</f>
        <v>SKU001</v>
      </c>
      <c r="F654" s="3">
        <f>정규화데이터!F654</f>
        <v>1</v>
      </c>
      <c r="G654" s="3">
        <f>정규화데이터!G654</f>
        <v>119000</v>
      </c>
      <c r="H654" s="3">
        <f>정규화데이터!H654</f>
        <v>119000</v>
      </c>
      <c r="I654" s="3">
        <f>정규화데이터!I654</f>
        <v>80920</v>
      </c>
      <c r="J654" s="3">
        <f>정규화데이터!J654</f>
        <v>108181.81818181818</v>
      </c>
      <c r="K654" s="25">
        <f>정규화데이터!K654</f>
        <v>61496</v>
      </c>
      <c r="L654" s="25">
        <f>정규화데이터!L654</f>
        <v>61496</v>
      </c>
      <c r="M654" s="21">
        <f t="shared" si="20"/>
        <v>46685.818181818177</v>
      </c>
      <c r="N654" s="52">
        <f t="shared" si="21"/>
        <v>0.43154957983193276</v>
      </c>
    </row>
    <row r="655" spans="1:14" x14ac:dyDescent="0.3">
      <c r="A655" t="str">
        <f>정규화데이터!A655</f>
        <v>SK스토아</v>
      </c>
      <c r="B655">
        <f>정규화데이터!B655</f>
        <v>20260210361369</v>
      </c>
      <c r="C655" t="str">
        <f>정규화데이터!C655</f>
        <v>[워커힐]워커힐 고메 시그니처 양념 본갈비 8팩</v>
      </c>
      <c r="D655">
        <f>정규화데이터!D655</f>
        <v>58481090</v>
      </c>
      <c r="E655" s="16" t="str">
        <f>정규화데이터!E655</f>
        <v>SKU001</v>
      </c>
      <c r="F655" s="3">
        <f>정규화데이터!F655</f>
        <v>1</v>
      </c>
      <c r="G655" s="3">
        <f>정규화데이터!G655</f>
        <v>119000</v>
      </c>
      <c r="H655" s="3">
        <f>정규화데이터!H655</f>
        <v>119000</v>
      </c>
      <c r="I655" s="3">
        <f>정규화데이터!I655</f>
        <v>80920</v>
      </c>
      <c r="J655" s="3">
        <f>정규화데이터!J655</f>
        <v>108181.81818181818</v>
      </c>
      <c r="K655" s="25">
        <f>정규화데이터!K655</f>
        <v>61496</v>
      </c>
      <c r="L655" s="25">
        <f>정규화데이터!L655</f>
        <v>61496</v>
      </c>
      <c r="M655" s="21">
        <f t="shared" si="20"/>
        <v>46685.818181818177</v>
      </c>
      <c r="N655" s="52">
        <f t="shared" si="21"/>
        <v>0.43154957983193276</v>
      </c>
    </row>
    <row r="656" spans="1:14" x14ac:dyDescent="0.3">
      <c r="A656" t="str">
        <f>정규화데이터!A656</f>
        <v>SK스토아</v>
      </c>
      <c r="B656">
        <f>정규화데이터!B656</f>
        <v>20260210361570</v>
      </c>
      <c r="C656" t="str">
        <f>정규화데이터!C656</f>
        <v>[워커힐]워커힐 고메 시그니처 양념 본갈비 8팩</v>
      </c>
      <c r="D656">
        <f>정규화데이터!D656</f>
        <v>58481090</v>
      </c>
      <c r="E656" s="16" t="str">
        <f>정규화데이터!E656</f>
        <v>SKU001</v>
      </c>
      <c r="F656" s="3">
        <f>정규화데이터!F656</f>
        <v>1</v>
      </c>
      <c r="G656" s="3">
        <f>정규화데이터!G656</f>
        <v>119000</v>
      </c>
      <c r="H656" s="3">
        <f>정규화데이터!H656</f>
        <v>119000</v>
      </c>
      <c r="I656" s="3">
        <f>정규화데이터!I656</f>
        <v>80920</v>
      </c>
      <c r="J656" s="3">
        <f>정규화데이터!J656</f>
        <v>108181.81818181818</v>
      </c>
      <c r="K656" s="25">
        <f>정규화데이터!K656</f>
        <v>61496</v>
      </c>
      <c r="L656" s="25">
        <f>정규화데이터!L656</f>
        <v>61496</v>
      </c>
      <c r="M656" s="21">
        <f t="shared" si="20"/>
        <v>46685.818181818177</v>
      </c>
      <c r="N656" s="52">
        <f t="shared" si="21"/>
        <v>0.43154957983193276</v>
      </c>
    </row>
    <row r="657" spans="1:14" x14ac:dyDescent="0.3">
      <c r="A657" t="str">
        <f>정규화데이터!A657</f>
        <v>SK스토아</v>
      </c>
      <c r="B657">
        <f>정규화데이터!B657</f>
        <v>20260210361915</v>
      </c>
      <c r="C657" t="str">
        <f>정규화데이터!C657</f>
        <v>[워커힐]워커힐 고메 시그니처 양념 본갈비 8팩</v>
      </c>
      <c r="D657">
        <f>정규화데이터!D657</f>
        <v>58481090</v>
      </c>
      <c r="E657" s="16" t="str">
        <f>정규화데이터!E657</f>
        <v>SKU001</v>
      </c>
      <c r="F657" s="3">
        <f>정규화데이터!F657</f>
        <v>1</v>
      </c>
      <c r="G657" s="3">
        <f>정규화데이터!G657</f>
        <v>119000</v>
      </c>
      <c r="H657" s="3">
        <f>정규화데이터!H657</f>
        <v>119000</v>
      </c>
      <c r="I657" s="3">
        <f>정규화데이터!I657</f>
        <v>80920</v>
      </c>
      <c r="J657" s="3">
        <f>정규화데이터!J657</f>
        <v>108181.81818181818</v>
      </c>
      <c r="K657" s="25">
        <f>정규화데이터!K657</f>
        <v>61496</v>
      </c>
      <c r="L657" s="25">
        <f>정규화데이터!L657</f>
        <v>61496</v>
      </c>
      <c r="M657" s="21">
        <f t="shared" si="20"/>
        <v>46685.818181818177</v>
      </c>
      <c r="N657" s="52">
        <f t="shared" si="21"/>
        <v>0.43154957983193276</v>
      </c>
    </row>
    <row r="658" spans="1:14" x14ac:dyDescent="0.3">
      <c r="A658" t="str">
        <f>정규화데이터!A658</f>
        <v>SK스토아</v>
      </c>
      <c r="B658">
        <f>정규화데이터!B658</f>
        <v>20260210362058</v>
      </c>
      <c r="C658" t="str">
        <f>정규화데이터!C658</f>
        <v>[워커힐]워커힐 고메 시그니처 양념 본갈비 8팩</v>
      </c>
      <c r="D658">
        <f>정규화데이터!D658</f>
        <v>58481090</v>
      </c>
      <c r="E658" s="16" t="str">
        <f>정규화데이터!E658</f>
        <v>SKU001</v>
      </c>
      <c r="F658" s="3">
        <f>정규화데이터!F658</f>
        <v>1</v>
      </c>
      <c r="G658" s="3">
        <f>정규화데이터!G658</f>
        <v>119000</v>
      </c>
      <c r="H658" s="3">
        <f>정규화데이터!H658</f>
        <v>109000</v>
      </c>
      <c r="I658" s="3">
        <f>정규화데이터!I658</f>
        <v>80920</v>
      </c>
      <c r="J658" s="3">
        <f>정규화데이터!J658</f>
        <v>99090.909090909074</v>
      </c>
      <c r="K658" s="25">
        <f>정규화데이터!K658</f>
        <v>61496</v>
      </c>
      <c r="L658" s="25">
        <f>정규화데이터!L658</f>
        <v>61496</v>
      </c>
      <c r="M658" s="21">
        <f t="shared" si="20"/>
        <v>37594.909090909074</v>
      </c>
      <c r="N658" s="52">
        <f t="shared" si="21"/>
        <v>0.3793981651376146</v>
      </c>
    </row>
    <row r="659" spans="1:14" x14ac:dyDescent="0.3">
      <c r="A659" t="str">
        <f>정규화데이터!A659</f>
        <v>SK스토아</v>
      </c>
      <c r="B659">
        <f>정규화데이터!B659</f>
        <v>20260210364113</v>
      </c>
      <c r="C659" t="str">
        <f>정규화데이터!C659</f>
        <v>[워커힐]워커힐 고메 시그니처 양념 본갈비 8팩</v>
      </c>
      <c r="D659">
        <f>정규화데이터!D659</f>
        <v>58481090</v>
      </c>
      <c r="E659" s="16" t="str">
        <f>정규화데이터!E659</f>
        <v>SKU001</v>
      </c>
      <c r="F659" s="3">
        <f>정규화데이터!F659</f>
        <v>1</v>
      </c>
      <c r="G659" s="3">
        <f>정규화데이터!G659</f>
        <v>119000</v>
      </c>
      <c r="H659" s="3">
        <f>정규화데이터!H659</f>
        <v>119000</v>
      </c>
      <c r="I659" s="3">
        <f>정규화데이터!I659</f>
        <v>80920</v>
      </c>
      <c r="J659" s="3">
        <f>정규화데이터!J659</f>
        <v>108181.81818181818</v>
      </c>
      <c r="K659" s="25">
        <f>정규화데이터!K659</f>
        <v>61496</v>
      </c>
      <c r="L659" s="25">
        <f>정규화데이터!L659</f>
        <v>61496</v>
      </c>
      <c r="M659" s="21">
        <f t="shared" si="20"/>
        <v>46685.818181818177</v>
      </c>
      <c r="N659" s="52">
        <f t="shared" si="21"/>
        <v>0.43154957983193276</v>
      </c>
    </row>
    <row r="660" spans="1:14" x14ac:dyDescent="0.3">
      <c r="A660" t="str">
        <f>정규화데이터!A660</f>
        <v>SK스토아</v>
      </c>
      <c r="B660">
        <f>정규화데이터!B660</f>
        <v>20260210366124</v>
      </c>
      <c r="C660" t="str">
        <f>정규화데이터!C660</f>
        <v>[워커힐]워커힐 고메 시그니처 양념 본갈비 8팩</v>
      </c>
      <c r="D660">
        <f>정규화데이터!D660</f>
        <v>58481090</v>
      </c>
      <c r="E660" s="16" t="str">
        <f>정규화데이터!E660</f>
        <v>SKU001</v>
      </c>
      <c r="F660" s="3">
        <f>정규화데이터!F660</f>
        <v>1</v>
      </c>
      <c r="G660" s="3">
        <f>정규화데이터!G660</f>
        <v>119000</v>
      </c>
      <c r="H660" s="3">
        <f>정규화데이터!H660</f>
        <v>119000</v>
      </c>
      <c r="I660" s="3">
        <f>정규화데이터!I660</f>
        <v>80920</v>
      </c>
      <c r="J660" s="3">
        <f>정규화데이터!J660</f>
        <v>108181.81818181818</v>
      </c>
      <c r="K660" s="25">
        <f>정규화데이터!K660</f>
        <v>61496</v>
      </c>
      <c r="L660" s="25">
        <f>정규화데이터!L660</f>
        <v>61496</v>
      </c>
      <c r="M660" s="21">
        <f t="shared" si="20"/>
        <v>46685.818181818177</v>
      </c>
      <c r="N660" s="52">
        <f t="shared" si="21"/>
        <v>0.43154957983193276</v>
      </c>
    </row>
    <row r="661" spans="1:14" x14ac:dyDescent="0.3">
      <c r="A661" t="str">
        <f>정규화데이터!A661</f>
        <v>SK스토아</v>
      </c>
      <c r="B661">
        <f>정규화데이터!B661</f>
        <v>20260210360947</v>
      </c>
      <c r="C661" t="str">
        <f>정규화데이터!C661</f>
        <v>[워커힐]워커힐 고메 시그니처 양념 본갈비 8팩</v>
      </c>
      <c r="D661">
        <f>정규화데이터!D661</f>
        <v>58481090</v>
      </c>
      <c r="E661" s="16" t="str">
        <f>정규화데이터!E661</f>
        <v>SKU001</v>
      </c>
      <c r="F661" s="3">
        <f>정규화데이터!F661</f>
        <v>1</v>
      </c>
      <c r="G661" s="3">
        <f>정규화데이터!G661</f>
        <v>119000</v>
      </c>
      <c r="H661" s="3">
        <f>정규화데이터!H661</f>
        <v>113050</v>
      </c>
      <c r="I661" s="3">
        <f>정규화데이터!I661</f>
        <v>80920</v>
      </c>
      <c r="J661" s="3">
        <f>정규화데이터!J661</f>
        <v>102772.72727272726</v>
      </c>
      <c r="K661" s="25">
        <f>정규화데이터!K661</f>
        <v>61496</v>
      </c>
      <c r="L661" s="25">
        <f>정규화데이터!L661</f>
        <v>61496</v>
      </c>
      <c r="M661" s="21">
        <f t="shared" si="20"/>
        <v>41276.727272727265</v>
      </c>
      <c r="N661" s="52">
        <f t="shared" si="21"/>
        <v>0.40163113666519235</v>
      </c>
    </row>
    <row r="662" spans="1:14" x14ac:dyDescent="0.3">
      <c r="A662" t="str">
        <f>정규화데이터!A662</f>
        <v>SK스토아</v>
      </c>
      <c r="B662">
        <f>정규화데이터!B662</f>
        <v>20260210360328</v>
      </c>
      <c r="C662" t="str">
        <f>정규화데이터!C662</f>
        <v>[워커힐]워커힐 고메 시그니처 양념 본갈비 8팩</v>
      </c>
      <c r="D662">
        <f>정규화데이터!D662</f>
        <v>58481090</v>
      </c>
      <c r="E662" s="16" t="str">
        <f>정규화데이터!E662</f>
        <v>SKU001</v>
      </c>
      <c r="F662" s="3">
        <f>정규화데이터!F662</f>
        <v>1</v>
      </c>
      <c r="G662" s="3">
        <f>정규화데이터!G662</f>
        <v>119000</v>
      </c>
      <c r="H662" s="3">
        <f>정규화데이터!H662</f>
        <v>119000</v>
      </c>
      <c r="I662" s="3">
        <f>정규화데이터!I662</f>
        <v>80920</v>
      </c>
      <c r="J662" s="3">
        <f>정규화데이터!J662</f>
        <v>108181.81818181818</v>
      </c>
      <c r="K662" s="25">
        <f>정규화데이터!K662</f>
        <v>61496</v>
      </c>
      <c r="L662" s="25">
        <f>정규화데이터!L662</f>
        <v>61496</v>
      </c>
      <c r="M662" s="21">
        <f t="shared" si="20"/>
        <v>46685.818181818177</v>
      </c>
      <c r="N662" s="52">
        <f t="shared" si="21"/>
        <v>0.43154957983193276</v>
      </c>
    </row>
    <row r="663" spans="1:14" x14ac:dyDescent="0.3">
      <c r="A663" t="str">
        <f>정규화데이터!A663</f>
        <v>SK스토아</v>
      </c>
      <c r="B663">
        <f>정규화데이터!B663</f>
        <v>20260210360456</v>
      </c>
      <c r="C663" t="str">
        <f>정규화데이터!C663</f>
        <v>[워커힐]워커힐 고메 시그니처 양념 본갈비 8팩</v>
      </c>
      <c r="D663">
        <f>정규화데이터!D663</f>
        <v>58481090</v>
      </c>
      <c r="E663" s="16" t="str">
        <f>정규화데이터!E663</f>
        <v>SKU001</v>
      </c>
      <c r="F663" s="3">
        <f>정규화데이터!F663</f>
        <v>1</v>
      </c>
      <c r="G663" s="3">
        <f>정규화데이터!G663</f>
        <v>119000</v>
      </c>
      <c r="H663" s="3">
        <f>정규화데이터!H663</f>
        <v>98800</v>
      </c>
      <c r="I663" s="3">
        <f>정규화데이터!I663</f>
        <v>80920</v>
      </c>
      <c r="J663" s="3">
        <f>정규화데이터!J663</f>
        <v>89818.181818181809</v>
      </c>
      <c r="K663" s="25">
        <f>정규화데이터!K663</f>
        <v>61496</v>
      </c>
      <c r="L663" s="25">
        <f>정규화데이터!L663</f>
        <v>61496</v>
      </c>
      <c r="M663" s="21">
        <f t="shared" si="20"/>
        <v>28322.181818181809</v>
      </c>
      <c r="N663" s="52">
        <f t="shared" si="21"/>
        <v>0.315327935222672</v>
      </c>
    </row>
    <row r="664" spans="1:14" x14ac:dyDescent="0.3">
      <c r="A664" t="str">
        <f>정규화데이터!A664</f>
        <v>SK스토아</v>
      </c>
      <c r="B664">
        <f>정규화데이터!B664</f>
        <v>20260210362454</v>
      </c>
      <c r="C664" t="str">
        <f>정규화데이터!C664</f>
        <v>[워커힐]워커힐 고메 시그니처 양념 본갈비 8팩</v>
      </c>
      <c r="D664">
        <f>정규화데이터!D664</f>
        <v>58481090</v>
      </c>
      <c r="E664" s="16" t="str">
        <f>정규화데이터!E664</f>
        <v>SKU001</v>
      </c>
      <c r="F664" s="3">
        <f>정규화데이터!F664</f>
        <v>1</v>
      </c>
      <c r="G664" s="3">
        <f>정규화데이터!G664</f>
        <v>119000</v>
      </c>
      <c r="H664" s="3">
        <f>정규화데이터!H664</f>
        <v>113050</v>
      </c>
      <c r="I664" s="3">
        <f>정규화데이터!I664</f>
        <v>80920</v>
      </c>
      <c r="J664" s="3">
        <f>정규화데이터!J664</f>
        <v>102772.72727272726</v>
      </c>
      <c r="K664" s="25">
        <f>정규화데이터!K664</f>
        <v>61496</v>
      </c>
      <c r="L664" s="25">
        <f>정규화데이터!L664</f>
        <v>61496</v>
      </c>
      <c r="M664" s="21">
        <f t="shared" si="20"/>
        <v>41276.727272727265</v>
      </c>
      <c r="N664" s="52">
        <f t="shared" si="21"/>
        <v>0.40163113666519235</v>
      </c>
    </row>
    <row r="665" spans="1:14" x14ac:dyDescent="0.3">
      <c r="A665" t="str">
        <f>정규화데이터!A665</f>
        <v>SK스토아</v>
      </c>
      <c r="B665">
        <f>정규화데이터!B665</f>
        <v>20260210360934</v>
      </c>
      <c r="C665" t="str">
        <f>정규화데이터!C665</f>
        <v>[워커힐]워커힐 고메 시그니처 양념 본갈비 8팩</v>
      </c>
      <c r="D665">
        <f>정규화데이터!D665</f>
        <v>58481090</v>
      </c>
      <c r="E665" s="16" t="str">
        <f>정규화데이터!E665</f>
        <v>SKU001</v>
      </c>
      <c r="F665" s="3">
        <f>정규화데이터!F665</f>
        <v>1</v>
      </c>
      <c r="G665" s="3">
        <f>정규화데이터!G665</f>
        <v>119000</v>
      </c>
      <c r="H665" s="3">
        <f>정규화데이터!H665</f>
        <v>119000</v>
      </c>
      <c r="I665" s="3">
        <f>정규화데이터!I665</f>
        <v>80920</v>
      </c>
      <c r="J665" s="3">
        <f>정규화데이터!J665</f>
        <v>108181.81818181818</v>
      </c>
      <c r="K665" s="25">
        <f>정규화데이터!K665</f>
        <v>61496</v>
      </c>
      <c r="L665" s="25">
        <f>정규화데이터!L665</f>
        <v>61496</v>
      </c>
      <c r="M665" s="21">
        <f t="shared" si="20"/>
        <v>46685.818181818177</v>
      </c>
      <c r="N665" s="52">
        <f t="shared" si="21"/>
        <v>0.43154957983193276</v>
      </c>
    </row>
    <row r="666" spans="1:14" x14ac:dyDescent="0.3">
      <c r="A666" t="str">
        <f>정규화데이터!A666</f>
        <v>SK스토아</v>
      </c>
      <c r="B666">
        <f>정규화데이터!B666</f>
        <v>20260210360296</v>
      </c>
      <c r="C666" t="str">
        <f>정규화데이터!C666</f>
        <v>[워커힐]워커힐 고메 시그니처 양념 본갈비 8팩</v>
      </c>
      <c r="D666">
        <f>정규화데이터!D666</f>
        <v>58481090</v>
      </c>
      <c r="E666" s="16" t="str">
        <f>정규화데이터!E666</f>
        <v>SKU001</v>
      </c>
      <c r="F666" s="3">
        <f>정규화데이터!F666</f>
        <v>1</v>
      </c>
      <c r="G666" s="3">
        <f>정규화데이터!G666</f>
        <v>119000</v>
      </c>
      <c r="H666" s="3">
        <f>정규화데이터!H666</f>
        <v>119000</v>
      </c>
      <c r="I666" s="3">
        <f>정규화데이터!I666</f>
        <v>80920</v>
      </c>
      <c r="J666" s="3">
        <f>정규화데이터!J666</f>
        <v>108181.81818181818</v>
      </c>
      <c r="K666" s="25">
        <f>정규화데이터!K666</f>
        <v>61496</v>
      </c>
      <c r="L666" s="25">
        <f>정규화데이터!L666</f>
        <v>61496</v>
      </c>
      <c r="M666" s="21">
        <f t="shared" si="20"/>
        <v>46685.818181818177</v>
      </c>
      <c r="N666" s="52">
        <f t="shared" si="21"/>
        <v>0.43154957983193276</v>
      </c>
    </row>
    <row r="667" spans="1:14" x14ac:dyDescent="0.3">
      <c r="A667" t="str">
        <f>정규화데이터!A667</f>
        <v>SK스토아</v>
      </c>
      <c r="B667">
        <f>정규화데이터!B667</f>
        <v>20260210362146</v>
      </c>
      <c r="C667" t="str">
        <f>정규화데이터!C667</f>
        <v>[워커힐]워커힐 고메 시그니처 양념 본갈비 8팩</v>
      </c>
      <c r="D667">
        <f>정규화데이터!D667</f>
        <v>58481090</v>
      </c>
      <c r="E667" s="16" t="str">
        <f>정규화데이터!E667</f>
        <v>SKU001</v>
      </c>
      <c r="F667" s="3">
        <f>정규화데이터!F667</f>
        <v>1</v>
      </c>
      <c r="G667" s="3">
        <f>정규화데이터!G667</f>
        <v>119000</v>
      </c>
      <c r="H667" s="3">
        <f>정규화데이터!H667</f>
        <v>119000</v>
      </c>
      <c r="I667" s="3">
        <f>정규화데이터!I667</f>
        <v>80920</v>
      </c>
      <c r="J667" s="3">
        <f>정규화데이터!J667</f>
        <v>108181.81818181818</v>
      </c>
      <c r="K667" s="25">
        <f>정규화데이터!K667</f>
        <v>61496</v>
      </c>
      <c r="L667" s="25">
        <f>정규화데이터!L667</f>
        <v>61496</v>
      </c>
      <c r="M667" s="21">
        <f t="shared" si="20"/>
        <v>46685.818181818177</v>
      </c>
      <c r="N667" s="52">
        <f t="shared" si="21"/>
        <v>0.43154957983193276</v>
      </c>
    </row>
    <row r="668" spans="1:14" x14ac:dyDescent="0.3">
      <c r="A668" t="str">
        <f>정규화데이터!A668</f>
        <v>SK스토아</v>
      </c>
      <c r="B668">
        <f>정규화데이터!B668</f>
        <v>20260210360233</v>
      </c>
      <c r="C668" t="str">
        <f>정규화데이터!C668</f>
        <v>[워커힐]워커힐 고메 시그니처 양념 본갈비 8팩</v>
      </c>
      <c r="D668">
        <f>정규화데이터!D668</f>
        <v>58481090</v>
      </c>
      <c r="E668" s="16" t="str">
        <f>정규화데이터!E668</f>
        <v>SKU001</v>
      </c>
      <c r="F668" s="3">
        <f>정규화데이터!F668</f>
        <v>1</v>
      </c>
      <c r="G668" s="3">
        <f>정규화데이터!G668</f>
        <v>119000</v>
      </c>
      <c r="H668" s="3">
        <f>정규화데이터!H668</f>
        <v>95200</v>
      </c>
      <c r="I668" s="3">
        <f>정규화데이터!I668</f>
        <v>80920</v>
      </c>
      <c r="J668" s="3">
        <f>정규화데이터!J668</f>
        <v>86545.454545454544</v>
      </c>
      <c r="K668" s="25">
        <f>정규화데이터!K668</f>
        <v>61496</v>
      </c>
      <c r="L668" s="25">
        <f>정규화데이터!L668</f>
        <v>61496</v>
      </c>
      <c r="M668" s="21">
        <f t="shared" si="20"/>
        <v>25049.454545454544</v>
      </c>
      <c r="N668" s="52">
        <f t="shared" si="21"/>
        <v>0.28943697478991598</v>
      </c>
    </row>
    <row r="669" spans="1:14" x14ac:dyDescent="0.3">
      <c r="A669" t="str">
        <f>정규화데이터!A669</f>
        <v>SK스토아</v>
      </c>
      <c r="B669">
        <f>정규화데이터!B669</f>
        <v>20260210361754</v>
      </c>
      <c r="C669" t="str">
        <f>정규화데이터!C669</f>
        <v>[워커힐]워커힐 고메 시그니처 양념 본갈비 8팩</v>
      </c>
      <c r="D669">
        <f>정규화데이터!D669</f>
        <v>58481090</v>
      </c>
      <c r="E669" s="16" t="str">
        <f>정규화데이터!E669</f>
        <v>SKU001</v>
      </c>
      <c r="F669" s="3">
        <f>정규화데이터!F669</f>
        <v>1</v>
      </c>
      <c r="G669" s="3">
        <f>정규화데이터!G669</f>
        <v>119000</v>
      </c>
      <c r="H669" s="3">
        <f>정규화데이터!H669</f>
        <v>119000</v>
      </c>
      <c r="I669" s="3">
        <f>정규화데이터!I669</f>
        <v>80920</v>
      </c>
      <c r="J669" s="3">
        <f>정규화데이터!J669</f>
        <v>108181.81818181818</v>
      </c>
      <c r="K669" s="25">
        <f>정규화데이터!K669</f>
        <v>61496</v>
      </c>
      <c r="L669" s="25">
        <f>정규화데이터!L669</f>
        <v>61496</v>
      </c>
      <c r="M669" s="21">
        <f t="shared" si="20"/>
        <v>46685.818181818177</v>
      </c>
      <c r="N669" s="52">
        <f t="shared" si="21"/>
        <v>0.43154957983193276</v>
      </c>
    </row>
    <row r="670" spans="1:14" x14ac:dyDescent="0.3">
      <c r="A670" t="str">
        <f>정규화데이터!A670</f>
        <v>SK스토아</v>
      </c>
      <c r="B670">
        <f>정규화데이터!B670</f>
        <v>20260210361587</v>
      </c>
      <c r="C670" t="str">
        <f>정규화데이터!C670</f>
        <v>[워커힐]워커힐 고메 시그니처 양념 본갈비 8팩</v>
      </c>
      <c r="D670">
        <f>정규화데이터!D670</f>
        <v>58481090</v>
      </c>
      <c r="E670" s="16" t="str">
        <f>정규화데이터!E670</f>
        <v>SKU001</v>
      </c>
      <c r="F670" s="3">
        <f>정규화데이터!F670</f>
        <v>1</v>
      </c>
      <c r="G670" s="3">
        <f>정규화데이터!G670</f>
        <v>119000</v>
      </c>
      <c r="H670" s="3">
        <f>정규화데이터!H670</f>
        <v>119000</v>
      </c>
      <c r="I670" s="3">
        <f>정규화데이터!I670</f>
        <v>80920</v>
      </c>
      <c r="J670" s="3">
        <f>정규화데이터!J670</f>
        <v>108181.81818181818</v>
      </c>
      <c r="K670" s="25">
        <f>정규화데이터!K670</f>
        <v>61496</v>
      </c>
      <c r="L670" s="25">
        <f>정규화데이터!L670</f>
        <v>61496</v>
      </c>
      <c r="M670" s="21">
        <f t="shared" si="20"/>
        <v>46685.818181818177</v>
      </c>
      <c r="N670" s="52">
        <f t="shared" si="21"/>
        <v>0.43154957983193276</v>
      </c>
    </row>
    <row r="671" spans="1:14" x14ac:dyDescent="0.3">
      <c r="A671" t="str">
        <f>정규화데이터!A671</f>
        <v>SK스토아</v>
      </c>
      <c r="B671">
        <f>정규화데이터!B671</f>
        <v>20260210361077</v>
      </c>
      <c r="C671" t="str">
        <f>정규화데이터!C671</f>
        <v>[워커힐]워커힐 고메 시그니처 양념 본갈비 8팩</v>
      </c>
      <c r="D671">
        <f>정규화데이터!D671</f>
        <v>58481090</v>
      </c>
      <c r="E671" s="16" t="str">
        <f>정규화데이터!E671</f>
        <v>SKU001</v>
      </c>
      <c r="F671" s="3">
        <f>정규화데이터!F671</f>
        <v>1</v>
      </c>
      <c r="G671" s="3">
        <f>정규화데이터!G671</f>
        <v>119000</v>
      </c>
      <c r="H671" s="3">
        <f>정규화데이터!H671</f>
        <v>119000</v>
      </c>
      <c r="I671" s="3">
        <f>정규화데이터!I671</f>
        <v>80920</v>
      </c>
      <c r="J671" s="3">
        <f>정규화데이터!J671</f>
        <v>108181.81818181818</v>
      </c>
      <c r="K671" s="25">
        <f>정규화데이터!K671</f>
        <v>61496</v>
      </c>
      <c r="L671" s="25">
        <f>정규화데이터!L671</f>
        <v>61496</v>
      </c>
      <c r="M671" s="21">
        <f t="shared" si="20"/>
        <v>46685.818181818177</v>
      </c>
      <c r="N671" s="52">
        <f t="shared" si="21"/>
        <v>0.43154957983193276</v>
      </c>
    </row>
    <row r="672" spans="1:14" x14ac:dyDescent="0.3">
      <c r="A672" t="str">
        <f>정규화데이터!A672</f>
        <v>SK스토아</v>
      </c>
      <c r="B672">
        <f>정규화데이터!B672</f>
        <v>20260210360396</v>
      </c>
      <c r="C672" t="str">
        <f>정규화데이터!C672</f>
        <v>[워커힐]워커힐 고메 시그니처 양념 본갈비 8팩</v>
      </c>
      <c r="D672">
        <f>정규화데이터!D672</f>
        <v>58481090</v>
      </c>
      <c r="E672" s="16" t="str">
        <f>정규화데이터!E672</f>
        <v>SKU001</v>
      </c>
      <c r="F672" s="3">
        <f>정규화데이터!F672</f>
        <v>1</v>
      </c>
      <c r="G672" s="3">
        <f>정규화데이터!G672</f>
        <v>119000</v>
      </c>
      <c r="H672" s="3">
        <f>정규화데이터!H672</f>
        <v>119000</v>
      </c>
      <c r="I672" s="3">
        <f>정규화데이터!I672</f>
        <v>80920</v>
      </c>
      <c r="J672" s="3">
        <f>정규화데이터!J672</f>
        <v>108181.81818181818</v>
      </c>
      <c r="K672" s="25">
        <f>정규화데이터!K672</f>
        <v>61496</v>
      </c>
      <c r="L672" s="25">
        <f>정규화데이터!L672</f>
        <v>61496</v>
      </c>
      <c r="M672" s="21">
        <f t="shared" si="20"/>
        <v>46685.818181818177</v>
      </c>
      <c r="N672" s="52">
        <f t="shared" si="21"/>
        <v>0.43154957983193276</v>
      </c>
    </row>
    <row r="673" spans="1:14" x14ac:dyDescent="0.3">
      <c r="A673" t="str">
        <f>정규화데이터!A673</f>
        <v>SK스토아</v>
      </c>
      <c r="B673">
        <f>정규화데이터!B673</f>
        <v>20260210360400</v>
      </c>
      <c r="C673" t="str">
        <f>정규화데이터!C673</f>
        <v>[워커힐]워커힐 고메 시그니처 양념 본갈비 8팩</v>
      </c>
      <c r="D673">
        <f>정규화데이터!D673</f>
        <v>58481090</v>
      </c>
      <c r="E673" s="16" t="str">
        <f>정규화데이터!E673</f>
        <v>SKU001</v>
      </c>
      <c r="F673" s="3">
        <f>정규화데이터!F673</f>
        <v>1</v>
      </c>
      <c r="G673" s="3">
        <f>정규화데이터!G673</f>
        <v>119000</v>
      </c>
      <c r="H673" s="3">
        <f>정규화데이터!H673</f>
        <v>119000</v>
      </c>
      <c r="I673" s="3">
        <f>정규화데이터!I673</f>
        <v>80920</v>
      </c>
      <c r="J673" s="3">
        <f>정규화데이터!J673</f>
        <v>108181.81818181818</v>
      </c>
      <c r="K673" s="25">
        <f>정규화데이터!K673</f>
        <v>61496</v>
      </c>
      <c r="L673" s="25">
        <f>정규화데이터!L673</f>
        <v>61496</v>
      </c>
      <c r="M673" s="21">
        <f t="shared" si="20"/>
        <v>46685.818181818177</v>
      </c>
      <c r="N673" s="52">
        <f t="shared" si="21"/>
        <v>0.43154957983193276</v>
      </c>
    </row>
    <row r="674" spans="1:14" x14ac:dyDescent="0.3">
      <c r="A674" t="str">
        <f>정규화데이터!A674</f>
        <v>SK스토아</v>
      </c>
      <c r="B674">
        <f>정규화데이터!B674</f>
        <v>20260210360481</v>
      </c>
      <c r="C674" t="str">
        <f>정규화데이터!C674</f>
        <v>[워커힐]워커힐 고메 시그니처 양념 본갈비 8팩</v>
      </c>
      <c r="D674">
        <f>정규화데이터!D674</f>
        <v>58481090</v>
      </c>
      <c r="E674" s="16" t="str">
        <f>정규화데이터!E674</f>
        <v>SKU001</v>
      </c>
      <c r="F674" s="3">
        <f>정규화데이터!F674</f>
        <v>1</v>
      </c>
      <c r="G674" s="3">
        <f>정규화데이터!G674</f>
        <v>119000</v>
      </c>
      <c r="H674" s="3">
        <f>정규화데이터!H674</f>
        <v>119000</v>
      </c>
      <c r="I674" s="3">
        <f>정규화데이터!I674</f>
        <v>80920</v>
      </c>
      <c r="J674" s="3">
        <f>정규화데이터!J674</f>
        <v>108181.81818181818</v>
      </c>
      <c r="K674" s="25">
        <f>정규화데이터!K674</f>
        <v>61496</v>
      </c>
      <c r="L674" s="25">
        <f>정규화데이터!L674</f>
        <v>61496</v>
      </c>
      <c r="M674" s="21">
        <f t="shared" si="20"/>
        <v>46685.818181818177</v>
      </c>
      <c r="N674" s="52">
        <f t="shared" si="21"/>
        <v>0.43154957983193276</v>
      </c>
    </row>
    <row r="675" spans="1:14" x14ac:dyDescent="0.3">
      <c r="A675" t="str">
        <f>정규화데이터!A675</f>
        <v>SK스토아</v>
      </c>
      <c r="B675">
        <f>정규화데이터!B675</f>
        <v>20260210360563</v>
      </c>
      <c r="C675" t="str">
        <f>정규화데이터!C675</f>
        <v>[워커힐]워커힐 고메 시그니처 양념 본갈비 8팩</v>
      </c>
      <c r="D675">
        <f>정규화데이터!D675</f>
        <v>58481090</v>
      </c>
      <c r="E675" s="16" t="str">
        <f>정규화데이터!E675</f>
        <v>SKU001</v>
      </c>
      <c r="F675" s="3">
        <f>정규화데이터!F675</f>
        <v>1</v>
      </c>
      <c r="G675" s="3">
        <f>정규화데이터!G675</f>
        <v>119000</v>
      </c>
      <c r="H675" s="3">
        <f>정규화데이터!H675</f>
        <v>119000</v>
      </c>
      <c r="I675" s="3">
        <f>정규화데이터!I675</f>
        <v>80920</v>
      </c>
      <c r="J675" s="3">
        <f>정규화데이터!J675</f>
        <v>108181.81818181818</v>
      </c>
      <c r="K675" s="25">
        <f>정규화데이터!K675</f>
        <v>61496</v>
      </c>
      <c r="L675" s="25">
        <f>정규화데이터!L675</f>
        <v>61496</v>
      </c>
      <c r="M675" s="21">
        <f t="shared" si="20"/>
        <v>46685.818181818177</v>
      </c>
      <c r="N675" s="52">
        <f t="shared" si="21"/>
        <v>0.43154957983193276</v>
      </c>
    </row>
    <row r="676" spans="1:14" x14ac:dyDescent="0.3">
      <c r="A676" t="str">
        <f>정규화데이터!A676</f>
        <v>SK스토아</v>
      </c>
      <c r="B676">
        <f>정규화데이터!B676</f>
        <v>20260210360427</v>
      </c>
      <c r="C676" t="str">
        <f>정규화데이터!C676</f>
        <v>[워커힐]워커힐 고메 시그니처 양념 본갈비 8팩</v>
      </c>
      <c r="D676">
        <f>정규화데이터!D676</f>
        <v>58481090</v>
      </c>
      <c r="E676" s="16" t="str">
        <f>정규화데이터!E676</f>
        <v>SKU001</v>
      </c>
      <c r="F676" s="3">
        <f>정규화데이터!F676</f>
        <v>1</v>
      </c>
      <c r="G676" s="3">
        <f>정규화데이터!G676</f>
        <v>119000</v>
      </c>
      <c r="H676" s="3">
        <f>정규화데이터!H676</f>
        <v>119000</v>
      </c>
      <c r="I676" s="3">
        <f>정규화데이터!I676</f>
        <v>80920</v>
      </c>
      <c r="J676" s="3">
        <f>정규화데이터!J676</f>
        <v>108181.81818181818</v>
      </c>
      <c r="K676" s="25">
        <f>정규화데이터!K676</f>
        <v>61496</v>
      </c>
      <c r="L676" s="25">
        <f>정규화데이터!L676</f>
        <v>61496</v>
      </c>
      <c r="M676" s="21">
        <f t="shared" si="20"/>
        <v>46685.818181818177</v>
      </c>
      <c r="N676" s="52">
        <f t="shared" si="21"/>
        <v>0.43154957983193276</v>
      </c>
    </row>
    <row r="677" spans="1:14" x14ac:dyDescent="0.3">
      <c r="A677" t="str">
        <f>정규화데이터!A677</f>
        <v>SK스토아</v>
      </c>
      <c r="B677">
        <f>정규화데이터!B677</f>
        <v>20260210361451</v>
      </c>
      <c r="C677" t="str">
        <f>정규화데이터!C677</f>
        <v>[워커힐]워커힐 고메 시그니처 양념 본갈비 8팩</v>
      </c>
      <c r="D677">
        <f>정규화데이터!D677</f>
        <v>58481090</v>
      </c>
      <c r="E677" s="16" t="str">
        <f>정규화데이터!E677</f>
        <v>SKU001</v>
      </c>
      <c r="F677" s="3">
        <f>정규화데이터!F677</f>
        <v>1</v>
      </c>
      <c r="G677" s="3">
        <f>정규화데이터!G677</f>
        <v>119000</v>
      </c>
      <c r="H677" s="3">
        <f>정규화데이터!H677</f>
        <v>119000</v>
      </c>
      <c r="I677" s="3">
        <f>정규화데이터!I677</f>
        <v>80920</v>
      </c>
      <c r="J677" s="3">
        <f>정규화데이터!J677</f>
        <v>108181.81818181818</v>
      </c>
      <c r="K677" s="25">
        <f>정규화데이터!K677</f>
        <v>61496</v>
      </c>
      <c r="L677" s="25">
        <f>정규화데이터!L677</f>
        <v>61496</v>
      </c>
      <c r="M677" s="21">
        <f t="shared" si="20"/>
        <v>46685.818181818177</v>
      </c>
      <c r="N677" s="52">
        <f t="shared" si="21"/>
        <v>0.43154957983193276</v>
      </c>
    </row>
    <row r="678" spans="1:14" x14ac:dyDescent="0.3">
      <c r="A678" t="str">
        <f>정규화데이터!A678</f>
        <v>SK스토아</v>
      </c>
      <c r="B678">
        <f>정규화데이터!B678</f>
        <v>20260210361038</v>
      </c>
      <c r="C678" t="str">
        <f>정규화데이터!C678</f>
        <v>[워커힐]워커힐 고메 시그니처 양념 본갈비 8팩</v>
      </c>
      <c r="D678">
        <f>정규화데이터!D678</f>
        <v>58481090</v>
      </c>
      <c r="E678" s="16" t="str">
        <f>정규화데이터!E678</f>
        <v>SKU001</v>
      </c>
      <c r="F678" s="3">
        <f>정규화데이터!F678</f>
        <v>1</v>
      </c>
      <c r="G678" s="3">
        <f>정규화데이터!G678</f>
        <v>119000</v>
      </c>
      <c r="H678" s="3">
        <f>정규화데이터!H678</f>
        <v>119000</v>
      </c>
      <c r="I678" s="3">
        <f>정규화데이터!I678</f>
        <v>80920</v>
      </c>
      <c r="J678" s="3">
        <f>정규화데이터!J678</f>
        <v>108181.81818181818</v>
      </c>
      <c r="K678" s="25">
        <f>정규화데이터!K678</f>
        <v>61496</v>
      </c>
      <c r="L678" s="25">
        <f>정규화데이터!L678</f>
        <v>61496</v>
      </c>
      <c r="M678" s="21">
        <f t="shared" si="20"/>
        <v>46685.818181818177</v>
      </c>
      <c r="N678" s="52">
        <f t="shared" si="21"/>
        <v>0.43154957983193276</v>
      </c>
    </row>
    <row r="679" spans="1:14" x14ac:dyDescent="0.3">
      <c r="A679" t="str">
        <f>정규화데이터!A679</f>
        <v>SK스토아</v>
      </c>
      <c r="B679">
        <f>정규화데이터!B679</f>
        <v>20260210360291</v>
      </c>
      <c r="C679" t="str">
        <f>정규화데이터!C679</f>
        <v>[워커힐]워커힐 고메 시그니처 양념 본갈비 8팩</v>
      </c>
      <c r="D679">
        <f>정규화데이터!D679</f>
        <v>58481090</v>
      </c>
      <c r="E679" s="16" t="str">
        <f>정규화데이터!E679</f>
        <v>SKU001</v>
      </c>
      <c r="F679" s="3">
        <f>정규화데이터!F679</f>
        <v>1</v>
      </c>
      <c r="G679" s="3">
        <f>정규화데이터!G679</f>
        <v>119000</v>
      </c>
      <c r="H679" s="3">
        <f>정규화데이터!H679</f>
        <v>119000</v>
      </c>
      <c r="I679" s="3">
        <f>정규화데이터!I679</f>
        <v>80920</v>
      </c>
      <c r="J679" s="3">
        <f>정규화데이터!J679</f>
        <v>108181.81818181818</v>
      </c>
      <c r="K679" s="25">
        <f>정규화데이터!K679</f>
        <v>61496</v>
      </c>
      <c r="L679" s="25">
        <f>정규화데이터!L679</f>
        <v>61496</v>
      </c>
      <c r="M679" s="21">
        <f t="shared" si="20"/>
        <v>46685.818181818177</v>
      </c>
      <c r="N679" s="52">
        <f t="shared" si="21"/>
        <v>0.43154957983193276</v>
      </c>
    </row>
    <row r="680" spans="1:14" x14ac:dyDescent="0.3">
      <c r="A680" t="str">
        <f>정규화데이터!A680</f>
        <v>SK스토아</v>
      </c>
      <c r="B680">
        <f>정규화데이터!B680</f>
        <v>20260210361335</v>
      </c>
      <c r="C680" t="str">
        <f>정규화데이터!C680</f>
        <v>[워커힐]워커힐 고메 시그니처 양념 본갈비 8팩</v>
      </c>
      <c r="D680">
        <f>정규화데이터!D680</f>
        <v>58481090</v>
      </c>
      <c r="E680" s="16" t="str">
        <f>정규화데이터!E680</f>
        <v>SKU001</v>
      </c>
      <c r="F680" s="3">
        <f>정규화데이터!F680</f>
        <v>1</v>
      </c>
      <c r="G680" s="3">
        <f>정규화데이터!G680</f>
        <v>119000</v>
      </c>
      <c r="H680" s="3">
        <f>정규화데이터!H680</f>
        <v>119000</v>
      </c>
      <c r="I680" s="3">
        <f>정규화데이터!I680</f>
        <v>80920</v>
      </c>
      <c r="J680" s="3">
        <f>정규화데이터!J680</f>
        <v>108181.81818181818</v>
      </c>
      <c r="K680" s="25">
        <f>정규화데이터!K680</f>
        <v>61496</v>
      </c>
      <c r="L680" s="25">
        <f>정규화데이터!L680</f>
        <v>61496</v>
      </c>
      <c r="M680" s="21">
        <f t="shared" si="20"/>
        <v>46685.818181818177</v>
      </c>
      <c r="N680" s="52">
        <f t="shared" si="21"/>
        <v>0.43154957983193276</v>
      </c>
    </row>
    <row r="681" spans="1:14" x14ac:dyDescent="0.3">
      <c r="A681" t="str">
        <f>정규화데이터!A681</f>
        <v>SK스토아</v>
      </c>
      <c r="B681">
        <f>정규화데이터!B681</f>
        <v>20260210361495</v>
      </c>
      <c r="C681" t="str">
        <f>정규화데이터!C681</f>
        <v>[워커힐]워커힐 고메 시그니처 양념 본갈비 8팩</v>
      </c>
      <c r="D681">
        <f>정규화데이터!D681</f>
        <v>58481090</v>
      </c>
      <c r="E681" s="16" t="str">
        <f>정규화데이터!E681</f>
        <v>SKU001</v>
      </c>
      <c r="F681" s="3">
        <f>정규화데이터!F681</f>
        <v>1</v>
      </c>
      <c r="G681" s="3">
        <f>정규화데이터!G681</f>
        <v>119000</v>
      </c>
      <c r="H681" s="3">
        <f>정규화데이터!H681</f>
        <v>119000</v>
      </c>
      <c r="I681" s="3">
        <f>정규화데이터!I681</f>
        <v>80920</v>
      </c>
      <c r="J681" s="3">
        <f>정규화데이터!J681</f>
        <v>108181.81818181818</v>
      </c>
      <c r="K681" s="25">
        <f>정규화데이터!K681</f>
        <v>61496</v>
      </c>
      <c r="L681" s="25">
        <f>정규화데이터!L681</f>
        <v>61496</v>
      </c>
      <c r="M681" s="21">
        <f t="shared" si="20"/>
        <v>46685.818181818177</v>
      </c>
      <c r="N681" s="52">
        <f t="shared" si="21"/>
        <v>0.43154957983193276</v>
      </c>
    </row>
    <row r="682" spans="1:14" x14ac:dyDescent="0.3">
      <c r="A682" t="str">
        <f>정규화데이터!A682</f>
        <v>SK스토아</v>
      </c>
      <c r="B682">
        <f>정규화데이터!B682</f>
        <v>20260210361579</v>
      </c>
      <c r="C682" t="str">
        <f>정규화데이터!C682</f>
        <v>[워커힐]워커힐 고메 시그니처 양념 본갈비 8팩</v>
      </c>
      <c r="D682">
        <f>정규화데이터!D682</f>
        <v>58481090</v>
      </c>
      <c r="E682" s="16" t="str">
        <f>정규화데이터!E682</f>
        <v>SKU001</v>
      </c>
      <c r="F682" s="3">
        <f>정규화데이터!F682</f>
        <v>1</v>
      </c>
      <c r="G682" s="3">
        <f>정규화데이터!G682</f>
        <v>119000</v>
      </c>
      <c r="H682" s="3">
        <f>정규화데이터!H682</f>
        <v>119000</v>
      </c>
      <c r="I682" s="3">
        <f>정규화데이터!I682</f>
        <v>80920</v>
      </c>
      <c r="J682" s="3">
        <f>정규화데이터!J682</f>
        <v>108181.81818181818</v>
      </c>
      <c r="K682" s="25">
        <f>정규화데이터!K682</f>
        <v>61496</v>
      </c>
      <c r="L682" s="25">
        <f>정규화데이터!L682</f>
        <v>61496</v>
      </c>
      <c r="M682" s="21">
        <f t="shared" si="20"/>
        <v>46685.818181818177</v>
      </c>
      <c r="N682" s="52">
        <f t="shared" si="21"/>
        <v>0.43154957983193276</v>
      </c>
    </row>
    <row r="683" spans="1:14" x14ac:dyDescent="0.3">
      <c r="A683" t="str">
        <f>정규화데이터!A683</f>
        <v>SK스토아</v>
      </c>
      <c r="B683">
        <f>정규화데이터!B683</f>
        <v>20260210362044</v>
      </c>
      <c r="C683" t="str">
        <f>정규화데이터!C683</f>
        <v>[워커힐]워커힐 고메 시그니처 양념 본갈비 8팩</v>
      </c>
      <c r="D683">
        <f>정규화데이터!D683</f>
        <v>58481090</v>
      </c>
      <c r="E683" s="16" t="str">
        <f>정규화데이터!E683</f>
        <v>SKU001</v>
      </c>
      <c r="F683" s="3">
        <f>정규화데이터!F683</f>
        <v>1</v>
      </c>
      <c r="G683" s="3">
        <f>정규화데이터!G683</f>
        <v>119000</v>
      </c>
      <c r="H683" s="3">
        <f>정규화데이터!H683</f>
        <v>119000</v>
      </c>
      <c r="I683" s="3">
        <f>정규화데이터!I683</f>
        <v>80920</v>
      </c>
      <c r="J683" s="3">
        <f>정규화데이터!J683</f>
        <v>108181.81818181818</v>
      </c>
      <c r="K683" s="25">
        <f>정규화데이터!K683</f>
        <v>61496</v>
      </c>
      <c r="L683" s="25">
        <f>정규화데이터!L683</f>
        <v>61496</v>
      </c>
      <c r="M683" s="21">
        <f t="shared" si="20"/>
        <v>46685.818181818177</v>
      </c>
      <c r="N683" s="52">
        <f t="shared" si="21"/>
        <v>0.43154957983193276</v>
      </c>
    </row>
    <row r="684" spans="1:14" x14ac:dyDescent="0.3">
      <c r="A684" t="str">
        <f>정규화데이터!A684</f>
        <v>SK스토아</v>
      </c>
      <c r="B684">
        <f>정규화데이터!B684</f>
        <v>20260210360670</v>
      </c>
      <c r="C684" t="str">
        <f>정규화데이터!C684</f>
        <v>[워커힐]워커힐 고메 시그니처 양념 본갈비 8팩</v>
      </c>
      <c r="D684">
        <f>정규화데이터!D684</f>
        <v>58481090</v>
      </c>
      <c r="E684" s="16" t="str">
        <f>정규화데이터!E684</f>
        <v>SKU001</v>
      </c>
      <c r="F684" s="3">
        <f>정규화데이터!F684</f>
        <v>1</v>
      </c>
      <c r="G684" s="3">
        <f>정규화데이터!G684</f>
        <v>119000</v>
      </c>
      <c r="H684" s="3">
        <f>정규화데이터!H684</f>
        <v>119000</v>
      </c>
      <c r="I684" s="3">
        <f>정규화데이터!I684</f>
        <v>80920</v>
      </c>
      <c r="J684" s="3">
        <f>정규화데이터!J684</f>
        <v>108181.81818181818</v>
      </c>
      <c r="K684" s="25">
        <f>정규화데이터!K684</f>
        <v>61496</v>
      </c>
      <c r="L684" s="25">
        <f>정규화데이터!L684</f>
        <v>61496</v>
      </c>
      <c r="M684" s="21">
        <f t="shared" si="20"/>
        <v>46685.818181818177</v>
      </c>
      <c r="N684" s="52">
        <f t="shared" si="21"/>
        <v>0.43154957983193276</v>
      </c>
    </row>
    <row r="685" spans="1:14" x14ac:dyDescent="0.3">
      <c r="A685" t="str">
        <f>정규화데이터!A685</f>
        <v>SK스토아</v>
      </c>
      <c r="B685">
        <f>정규화데이터!B685</f>
        <v>20260210360241</v>
      </c>
      <c r="C685" t="str">
        <f>정규화데이터!C685</f>
        <v>[워커힐]워커힐 고메 시그니처 양념 본갈비 8팩</v>
      </c>
      <c r="D685">
        <f>정규화데이터!D685</f>
        <v>58481090</v>
      </c>
      <c r="E685" s="16" t="str">
        <f>정규화데이터!E685</f>
        <v>SKU001</v>
      </c>
      <c r="F685" s="3">
        <f>정규화데이터!F685</f>
        <v>1</v>
      </c>
      <c r="G685" s="3">
        <f>정규화데이터!G685</f>
        <v>119000</v>
      </c>
      <c r="H685" s="3">
        <f>정규화데이터!H685</f>
        <v>119000</v>
      </c>
      <c r="I685" s="3">
        <f>정규화데이터!I685</f>
        <v>80920</v>
      </c>
      <c r="J685" s="3">
        <f>정규화데이터!J685</f>
        <v>108181.81818181818</v>
      </c>
      <c r="K685" s="25">
        <f>정규화데이터!K685</f>
        <v>61496</v>
      </c>
      <c r="L685" s="25">
        <f>정규화데이터!L685</f>
        <v>61496</v>
      </c>
      <c r="M685" s="21">
        <f t="shared" si="20"/>
        <v>46685.818181818177</v>
      </c>
      <c r="N685" s="52">
        <f t="shared" si="21"/>
        <v>0.43154957983193276</v>
      </c>
    </row>
    <row r="686" spans="1:14" x14ac:dyDescent="0.3">
      <c r="A686" t="str">
        <f>정규화데이터!A686</f>
        <v>SK스토아</v>
      </c>
      <c r="B686">
        <f>정규화데이터!B686</f>
        <v>20260210361564</v>
      </c>
      <c r="C686" t="str">
        <f>정규화데이터!C686</f>
        <v>[워커힐]워커힐 고메 시그니처 양념 본갈비 8팩</v>
      </c>
      <c r="D686">
        <f>정규화데이터!D686</f>
        <v>58481090</v>
      </c>
      <c r="E686" s="16" t="str">
        <f>정규화데이터!E686</f>
        <v>SKU001</v>
      </c>
      <c r="F686" s="3">
        <f>정규화데이터!F686</f>
        <v>1</v>
      </c>
      <c r="G686" s="3">
        <f>정규화데이터!G686</f>
        <v>119000</v>
      </c>
      <c r="H686" s="3">
        <f>정규화데이터!H686</f>
        <v>119000</v>
      </c>
      <c r="I686" s="3">
        <f>정규화데이터!I686</f>
        <v>80920</v>
      </c>
      <c r="J686" s="3">
        <f>정규화데이터!J686</f>
        <v>108181.81818181818</v>
      </c>
      <c r="K686" s="25">
        <f>정규화데이터!K686</f>
        <v>61496</v>
      </c>
      <c r="L686" s="25">
        <f>정규화데이터!L686</f>
        <v>61496</v>
      </c>
      <c r="M686" s="21">
        <f t="shared" si="20"/>
        <v>46685.818181818177</v>
      </c>
      <c r="N686" s="52">
        <f t="shared" si="21"/>
        <v>0.43154957983193276</v>
      </c>
    </row>
    <row r="687" spans="1:14" x14ac:dyDescent="0.3">
      <c r="A687" t="str">
        <f>정규화데이터!A687</f>
        <v>SK스토아</v>
      </c>
      <c r="B687">
        <f>정규화데이터!B687</f>
        <v>20260210361948</v>
      </c>
      <c r="C687" t="str">
        <f>정규화데이터!C687</f>
        <v>[워커힐]워커힐 고메 시그니처 양념 본갈비 8팩</v>
      </c>
      <c r="D687">
        <f>정규화데이터!D687</f>
        <v>58481090</v>
      </c>
      <c r="E687" s="16" t="str">
        <f>정규화데이터!E687</f>
        <v>SKU001</v>
      </c>
      <c r="F687" s="3">
        <f>정규화데이터!F687</f>
        <v>1</v>
      </c>
      <c r="G687" s="3">
        <f>정규화데이터!G687</f>
        <v>119000</v>
      </c>
      <c r="H687" s="3">
        <f>정규화데이터!H687</f>
        <v>113050</v>
      </c>
      <c r="I687" s="3">
        <f>정규화데이터!I687</f>
        <v>80920</v>
      </c>
      <c r="J687" s="3">
        <f>정규화데이터!J687</f>
        <v>102772.72727272726</v>
      </c>
      <c r="K687" s="25">
        <f>정규화데이터!K687</f>
        <v>61496</v>
      </c>
      <c r="L687" s="25">
        <f>정규화데이터!L687</f>
        <v>61496</v>
      </c>
      <c r="M687" s="21">
        <f t="shared" si="20"/>
        <v>41276.727272727265</v>
      </c>
      <c r="N687" s="52">
        <f t="shared" si="21"/>
        <v>0.40163113666519235</v>
      </c>
    </row>
    <row r="688" spans="1:14" x14ac:dyDescent="0.3">
      <c r="A688" t="str">
        <f>정규화데이터!A688</f>
        <v>SK스토아</v>
      </c>
      <c r="B688">
        <f>정규화데이터!B688</f>
        <v>20260210361019</v>
      </c>
      <c r="C688" t="str">
        <f>정규화데이터!C688</f>
        <v>[워커힐]워커힐 고메 시그니처 양념 본갈비 8팩</v>
      </c>
      <c r="D688">
        <f>정규화데이터!D688</f>
        <v>58481090</v>
      </c>
      <c r="E688" s="16" t="str">
        <f>정규화데이터!E688</f>
        <v>SKU001</v>
      </c>
      <c r="F688" s="3">
        <f>정규화데이터!F688</f>
        <v>1</v>
      </c>
      <c r="G688" s="3">
        <f>정규화데이터!G688</f>
        <v>119000</v>
      </c>
      <c r="H688" s="3">
        <f>정규화데이터!H688</f>
        <v>119000</v>
      </c>
      <c r="I688" s="3">
        <f>정규화데이터!I688</f>
        <v>80920</v>
      </c>
      <c r="J688" s="3">
        <f>정규화데이터!J688</f>
        <v>108181.81818181818</v>
      </c>
      <c r="K688" s="25">
        <f>정규화데이터!K688</f>
        <v>61496</v>
      </c>
      <c r="L688" s="25">
        <f>정규화데이터!L688</f>
        <v>61496</v>
      </c>
      <c r="M688" s="21">
        <f t="shared" si="20"/>
        <v>46685.818181818177</v>
      </c>
      <c r="N688" s="52">
        <f t="shared" si="21"/>
        <v>0.43154957983193276</v>
      </c>
    </row>
    <row r="689" spans="1:14" x14ac:dyDescent="0.3">
      <c r="A689" t="str">
        <f>정규화데이터!A689</f>
        <v>SK스토아</v>
      </c>
      <c r="B689">
        <f>정규화데이터!B689</f>
        <v>20260210361847</v>
      </c>
      <c r="C689" t="str">
        <f>정규화데이터!C689</f>
        <v>[워커힐]워커힐 고메 시그니처 양념 본갈비 8팩</v>
      </c>
      <c r="D689">
        <f>정규화데이터!D689</f>
        <v>58481090</v>
      </c>
      <c r="E689" s="16" t="str">
        <f>정규화데이터!E689</f>
        <v>SKU001</v>
      </c>
      <c r="F689" s="3">
        <f>정규화데이터!F689</f>
        <v>1</v>
      </c>
      <c r="G689" s="3">
        <f>정규화데이터!G689</f>
        <v>119000</v>
      </c>
      <c r="H689" s="3">
        <f>정규화데이터!H689</f>
        <v>119000</v>
      </c>
      <c r="I689" s="3">
        <f>정규화데이터!I689</f>
        <v>80920</v>
      </c>
      <c r="J689" s="3">
        <f>정규화데이터!J689</f>
        <v>108181.81818181818</v>
      </c>
      <c r="K689" s="25">
        <f>정규화데이터!K689</f>
        <v>61496</v>
      </c>
      <c r="L689" s="25">
        <f>정규화데이터!L689</f>
        <v>61496</v>
      </c>
      <c r="M689" s="21">
        <f t="shared" si="20"/>
        <v>46685.818181818177</v>
      </c>
      <c r="N689" s="52">
        <f t="shared" si="21"/>
        <v>0.43154957983193276</v>
      </c>
    </row>
    <row r="690" spans="1:14" x14ac:dyDescent="0.3">
      <c r="A690" t="str">
        <f>정규화데이터!A690</f>
        <v>SK스토아</v>
      </c>
      <c r="B690">
        <f>정규화데이터!B690</f>
        <v>20260210362019</v>
      </c>
      <c r="C690" t="str">
        <f>정규화데이터!C690</f>
        <v>[워커힐]워커힐 고메 시그니처 양념 본갈비 8팩</v>
      </c>
      <c r="D690">
        <f>정규화데이터!D690</f>
        <v>58481090</v>
      </c>
      <c r="E690" s="16" t="str">
        <f>정규화데이터!E690</f>
        <v>SKU001</v>
      </c>
      <c r="F690" s="3">
        <f>정규화데이터!F690</f>
        <v>1</v>
      </c>
      <c r="G690" s="3">
        <f>정규화데이터!G690</f>
        <v>119000</v>
      </c>
      <c r="H690" s="3">
        <f>정규화데이터!H690</f>
        <v>113050</v>
      </c>
      <c r="I690" s="3">
        <f>정규화데이터!I690</f>
        <v>80920</v>
      </c>
      <c r="J690" s="3">
        <f>정규화데이터!J690</f>
        <v>102772.72727272726</v>
      </c>
      <c r="K690" s="25">
        <f>정규화데이터!K690</f>
        <v>61496</v>
      </c>
      <c r="L690" s="25">
        <f>정규화데이터!L690</f>
        <v>61496</v>
      </c>
      <c r="M690" s="21">
        <f t="shared" si="20"/>
        <v>41276.727272727265</v>
      </c>
      <c r="N690" s="52">
        <f t="shared" si="21"/>
        <v>0.40163113666519235</v>
      </c>
    </row>
    <row r="691" spans="1:14" x14ac:dyDescent="0.3">
      <c r="A691" t="str">
        <f>정규화데이터!A691</f>
        <v>SK스토아</v>
      </c>
      <c r="B691">
        <f>정규화데이터!B691</f>
        <v>20260210362206</v>
      </c>
      <c r="C691" t="str">
        <f>정규화데이터!C691</f>
        <v>[워커힐]워커힐 고메 시그니처 양념 본갈비 8팩</v>
      </c>
      <c r="D691">
        <f>정규화데이터!D691</f>
        <v>58481090</v>
      </c>
      <c r="E691" s="16" t="str">
        <f>정규화데이터!E691</f>
        <v>SKU001</v>
      </c>
      <c r="F691" s="3">
        <f>정규화데이터!F691</f>
        <v>1</v>
      </c>
      <c r="G691" s="3">
        <f>정규화데이터!G691</f>
        <v>119000</v>
      </c>
      <c r="H691" s="3">
        <f>정규화데이터!H691</f>
        <v>113050</v>
      </c>
      <c r="I691" s="3">
        <f>정규화데이터!I691</f>
        <v>80920</v>
      </c>
      <c r="J691" s="3">
        <f>정규화데이터!J691</f>
        <v>102772.72727272726</v>
      </c>
      <c r="K691" s="25">
        <f>정규화데이터!K691</f>
        <v>61496</v>
      </c>
      <c r="L691" s="25">
        <f>정규화데이터!L691</f>
        <v>61496</v>
      </c>
      <c r="M691" s="21">
        <f t="shared" si="20"/>
        <v>41276.727272727265</v>
      </c>
      <c r="N691" s="52">
        <f t="shared" si="21"/>
        <v>0.40163113666519235</v>
      </c>
    </row>
    <row r="692" spans="1:14" x14ac:dyDescent="0.3">
      <c r="A692" t="str">
        <f>정규화데이터!A692</f>
        <v>SK스토아</v>
      </c>
      <c r="B692">
        <f>정규화데이터!B692</f>
        <v>20260210361041</v>
      </c>
      <c r="C692" t="str">
        <f>정규화데이터!C692</f>
        <v>[워커힐]워커힐 고메 시그니처 양념 본갈비 8팩</v>
      </c>
      <c r="D692">
        <f>정규화데이터!D692</f>
        <v>58481090</v>
      </c>
      <c r="E692" s="16" t="str">
        <f>정규화데이터!E692</f>
        <v>SKU001</v>
      </c>
      <c r="F692" s="3">
        <f>정규화데이터!F692</f>
        <v>1</v>
      </c>
      <c r="G692" s="3">
        <f>정규화데이터!G692</f>
        <v>119000</v>
      </c>
      <c r="H692" s="3">
        <f>정규화데이터!H692</f>
        <v>113050</v>
      </c>
      <c r="I692" s="3">
        <f>정규화데이터!I692</f>
        <v>80920</v>
      </c>
      <c r="J692" s="3">
        <f>정규화데이터!J692</f>
        <v>102772.72727272726</v>
      </c>
      <c r="K692" s="25">
        <f>정규화데이터!K692</f>
        <v>61496</v>
      </c>
      <c r="L692" s="25">
        <f>정규화데이터!L692</f>
        <v>61496</v>
      </c>
      <c r="M692" s="21">
        <f t="shared" si="20"/>
        <v>41276.727272727265</v>
      </c>
      <c r="N692" s="52">
        <f t="shared" si="21"/>
        <v>0.40163113666519235</v>
      </c>
    </row>
    <row r="693" spans="1:14" x14ac:dyDescent="0.3">
      <c r="A693" t="str">
        <f>정규화데이터!A693</f>
        <v>SK스토아</v>
      </c>
      <c r="B693">
        <f>정규화데이터!B693</f>
        <v>20260210361683</v>
      </c>
      <c r="C693" t="str">
        <f>정규화데이터!C693</f>
        <v>[워커힐]워커힐 고메 시그니처 양념 본갈비 8팩</v>
      </c>
      <c r="D693">
        <f>정규화데이터!D693</f>
        <v>58481090</v>
      </c>
      <c r="E693" s="16" t="str">
        <f>정규화데이터!E693</f>
        <v>SKU001</v>
      </c>
      <c r="F693" s="3">
        <f>정규화데이터!F693</f>
        <v>1</v>
      </c>
      <c r="G693" s="3">
        <f>정규화데이터!G693</f>
        <v>119000</v>
      </c>
      <c r="H693" s="3">
        <f>정규화데이터!H693</f>
        <v>119000</v>
      </c>
      <c r="I693" s="3">
        <f>정규화데이터!I693</f>
        <v>80920</v>
      </c>
      <c r="J693" s="3">
        <f>정규화데이터!J693</f>
        <v>108181.81818181818</v>
      </c>
      <c r="K693" s="25">
        <f>정규화데이터!K693</f>
        <v>61496</v>
      </c>
      <c r="L693" s="25">
        <f>정규화데이터!L693</f>
        <v>61496</v>
      </c>
      <c r="M693" s="21">
        <f t="shared" si="20"/>
        <v>46685.818181818177</v>
      </c>
      <c r="N693" s="52">
        <f t="shared" si="21"/>
        <v>0.43154957983193276</v>
      </c>
    </row>
    <row r="694" spans="1:14" x14ac:dyDescent="0.3">
      <c r="A694" t="str">
        <f>정규화데이터!A694</f>
        <v>SK스토아</v>
      </c>
      <c r="B694">
        <f>정규화데이터!B694</f>
        <v>20260210361352</v>
      </c>
      <c r="C694" t="str">
        <f>정규화데이터!C694</f>
        <v>[워커힐]워커힐 고메 시그니처 양념 본갈비 8팩</v>
      </c>
      <c r="D694">
        <f>정규화데이터!D694</f>
        <v>58481090</v>
      </c>
      <c r="E694" s="16" t="str">
        <f>정규화데이터!E694</f>
        <v>SKU001</v>
      </c>
      <c r="F694" s="3">
        <f>정규화데이터!F694</f>
        <v>1</v>
      </c>
      <c r="G694" s="3">
        <f>정규화데이터!G694</f>
        <v>119000</v>
      </c>
      <c r="H694" s="3">
        <f>정규화데이터!H694</f>
        <v>119000</v>
      </c>
      <c r="I694" s="3">
        <f>정규화데이터!I694</f>
        <v>80920</v>
      </c>
      <c r="J694" s="3">
        <f>정규화데이터!J694</f>
        <v>108181.81818181818</v>
      </c>
      <c r="K694" s="25">
        <f>정규화데이터!K694</f>
        <v>61496</v>
      </c>
      <c r="L694" s="25">
        <f>정규화데이터!L694</f>
        <v>61496</v>
      </c>
      <c r="M694" s="21">
        <f t="shared" si="20"/>
        <v>46685.818181818177</v>
      </c>
      <c r="N694" s="52">
        <f t="shared" si="21"/>
        <v>0.43154957983193276</v>
      </c>
    </row>
    <row r="695" spans="1:14" x14ac:dyDescent="0.3">
      <c r="A695" t="str">
        <f>정규화데이터!A695</f>
        <v>SK스토아</v>
      </c>
      <c r="B695">
        <f>정규화데이터!B695</f>
        <v>20260210361525</v>
      </c>
      <c r="C695" t="str">
        <f>정규화데이터!C695</f>
        <v>[워커힐]워커힐 고메 시그니처 양념 본갈비 8팩</v>
      </c>
      <c r="D695">
        <f>정규화데이터!D695</f>
        <v>58481090</v>
      </c>
      <c r="E695" s="16" t="str">
        <f>정규화데이터!E695</f>
        <v>SKU001</v>
      </c>
      <c r="F695" s="3">
        <f>정규화데이터!F695</f>
        <v>1</v>
      </c>
      <c r="G695" s="3">
        <f>정규화데이터!G695</f>
        <v>119000</v>
      </c>
      <c r="H695" s="3">
        <f>정규화데이터!H695</f>
        <v>119000</v>
      </c>
      <c r="I695" s="3">
        <f>정규화데이터!I695</f>
        <v>80920</v>
      </c>
      <c r="J695" s="3">
        <f>정규화데이터!J695</f>
        <v>108181.81818181818</v>
      </c>
      <c r="K695" s="25">
        <f>정규화데이터!K695</f>
        <v>61496</v>
      </c>
      <c r="L695" s="25">
        <f>정규화데이터!L695</f>
        <v>61496</v>
      </c>
      <c r="M695" s="21">
        <f t="shared" si="20"/>
        <v>46685.818181818177</v>
      </c>
      <c r="N695" s="52">
        <f t="shared" si="21"/>
        <v>0.43154957983193276</v>
      </c>
    </row>
    <row r="696" spans="1:14" x14ac:dyDescent="0.3">
      <c r="A696" t="str">
        <f>정규화데이터!A696</f>
        <v>SK스토아</v>
      </c>
      <c r="B696">
        <f>정규화데이터!B696</f>
        <v>20260210361011</v>
      </c>
      <c r="C696" t="str">
        <f>정규화데이터!C696</f>
        <v>[워커힐]워커힐 고메 시그니처 양념 본갈비 8팩</v>
      </c>
      <c r="D696">
        <f>정규화데이터!D696</f>
        <v>58481090</v>
      </c>
      <c r="E696" s="16" t="str">
        <f>정규화데이터!E696</f>
        <v>SKU001</v>
      </c>
      <c r="F696" s="3">
        <f>정규화데이터!F696</f>
        <v>1</v>
      </c>
      <c r="G696" s="3">
        <f>정규화데이터!G696</f>
        <v>119000</v>
      </c>
      <c r="H696" s="3">
        <f>정규화데이터!H696</f>
        <v>119000</v>
      </c>
      <c r="I696" s="3">
        <f>정규화데이터!I696</f>
        <v>80920</v>
      </c>
      <c r="J696" s="3">
        <f>정규화데이터!J696</f>
        <v>108181.81818181818</v>
      </c>
      <c r="K696" s="25">
        <f>정규화데이터!K696</f>
        <v>61496</v>
      </c>
      <c r="L696" s="25">
        <f>정규화데이터!L696</f>
        <v>61496</v>
      </c>
      <c r="M696" s="21">
        <f t="shared" si="20"/>
        <v>46685.818181818177</v>
      </c>
      <c r="N696" s="52">
        <f t="shared" si="21"/>
        <v>0.43154957983193276</v>
      </c>
    </row>
    <row r="697" spans="1:14" x14ac:dyDescent="0.3">
      <c r="A697" t="str">
        <f>정규화데이터!A697</f>
        <v>SK스토아</v>
      </c>
      <c r="B697">
        <f>정규화데이터!B697</f>
        <v>20260210361551</v>
      </c>
      <c r="C697" t="str">
        <f>정규화데이터!C697</f>
        <v>[워커힐]워커힐 고메 시그니처 양념 본갈비 8팩</v>
      </c>
      <c r="D697">
        <f>정규화데이터!D697</f>
        <v>58481090</v>
      </c>
      <c r="E697" s="16" t="str">
        <f>정규화데이터!E697</f>
        <v>SKU001</v>
      </c>
      <c r="F697" s="3">
        <f>정규화데이터!F697</f>
        <v>1</v>
      </c>
      <c r="G697" s="3">
        <f>정규화데이터!G697</f>
        <v>119000</v>
      </c>
      <c r="H697" s="3">
        <f>정규화데이터!H697</f>
        <v>119000</v>
      </c>
      <c r="I697" s="3">
        <f>정규화데이터!I697</f>
        <v>80920</v>
      </c>
      <c r="J697" s="3">
        <f>정규화데이터!J697</f>
        <v>108181.81818181818</v>
      </c>
      <c r="K697" s="25">
        <f>정규화데이터!K697</f>
        <v>61496</v>
      </c>
      <c r="L697" s="25">
        <f>정규화데이터!L697</f>
        <v>61496</v>
      </c>
      <c r="M697" s="21">
        <f t="shared" si="20"/>
        <v>46685.818181818177</v>
      </c>
      <c r="N697" s="52">
        <f t="shared" si="21"/>
        <v>0.43154957983193276</v>
      </c>
    </row>
    <row r="698" spans="1:14" x14ac:dyDescent="0.3">
      <c r="A698" t="str">
        <f>정규화데이터!A698</f>
        <v>SK스토아</v>
      </c>
      <c r="B698">
        <f>정규화데이터!B698</f>
        <v>20260210361861</v>
      </c>
      <c r="C698" t="str">
        <f>정규화데이터!C698</f>
        <v>[워커힐]워커힐 고메 시그니처 양념 본갈비 8팩</v>
      </c>
      <c r="D698">
        <f>정규화데이터!D698</f>
        <v>58481090</v>
      </c>
      <c r="E698" s="16" t="str">
        <f>정규화데이터!E698</f>
        <v>SKU001</v>
      </c>
      <c r="F698" s="3">
        <f>정규화데이터!F698</f>
        <v>1</v>
      </c>
      <c r="G698" s="3">
        <f>정규화데이터!G698</f>
        <v>119000</v>
      </c>
      <c r="H698" s="3">
        <f>정규화데이터!H698</f>
        <v>119000</v>
      </c>
      <c r="I698" s="3">
        <f>정규화데이터!I698</f>
        <v>80920</v>
      </c>
      <c r="J698" s="3">
        <f>정규화데이터!J698</f>
        <v>108181.81818181818</v>
      </c>
      <c r="K698" s="25">
        <f>정규화데이터!K698</f>
        <v>61496</v>
      </c>
      <c r="L698" s="25">
        <f>정규화데이터!L698</f>
        <v>61496</v>
      </c>
      <c r="M698" s="21">
        <f t="shared" si="20"/>
        <v>46685.818181818177</v>
      </c>
      <c r="N698" s="52">
        <f t="shared" si="21"/>
        <v>0.43154957983193276</v>
      </c>
    </row>
    <row r="699" spans="1:14" x14ac:dyDescent="0.3">
      <c r="A699" t="str">
        <f>정규화데이터!A699</f>
        <v>SK스토아</v>
      </c>
      <c r="B699">
        <f>정규화데이터!B699</f>
        <v>20260210361346</v>
      </c>
      <c r="C699" t="str">
        <f>정규화데이터!C699</f>
        <v>[워커힐]워커힐 고메 시그니처 양념 본갈비 8팩</v>
      </c>
      <c r="D699">
        <f>정규화데이터!D699</f>
        <v>58481090</v>
      </c>
      <c r="E699" s="16" t="str">
        <f>정규화데이터!E699</f>
        <v>SKU001</v>
      </c>
      <c r="F699" s="3">
        <f>정규화데이터!F699</f>
        <v>1</v>
      </c>
      <c r="G699" s="3">
        <f>정규화데이터!G699</f>
        <v>119000</v>
      </c>
      <c r="H699" s="3">
        <f>정규화데이터!H699</f>
        <v>119000</v>
      </c>
      <c r="I699" s="3">
        <f>정규화데이터!I699</f>
        <v>80920</v>
      </c>
      <c r="J699" s="3">
        <f>정규화데이터!J699</f>
        <v>108181.81818181818</v>
      </c>
      <c r="K699" s="25">
        <f>정규화데이터!K699</f>
        <v>61496</v>
      </c>
      <c r="L699" s="25">
        <f>정규화데이터!L699</f>
        <v>61496</v>
      </c>
      <c r="M699" s="21">
        <f t="shared" si="20"/>
        <v>46685.818181818177</v>
      </c>
      <c r="N699" s="52">
        <f t="shared" si="21"/>
        <v>0.43154957983193276</v>
      </c>
    </row>
    <row r="700" spans="1:14" x14ac:dyDescent="0.3">
      <c r="A700" t="str">
        <f>정규화데이터!A700</f>
        <v>SK스토아</v>
      </c>
      <c r="B700">
        <f>정규화데이터!B700</f>
        <v>20260210361491</v>
      </c>
      <c r="C700" t="str">
        <f>정규화데이터!C700</f>
        <v>[워커힐]워커힐 고메 시그니처 양념 본갈비 8팩</v>
      </c>
      <c r="D700">
        <f>정규화데이터!D700</f>
        <v>58481090</v>
      </c>
      <c r="E700" s="16" t="str">
        <f>정규화데이터!E700</f>
        <v>SKU001</v>
      </c>
      <c r="F700" s="3">
        <f>정규화데이터!F700</f>
        <v>1</v>
      </c>
      <c r="G700" s="3">
        <f>정규화데이터!G700</f>
        <v>119000</v>
      </c>
      <c r="H700" s="3">
        <f>정규화데이터!H700</f>
        <v>119000</v>
      </c>
      <c r="I700" s="3">
        <f>정규화데이터!I700</f>
        <v>80920</v>
      </c>
      <c r="J700" s="3">
        <f>정규화데이터!J700</f>
        <v>108181.81818181818</v>
      </c>
      <c r="K700" s="25">
        <f>정규화데이터!K700</f>
        <v>61496</v>
      </c>
      <c r="L700" s="25">
        <f>정규화데이터!L700</f>
        <v>61496</v>
      </c>
      <c r="M700" s="21">
        <f t="shared" si="20"/>
        <v>46685.818181818177</v>
      </c>
      <c r="N700" s="52">
        <f t="shared" si="21"/>
        <v>0.43154957983193276</v>
      </c>
    </row>
    <row r="701" spans="1:14" x14ac:dyDescent="0.3">
      <c r="A701" t="str">
        <f>정규화데이터!A701</f>
        <v>SK스토아</v>
      </c>
      <c r="B701">
        <f>정규화데이터!B701</f>
        <v>20260210362075</v>
      </c>
      <c r="C701" t="str">
        <f>정규화데이터!C701</f>
        <v>[워커힐]워커힐 고메 시그니처 양념 본갈비 8팩</v>
      </c>
      <c r="D701">
        <f>정규화데이터!D701</f>
        <v>58481090</v>
      </c>
      <c r="E701" s="16" t="str">
        <f>정규화데이터!E701</f>
        <v>SKU001</v>
      </c>
      <c r="F701" s="3">
        <f>정규화데이터!F701</f>
        <v>1</v>
      </c>
      <c r="G701" s="3">
        <f>정규화데이터!G701</f>
        <v>119000</v>
      </c>
      <c r="H701" s="3">
        <f>정규화데이터!H701</f>
        <v>119000</v>
      </c>
      <c r="I701" s="3">
        <f>정규화데이터!I701</f>
        <v>80920</v>
      </c>
      <c r="J701" s="3">
        <f>정규화데이터!J701</f>
        <v>108181.81818181818</v>
      </c>
      <c r="K701" s="25">
        <f>정규화데이터!K701</f>
        <v>61496</v>
      </c>
      <c r="L701" s="25">
        <f>정규화데이터!L701</f>
        <v>61496</v>
      </c>
      <c r="M701" s="21">
        <f t="shared" si="20"/>
        <v>46685.818181818177</v>
      </c>
      <c r="N701" s="52">
        <f t="shared" si="21"/>
        <v>0.43154957983193276</v>
      </c>
    </row>
    <row r="702" spans="1:14" x14ac:dyDescent="0.3">
      <c r="A702" t="str">
        <f>정규화데이터!A702</f>
        <v>SK스토아</v>
      </c>
      <c r="B702">
        <f>정규화데이터!B702</f>
        <v>20260210362158</v>
      </c>
      <c r="C702" t="str">
        <f>정규화데이터!C702</f>
        <v>[워커힐]워커힐 고메 시그니처 양념 본갈비 8팩</v>
      </c>
      <c r="D702">
        <f>정규화데이터!D702</f>
        <v>58481090</v>
      </c>
      <c r="E702" s="16" t="str">
        <f>정규화데이터!E702</f>
        <v>SKU001</v>
      </c>
      <c r="F702" s="3">
        <f>정규화데이터!F702</f>
        <v>1</v>
      </c>
      <c r="G702" s="3">
        <f>정규화데이터!G702</f>
        <v>119000</v>
      </c>
      <c r="H702" s="3">
        <f>정규화데이터!H702</f>
        <v>119000</v>
      </c>
      <c r="I702" s="3">
        <f>정규화데이터!I702</f>
        <v>80920</v>
      </c>
      <c r="J702" s="3">
        <f>정규화데이터!J702</f>
        <v>108181.81818181818</v>
      </c>
      <c r="K702" s="25">
        <f>정규화데이터!K702</f>
        <v>61496</v>
      </c>
      <c r="L702" s="25">
        <f>정규화데이터!L702</f>
        <v>61496</v>
      </c>
      <c r="M702" s="21">
        <f t="shared" si="20"/>
        <v>46685.818181818177</v>
      </c>
      <c r="N702" s="52">
        <f t="shared" si="21"/>
        <v>0.43154957983193276</v>
      </c>
    </row>
    <row r="703" spans="1:14" x14ac:dyDescent="0.3">
      <c r="A703" t="str">
        <f>정규화데이터!A703</f>
        <v>SK스토아</v>
      </c>
      <c r="B703">
        <f>정규화데이터!B703</f>
        <v>20260210360596</v>
      </c>
      <c r="C703" t="str">
        <f>정규화데이터!C703</f>
        <v>[워커힐]워커힐 고메 시그니처 양념 본갈비 8팩</v>
      </c>
      <c r="D703">
        <f>정규화데이터!D703</f>
        <v>58481090</v>
      </c>
      <c r="E703" s="16" t="str">
        <f>정규화데이터!E703</f>
        <v>SKU001</v>
      </c>
      <c r="F703" s="3">
        <f>정규화데이터!F703</f>
        <v>1</v>
      </c>
      <c r="G703" s="3">
        <f>정규화데이터!G703</f>
        <v>119000</v>
      </c>
      <c r="H703" s="3">
        <f>정규화데이터!H703</f>
        <v>119000</v>
      </c>
      <c r="I703" s="3">
        <f>정규화데이터!I703</f>
        <v>80920</v>
      </c>
      <c r="J703" s="3">
        <f>정규화데이터!J703</f>
        <v>108181.81818181818</v>
      </c>
      <c r="K703" s="25">
        <f>정규화데이터!K703</f>
        <v>61496</v>
      </c>
      <c r="L703" s="25">
        <f>정규화데이터!L703</f>
        <v>61496</v>
      </c>
      <c r="M703" s="21">
        <f t="shared" si="20"/>
        <v>46685.818181818177</v>
      </c>
      <c r="N703" s="52">
        <f t="shared" si="21"/>
        <v>0.43154957983193276</v>
      </c>
    </row>
    <row r="704" spans="1:14" x14ac:dyDescent="0.3">
      <c r="A704" t="str">
        <f>정규화데이터!A704</f>
        <v>SK스토아</v>
      </c>
      <c r="B704">
        <f>정규화데이터!B704</f>
        <v>20260210360302</v>
      </c>
      <c r="C704" t="str">
        <f>정규화데이터!C704</f>
        <v>[워커힐]워커힐 고메 시그니처 양념 본갈비 8팩</v>
      </c>
      <c r="D704">
        <f>정규화데이터!D704</f>
        <v>58481090</v>
      </c>
      <c r="E704" s="16" t="str">
        <f>정규화데이터!E704</f>
        <v>SKU001</v>
      </c>
      <c r="F704" s="3">
        <f>정규화데이터!F704</f>
        <v>1</v>
      </c>
      <c r="G704" s="3">
        <f>정규화데이터!G704</f>
        <v>119000</v>
      </c>
      <c r="H704" s="3">
        <f>정규화데이터!H704</f>
        <v>119000</v>
      </c>
      <c r="I704" s="3">
        <f>정규화데이터!I704</f>
        <v>80920</v>
      </c>
      <c r="J704" s="3">
        <f>정규화데이터!J704</f>
        <v>108181.81818181818</v>
      </c>
      <c r="K704" s="25">
        <f>정규화데이터!K704</f>
        <v>61496</v>
      </c>
      <c r="L704" s="25">
        <f>정규화데이터!L704</f>
        <v>61496</v>
      </c>
      <c r="M704" s="21">
        <f t="shared" si="20"/>
        <v>46685.818181818177</v>
      </c>
      <c r="N704" s="52">
        <f t="shared" si="21"/>
        <v>0.43154957983193276</v>
      </c>
    </row>
    <row r="705" spans="1:14" x14ac:dyDescent="0.3">
      <c r="A705" t="str">
        <f>정규화데이터!A705</f>
        <v>SK스토아</v>
      </c>
      <c r="B705">
        <f>정규화데이터!B705</f>
        <v>20260210360928</v>
      </c>
      <c r="C705" t="str">
        <f>정규화데이터!C705</f>
        <v>[워커힐]워커힐 고메 시그니처 양념 본갈비 8팩</v>
      </c>
      <c r="D705">
        <f>정규화데이터!D705</f>
        <v>58481090</v>
      </c>
      <c r="E705" s="16" t="str">
        <f>정규화데이터!E705</f>
        <v>SKU001</v>
      </c>
      <c r="F705" s="3">
        <f>정규화데이터!F705</f>
        <v>1</v>
      </c>
      <c r="G705" s="3">
        <f>정규화데이터!G705</f>
        <v>119000</v>
      </c>
      <c r="H705" s="3">
        <f>정규화데이터!H705</f>
        <v>119000</v>
      </c>
      <c r="I705" s="3">
        <f>정규화데이터!I705</f>
        <v>80920</v>
      </c>
      <c r="J705" s="3">
        <f>정규화데이터!J705</f>
        <v>108181.81818181818</v>
      </c>
      <c r="K705" s="25">
        <f>정규화데이터!K705</f>
        <v>61496</v>
      </c>
      <c r="L705" s="25">
        <f>정규화데이터!L705</f>
        <v>61496</v>
      </c>
      <c r="M705" s="21">
        <f t="shared" si="20"/>
        <v>46685.818181818177</v>
      </c>
      <c r="N705" s="52">
        <f t="shared" si="21"/>
        <v>0.43154957983193276</v>
      </c>
    </row>
    <row r="706" spans="1:14" x14ac:dyDescent="0.3">
      <c r="A706" t="str">
        <f>정규화데이터!A706</f>
        <v>SK스토아</v>
      </c>
      <c r="B706">
        <f>정규화데이터!B706</f>
        <v>20260210360937</v>
      </c>
      <c r="C706" t="str">
        <f>정규화데이터!C706</f>
        <v>[워커힐]워커힐 고메 시그니처 양념 본갈비 8팩</v>
      </c>
      <c r="D706">
        <f>정규화데이터!D706</f>
        <v>58481090</v>
      </c>
      <c r="E706" s="16" t="str">
        <f>정규화데이터!E706</f>
        <v>SKU001</v>
      </c>
      <c r="F706" s="3">
        <f>정규화데이터!F706</f>
        <v>1</v>
      </c>
      <c r="G706" s="3">
        <f>정규화데이터!G706</f>
        <v>119000</v>
      </c>
      <c r="H706" s="3">
        <f>정규화데이터!H706</f>
        <v>119000</v>
      </c>
      <c r="I706" s="3">
        <f>정규화데이터!I706</f>
        <v>80920</v>
      </c>
      <c r="J706" s="3">
        <f>정규화데이터!J706</f>
        <v>108181.81818181818</v>
      </c>
      <c r="K706" s="25">
        <f>정규화데이터!K706</f>
        <v>61496</v>
      </c>
      <c r="L706" s="25">
        <f>정규화데이터!L706</f>
        <v>61496</v>
      </c>
      <c r="M706" s="21">
        <f t="shared" si="20"/>
        <v>46685.818181818177</v>
      </c>
      <c r="N706" s="52">
        <f t="shared" si="21"/>
        <v>0.43154957983193276</v>
      </c>
    </row>
    <row r="707" spans="1:14" x14ac:dyDescent="0.3">
      <c r="A707" t="str">
        <f>정규화데이터!A707</f>
        <v>SK스토아</v>
      </c>
      <c r="B707">
        <f>정규화데이터!B707</f>
        <v>20260210360976</v>
      </c>
      <c r="C707" t="str">
        <f>정규화데이터!C707</f>
        <v>[워커힐]워커힐 고메 시그니처 양념 본갈비 8팩</v>
      </c>
      <c r="D707">
        <f>정규화데이터!D707</f>
        <v>58481090</v>
      </c>
      <c r="E707" s="16" t="str">
        <f>정규화데이터!E707</f>
        <v>SKU001</v>
      </c>
      <c r="F707" s="3">
        <f>정규화데이터!F707</f>
        <v>1</v>
      </c>
      <c r="G707" s="3">
        <f>정규화데이터!G707</f>
        <v>119000</v>
      </c>
      <c r="H707" s="3">
        <f>정규화데이터!H707</f>
        <v>119000</v>
      </c>
      <c r="I707" s="3">
        <f>정규화데이터!I707</f>
        <v>80920</v>
      </c>
      <c r="J707" s="3">
        <f>정규화데이터!J707</f>
        <v>108181.81818181818</v>
      </c>
      <c r="K707" s="25">
        <f>정규화데이터!K707</f>
        <v>61496</v>
      </c>
      <c r="L707" s="25">
        <f>정규화데이터!L707</f>
        <v>61496</v>
      </c>
      <c r="M707" s="21">
        <f t="shared" ref="M707:M770" si="22">J707-L707</f>
        <v>46685.818181818177</v>
      </c>
      <c r="N707" s="52">
        <f t="shared" ref="N707:N770" si="23">IF(J707=0,0,M707/J707)</f>
        <v>0.43154957983193276</v>
      </c>
    </row>
    <row r="708" spans="1:14" x14ac:dyDescent="0.3">
      <c r="A708" t="str">
        <f>정규화데이터!A708</f>
        <v>SK스토아</v>
      </c>
      <c r="B708">
        <f>정규화데이터!B708</f>
        <v>20260210360392</v>
      </c>
      <c r="C708" t="str">
        <f>정규화데이터!C708</f>
        <v>[워커힐]워커힐 고메 시그니처 양념 본갈비 8팩</v>
      </c>
      <c r="D708">
        <f>정규화데이터!D708</f>
        <v>58481090</v>
      </c>
      <c r="E708" s="16" t="str">
        <f>정규화데이터!E708</f>
        <v>SKU001</v>
      </c>
      <c r="F708" s="3">
        <f>정규화데이터!F708</f>
        <v>1</v>
      </c>
      <c r="G708" s="3">
        <f>정규화데이터!G708</f>
        <v>119000</v>
      </c>
      <c r="H708" s="3">
        <f>정규화데이터!H708</f>
        <v>119000</v>
      </c>
      <c r="I708" s="3">
        <f>정규화데이터!I708</f>
        <v>80920</v>
      </c>
      <c r="J708" s="3">
        <f>정규화데이터!J708</f>
        <v>108181.81818181818</v>
      </c>
      <c r="K708" s="25">
        <f>정규화데이터!K708</f>
        <v>61496</v>
      </c>
      <c r="L708" s="25">
        <f>정규화데이터!L708</f>
        <v>61496</v>
      </c>
      <c r="M708" s="21">
        <f t="shared" si="22"/>
        <v>46685.818181818177</v>
      </c>
      <c r="N708" s="52">
        <f t="shared" si="23"/>
        <v>0.43154957983193276</v>
      </c>
    </row>
    <row r="709" spans="1:14" x14ac:dyDescent="0.3">
      <c r="A709" t="str">
        <f>정규화데이터!A709</f>
        <v>SK스토아</v>
      </c>
      <c r="B709">
        <f>정규화데이터!B709</f>
        <v>20260210361319</v>
      </c>
      <c r="C709" t="str">
        <f>정규화데이터!C709</f>
        <v>[워커힐]워커힐 고메 시그니처 양념 본갈비 8팩</v>
      </c>
      <c r="D709">
        <f>정규화데이터!D709</f>
        <v>58481090</v>
      </c>
      <c r="E709" s="16" t="str">
        <f>정규화데이터!E709</f>
        <v>SKU001</v>
      </c>
      <c r="F709" s="3">
        <f>정규화데이터!F709</f>
        <v>1</v>
      </c>
      <c r="G709" s="3">
        <f>정규화데이터!G709</f>
        <v>119000</v>
      </c>
      <c r="H709" s="3">
        <f>정규화데이터!H709</f>
        <v>119000</v>
      </c>
      <c r="I709" s="3">
        <f>정규화데이터!I709</f>
        <v>80920</v>
      </c>
      <c r="J709" s="3">
        <f>정규화데이터!J709</f>
        <v>108181.81818181818</v>
      </c>
      <c r="K709" s="25">
        <f>정규화데이터!K709</f>
        <v>61496</v>
      </c>
      <c r="L709" s="25">
        <f>정규화데이터!L709</f>
        <v>61496</v>
      </c>
      <c r="M709" s="21">
        <f t="shared" si="22"/>
        <v>46685.818181818177</v>
      </c>
      <c r="N709" s="52">
        <f t="shared" si="23"/>
        <v>0.43154957983193276</v>
      </c>
    </row>
    <row r="710" spans="1:14" x14ac:dyDescent="0.3">
      <c r="A710" t="str">
        <f>정규화데이터!A710</f>
        <v>SK스토아</v>
      </c>
      <c r="B710">
        <f>정규화데이터!B710</f>
        <v>20260210361317</v>
      </c>
      <c r="C710" t="str">
        <f>정규화데이터!C710</f>
        <v>[워커힐]워커힐 고메 시그니처 양념 본갈비 8팩</v>
      </c>
      <c r="D710">
        <f>정규화데이터!D710</f>
        <v>58481090</v>
      </c>
      <c r="E710" s="16" t="str">
        <f>정규화데이터!E710</f>
        <v>SKU001</v>
      </c>
      <c r="F710" s="3">
        <f>정규화데이터!F710</f>
        <v>1</v>
      </c>
      <c r="G710" s="3">
        <f>정규화데이터!G710</f>
        <v>119000</v>
      </c>
      <c r="H710" s="3">
        <f>정규화데이터!H710</f>
        <v>119000</v>
      </c>
      <c r="I710" s="3">
        <f>정규화데이터!I710</f>
        <v>80920</v>
      </c>
      <c r="J710" s="3">
        <f>정규화데이터!J710</f>
        <v>108181.81818181818</v>
      </c>
      <c r="K710" s="25">
        <f>정규화데이터!K710</f>
        <v>61496</v>
      </c>
      <c r="L710" s="25">
        <f>정규화데이터!L710</f>
        <v>61496</v>
      </c>
      <c r="M710" s="21">
        <f t="shared" si="22"/>
        <v>46685.818181818177</v>
      </c>
      <c r="N710" s="52">
        <f t="shared" si="23"/>
        <v>0.43154957983193276</v>
      </c>
    </row>
    <row r="711" spans="1:14" x14ac:dyDescent="0.3">
      <c r="A711" t="str">
        <f>정규화데이터!A711</f>
        <v>SK스토아</v>
      </c>
      <c r="B711">
        <f>정규화데이터!B711</f>
        <v>20260210361357</v>
      </c>
      <c r="C711" t="str">
        <f>정규화데이터!C711</f>
        <v>[워커힐]워커힐 고메 시그니처 양념 본갈비 8팩</v>
      </c>
      <c r="D711">
        <f>정규화데이터!D711</f>
        <v>58481090</v>
      </c>
      <c r="E711" s="16" t="str">
        <f>정규화데이터!E711</f>
        <v>SKU001</v>
      </c>
      <c r="F711" s="3">
        <f>정규화데이터!F711</f>
        <v>1</v>
      </c>
      <c r="G711" s="3">
        <f>정규화데이터!G711</f>
        <v>119000</v>
      </c>
      <c r="H711" s="3">
        <f>정규화데이터!H711</f>
        <v>119000</v>
      </c>
      <c r="I711" s="3">
        <f>정규화데이터!I711</f>
        <v>80920</v>
      </c>
      <c r="J711" s="3">
        <f>정규화데이터!J711</f>
        <v>108181.81818181818</v>
      </c>
      <c r="K711" s="25">
        <f>정규화데이터!K711</f>
        <v>61496</v>
      </c>
      <c r="L711" s="25">
        <f>정규화데이터!L711</f>
        <v>61496</v>
      </c>
      <c r="M711" s="21">
        <f t="shared" si="22"/>
        <v>46685.818181818177</v>
      </c>
      <c r="N711" s="52">
        <f t="shared" si="23"/>
        <v>0.43154957983193276</v>
      </c>
    </row>
    <row r="712" spans="1:14" x14ac:dyDescent="0.3">
      <c r="A712" t="str">
        <f>정규화데이터!A712</f>
        <v>SK스토아</v>
      </c>
      <c r="B712">
        <f>정규화데이터!B712</f>
        <v>20260210360557</v>
      </c>
      <c r="C712" t="str">
        <f>정규화데이터!C712</f>
        <v>[워커힐]워커힐 고메 시그니처 양념 본갈비 8팩</v>
      </c>
      <c r="D712">
        <f>정규화데이터!D712</f>
        <v>58481090</v>
      </c>
      <c r="E712" s="16" t="str">
        <f>정규화데이터!E712</f>
        <v>SKU001</v>
      </c>
      <c r="F712" s="3">
        <f>정규화데이터!F712</f>
        <v>1</v>
      </c>
      <c r="G712" s="3">
        <f>정규화데이터!G712</f>
        <v>119000</v>
      </c>
      <c r="H712" s="3">
        <f>정규화데이터!H712</f>
        <v>119000</v>
      </c>
      <c r="I712" s="3">
        <f>정규화데이터!I712</f>
        <v>80920</v>
      </c>
      <c r="J712" s="3">
        <f>정규화데이터!J712</f>
        <v>108181.81818181818</v>
      </c>
      <c r="K712" s="25">
        <f>정규화데이터!K712</f>
        <v>61496</v>
      </c>
      <c r="L712" s="25">
        <f>정규화데이터!L712</f>
        <v>61496</v>
      </c>
      <c r="M712" s="21">
        <f t="shared" si="22"/>
        <v>46685.818181818177</v>
      </c>
      <c r="N712" s="52">
        <f t="shared" si="23"/>
        <v>0.43154957983193276</v>
      </c>
    </row>
    <row r="713" spans="1:14" x14ac:dyDescent="0.3">
      <c r="A713" t="str">
        <f>정규화데이터!A713</f>
        <v>SK스토아</v>
      </c>
      <c r="B713">
        <f>정규화데이터!B713</f>
        <v>20260210361392</v>
      </c>
      <c r="C713" t="str">
        <f>정규화데이터!C713</f>
        <v>[워커힐]워커힐 고메 시그니처 양념 본갈비 8팩</v>
      </c>
      <c r="D713">
        <f>정규화데이터!D713</f>
        <v>58481090</v>
      </c>
      <c r="E713" s="16" t="str">
        <f>정규화데이터!E713</f>
        <v>SKU001</v>
      </c>
      <c r="F713" s="3">
        <f>정규화데이터!F713</f>
        <v>1</v>
      </c>
      <c r="G713" s="3">
        <f>정규화데이터!G713</f>
        <v>119000</v>
      </c>
      <c r="H713" s="3">
        <f>정규화데이터!H713</f>
        <v>119000</v>
      </c>
      <c r="I713" s="3">
        <f>정규화데이터!I713</f>
        <v>80920</v>
      </c>
      <c r="J713" s="3">
        <f>정규화데이터!J713</f>
        <v>108181.81818181818</v>
      </c>
      <c r="K713" s="25">
        <f>정규화데이터!K713</f>
        <v>61496</v>
      </c>
      <c r="L713" s="25">
        <f>정규화데이터!L713</f>
        <v>61496</v>
      </c>
      <c r="M713" s="21">
        <f t="shared" si="22"/>
        <v>46685.818181818177</v>
      </c>
      <c r="N713" s="52">
        <f t="shared" si="23"/>
        <v>0.43154957983193276</v>
      </c>
    </row>
    <row r="714" spans="1:14" x14ac:dyDescent="0.3">
      <c r="A714" t="str">
        <f>정규화데이터!A714</f>
        <v>SK스토아</v>
      </c>
      <c r="B714">
        <f>정규화데이터!B714</f>
        <v>20260210361499</v>
      </c>
      <c r="C714" t="str">
        <f>정규화데이터!C714</f>
        <v>[워커힐]워커힐 고메 시그니처 양념 본갈비 8팩</v>
      </c>
      <c r="D714">
        <f>정규화데이터!D714</f>
        <v>58481090</v>
      </c>
      <c r="E714" s="16" t="str">
        <f>정규화데이터!E714</f>
        <v>SKU001</v>
      </c>
      <c r="F714" s="3">
        <f>정규화데이터!F714</f>
        <v>1</v>
      </c>
      <c r="G714" s="3">
        <f>정규화데이터!G714</f>
        <v>119000</v>
      </c>
      <c r="H714" s="3">
        <f>정규화데이터!H714</f>
        <v>119000</v>
      </c>
      <c r="I714" s="3">
        <f>정규화데이터!I714</f>
        <v>80920</v>
      </c>
      <c r="J714" s="3">
        <f>정규화데이터!J714</f>
        <v>108181.81818181818</v>
      </c>
      <c r="K714" s="25">
        <f>정규화데이터!K714</f>
        <v>61496</v>
      </c>
      <c r="L714" s="25">
        <f>정규화데이터!L714</f>
        <v>61496</v>
      </c>
      <c r="M714" s="21">
        <f t="shared" si="22"/>
        <v>46685.818181818177</v>
      </c>
      <c r="N714" s="52">
        <f t="shared" si="23"/>
        <v>0.43154957983193276</v>
      </c>
    </row>
    <row r="715" spans="1:14" x14ac:dyDescent="0.3">
      <c r="A715" t="str">
        <f>정규화데이터!A715</f>
        <v>SK스토아</v>
      </c>
      <c r="B715">
        <f>정규화데이터!B715</f>
        <v>20260210360664</v>
      </c>
      <c r="C715" t="str">
        <f>정규화데이터!C715</f>
        <v>[워커힐]워커힐 고메 시그니처 양념 본갈비 8팩</v>
      </c>
      <c r="D715">
        <f>정규화데이터!D715</f>
        <v>58481090</v>
      </c>
      <c r="E715" s="16" t="str">
        <f>정규화데이터!E715</f>
        <v>SKU001</v>
      </c>
      <c r="F715" s="3">
        <f>정규화데이터!F715</f>
        <v>1</v>
      </c>
      <c r="G715" s="3">
        <f>정규화데이터!G715</f>
        <v>119000</v>
      </c>
      <c r="H715" s="3">
        <f>정규화데이터!H715</f>
        <v>119000</v>
      </c>
      <c r="I715" s="3">
        <f>정규화데이터!I715</f>
        <v>80920</v>
      </c>
      <c r="J715" s="3">
        <f>정규화데이터!J715</f>
        <v>108181.81818181818</v>
      </c>
      <c r="K715" s="25">
        <f>정규화데이터!K715</f>
        <v>61496</v>
      </c>
      <c r="L715" s="25">
        <f>정규화데이터!L715</f>
        <v>61496</v>
      </c>
      <c r="M715" s="21">
        <f t="shared" si="22"/>
        <v>46685.818181818177</v>
      </c>
      <c r="N715" s="52">
        <f t="shared" si="23"/>
        <v>0.43154957983193276</v>
      </c>
    </row>
    <row r="716" spans="1:14" x14ac:dyDescent="0.3">
      <c r="A716" t="str">
        <f>정규화데이터!A716</f>
        <v>SK스토아</v>
      </c>
      <c r="B716">
        <f>정규화데이터!B716</f>
        <v>20260210361611</v>
      </c>
      <c r="C716" t="str">
        <f>정규화데이터!C716</f>
        <v>[워커힐]워커힐 고메 시그니처 양념 본갈비 8팩</v>
      </c>
      <c r="D716">
        <f>정규화데이터!D716</f>
        <v>58481090</v>
      </c>
      <c r="E716" s="16" t="str">
        <f>정규화데이터!E716</f>
        <v>SKU001</v>
      </c>
      <c r="F716" s="3">
        <f>정규화데이터!F716</f>
        <v>1</v>
      </c>
      <c r="G716" s="3">
        <f>정규화데이터!G716</f>
        <v>119000</v>
      </c>
      <c r="H716" s="3">
        <f>정규화데이터!H716</f>
        <v>119000</v>
      </c>
      <c r="I716" s="3">
        <f>정규화데이터!I716</f>
        <v>80920</v>
      </c>
      <c r="J716" s="3">
        <f>정규화데이터!J716</f>
        <v>108181.81818181818</v>
      </c>
      <c r="K716" s="25">
        <f>정규화데이터!K716</f>
        <v>61496</v>
      </c>
      <c r="L716" s="25">
        <f>정규화데이터!L716</f>
        <v>61496</v>
      </c>
      <c r="M716" s="21">
        <f t="shared" si="22"/>
        <v>46685.818181818177</v>
      </c>
      <c r="N716" s="52">
        <f t="shared" si="23"/>
        <v>0.43154957983193276</v>
      </c>
    </row>
    <row r="717" spans="1:14" x14ac:dyDescent="0.3">
      <c r="A717" t="str">
        <f>정규화데이터!A717</f>
        <v>SK스토아</v>
      </c>
      <c r="B717">
        <f>정규화데이터!B717</f>
        <v>20260210361659</v>
      </c>
      <c r="C717" t="str">
        <f>정규화데이터!C717</f>
        <v>[워커힐]워커힐 고메 시그니처 양념 본갈비 8팩</v>
      </c>
      <c r="D717">
        <f>정규화데이터!D717</f>
        <v>58481090</v>
      </c>
      <c r="E717" s="16" t="str">
        <f>정규화데이터!E717</f>
        <v>SKU001</v>
      </c>
      <c r="F717" s="3">
        <f>정규화데이터!F717</f>
        <v>1</v>
      </c>
      <c r="G717" s="3">
        <f>정규화데이터!G717</f>
        <v>119000</v>
      </c>
      <c r="H717" s="3">
        <f>정규화데이터!H717</f>
        <v>119000</v>
      </c>
      <c r="I717" s="3">
        <f>정규화데이터!I717</f>
        <v>80920</v>
      </c>
      <c r="J717" s="3">
        <f>정규화데이터!J717</f>
        <v>108181.81818181818</v>
      </c>
      <c r="K717" s="25">
        <f>정규화데이터!K717</f>
        <v>61496</v>
      </c>
      <c r="L717" s="25">
        <f>정규화데이터!L717</f>
        <v>61496</v>
      </c>
      <c r="M717" s="21">
        <f t="shared" si="22"/>
        <v>46685.818181818177</v>
      </c>
      <c r="N717" s="52">
        <f t="shared" si="23"/>
        <v>0.43154957983193276</v>
      </c>
    </row>
    <row r="718" spans="1:14" x14ac:dyDescent="0.3">
      <c r="A718" t="str">
        <f>정규화데이터!A718</f>
        <v>SK스토아</v>
      </c>
      <c r="B718">
        <f>정규화데이터!B718</f>
        <v>20260210361936</v>
      </c>
      <c r="C718" t="str">
        <f>정규화데이터!C718</f>
        <v>[워커힐]워커힐 고메 시그니처 양념 본갈비 8팩</v>
      </c>
      <c r="D718">
        <f>정규화데이터!D718</f>
        <v>58481090</v>
      </c>
      <c r="E718" s="16" t="str">
        <f>정규화데이터!E718</f>
        <v>SKU001</v>
      </c>
      <c r="F718" s="3">
        <f>정규화데이터!F718</f>
        <v>1</v>
      </c>
      <c r="G718" s="3">
        <f>정규화데이터!G718</f>
        <v>119000</v>
      </c>
      <c r="H718" s="3">
        <f>정규화데이터!H718</f>
        <v>119000</v>
      </c>
      <c r="I718" s="3">
        <f>정규화데이터!I718</f>
        <v>80920</v>
      </c>
      <c r="J718" s="3">
        <f>정규화데이터!J718</f>
        <v>108181.81818181818</v>
      </c>
      <c r="K718" s="25">
        <f>정규화데이터!K718</f>
        <v>61496</v>
      </c>
      <c r="L718" s="25">
        <f>정규화데이터!L718</f>
        <v>61496</v>
      </c>
      <c r="M718" s="21">
        <f t="shared" si="22"/>
        <v>46685.818181818177</v>
      </c>
      <c r="N718" s="52">
        <f t="shared" si="23"/>
        <v>0.43154957983193276</v>
      </c>
    </row>
    <row r="719" spans="1:14" x14ac:dyDescent="0.3">
      <c r="A719" t="str">
        <f>정규화데이터!A719</f>
        <v>SK스토아</v>
      </c>
      <c r="B719">
        <f>정규화데이터!B719</f>
        <v>20260210362041</v>
      </c>
      <c r="C719" t="str">
        <f>정규화데이터!C719</f>
        <v>[워커힐]워커힐 고메 시그니처 양념 본갈비 8팩</v>
      </c>
      <c r="D719">
        <f>정규화데이터!D719</f>
        <v>58481090</v>
      </c>
      <c r="E719" s="16" t="str">
        <f>정규화데이터!E719</f>
        <v>SKU001</v>
      </c>
      <c r="F719" s="3">
        <f>정규화데이터!F719</f>
        <v>1</v>
      </c>
      <c r="G719" s="3">
        <f>정규화데이터!G719</f>
        <v>119000</v>
      </c>
      <c r="H719" s="3">
        <f>정규화데이터!H719</f>
        <v>119000</v>
      </c>
      <c r="I719" s="3">
        <f>정규화데이터!I719</f>
        <v>80920</v>
      </c>
      <c r="J719" s="3">
        <f>정규화데이터!J719</f>
        <v>108181.81818181818</v>
      </c>
      <c r="K719" s="25">
        <f>정규화데이터!K719</f>
        <v>61496</v>
      </c>
      <c r="L719" s="25">
        <f>정규화데이터!L719</f>
        <v>61496</v>
      </c>
      <c r="M719" s="21">
        <f t="shared" si="22"/>
        <v>46685.818181818177</v>
      </c>
      <c r="N719" s="52">
        <f t="shared" si="23"/>
        <v>0.43154957983193276</v>
      </c>
    </row>
    <row r="720" spans="1:14" x14ac:dyDescent="0.3">
      <c r="A720" t="str">
        <f>정규화데이터!A720</f>
        <v>SK스토아</v>
      </c>
      <c r="B720">
        <f>정규화데이터!B720</f>
        <v>20260210362161</v>
      </c>
      <c r="C720" t="str">
        <f>정규화데이터!C720</f>
        <v>[워커힐]워커힐 고메 시그니처 양념 본갈비 8팩</v>
      </c>
      <c r="D720">
        <f>정규화데이터!D720</f>
        <v>58481090</v>
      </c>
      <c r="E720" s="16" t="str">
        <f>정규화데이터!E720</f>
        <v>SKU001</v>
      </c>
      <c r="F720" s="3">
        <f>정규화데이터!F720</f>
        <v>1</v>
      </c>
      <c r="G720" s="3">
        <f>정규화데이터!G720</f>
        <v>119000</v>
      </c>
      <c r="H720" s="3">
        <f>정규화데이터!H720</f>
        <v>119000</v>
      </c>
      <c r="I720" s="3">
        <f>정규화데이터!I720</f>
        <v>80920</v>
      </c>
      <c r="J720" s="3">
        <f>정규화데이터!J720</f>
        <v>108181.81818181818</v>
      </c>
      <c r="K720" s="25">
        <f>정규화데이터!K720</f>
        <v>61496</v>
      </c>
      <c r="L720" s="25">
        <f>정규화데이터!L720</f>
        <v>61496</v>
      </c>
      <c r="M720" s="21">
        <f t="shared" si="22"/>
        <v>46685.818181818177</v>
      </c>
      <c r="N720" s="52">
        <f t="shared" si="23"/>
        <v>0.43154957983193276</v>
      </c>
    </row>
    <row r="721" spans="1:14" x14ac:dyDescent="0.3">
      <c r="A721" t="str">
        <f>정규화데이터!A721</f>
        <v>SK스토아</v>
      </c>
      <c r="B721">
        <f>정규화데이터!B721</f>
        <v>20260210360981</v>
      </c>
      <c r="C721" t="str">
        <f>정규화데이터!C721</f>
        <v>[워커힐]워커힐 고메 시그니처 양념 본갈비 8팩</v>
      </c>
      <c r="D721">
        <f>정규화데이터!D721</f>
        <v>58481090</v>
      </c>
      <c r="E721" s="16" t="str">
        <f>정규화데이터!E721</f>
        <v>SKU001</v>
      </c>
      <c r="F721" s="3">
        <f>정규화데이터!F721</f>
        <v>1</v>
      </c>
      <c r="G721" s="3">
        <f>정규화데이터!G721</f>
        <v>119000</v>
      </c>
      <c r="H721" s="3">
        <f>정규화데이터!H721</f>
        <v>109000</v>
      </c>
      <c r="I721" s="3">
        <f>정규화데이터!I721</f>
        <v>80920</v>
      </c>
      <c r="J721" s="3">
        <f>정규화데이터!J721</f>
        <v>99090.909090909074</v>
      </c>
      <c r="K721" s="25">
        <f>정규화데이터!K721</f>
        <v>61496</v>
      </c>
      <c r="L721" s="25">
        <f>정규화데이터!L721</f>
        <v>61496</v>
      </c>
      <c r="M721" s="21">
        <f t="shared" si="22"/>
        <v>37594.909090909074</v>
      </c>
      <c r="N721" s="52">
        <f t="shared" si="23"/>
        <v>0.3793981651376146</v>
      </c>
    </row>
    <row r="722" spans="1:14" x14ac:dyDescent="0.3">
      <c r="A722" t="str">
        <f>정규화데이터!A722</f>
        <v>SK스토아</v>
      </c>
      <c r="B722">
        <f>정규화데이터!B722</f>
        <v>20260210360090</v>
      </c>
      <c r="C722" t="str">
        <f>정규화데이터!C722</f>
        <v>[워커힐]워커힐 고메 시그니처 양념 본갈비 8팩</v>
      </c>
      <c r="D722">
        <f>정규화데이터!D722</f>
        <v>58481090</v>
      </c>
      <c r="E722" s="16" t="str">
        <f>정규화데이터!E722</f>
        <v>SKU001</v>
      </c>
      <c r="F722" s="3">
        <f>정규화데이터!F722</f>
        <v>1</v>
      </c>
      <c r="G722" s="3">
        <f>정규화데이터!G722</f>
        <v>119000</v>
      </c>
      <c r="H722" s="3">
        <f>정규화데이터!H722</f>
        <v>119000</v>
      </c>
      <c r="I722" s="3">
        <f>정규화데이터!I722</f>
        <v>80920</v>
      </c>
      <c r="J722" s="3">
        <f>정규화데이터!J722</f>
        <v>108181.81818181818</v>
      </c>
      <c r="K722" s="25">
        <f>정규화데이터!K722</f>
        <v>61496</v>
      </c>
      <c r="L722" s="25">
        <f>정규화데이터!L722</f>
        <v>61496</v>
      </c>
      <c r="M722" s="21">
        <f t="shared" si="22"/>
        <v>46685.818181818177</v>
      </c>
      <c r="N722" s="52">
        <f t="shared" si="23"/>
        <v>0.43154957983193276</v>
      </c>
    </row>
    <row r="723" spans="1:14" x14ac:dyDescent="0.3">
      <c r="A723" t="str">
        <f>정규화데이터!A723</f>
        <v>SK스토아</v>
      </c>
      <c r="B723">
        <f>정규화데이터!B723</f>
        <v>20260210360250</v>
      </c>
      <c r="C723" t="str">
        <f>정규화데이터!C723</f>
        <v>[워커힐]워커힐 고메 시그니처 양념 본갈비 8팩</v>
      </c>
      <c r="D723">
        <f>정규화데이터!D723</f>
        <v>58481090</v>
      </c>
      <c r="E723" s="16" t="str">
        <f>정규화데이터!E723</f>
        <v>SKU001</v>
      </c>
      <c r="F723" s="3">
        <f>정규화데이터!F723</f>
        <v>1</v>
      </c>
      <c r="G723" s="3">
        <f>정규화데이터!G723</f>
        <v>119000</v>
      </c>
      <c r="H723" s="3">
        <f>정규화데이터!H723</f>
        <v>119000</v>
      </c>
      <c r="I723" s="3">
        <f>정규화데이터!I723</f>
        <v>80920</v>
      </c>
      <c r="J723" s="3">
        <f>정규화데이터!J723</f>
        <v>108181.81818181818</v>
      </c>
      <c r="K723" s="25">
        <f>정규화데이터!K723</f>
        <v>61496</v>
      </c>
      <c r="L723" s="25">
        <f>정규화데이터!L723</f>
        <v>61496</v>
      </c>
      <c r="M723" s="21">
        <f t="shared" si="22"/>
        <v>46685.818181818177</v>
      </c>
      <c r="N723" s="52">
        <f t="shared" si="23"/>
        <v>0.43154957983193276</v>
      </c>
    </row>
    <row r="724" spans="1:14" x14ac:dyDescent="0.3">
      <c r="A724" t="str">
        <f>정규화데이터!A724</f>
        <v>SK스토아</v>
      </c>
      <c r="B724">
        <f>정규화데이터!B724</f>
        <v>20260210360422</v>
      </c>
      <c r="C724" t="str">
        <f>정규화데이터!C724</f>
        <v>[워커힐]워커힐 고메 시그니처 양념 본갈비 8팩</v>
      </c>
      <c r="D724">
        <f>정규화데이터!D724</f>
        <v>58481090</v>
      </c>
      <c r="E724" s="16" t="str">
        <f>정규화데이터!E724</f>
        <v>SKU001</v>
      </c>
      <c r="F724" s="3">
        <f>정규화데이터!F724</f>
        <v>1</v>
      </c>
      <c r="G724" s="3">
        <f>정규화데이터!G724</f>
        <v>119000</v>
      </c>
      <c r="H724" s="3">
        <f>정규화데이터!H724</f>
        <v>119000</v>
      </c>
      <c r="I724" s="3">
        <f>정규화데이터!I724</f>
        <v>80920</v>
      </c>
      <c r="J724" s="3">
        <f>정규화데이터!J724</f>
        <v>108181.81818181818</v>
      </c>
      <c r="K724" s="25">
        <f>정규화데이터!K724</f>
        <v>61496</v>
      </c>
      <c r="L724" s="25">
        <f>정규화데이터!L724</f>
        <v>61496</v>
      </c>
      <c r="M724" s="21">
        <f t="shared" si="22"/>
        <v>46685.818181818177</v>
      </c>
      <c r="N724" s="52">
        <f t="shared" si="23"/>
        <v>0.43154957983193276</v>
      </c>
    </row>
    <row r="725" spans="1:14" x14ac:dyDescent="0.3">
      <c r="A725" t="str">
        <f>정규화데이터!A725</f>
        <v>SK스토아</v>
      </c>
      <c r="B725">
        <f>정규화데이터!B725</f>
        <v>20260210360428</v>
      </c>
      <c r="C725" t="str">
        <f>정규화데이터!C725</f>
        <v>[워커힐]워커힐 고메 시그니처 양념 본갈비 8팩</v>
      </c>
      <c r="D725">
        <f>정규화데이터!D725</f>
        <v>58481090</v>
      </c>
      <c r="E725" s="16" t="str">
        <f>정규화데이터!E725</f>
        <v>SKU001</v>
      </c>
      <c r="F725" s="3">
        <f>정규화데이터!F725</f>
        <v>1</v>
      </c>
      <c r="G725" s="3">
        <f>정규화데이터!G725</f>
        <v>119000</v>
      </c>
      <c r="H725" s="3">
        <f>정규화데이터!H725</f>
        <v>119000</v>
      </c>
      <c r="I725" s="3">
        <f>정규화데이터!I725</f>
        <v>80920</v>
      </c>
      <c r="J725" s="3">
        <f>정규화데이터!J725</f>
        <v>108181.81818181818</v>
      </c>
      <c r="K725" s="25">
        <f>정규화데이터!K725</f>
        <v>61496</v>
      </c>
      <c r="L725" s="25">
        <f>정규화데이터!L725</f>
        <v>61496</v>
      </c>
      <c r="M725" s="21">
        <f t="shared" si="22"/>
        <v>46685.818181818177</v>
      </c>
      <c r="N725" s="52">
        <f t="shared" si="23"/>
        <v>0.43154957983193276</v>
      </c>
    </row>
    <row r="726" spans="1:14" x14ac:dyDescent="0.3">
      <c r="A726" t="str">
        <f>정규화데이터!A726</f>
        <v>SK스토아</v>
      </c>
      <c r="B726">
        <f>정규화데이터!B726</f>
        <v>20260210361274</v>
      </c>
      <c r="C726" t="str">
        <f>정규화데이터!C726</f>
        <v>[워커힐]워커힐 고메 시그니처 양념 본갈비 8팩</v>
      </c>
      <c r="D726">
        <f>정규화데이터!D726</f>
        <v>58481090</v>
      </c>
      <c r="E726" s="16" t="str">
        <f>정규화데이터!E726</f>
        <v>SKU001</v>
      </c>
      <c r="F726" s="3">
        <f>정규화데이터!F726</f>
        <v>1</v>
      </c>
      <c r="G726" s="3">
        <f>정규화데이터!G726</f>
        <v>119000</v>
      </c>
      <c r="H726" s="3">
        <f>정규화데이터!H726</f>
        <v>119000</v>
      </c>
      <c r="I726" s="3">
        <f>정규화데이터!I726</f>
        <v>80920</v>
      </c>
      <c r="J726" s="3">
        <f>정규화데이터!J726</f>
        <v>108181.81818181818</v>
      </c>
      <c r="K726" s="25">
        <f>정규화데이터!K726</f>
        <v>61496</v>
      </c>
      <c r="L726" s="25">
        <f>정규화데이터!L726</f>
        <v>61496</v>
      </c>
      <c r="M726" s="21">
        <f t="shared" si="22"/>
        <v>46685.818181818177</v>
      </c>
      <c r="N726" s="52">
        <f t="shared" si="23"/>
        <v>0.43154957983193276</v>
      </c>
    </row>
    <row r="727" spans="1:14" x14ac:dyDescent="0.3">
      <c r="A727" t="str">
        <f>정규화데이터!A727</f>
        <v>SK스토아</v>
      </c>
      <c r="B727">
        <f>정규화데이터!B727</f>
        <v>20260210361271</v>
      </c>
      <c r="C727" t="str">
        <f>정규화데이터!C727</f>
        <v>[워커힐]워커힐 고메 시그니처 양념 본갈비 8팩</v>
      </c>
      <c r="D727">
        <f>정규화데이터!D727</f>
        <v>58481090</v>
      </c>
      <c r="E727" s="16" t="str">
        <f>정규화데이터!E727</f>
        <v>SKU001</v>
      </c>
      <c r="F727" s="3">
        <f>정규화데이터!F727</f>
        <v>1</v>
      </c>
      <c r="G727" s="3">
        <f>정규화데이터!G727</f>
        <v>119000</v>
      </c>
      <c r="H727" s="3">
        <f>정규화데이터!H727</f>
        <v>119000</v>
      </c>
      <c r="I727" s="3">
        <f>정규화데이터!I727</f>
        <v>80920</v>
      </c>
      <c r="J727" s="3">
        <f>정규화데이터!J727</f>
        <v>108181.81818181818</v>
      </c>
      <c r="K727" s="25">
        <f>정규화데이터!K727</f>
        <v>61496</v>
      </c>
      <c r="L727" s="25">
        <f>정규화데이터!L727</f>
        <v>61496</v>
      </c>
      <c r="M727" s="21">
        <f t="shared" si="22"/>
        <v>46685.818181818177</v>
      </c>
      <c r="N727" s="52">
        <f t="shared" si="23"/>
        <v>0.43154957983193276</v>
      </c>
    </row>
    <row r="728" spans="1:14" x14ac:dyDescent="0.3">
      <c r="A728" t="str">
        <f>정규화데이터!A728</f>
        <v>SK스토아</v>
      </c>
      <c r="B728">
        <f>정규화데이터!B728</f>
        <v>20260210360545</v>
      </c>
      <c r="C728" t="str">
        <f>정규화데이터!C728</f>
        <v>[워커힐]워커힐 고메 시그니처 양념 본갈비 8팩</v>
      </c>
      <c r="D728">
        <f>정규화데이터!D728</f>
        <v>58481090</v>
      </c>
      <c r="E728" s="16" t="str">
        <f>정규화데이터!E728</f>
        <v>SKU001</v>
      </c>
      <c r="F728" s="3">
        <f>정규화데이터!F728</f>
        <v>1</v>
      </c>
      <c r="G728" s="3">
        <f>정규화데이터!G728</f>
        <v>119000</v>
      </c>
      <c r="H728" s="3">
        <f>정규화데이터!H728</f>
        <v>119000</v>
      </c>
      <c r="I728" s="3">
        <f>정규화데이터!I728</f>
        <v>80920</v>
      </c>
      <c r="J728" s="3">
        <f>정규화데이터!J728</f>
        <v>108181.81818181818</v>
      </c>
      <c r="K728" s="25">
        <f>정규화데이터!K728</f>
        <v>61496</v>
      </c>
      <c r="L728" s="25">
        <f>정규화데이터!L728</f>
        <v>61496</v>
      </c>
      <c r="M728" s="21">
        <f t="shared" si="22"/>
        <v>46685.818181818177</v>
      </c>
      <c r="N728" s="52">
        <f t="shared" si="23"/>
        <v>0.43154957983193276</v>
      </c>
    </row>
    <row r="729" spans="1:14" x14ac:dyDescent="0.3">
      <c r="A729" t="str">
        <f>정규화데이터!A729</f>
        <v>SK스토아</v>
      </c>
      <c r="B729">
        <f>정규화데이터!B729</f>
        <v>20260210360564</v>
      </c>
      <c r="C729" t="str">
        <f>정규화데이터!C729</f>
        <v>[워커힐]워커힐 고메 시그니처 양념 본갈비 8팩</v>
      </c>
      <c r="D729">
        <f>정규화데이터!D729</f>
        <v>58481090</v>
      </c>
      <c r="E729" s="16" t="str">
        <f>정규화데이터!E729</f>
        <v>SKU001</v>
      </c>
      <c r="F729" s="3">
        <f>정규화데이터!F729</f>
        <v>1</v>
      </c>
      <c r="G729" s="3">
        <f>정규화데이터!G729</f>
        <v>119000</v>
      </c>
      <c r="H729" s="3">
        <f>정규화데이터!H729</f>
        <v>113050</v>
      </c>
      <c r="I729" s="3">
        <f>정규화데이터!I729</f>
        <v>80920</v>
      </c>
      <c r="J729" s="3">
        <f>정규화데이터!J729</f>
        <v>102772.72727272726</v>
      </c>
      <c r="K729" s="25">
        <f>정규화데이터!K729</f>
        <v>61496</v>
      </c>
      <c r="L729" s="25">
        <f>정규화데이터!L729</f>
        <v>61496</v>
      </c>
      <c r="M729" s="21">
        <f t="shared" si="22"/>
        <v>41276.727272727265</v>
      </c>
      <c r="N729" s="52">
        <f t="shared" si="23"/>
        <v>0.40163113666519235</v>
      </c>
    </row>
    <row r="730" spans="1:14" x14ac:dyDescent="0.3">
      <c r="A730" t="str">
        <f>정규화데이터!A730</f>
        <v>SK스토아</v>
      </c>
      <c r="B730">
        <f>정규화데이터!B730</f>
        <v>20260210360718</v>
      </c>
      <c r="C730" t="str">
        <f>정규화데이터!C730</f>
        <v>[워커힐]워커힐 고메 시그니처 양념 본갈비 8팩</v>
      </c>
      <c r="D730">
        <f>정규화데이터!D730</f>
        <v>58481090</v>
      </c>
      <c r="E730" s="16" t="str">
        <f>정규화데이터!E730</f>
        <v>SKU001</v>
      </c>
      <c r="F730" s="3">
        <f>정규화데이터!F730</f>
        <v>1</v>
      </c>
      <c r="G730" s="3">
        <f>정규화데이터!G730</f>
        <v>119000</v>
      </c>
      <c r="H730" s="3">
        <f>정규화데이터!H730</f>
        <v>119000</v>
      </c>
      <c r="I730" s="3">
        <f>정규화데이터!I730</f>
        <v>80920</v>
      </c>
      <c r="J730" s="3">
        <f>정규화데이터!J730</f>
        <v>108181.81818181818</v>
      </c>
      <c r="K730" s="25">
        <f>정규화데이터!K730</f>
        <v>61496</v>
      </c>
      <c r="L730" s="25">
        <f>정규화데이터!L730</f>
        <v>61496</v>
      </c>
      <c r="M730" s="21">
        <f t="shared" si="22"/>
        <v>46685.818181818177</v>
      </c>
      <c r="N730" s="52">
        <f t="shared" si="23"/>
        <v>0.43154957983193276</v>
      </c>
    </row>
    <row r="731" spans="1:14" x14ac:dyDescent="0.3">
      <c r="A731" t="str">
        <f>정규화데이터!A731</f>
        <v>SK스토아</v>
      </c>
      <c r="B731">
        <f>정규화데이터!B731</f>
        <v>20260210361907</v>
      </c>
      <c r="C731" t="str">
        <f>정규화데이터!C731</f>
        <v>[워커힐]워커힐 고메 시그니처 양념 본갈비 8팩</v>
      </c>
      <c r="D731">
        <f>정규화데이터!D731</f>
        <v>58481090</v>
      </c>
      <c r="E731" s="16" t="str">
        <f>정규화데이터!E731</f>
        <v>SKU001</v>
      </c>
      <c r="F731" s="3">
        <f>정규화데이터!F731</f>
        <v>1</v>
      </c>
      <c r="G731" s="3">
        <f>정규화데이터!G731</f>
        <v>119000</v>
      </c>
      <c r="H731" s="3">
        <f>정규화데이터!H731</f>
        <v>119000</v>
      </c>
      <c r="I731" s="3">
        <f>정규화데이터!I731</f>
        <v>80920</v>
      </c>
      <c r="J731" s="3">
        <f>정규화데이터!J731</f>
        <v>108181.81818181818</v>
      </c>
      <c r="K731" s="25">
        <f>정규화데이터!K731</f>
        <v>61496</v>
      </c>
      <c r="L731" s="25">
        <f>정규화데이터!L731</f>
        <v>61496</v>
      </c>
      <c r="M731" s="21">
        <f t="shared" si="22"/>
        <v>46685.818181818177</v>
      </c>
      <c r="N731" s="52">
        <f t="shared" si="23"/>
        <v>0.43154957983193276</v>
      </c>
    </row>
    <row r="732" spans="1:14" x14ac:dyDescent="0.3">
      <c r="A732" t="str">
        <f>정규화데이터!A732</f>
        <v>SK스토아</v>
      </c>
      <c r="B732">
        <f>정규화데이터!B732</f>
        <v>20260210361763</v>
      </c>
      <c r="C732" t="str">
        <f>정규화데이터!C732</f>
        <v>[워커힐]워커힐 고메 시그니처 양념 본갈비 8팩</v>
      </c>
      <c r="D732">
        <f>정규화데이터!D732</f>
        <v>58481090</v>
      </c>
      <c r="E732" s="16" t="str">
        <f>정규화데이터!E732</f>
        <v>SKU001</v>
      </c>
      <c r="F732" s="3">
        <f>정규화데이터!F732</f>
        <v>1</v>
      </c>
      <c r="G732" s="3">
        <f>정규화데이터!G732</f>
        <v>119000</v>
      </c>
      <c r="H732" s="3">
        <f>정규화데이터!H732</f>
        <v>104720</v>
      </c>
      <c r="I732" s="3">
        <f>정규화데이터!I732</f>
        <v>80920</v>
      </c>
      <c r="J732" s="3">
        <f>정규화데이터!J732</f>
        <v>95200</v>
      </c>
      <c r="K732" s="25">
        <f>정규화데이터!K732</f>
        <v>61496</v>
      </c>
      <c r="L732" s="25">
        <f>정규화데이터!L732</f>
        <v>61496</v>
      </c>
      <c r="M732" s="21">
        <f t="shared" si="22"/>
        <v>33704</v>
      </c>
      <c r="N732" s="52">
        <f t="shared" si="23"/>
        <v>0.35403361344537815</v>
      </c>
    </row>
    <row r="733" spans="1:14" x14ac:dyDescent="0.3">
      <c r="A733" t="str">
        <f>정규화데이터!A733</f>
        <v>SK스토아</v>
      </c>
      <c r="B733">
        <f>정규화데이터!B733</f>
        <v>20260210361537</v>
      </c>
      <c r="C733" t="str">
        <f>정규화데이터!C733</f>
        <v>[워커힐]워커힐 고메 시그니처 양념 본갈비 8팩</v>
      </c>
      <c r="D733">
        <f>정규화데이터!D733</f>
        <v>58481090</v>
      </c>
      <c r="E733" s="16" t="str">
        <f>정규화데이터!E733</f>
        <v>SKU001</v>
      </c>
      <c r="F733" s="3">
        <f>정규화데이터!F733</f>
        <v>1</v>
      </c>
      <c r="G733" s="3">
        <f>정규화데이터!G733</f>
        <v>119000</v>
      </c>
      <c r="H733" s="3">
        <f>정규화데이터!H733</f>
        <v>119000</v>
      </c>
      <c r="I733" s="3">
        <f>정규화데이터!I733</f>
        <v>80920</v>
      </c>
      <c r="J733" s="3">
        <f>정규화데이터!J733</f>
        <v>108181.81818181818</v>
      </c>
      <c r="K733" s="25">
        <f>정규화데이터!K733</f>
        <v>61496</v>
      </c>
      <c r="L733" s="25">
        <f>정규화데이터!L733</f>
        <v>61496</v>
      </c>
      <c r="M733" s="21">
        <f t="shared" si="22"/>
        <v>46685.818181818177</v>
      </c>
      <c r="N733" s="52">
        <f t="shared" si="23"/>
        <v>0.43154957983193276</v>
      </c>
    </row>
    <row r="734" spans="1:14" x14ac:dyDescent="0.3">
      <c r="A734" t="str">
        <f>정규화데이터!A734</f>
        <v>SK스토아</v>
      </c>
      <c r="B734">
        <f>정규화데이터!B734</f>
        <v>20260210362086</v>
      </c>
      <c r="C734" t="str">
        <f>정규화데이터!C734</f>
        <v>[워커힐]워커힐 고메 시그니처 양념 본갈비 8팩</v>
      </c>
      <c r="D734">
        <f>정규화데이터!D734</f>
        <v>58481090</v>
      </c>
      <c r="E734" s="16" t="str">
        <f>정규화데이터!E734</f>
        <v>SKU001</v>
      </c>
      <c r="F734" s="3">
        <f>정규화데이터!F734</f>
        <v>1</v>
      </c>
      <c r="G734" s="3">
        <f>정규화데이터!G734</f>
        <v>119000</v>
      </c>
      <c r="H734" s="3">
        <f>정규화데이터!H734</f>
        <v>119000</v>
      </c>
      <c r="I734" s="3">
        <f>정규화데이터!I734</f>
        <v>80920</v>
      </c>
      <c r="J734" s="3">
        <f>정규화데이터!J734</f>
        <v>108181.81818181818</v>
      </c>
      <c r="K734" s="25">
        <f>정규화데이터!K734</f>
        <v>61496</v>
      </c>
      <c r="L734" s="25">
        <f>정규화데이터!L734</f>
        <v>61496</v>
      </c>
      <c r="M734" s="21">
        <f t="shared" si="22"/>
        <v>46685.818181818177</v>
      </c>
      <c r="N734" s="52">
        <f t="shared" si="23"/>
        <v>0.43154957983193276</v>
      </c>
    </row>
    <row r="735" spans="1:14" x14ac:dyDescent="0.3">
      <c r="A735" t="str">
        <f>정규화데이터!A735</f>
        <v>SK스토아</v>
      </c>
      <c r="B735">
        <f>정규화데이터!B735</f>
        <v>20260210360468</v>
      </c>
      <c r="C735" t="str">
        <f>정규화데이터!C735</f>
        <v>[워커힐]워커힐 고메 시그니처 양념 본갈비 8팩</v>
      </c>
      <c r="D735">
        <f>정규화데이터!D735</f>
        <v>58481090</v>
      </c>
      <c r="E735" s="16" t="str">
        <f>정규화데이터!E735</f>
        <v>SKU001</v>
      </c>
      <c r="F735" s="3">
        <f>정규화데이터!F735</f>
        <v>1</v>
      </c>
      <c r="G735" s="3">
        <f>정규화데이터!G735</f>
        <v>119000</v>
      </c>
      <c r="H735" s="3">
        <f>정규화데이터!H735</f>
        <v>119000</v>
      </c>
      <c r="I735" s="3">
        <f>정규화데이터!I735</f>
        <v>80920</v>
      </c>
      <c r="J735" s="3">
        <f>정규화데이터!J735</f>
        <v>108181.81818181818</v>
      </c>
      <c r="K735" s="25">
        <f>정규화데이터!K735</f>
        <v>61496</v>
      </c>
      <c r="L735" s="25">
        <f>정규화데이터!L735</f>
        <v>61496</v>
      </c>
      <c r="M735" s="21">
        <f t="shared" si="22"/>
        <v>46685.818181818177</v>
      </c>
      <c r="N735" s="52">
        <f t="shared" si="23"/>
        <v>0.43154957983193276</v>
      </c>
    </row>
    <row r="736" spans="1:14" x14ac:dyDescent="0.3">
      <c r="A736" t="str">
        <f>정규화데이터!A736</f>
        <v>SK스토아</v>
      </c>
      <c r="B736">
        <f>정규화데이터!B736</f>
        <v>20260210360549</v>
      </c>
      <c r="C736" t="str">
        <f>정규화데이터!C736</f>
        <v>[워커힐]워커힐 고메 시그니처 양념 본갈비 8팩</v>
      </c>
      <c r="D736">
        <f>정규화데이터!D736</f>
        <v>58481090</v>
      </c>
      <c r="E736" s="16" t="str">
        <f>정규화데이터!E736</f>
        <v>SKU001</v>
      </c>
      <c r="F736" s="3">
        <f>정규화데이터!F736</f>
        <v>1</v>
      </c>
      <c r="G736" s="3">
        <f>정규화데이터!G736</f>
        <v>119000</v>
      </c>
      <c r="H736" s="3">
        <f>정규화데이터!H736</f>
        <v>119000</v>
      </c>
      <c r="I736" s="3">
        <f>정규화데이터!I736</f>
        <v>80920</v>
      </c>
      <c r="J736" s="3">
        <f>정규화데이터!J736</f>
        <v>108181.81818181818</v>
      </c>
      <c r="K736" s="25">
        <f>정규화데이터!K736</f>
        <v>61496</v>
      </c>
      <c r="L736" s="25">
        <f>정규화데이터!L736</f>
        <v>61496</v>
      </c>
      <c r="M736" s="21">
        <f t="shared" si="22"/>
        <v>46685.818181818177</v>
      </c>
      <c r="N736" s="52">
        <f t="shared" si="23"/>
        <v>0.43154957983193276</v>
      </c>
    </row>
    <row r="737" spans="1:14" x14ac:dyDescent="0.3">
      <c r="A737" t="str">
        <f>정규화데이터!A737</f>
        <v>SK스토아</v>
      </c>
      <c r="B737">
        <f>정규화데이터!B737</f>
        <v>20260210360555</v>
      </c>
      <c r="C737" t="str">
        <f>정규화데이터!C737</f>
        <v>[워커힐]워커힐 고메 시그니처 양념 본갈비 8팩</v>
      </c>
      <c r="D737">
        <f>정규화데이터!D737</f>
        <v>58481090</v>
      </c>
      <c r="E737" s="16" t="str">
        <f>정규화데이터!E737</f>
        <v>SKU001</v>
      </c>
      <c r="F737" s="3">
        <f>정규화데이터!F737</f>
        <v>1</v>
      </c>
      <c r="G737" s="3">
        <f>정규화데이터!G737</f>
        <v>119000</v>
      </c>
      <c r="H737" s="3">
        <f>정규화데이터!H737</f>
        <v>119000</v>
      </c>
      <c r="I737" s="3">
        <f>정규화데이터!I737</f>
        <v>80920</v>
      </c>
      <c r="J737" s="3">
        <f>정규화데이터!J737</f>
        <v>108181.81818181818</v>
      </c>
      <c r="K737" s="25">
        <f>정규화데이터!K737</f>
        <v>61496</v>
      </c>
      <c r="L737" s="25">
        <f>정규화데이터!L737</f>
        <v>61496</v>
      </c>
      <c r="M737" s="21">
        <f t="shared" si="22"/>
        <v>46685.818181818177</v>
      </c>
      <c r="N737" s="52">
        <f t="shared" si="23"/>
        <v>0.43154957983193276</v>
      </c>
    </row>
    <row r="738" spans="1:14" x14ac:dyDescent="0.3">
      <c r="A738" t="str">
        <f>정규화데이터!A738</f>
        <v>SK스토아</v>
      </c>
      <c r="B738">
        <f>정규화데이터!B738</f>
        <v>20260210361541</v>
      </c>
      <c r="C738" t="str">
        <f>정규화데이터!C738</f>
        <v>[워커힐]워커힐 고메 시그니처 양념 본갈비 8팩</v>
      </c>
      <c r="D738">
        <f>정규화데이터!D738</f>
        <v>58481090</v>
      </c>
      <c r="E738" s="16" t="str">
        <f>정규화데이터!E738</f>
        <v>SKU001</v>
      </c>
      <c r="F738" s="3">
        <f>정규화데이터!F738</f>
        <v>1</v>
      </c>
      <c r="G738" s="3">
        <f>정규화데이터!G738</f>
        <v>119000</v>
      </c>
      <c r="H738" s="3">
        <f>정규화데이터!H738</f>
        <v>119000</v>
      </c>
      <c r="I738" s="3">
        <f>정규화데이터!I738</f>
        <v>80920</v>
      </c>
      <c r="J738" s="3">
        <f>정규화데이터!J738</f>
        <v>108181.81818181818</v>
      </c>
      <c r="K738" s="25">
        <f>정규화데이터!K738</f>
        <v>61496</v>
      </c>
      <c r="L738" s="25">
        <f>정규화데이터!L738</f>
        <v>61496</v>
      </c>
      <c r="M738" s="21">
        <f t="shared" si="22"/>
        <v>46685.818181818177</v>
      </c>
      <c r="N738" s="52">
        <f t="shared" si="23"/>
        <v>0.43154957983193276</v>
      </c>
    </row>
    <row r="739" spans="1:14" x14ac:dyDescent="0.3">
      <c r="A739" t="str">
        <f>정규화데이터!A739</f>
        <v>SK스토아</v>
      </c>
      <c r="B739">
        <f>정규화데이터!B739</f>
        <v>20260210361534</v>
      </c>
      <c r="C739" t="str">
        <f>정규화데이터!C739</f>
        <v>[워커힐]워커힐 고메 시그니처 양념 본갈비 8팩</v>
      </c>
      <c r="D739">
        <f>정규화데이터!D739</f>
        <v>58481090</v>
      </c>
      <c r="E739" s="16" t="str">
        <f>정규화데이터!E739</f>
        <v>SKU001</v>
      </c>
      <c r="F739" s="3">
        <f>정규화데이터!F739</f>
        <v>1</v>
      </c>
      <c r="G739" s="3">
        <f>정규화데이터!G739</f>
        <v>119000</v>
      </c>
      <c r="H739" s="3">
        <f>정규화데이터!H739</f>
        <v>119000</v>
      </c>
      <c r="I739" s="3">
        <f>정규화데이터!I739</f>
        <v>80920</v>
      </c>
      <c r="J739" s="3">
        <f>정규화데이터!J739</f>
        <v>108181.81818181818</v>
      </c>
      <c r="K739" s="25">
        <f>정규화데이터!K739</f>
        <v>61496</v>
      </c>
      <c r="L739" s="25">
        <f>정규화데이터!L739</f>
        <v>61496</v>
      </c>
      <c r="M739" s="21">
        <f t="shared" si="22"/>
        <v>46685.818181818177</v>
      </c>
      <c r="N739" s="52">
        <f t="shared" si="23"/>
        <v>0.43154957983193276</v>
      </c>
    </row>
    <row r="740" spans="1:14" x14ac:dyDescent="0.3">
      <c r="A740" t="str">
        <f>정규화데이터!A740</f>
        <v>SK스토아</v>
      </c>
      <c r="B740">
        <f>정규화데이터!B740</f>
        <v>20260210360682</v>
      </c>
      <c r="C740" t="str">
        <f>정규화데이터!C740</f>
        <v>[워커힐]워커힐 고메 시그니처 양념 본갈비 8팩</v>
      </c>
      <c r="D740">
        <f>정규화데이터!D740</f>
        <v>58481090</v>
      </c>
      <c r="E740" s="16" t="str">
        <f>정규화데이터!E740</f>
        <v>SKU001</v>
      </c>
      <c r="F740" s="3">
        <f>정규화데이터!F740</f>
        <v>1</v>
      </c>
      <c r="G740" s="3">
        <f>정규화데이터!G740</f>
        <v>119000</v>
      </c>
      <c r="H740" s="3">
        <f>정규화데이터!H740</f>
        <v>119000</v>
      </c>
      <c r="I740" s="3">
        <f>정규화데이터!I740</f>
        <v>80920</v>
      </c>
      <c r="J740" s="3">
        <f>정규화데이터!J740</f>
        <v>108181.81818181818</v>
      </c>
      <c r="K740" s="25">
        <f>정규화데이터!K740</f>
        <v>61496</v>
      </c>
      <c r="L740" s="25">
        <f>정규화데이터!L740</f>
        <v>61496</v>
      </c>
      <c r="M740" s="21">
        <f t="shared" si="22"/>
        <v>46685.818181818177</v>
      </c>
      <c r="N740" s="52">
        <f t="shared" si="23"/>
        <v>0.43154957983193276</v>
      </c>
    </row>
    <row r="741" spans="1:14" x14ac:dyDescent="0.3">
      <c r="A741" t="str">
        <f>정규화데이터!A741</f>
        <v>SK스토아</v>
      </c>
      <c r="B741">
        <f>정규화데이터!B741</f>
        <v>20260210361794</v>
      </c>
      <c r="C741" t="str">
        <f>정규화데이터!C741</f>
        <v>[워커힐]워커힐 고메 시그니처 양념 본갈비 8팩</v>
      </c>
      <c r="D741">
        <f>정규화데이터!D741</f>
        <v>58481090</v>
      </c>
      <c r="E741" s="16" t="str">
        <f>정규화데이터!E741</f>
        <v>SKU001</v>
      </c>
      <c r="F741" s="3">
        <f>정규화데이터!F741</f>
        <v>1</v>
      </c>
      <c r="G741" s="3">
        <f>정규화데이터!G741</f>
        <v>119000</v>
      </c>
      <c r="H741" s="3">
        <f>정규화데이터!H741</f>
        <v>119000</v>
      </c>
      <c r="I741" s="3">
        <f>정규화데이터!I741</f>
        <v>80920</v>
      </c>
      <c r="J741" s="3">
        <f>정규화데이터!J741</f>
        <v>108181.81818181818</v>
      </c>
      <c r="K741" s="25">
        <f>정규화데이터!K741</f>
        <v>61496</v>
      </c>
      <c r="L741" s="25">
        <f>정규화데이터!L741</f>
        <v>61496</v>
      </c>
      <c r="M741" s="21">
        <f t="shared" si="22"/>
        <v>46685.818181818177</v>
      </c>
      <c r="N741" s="52">
        <f t="shared" si="23"/>
        <v>0.43154957983193276</v>
      </c>
    </row>
    <row r="742" spans="1:14" x14ac:dyDescent="0.3">
      <c r="A742" t="str">
        <f>정규화데이터!A742</f>
        <v>SK스토아</v>
      </c>
      <c r="B742">
        <f>정규화데이터!B742</f>
        <v>20260210361965</v>
      </c>
      <c r="C742" t="str">
        <f>정규화데이터!C742</f>
        <v>[워커힐]워커힐 고메 시그니처 양념 본갈비 8팩</v>
      </c>
      <c r="D742">
        <f>정규화데이터!D742</f>
        <v>58481090</v>
      </c>
      <c r="E742" s="16" t="str">
        <f>정규화데이터!E742</f>
        <v>SKU001</v>
      </c>
      <c r="F742" s="3">
        <f>정규화데이터!F742</f>
        <v>1</v>
      </c>
      <c r="G742" s="3">
        <f>정규화데이터!G742</f>
        <v>119000</v>
      </c>
      <c r="H742" s="3">
        <f>정규화데이터!H742</f>
        <v>119000</v>
      </c>
      <c r="I742" s="3">
        <f>정규화데이터!I742</f>
        <v>80920</v>
      </c>
      <c r="J742" s="3">
        <f>정규화데이터!J742</f>
        <v>108181.81818181818</v>
      </c>
      <c r="K742" s="25">
        <f>정규화데이터!K742</f>
        <v>61496</v>
      </c>
      <c r="L742" s="25">
        <f>정규화데이터!L742</f>
        <v>61496</v>
      </c>
      <c r="M742" s="21">
        <f t="shared" si="22"/>
        <v>46685.818181818177</v>
      </c>
      <c r="N742" s="52">
        <f t="shared" si="23"/>
        <v>0.43154957983193276</v>
      </c>
    </row>
    <row r="743" spans="1:14" x14ac:dyDescent="0.3">
      <c r="A743" t="str">
        <f>정규화데이터!A743</f>
        <v>SK스토아</v>
      </c>
      <c r="B743">
        <f>정규화데이터!B743</f>
        <v>20260210362013</v>
      </c>
      <c r="C743" t="str">
        <f>정규화데이터!C743</f>
        <v>[워커힐]워커힐 고메 시그니처 양념 본갈비 8팩</v>
      </c>
      <c r="D743">
        <f>정규화데이터!D743</f>
        <v>58481090</v>
      </c>
      <c r="E743" s="16" t="str">
        <f>정규화데이터!E743</f>
        <v>SKU001</v>
      </c>
      <c r="F743" s="3">
        <f>정규화데이터!F743</f>
        <v>1</v>
      </c>
      <c r="G743" s="3">
        <f>정규화데이터!G743</f>
        <v>119000</v>
      </c>
      <c r="H743" s="3">
        <f>정규화데이터!H743</f>
        <v>119000</v>
      </c>
      <c r="I743" s="3">
        <f>정규화데이터!I743</f>
        <v>80920</v>
      </c>
      <c r="J743" s="3">
        <f>정규화데이터!J743</f>
        <v>108181.81818181818</v>
      </c>
      <c r="K743" s="25">
        <f>정규화데이터!K743</f>
        <v>61496</v>
      </c>
      <c r="L743" s="25">
        <f>정규화데이터!L743</f>
        <v>61496</v>
      </c>
      <c r="M743" s="21">
        <f t="shared" si="22"/>
        <v>46685.818181818177</v>
      </c>
      <c r="N743" s="52">
        <f t="shared" si="23"/>
        <v>0.43154957983193276</v>
      </c>
    </row>
    <row r="744" spans="1:14" x14ac:dyDescent="0.3">
      <c r="A744" t="str">
        <f>정규화데이터!A744</f>
        <v>SK스토아</v>
      </c>
      <c r="B744">
        <f>정규화데이터!B744</f>
        <v>20260210360694</v>
      </c>
      <c r="C744" t="str">
        <f>정규화데이터!C744</f>
        <v>[워커힐]워커힐 고메 시그니처 양념 본갈비 8팩</v>
      </c>
      <c r="D744">
        <f>정규화데이터!D744</f>
        <v>58481090</v>
      </c>
      <c r="E744" s="16" t="str">
        <f>정규화데이터!E744</f>
        <v>SKU001</v>
      </c>
      <c r="F744" s="3">
        <f>정규화데이터!F744</f>
        <v>1</v>
      </c>
      <c r="G744" s="3">
        <f>정규화데이터!G744</f>
        <v>119000</v>
      </c>
      <c r="H744" s="3">
        <f>정규화데이터!H744</f>
        <v>119000</v>
      </c>
      <c r="I744" s="3">
        <f>정규화데이터!I744</f>
        <v>80920</v>
      </c>
      <c r="J744" s="3">
        <f>정규화데이터!J744</f>
        <v>108181.81818181818</v>
      </c>
      <c r="K744" s="25">
        <f>정규화데이터!K744</f>
        <v>61496</v>
      </c>
      <c r="L744" s="25">
        <f>정규화데이터!L744</f>
        <v>61496</v>
      </c>
      <c r="M744" s="21">
        <f t="shared" si="22"/>
        <v>46685.818181818177</v>
      </c>
      <c r="N744" s="52">
        <f t="shared" si="23"/>
        <v>0.43154957983193276</v>
      </c>
    </row>
    <row r="745" spans="1:14" x14ac:dyDescent="0.3">
      <c r="A745" t="str">
        <f>정규화데이터!A745</f>
        <v>SK스토아</v>
      </c>
      <c r="B745">
        <f>정규화데이터!B745</f>
        <v>20260210361989</v>
      </c>
      <c r="C745" t="str">
        <f>정규화데이터!C745</f>
        <v>[워커힐]워커힐 고메 시그니처 양념 본갈비 8팩</v>
      </c>
      <c r="D745">
        <f>정규화데이터!D745</f>
        <v>58481090</v>
      </c>
      <c r="E745" s="16" t="str">
        <f>정규화데이터!E745</f>
        <v>SKU001</v>
      </c>
      <c r="F745" s="3">
        <f>정규화데이터!F745</f>
        <v>1</v>
      </c>
      <c r="G745" s="3">
        <f>정규화데이터!G745</f>
        <v>119000</v>
      </c>
      <c r="H745" s="3">
        <f>정규화데이터!H745</f>
        <v>119000</v>
      </c>
      <c r="I745" s="3">
        <f>정규화데이터!I745</f>
        <v>80920</v>
      </c>
      <c r="J745" s="3">
        <f>정규화데이터!J745</f>
        <v>108181.81818181818</v>
      </c>
      <c r="K745" s="25">
        <f>정규화데이터!K745</f>
        <v>61496</v>
      </c>
      <c r="L745" s="25">
        <f>정규화데이터!L745</f>
        <v>61496</v>
      </c>
      <c r="M745" s="21">
        <f t="shared" si="22"/>
        <v>46685.818181818177</v>
      </c>
      <c r="N745" s="52">
        <f t="shared" si="23"/>
        <v>0.43154957983193276</v>
      </c>
    </row>
    <row r="746" spans="1:14" x14ac:dyDescent="0.3">
      <c r="A746" t="str">
        <f>정규화데이터!A746</f>
        <v>SK스토아</v>
      </c>
      <c r="B746">
        <f>정규화데이터!B746</f>
        <v>20260210362685</v>
      </c>
      <c r="C746" t="str">
        <f>정규화데이터!C746</f>
        <v>[워커힐]워커힐 고메 시그니처 양념 본갈비 8팩</v>
      </c>
      <c r="D746">
        <f>정규화데이터!D746</f>
        <v>58481090</v>
      </c>
      <c r="E746" s="16" t="str">
        <f>정규화데이터!E746</f>
        <v>SKU001</v>
      </c>
      <c r="F746" s="3">
        <f>정규화데이터!F746</f>
        <v>1</v>
      </c>
      <c r="G746" s="3">
        <f>정규화데이터!G746</f>
        <v>119000</v>
      </c>
      <c r="H746" s="3">
        <f>정규화데이터!H746</f>
        <v>119000</v>
      </c>
      <c r="I746" s="3">
        <f>정규화데이터!I746</f>
        <v>80920</v>
      </c>
      <c r="J746" s="3">
        <f>정규화데이터!J746</f>
        <v>108181.81818181818</v>
      </c>
      <c r="K746" s="25">
        <f>정규화데이터!K746</f>
        <v>61496</v>
      </c>
      <c r="L746" s="25">
        <f>정규화데이터!L746</f>
        <v>61496</v>
      </c>
      <c r="M746" s="21">
        <f t="shared" si="22"/>
        <v>46685.818181818177</v>
      </c>
      <c r="N746" s="52">
        <f t="shared" si="23"/>
        <v>0.43154957983193276</v>
      </c>
    </row>
    <row r="747" spans="1:14" x14ac:dyDescent="0.3">
      <c r="A747" t="str">
        <f>정규화데이터!A747</f>
        <v>SK스토아</v>
      </c>
      <c r="B747">
        <f>정규화데이터!B747</f>
        <v>20260210369877</v>
      </c>
      <c r="C747" t="str">
        <f>정규화데이터!C747</f>
        <v>[워커힐]워커힐 고메 시그니처 양념 본갈비 8팩</v>
      </c>
      <c r="D747">
        <f>정규화데이터!D747</f>
        <v>58481090</v>
      </c>
      <c r="E747" s="16" t="str">
        <f>정규화데이터!E747</f>
        <v>SKU001</v>
      </c>
      <c r="F747" s="3">
        <f>정규화데이터!F747</f>
        <v>1</v>
      </c>
      <c r="G747" s="3">
        <f>정규화데이터!G747</f>
        <v>119000</v>
      </c>
      <c r="H747" s="3">
        <f>정규화데이터!H747</f>
        <v>119000</v>
      </c>
      <c r="I747" s="3">
        <f>정규화데이터!I747</f>
        <v>80920</v>
      </c>
      <c r="J747" s="3">
        <f>정규화데이터!J747</f>
        <v>108181.81818181818</v>
      </c>
      <c r="K747" s="25">
        <f>정규화데이터!K747</f>
        <v>61496</v>
      </c>
      <c r="L747" s="25">
        <f>정규화데이터!L747</f>
        <v>61496</v>
      </c>
      <c r="M747" s="21">
        <f t="shared" si="22"/>
        <v>46685.818181818177</v>
      </c>
      <c r="N747" s="52">
        <f t="shared" si="23"/>
        <v>0.43154957983193276</v>
      </c>
    </row>
    <row r="748" spans="1:14" x14ac:dyDescent="0.3">
      <c r="A748" t="str">
        <f>정규화데이터!A748</f>
        <v>SK스토아</v>
      </c>
      <c r="B748">
        <f>정규화데이터!B748</f>
        <v>20260210364014</v>
      </c>
      <c r="C748" t="str">
        <f>정규화데이터!C748</f>
        <v>[워커힐]워커힐 고메 시그니처 양념 본갈비 8팩</v>
      </c>
      <c r="D748">
        <f>정규화데이터!D748</f>
        <v>58481090</v>
      </c>
      <c r="E748" s="16" t="str">
        <f>정규화데이터!E748</f>
        <v>SKU001</v>
      </c>
      <c r="F748" s="3">
        <f>정규화데이터!F748</f>
        <v>1</v>
      </c>
      <c r="G748" s="3">
        <f>정규화데이터!G748</f>
        <v>119000</v>
      </c>
      <c r="H748" s="3">
        <f>정규화데이터!H748</f>
        <v>119000</v>
      </c>
      <c r="I748" s="3">
        <f>정규화데이터!I748</f>
        <v>80920</v>
      </c>
      <c r="J748" s="3">
        <f>정규화데이터!J748</f>
        <v>108181.81818181818</v>
      </c>
      <c r="K748" s="25">
        <f>정규화데이터!K748</f>
        <v>61496</v>
      </c>
      <c r="L748" s="25">
        <f>정규화데이터!L748</f>
        <v>61496</v>
      </c>
      <c r="M748" s="21">
        <f t="shared" si="22"/>
        <v>46685.818181818177</v>
      </c>
      <c r="N748" s="52">
        <f t="shared" si="23"/>
        <v>0.43154957983193276</v>
      </c>
    </row>
    <row r="749" spans="1:14" x14ac:dyDescent="0.3">
      <c r="A749" t="str">
        <f>정규화데이터!A749</f>
        <v>SK스토아</v>
      </c>
      <c r="B749">
        <f>정규화데이터!B749</f>
        <v>20260210361013</v>
      </c>
      <c r="C749" t="str">
        <f>정규화데이터!C749</f>
        <v>[워커힐]워커힐 고메 시그니처 양념 본갈비 8팩</v>
      </c>
      <c r="D749">
        <f>정규화데이터!D749</f>
        <v>58481090</v>
      </c>
      <c r="E749" s="16" t="str">
        <f>정규화데이터!E749</f>
        <v>SKU001</v>
      </c>
      <c r="F749" s="3">
        <f>정규화데이터!F749</f>
        <v>1</v>
      </c>
      <c r="G749" s="3">
        <f>정규화데이터!G749</f>
        <v>119000</v>
      </c>
      <c r="H749" s="3">
        <f>정규화데이터!H749</f>
        <v>119000</v>
      </c>
      <c r="I749" s="3">
        <f>정규화데이터!I749</f>
        <v>80920</v>
      </c>
      <c r="J749" s="3">
        <f>정규화데이터!J749</f>
        <v>108181.81818181818</v>
      </c>
      <c r="K749" s="25">
        <f>정규화데이터!K749</f>
        <v>61496</v>
      </c>
      <c r="L749" s="25">
        <f>정규화데이터!L749</f>
        <v>61496</v>
      </c>
      <c r="M749" s="21">
        <f t="shared" si="22"/>
        <v>46685.818181818177</v>
      </c>
      <c r="N749" s="52">
        <f t="shared" si="23"/>
        <v>0.43154957983193276</v>
      </c>
    </row>
    <row r="750" spans="1:14" x14ac:dyDescent="0.3">
      <c r="A750" t="str">
        <f>정규화데이터!A750</f>
        <v>SK스토아</v>
      </c>
      <c r="B750">
        <f>정규화데이터!B750</f>
        <v>20260210360886</v>
      </c>
      <c r="C750" t="str">
        <f>정규화데이터!C750</f>
        <v>[워커힐]워커힐 고메 시그니처 양념 본갈비 8팩</v>
      </c>
      <c r="D750">
        <f>정규화데이터!D750</f>
        <v>58481090</v>
      </c>
      <c r="E750" s="16" t="str">
        <f>정규화데이터!E750</f>
        <v>SKU001</v>
      </c>
      <c r="F750" s="3">
        <f>정규화데이터!F750</f>
        <v>1</v>
      </c>
      <c r="G750" s="3">
        <f>정규화데이터!G750</f>
        <v>119000</v>
      </c>
      <c r="H750" s="3">
        <f>정규화데이터!H750</f>
        <v>119000</v>
      </c>
      <c r="I750" s="3">
        <f>정규화데이터!I750</f>
        <v>80920</v>
      </c>
      <c r="J750" s="3">
        <f>정규화데이터!J750</f>
        <v>108181.81818181818</v>
      </c>
      <c r="K750" s="25">
        <f>정규화데이터!K750</f>
        <v>61496</v>
      </c>
      <c r="L750" s="25">
        <f>정규화데이터!L750</f>
        <v>61496</v>
      </c>
      <c r="M750" s="21">
        <f t="shared" si="22"/>
        <v>46685.818181818177</v>
      </c>
      <c r="N750" s="52">
        <f t="shared" si="23"/>
        <v>0.43154957983193276</v>
      </c>
    </row>
    <row r="751" spans="1:14" x14ac:dyDescent="0.3">
      <c r="A751" t="str">
        <f>정규화데이터!A751</f>
        <v>SK스토아</v>
      </c>
      <c r="B751">
        <f>정규화데이터!B751</f>
        <v>20260210360902</v>
      </c>
      <c r="C751" t="str">
        <f>정규화데이터!C751</f>
        <v>[워커힐]워커힐 고메 시그니처 양념 본갈비 8팩</v>
      </c>
      <c r="D751">
        <f>정규화데이터!D751</f>
        <v>58481090</v>
      </c>
      <c r="E751" s="16" t="str">
        <f>정규화데이터!E751</f>
        <v>SKU001</v>
      </c>
      <c r="F751" s="3">
        <f>정규화데이터!F751</f>
        <v>1</v>
      </c>
      <c r="G751" s="3">
        <f>정규화데이터!G751</f>
        <v>119000</v>
      </c>
      <c r="H751" s="3">
        <f>정규화데이터!H751</f>
        <v>95200</v>
      </c>
      <c r="I751" s="3">
        <f>정규화데이터!I751</f>
        <v>80920</v>
      </c>
      <c r="J751" s="3">
        <f>정규화데이터!J751</f>
        <v>86545.454545454544</v>
      </c>
      <c r="K751" s="25">
        <f>정규화데이터!K751</f>
        <v>61496</v>
      </c>
      <c r="L751" s="25">
        <f>정규화데이터!L751</f>
        <v>61496</v>
      </c>
      <c r="M751" s="21">
        <f t="shared" si="22"/>
        <v>25049.454545454544</v>
      </c>
      <c r="N751" s="52">
        <f t="shared" si="23"/>
        <v>0.28943697478991598</v>
      </c>
    </row>
    <row r="752" spans="1:14" x14ac:dyDescent="0.3">
      <c r="A752" t="str">
        <f>정규화데이터!A752</f>
        <v>SK스토아</v>
      </c>
      <c r="B752">
        <f>정규화데이터!B752</f>
        <v>20260210361527</v>
      </c>
      <c r="C752" t="str">
        <f>정규화데이터!C752</f>
        <v>[워커힐]워커힐 고메 시그니처 양념 본갈비 8팩</v>
      </c>
      <c r="D752">
        <f>정규화데이터!D752</f>
        <v>58481090</v>
      </c>
      <c r="E752" s="16" t="str">
        <f>정규화데이터!E752</f>
        <v>SKU001</v>
      </c>
      <c r="F752" s="3">
        <f>정규화데이터!F752</f>
        <v>1</v>
      </c>
      <c r="G752" s="3">
        <f>정규화데이터!G752</f>
        <v>119000</v>
      </c>
      <c r="H752" s="3">
        <f>정규화데이터!H752</f>
        <v>119000</v>
      </c>
      <c r="I752" s="3">
        <f>정규화데이터!I752</f>
        <v>80920</v>
      </c>
      <c r="J752" s="3">
        <f>정규화데이터!J752</f>
        <v>108181.81818181818</v>
      </c>
      <c r="K752" s="25">
        <f>정규화데이터!K752</f>
        <v>61496</v>
      </c>
      <c r="L752" s="25">
        <f>정규화데이터!L752</f>
        <v>61496</v>
      </c>
      <c r="M752" s="21">
        <f t="shared" si="22"/>
        <v>46685.818181818177</v>
      </c>
      <c r="N752" s="52">
        <f t="shared" si="23"/>
        <v>0.43154957983193276</v>
      </c>
    </row>
    <row r="753" spans="1:14" x14ac:dyDescent="0.3">
      <c r="A753" t="str">
        <f>정규화데이터!A753</f>
        <v>SK스토아</v>
      </c>
      <c r="B753">
        <f>정규화데이터!B753</f>
        <v>20260210360785</v>
      </c>
      <c r="C753" t="str">
        <f>정규화데이터!C753</f>
        <v>[워커힐]워커힐 고메 시그니처 양념 본갈비 8팩</v>
      </c>
      <c r="D753">
        <f>정규화데이터!D753</f>
        <v>58481090</v>
      </c>
      <c r="E753" s="16" t="str">
        <f>정규화데이터!E753</f>
        <v>SKU001</v>
      </c>
      <c r="F753" s="3">
        <f>정규화데이터!F753</f>
        <v>1</v>
      </c>
      <c r="G753" s="3">
        <f>정규화데이터!G753</f>
        <v>119000</v>
      </c>
      <c r="H753" s="3">
        <f>정규화데이터!H753</f>
        <v>119000</v>
      </c>
      <c r="I753" s="3">
        <f>정규화데이터!I753</f>
        <v>80920</v>
      </c>
      <c r="J753" s="3">
        <f>정규화데이터!J753</f>
        <v>108181.81818181818</v>
      </c>
      <c r="K753" s="25">
        <f>정규화데이터!K753</f>
        <v>61496</v>
      </c>
      <c r="L753" s="25">
        <f>정규화데이터!L753</f>
        <v>61496</v>
      </c>
      <c r="M753" s="21">
        <f t="shared" si="22"/>
        <v>46685.818181818177</v>
      </c>
      <c r="N753" s="52">
        <f t="shared" si="23"/>
        <v>0.43154957983193276</v>
      </c>
    </row>
    <row r="754" spans="1:14" x14ac:dyDescent="0.3">
      <c r="A754" t="str">
        <f>정규화데이터!A754</f>
        <v>SK스토아</v>
      </c>
      <c r="B754">
        <f>정규화데이터!B754</f>
        <v>20260210360903</v>
      </c>
      <c r="C754" t="str">
        <f>정규화데이터!C754</f>
        <v>[워커힐]워커힐 고메 시그니처 양념 본갈비 8팩</v>
      </c>
      <c r="D754">
        <f>정규화데이터!D754</f>
        <v>58481090</v>
      </c>
      <c r="E754" s="16" t="str">
        <f>정규화데이터!E754</f>
        <v>SKU001</v>
      </c>
      <c r="F754" s="3">
        <f>정규화데이터!F754</f>
        <v>1</v>
      </c>
      <c r="G754" s="3">
        <f>정규화데이터!G754</f>
        <v>119000</v>
      </c>
      <c r="H754" s="3">
        <f>정규화데이터!H754</f>
        <v>113050</v>
      </c>
      <c r="I754" s="3">
        <f>정규화데이터!I754</f>
        <v>80920</v>
      </c>
      <c r="J754" s="3">
        <f>정규화데이터!J754</f>
        <v>102772.72727272726</v>
      </c>
      <c r="K754" s="25">
        <f>정규화데이터!K754</f>
        <v>61496</v>
      </c>
      <c r="L754" s="25">
        <f>정규화데이터!L754</f>
        <v>61496</v>
      </c>
      <c r="M754" s="21">
        <f t="shared" si="22"/>
        <v>41276.727272727265</v>
      </c>
      <c r="N754" s="52">
        <f t="shared" si="23"/>
        <v>0.40163113666519235</v>
      </c>
    </row>
    <row r="755" spans="1:14" x14ac:dyDescent="0.3">
      <c r="A755" t="str">
        <f>정규화데이터!A755</f>
        <v>SK스토아</v>
      </c>
      <c r="B755">
        <f>정규화데이터!B755</f>
        <v>20260210360818</v>
      </c>
      <c r="C755" t="str">
        <f>정규화데이터!C755</f>
        <v>[워커힐]워커힐 고메 시그니처 양념 본갈비 8팩</v>
      </c>
      <c r="D755">
        <f>정규화데이터!D755</f>
        <v>58481090</v>
      </c>
      <c r="E755" s="16" t="str">
        <f>정규화데이터!E755</f>
        <v>SKU001</v>
      </c>
      <c r="F755" s="3">
        <f>정규화데이터!F755</f>
        <v>1</v>
      </c>
      <c r="G755" s="3">
        <f>정규화데이터!G755</f>
        <v>119000</v>
      </c>
      <c r="H755" s="3">
        <f>정규화데이터!H755</f>
        <v>119000</v>
      </c>
      <c r="I755" s="3">
        <f>정규화데이터!I755</f>
        <v>80920</v>
      </c>
      <c r="J755" s="3">
        <f>정규화데이터!J755</f>
        <v>108181.81818181818</v>
      </c>
      <c r="K755" s="25">
        <f>정규화데이터!K755</f>
        <v>61496</v>
      </c>
      <c r="L755" s="25">
        <f>정규화데이터!L755</f>
        <v>61496</v>
      </c>
      <c r="M755" s="21">
        <f t="shared" si="22"/>
        <v>46685.818181818177</v>
      </c>
      <c r="N755" s="52">
        <f t="shared" si="23"/>
        <v>0.43154957983193276</v>
      </c>
    </row>
    <row r="756" spans="1:14" x14ac:dyDescent="0.3">
      <c r="A756" t="str">
        <f>정규화데이터!A756</f>
        <v>SK스토아</v>
      </c>
      <c r="B756">
        <f>정규화데이터!B756</f>
        <v>20260210361184</v>
      </c>
      <c r="C756" t="str">
        <f>정규화데이터!C756</f>
        <v>[워커힐]워커힐 고메 시그니처 양념 본갈비 8팩</v>
      </c>
      <c r="D756">
        <f>정규화데이터!D756</f>
        <v>58481090</v>
      </c>
      <c r="E756" s="16" t="str">
        <f>정규화데이터!E756</f>
        <v>SKU001</v>
      </c>
      <c r="F756" s="3">
        <f>정규화데이터!F756</f>
        <v>1</v>
      </c>
      <c r="G756" s="3">
        <f>정규화데이터!G756</f>
        <v>119000</v>
      </c>
      <c r="H756" s="3">
        <f>정규화데이터!H756</f>
        <v>114000</v>
      </c>
      <c r="I756" s="3">
        <f>정규화데이터!I756</f>
        <v>80920</v>
      </c>
      <c r="J756" s="3">
        <f>정규화데이터!J756</f>
        <v>103636.36363636365</v>
      </c>
      <c r="K756" s="25">
        <f>정규화데이터!K756</f>
        <v>61496</v>
      </c>
      <c r="L756" s="25">
        <f>정규화데이터!L756</f>
        <v>61496</v>
      </c>
      <c r="M756" s="21">
        <f t="shared" si="22"/>
        <v>42140.363636363647</v>
      </c>
      <c r="N756" s="52">
        <f t="shared" si="23"/>
        <v>0.40661754385964921</v>
      </c>
    </row>
    <row r="757" spans="1:14" x14ac:dyDescent="0.3">
      <c r="A757" t="str">
        <f>정규화데이터!A757</f>
        <v>SK스토아</v>
      </c>
      <c r="B757">
        <f>정규화데이터!B757</f>
        <v>20260210360436</v>
      </c>
      <c r="C757" t="str">
        <f>정규화데이터!C757</f>
        <v>[워커힐]워커힐 고메 시그니처 양념 본갈비 8팩</v>
      </c>
      <c r="D757">
        <f>정규화데이터!D757</f>
        <v>58481090</v>
      </c>
      <c r="E757" s="16" t="str">
        <f>정규화데이터!E757</f>
        <v>SKU001</v>
      </c>
      <c r="F757" s="3">
        <f>정규화데이터!F757</f>
        <v>1</v>
      </c>
      <c r="G757" s="3">
        <f>정규화데이터!G757</f>
        <v>119000</v>
      </c>
      <c r="H757" s="3">
        <f>정규화데이터!H757</f>
        <v>119000</v>
      </c>
      <c r="I757" s="3">
        <f>정규화데이터!I757</f>
        <v>80920</v>
      </c>
      <c r="J757" s="3">
        <f>정규화데이터!J757</f>
        <v>108181.81818181818</v>
      </c>
      <c r="K757" s="25">
        <f>정규화데이터!K757</f>
        <v>61496</v>
      </c>
      <c r="L757" s="25">
        <f>정규화데이터!L757</f>
        <v>61496</v>
      </c>
      <c r="M757" s="21">
        <f t="shared" si="22"/>
        <v>46685.818181818177</v>
      </c>
      <c r="N757" s="52">
        <f t="shared" si="23"/>
        <v>0.43154957983193276</v>
      </c>
    </row>
    <row r="758" spans="1:14" x14ac:dyDescent="0.3">
      <c r="A758" t="str">
        <f>정규화데이터!A758</f>
        <v>SK스토아</v>
      </c>
      <c r="B758">
        <f>정규화데이터!B758</f>
        <v>20260210361793</v>
      </c>
      <c r="C758" t="str">
        <f>정규화데이터!C758</f>
        <v>[워커힐]워커힐 고메 시그니처 양념 본갈비 8팩</v>
      </c>
      <c r="D758">
        <f>정규화데이터!D758</f>
        <v>58481090</v>
      </c>
      <c r="E758" s="16" t="str">
        <f>정규화데이터!E758</f>
        <v>SKU001</v>
      </c>
      <c r="F758" s="3">
        <f>정규화데이터!F758</f>
        <v>1</v>
      </c>
      <c r="G758" s="3">
        <f>정규화데이터!G758</f>
        <v>119000</v>
      </c>
      <c r="H758" s="3">
        <f>정규화데이터!H758</f>
        <v>119000</v>
      </c>
      <c r="I758" s="3">
        <f>정규화데이터!I758</f>
        <v>80920</v>
      </c>
      <c r="J758" s="3">
        <f>정규화데이터!J758</f>
        <v>108181.81818181818</v>
      </c>
      <c r="K758" s="25">
        <f>정규화데이터!K758</f>
        <v>61496</v>
      </c>
      <c r="L758" s="25">
        <f>정규화데이터!L758</f>
        <v>61496</v>
      </c>
      <c r="M758" s="21">
        <f t="shared" si="22"/>
        <v>46685.818181818177</v>
      </c>
      <c r="N758" s="52">
        <f t="shared" si="23"/>
        <v>0.43154957983193276</v>
      </c>
    </row>
    <row r="759" spans="1:14" x14ac:dyDescent="0.3">
      <c r="A759" t="str">
        <f>정규화데이터!A759</f>
        <v>SK스토아</v>
      </c>
      <c r="B759">
        <f>정규화데이터!B759</f>
        <v>20260210361964</v>
      </c>
      <c r="C759" t="str">
        <f>정규화데이터!C759</f>
        <v>[워커힐]워커힐 고메 시그니처 양념 본갈비 8팩</v>
      </c>
      <c r="D759">
        <f>정규화데이터!D759</f>
        <v>58481090</v>
      </c>
      <c r="E759" s="16" t="str">
        <f>정규화데이터!E759</f>
        <v>SKU001</v>
      </c>
      <c r="F759" s="3">
        <f>정규화데이터!F759</f>
        <v>1</v>
      </c>
      <c r="G759" s="3">
        <f>정규화데이터!G759</f>
        <v>119000</v>
      </c>
      <c r="H759" s="3">
        <f>정규화데이터!H759</f>
        <v>119000</v>
      </c>
      <c r="I759" s="3">
        <f>정규화데이터!I759</f>
        <v>80920</v>
      </c>
      <c r="J759" s="3">
        <f>정규화데이터!J759</f>
        <v>108181.81818181818</v>
      </c>
      <c r="K759" s="25">
        <f>정규화데이터!K759</f>
        <v>61496</v>
      </c>
      <c r="L759" s="25">
        <f>정규화데이터!L759</f>
        <v>61496</v>
      </c>
      <c r="M759" s="21">
        <f t="shared" si="22"/>
        <v>46685.818181818177</v>
      </c>
      <c r="N759" s="52">
        <f t="shared" si="23"/>
        <v>0.43154957983193276</v>
      </c>
    </row>
    <row r="760" spans="1:14" x14ac:dyDescent="0.3">
      <c r="A760" t="str">
        <f>정규화데이터!A760</f>
        <v>SK스토아</v>
      </c>
      <c r="B760">
        <f>정규화데이터!B760</f>
        <v>20260210361971</v>
      </c>
      <c r="C760" t="str">
        <f>정규화데이터!C760</f>
        <v>[워커힐]워커힐 고메 시그니처 양념 본갈비 8팩</v>
      </c>
      <c r="D760">
        <f>정규화데이터!D760</f>
        <v>58481090</v>
      </c>
      <c r="E760" s="16" t="str">
        <f>정규화데이터!E760</f>
        <v>SKU001</v>
      </c>
      <c r="F760" s="3">
        <f>정규화데이터!F760</f>
        <v>1</v>
      </c>
      <c r="G760" s="3">
        <f>정규화데이터!G760</f>
        <v>119000</v>
      </c>
      <c r="H760" s="3">
        <f>정규화데이터!H760</f>
        <v>119000</v>
      </c>
      <c r="I760" s="3">
        <f>정규화데이터!I760</f>
        <v>80920</v>
      </c>
      <c r="J760" s="3">
        <f>정규화데이터!J760</f>
        <v>108181.81818181818</v>
      </c>
      <c r="K760" s="25">
        <f>정규화데이터!K760</f>
        <v>61496</v>
      </c>
      <c r="L760" s="25">
        <f>정규화데이터!L760</f>
        <v>61496</v>
      </c>
      <c r="M760" s="21">
        <f t="shared" si="22"/>
        <v>46685.818181818177</v>
      </c>
      <c r="N760" s="52">
        <f t="shared" si="23"/>
        <v>0.43154957983193276</v>
      </c>
    </row>
    <row r="761" spans="1:14" x14ac:dyDescent="0.3">
      <c r="A761" t="str">
        <f>정규화데이터!A761</f>
        <v>SK스토아</v>
      </c>
      <c r="B761">
        <f>정규화데이터!B761</f>
        <v>20260210360781</v>
      </c>
      <c r="C761" t="str">
        <f>정규화데이터!C761</f>
        <v>[워커힐]워커힐 고메 시그니처 양념 본갈비 8팩</v>
      </c>
      <c r="D761">
        <f>정규화데이터!D761</f>
        <v>58481090</v>
      </c>
      <c r="E761" s="16" t="str">
        <f>정규화데이터!E761</f>
        <v>SKU001</v>
      </c>
      <c r="F761" s="3">
        <f>정규화데이터!F761</f>
        <v>1</v>
      </c>
      <c r="G761" s="3">
        <f>정규화데이터!G761</f>
        <v>119000</v>
      </c>
      <c r="H761" s="3">
        <f>정규화데이터!H761</f>
        <v>119000</v>
      </c>
      <c r="I761" s="3">
        <f>정규화데이터!I761</f>
        <v>80920</v>
      </c>
      <c r="J761" s="3">
        <f>정규화데이터!J761</f>
        <v>108181.81818181818</v>
      </c>
      <c r="K761" s="25">
        <f>정규화데이터!K761</f>
        <v>61496</v>
      </c>
      <c r="L761" s="25">
        <f>정규화데이터!L761</f>
        <v>61496</v>
      </c>
      <c r="M761" s="21">
        <f t="shared" si="22"/>
        <v>46685.818181818177</v>
      </c>
      <c r="N761" s="52">
        <f t="shared" si="23"/>
        <v>0.43154957983193276</v>
      </c>
    </row>
    <row r="762" spans="1:14" x14ac:dyDescent="0.3">
      <c r="A762" t="str">
        <f>정규화데이터!A762</f>
        <v>SK스토아</v>
      </c>
      <c r="B762">
        <f>정규화데이터!B762</f>
        <v>20260210361080</v>
      </c>
      <c r="C762" t="str">
        <f>정규화데이터!C762</f>
        <v>[워커힐]워커힐 고메 시그니처 양념 본갈비 8팩</v>
      </c>
      <c r="D762">
        <f>정규화데이터!D762</f>
        <v>58481090</v>
      </c>
      <c r="E762" s="16" t="str">
        <f>정규화데이터!E762</f>
        <v>SKU001</v>
      </c>
      <c r="F762" s="3">
        <f>정규화데이터!F762</f>
        <v>1</v>
      </c>
      <c r="G762" s="3">
        <f>정규화데이터!G762</f>
        <v>119000</v>
      </c>
      <c r="H762" s="3">
        <f>정규화데이터!H762</f>
        <v>119000</v>
      </c>
      <c r="I762" s="3">
        <f>정규화데이터!I762</f>
        <v>80920</v>
      </c>
      <c r="J762" s="3">
        <f>정규화데이터!J762</f>
        <v>108181.81818181818</v>
      </c>
      <c r="K762" s="25">
        <f>정규화데이터!K762</f>
        <v>61496</v>
      </c>
      <c r="L762" s="25">
        <f>정규화데이터!L762</f>
        <v>61496</v>
      </c>
      <c r="M762" s="21">
        <f t="shared" si="22"/>
        <v>46685.818181818177</v>
      </c>
      <c r="N762" s="52">
        <f t="shared" si="23"/>
        <v>0.43154957983193276</v>
      </c>
    </row>
    <row r="763" spans="1:14" x14ac:dyDescent="0.3">
      <c r="A763" t="str">
        <f>정규화데이터!A763</f>
        <v>SK스토아</v>
      </c>
      <c r="B763">
        <f>정규화데이터!B763</f>
        <v>20260210361198</v>
      </c>
      <c r="C763" t="str">
        <f>정규화데이터!C763</f>
        <v>[워커힐]워커힐 고메 시그니처 양념 본갈비 8팩</v>
      </c>
      <c r="D763">
        <f>정규화데이터!D763</f>
        <v>58481090</v>
      </c>
      <c r="E763" s="16" t="str">
        <f>정규화데이터!E763</f>
        <v>SKU001</v>
      </c>
      <c r="F763" s="3">
        <f>정규화데이터!F763</f>
        <v>1</v>
      </c>
      <c r="G763" s="3">
        <f>정규화데이터!G763</f>
        <v>119000</v>
      </c>
      <c r="H763" s="3">
        <f>정규화데이터!H763</f>
        <v>113050</v>
      </c>
      <c r="I763" s="3">
        <f>정규화데이터!I763</f>
        <v>80920</v>
      </c>
      <c r="J763" s="3">
        <f>정규화데이터!J763</f>
        <v>102772.72727272726</v>
      </c>
      <c r="K763" s="25">
        <f>정규화데이터!K763</f>
        <v>61496</v>
      </c>
      <c r="L763" s="25">
        <f>정규화데이터!L763</f>
        <v>61496</v>
      </c>
      <c r="M763" s="21">
        <f t="shared" si="22"/>
        <v>41276.727272727265</v>
      </c>
      <c r="N763" s="52">
        <f t="shared" si="23"/>
        <v>0.40163113666519235</v>
      </c>
    </row>
    <row r="764" spans="1:14" x14ac:dyDescent="0.3">
      <c r="A764" t="str">
        <f>정규화데이터!A764</f>
        <v>SK스토아</v>
      </c>
      <c r="B764">
        <f>정규화데이터!B764</f>
        <v>20260210361300</v>
      </c>
      <c r="C764" t="str">
        <f>정규화데이터!C764</f>
        <v>[워커힐]워커힐 고메 시그니처 양념 본갈비 8팩</v>
      </c>
      <c r="D764">
        <f>정규화데이터!D764</f>
        <v>58481090</v>
      </c>
      <c r="E764" s="16" t="str">
        <f>정규화데이터!E764</f>
        <v>SKU001</v>
      </c>
      <c r="F764" s="3">
        <f>정규화데이터!F764</f>
        <v>1</v>
      </c>
      <c r="G764" s="3">
        <f>정규화데이터!G764</f>
        <v>119000</v>
      </c>
      <c r="H764" s="3">
        <f>정규화데이터!H764</f>
        <v>113050</v>
      </c>
      <c r="I764" s="3">
        <f>정규화데이터!I764</f>
        <v>80920</v>
      </c>
      <c r="J764" s="3">
        <f>정규화데이터!J764</f>
        <v>102772.72727272726</v>
      </c>
      <c r="K764" s="25">
        <f>정규화데이터!K764</f>
        <v>61496</v>
      </c>
      <c r="L764" s="25">
        <f>정규화데이터!L764</f>
        <v>61496</v>
      </c>
      <c r="M764" s="21">
        <f t="shared" si="22"/>
        <v>41276.727272727265</v>
      </c>
      <c r="N764" s="52">
        <f t="shared" si="23"/>
        <v>0.40163113666519235</v>
      </c>
    </row>
    <row r="765" spans="1:14" x14ac:dyDescent="0.3">
      <c r="A765" t="str">
        <f>정규화데이터!A765</f>
        <v>SK스토아</v>
      </c>
      <c r="B765">
        <f>정규화데이터!B765</f>
        <v>20260210360466</v>
      </c>
      <c r="C765" t="str">
        <f>정규화데이터!C765</f>
        <v>[워커힐]워커힐 고메 시그니처 양념 본갈비 8팩</v>
      </c>
      <c r="D765">
        <f>정규화데이터!D765</f>
        <v>58481090</v>
      </c>
      <c r="E765" s="16" t="str">
        <f>정규화데이터!E765</f>
        <v>SKU001</v>
      </c>
      <c r="F765" s="3">
        <f>정규화데이터!F765</f>
        <v>1</v>
      </c>
      <c r="G765" s="3">
        <f>정규화데이터!G765</f>
        <v>119000</v>
      </c>
      <c r="H765" s="3">
        <f>정규화데이터!H765</f>
        <v>119000</v>
      </c>
      <c r="I765" s="3">
        <f>정규화데이터!I765</f>
        <v>80920</v>
      </c>
      <c r="J765" s="3">
        <f>정규화데이터!J765</f>
        <v>108181.81818181818</v>
      </c>
      <c r="K765" s="25">
        <f>정규화데이터!K765</f>
        <v>61496</v>
      </c>
      <c r="L765" s="25">
        <f>정규화데이터!L765</f>
        <v>61496</v>
      </c>
      <c r="M765" s="21">
        <f t="shared" si="22"/>
        <v>46685.818181818177</v>
      </c>
      <c r="N765" s="52">
        <f t="shared" si="23"/>
        <v>0.43154957983193276</v>
      </c>
    </row>
    <row r="766" spans="1:14" x14ac:dyDescent="0.3">
      <c r="A766" t="str">
        <f>정규화데이터!A766</f>
        <v>SK스토아</v>
      </c>
      <c r="B766">
        <f>정규화데이터!B766</f>
        <v>20260210360681</v>
      </c>
      <c r="C766" t="str">
        <f>정규화데이터!C766</f>
        <v>[워커힐]워커힐 고메 시그니처 양념 본갈비 8팩</v>
      </c>
      <c r="D766">
        <f>정규화데이터!D766</f>
        <v>58481090</v>
      </c>
      <c r="E766" s="16" t="str">
        <f>정규화데이터!E766</f>
        <v>SKU001</v>
      </c>
      <c r="F766" s="3">
        <f>정규화데이터!F766</f>
        <v>1</v>
      </c>
      <c r="G766" s="3">
        <f>정규화데이터!G766</f>
        <v>119000</v>
      </c>
      <c r="H766" s="3">
        <f>정규화데이터!H766</f>
        <v>113050</v>
      </c>
      <c r="I766" s="3">
        <f>정규화데이터!I766</f>
        <v>80920</v>
      </c>
      <c r="J766" s="3">
        <f>정규화데이터!J766</f>
        <v>102772.72727272726</v>
      </c>
      <c r="K766" s="25">
        <f>정규화데이터!K766</f>
        <v>61496</v>
      </c>
      <c r="L766" s="25">
        <f>정규화데이터!L766</f>
        <v>61496</v>
      </c>
      <c r="M766" s="21">
        <f t="shared" si="22"/>
        <v>41276.727272727265</v>
      </c>
      <c r="N766" s="52">
        <f t="shared" si="23"/>
        <v>0.40163113666519235</v>
      </c>
    </row>
    <row r="767" spans="1:14" x14ac:dyDescent="0.3">
      <c r="A767" t="str">
        <f>정규화데이터!A767</f>
        <v>SK스토아</v>
      </c>
      <c r="B767">
        <f>정규화데이터!B767</f>
        <v>20260210361731</v>
      </c>
      <c r="C767" t="str">
        <f>정규화데이터!C767</f>
        <v>[워커힐]워커힐 고메 시그니처 양념 본갈비 8팩</v>
      </c>
      <c r="D767">
        <f>정규화데이터!D767</f>
        <v>58481090</v>
      </c>
      <c r="E767" s="16" t="str">
        <f>정규화데이터!E767</f>
        <v>SKU001</v>
      </c>
      <c r="F767" s="3">
        <f>정규화데이터!F767</f>
        <v>1</v>
      </c>
      <c r="G767" s="3">
        <f>정규화데이터!G767</f>
        <v>119000</v>
      </c>
      <c r="H767" s="3">
        <f>정규화데이터!H767</f>
        <v>119000</v>
      </c>
      <c r="I767" s="3">
        <f>정규화데이터!I767</f>
        <v>80920</v>
      </c>
      <c r="J767" s="3">
        <f>정규화데이터!J767</f>
        <v>108181.81818181818</v>
      </c>
      <c r="K767" s="25">
        <f>정규화데이터!K767</f>
        <v>61496</v>
      </c>
      <c r="L767" s="25">
        <f>정규화데이터!L767</f>
        <v>61496</v>
      </c>
      <c r="M767" s="21">
        <f t="shared" si="22"/>
        <v>46685.818181818177</v>
      </c>
      <c r="N767" s="52">
        <f t="shared" si="23"/>
        <v>0.43154957983193276</v>
      </c>
    </row>
    <row r="768" spans="1:14" x14ac:dyDescent="0.3">
      <c r="A768" t="str">
        <f>정규화데이터!A768</f>
        <v>SK스토아</v>
      </c>
      <c r="B768">
        <f>정규화데이터!B768</f>
        <v>20260210361854</v>
      </c>
      <c r="C768" t="str">
        <f>정규화데이터!C768</f>
        <v>[워커힐]워커힐 고메 시그니처 양념 본갈비 8팩</v>
      </c>
      <c r="D768">
        <f>정규화데이터!D768</f>
        <v>58481090</v>
      </c>
      <c r="E768" s="16" t="str">
        <f>정규화데이터!E768</f>
        <v>SKU001</v>
      </c>
      <c r="F768" s="3">
        <f>정규화데이터!F768</f>
        <v>1</v>
      </c>
      <c r="G768" s="3">
        <f>정규화데이터!G768</f>
        <v>119000</v>
      </c>
      <c r="H768" s="3">
        <f>정규화데이터!H768</f>
        <v>119000</v>
      </c>
      <c r="I768" s="3">
        <f>정규화데이터!I768</f>
        <v>80920</v>
      </c>
      <c r="J768" s="3">
        <f>정규화데이터!J768</f>
        <v>108181.81818181818</v>
      </c>
      <c r="K768" s="25">
        <f>정규화데이터!K768</f>
        <v>61496</v>
      </c>
      <c r="L768" s="25">
        <f>정규화데이터!L768</f>
        <v>61496</v>
      </c>
      <c r="M768" s="21">
        <f t="shared" si="22"/>
        <v>46685.818181818177</v>
      </c>
      <c r="N768" s="52">
        <f t="shared" si="23"/>
        <v>0.43154957983193276</v>
      </c>
    </row>
    <row r="769" spans="1:14" x14ac:dyDescent="0.3">
      <c r="A769" t="str">
        <f>정규화데이터!A769</f>
        <v>SK스토아</v>
      </c>
      <c r="B769">
        <f>정규화데이터!B769</f>
        <v>20260210362118</v>
      </c>
      <c r="C769" t="str">
        <f>정규화데이터!C769</f>
        <v>[워커힐]워커힐 고메 시그니처 양념 본갈비 8팩</v>
      </c>
      <c r="D769">
        <f>정규화데이터!D769</f>
        <v>58481090</v>
      </c>
      <c r="E769" s="16" t="str">
        <f>정규화데이터!E769</f>
        <v>SKU001</v>
      </c>
      <c r="F769" s="3">
        <f>정규화데이터!F769</f>
        <v>1</v>
      </c>
      <c r="G769" s="3">
        <f>정규화데이터!G769</f>
        <v>119000</v>
      </c>
      <c r="H769" s="3">
        <f>정규화데이터!H769</f>
        <v>119000</v>
      </c>
      <c r="I769" s="3">
        <f>정규화데이터!I769</f>
        <v>80920</v>
      </c>
      <c r="J769" s="3">
        <f>정규화데이터!J769</f>
        <v>108181.81818181818</v>
      </c>
      <c r="K769" s="25">
        <f>정규화데이터!K769</f>
        <v>61496</v>
      </c>
      <c r="L769" s="25">
        <f>정규화데이터!L769</f>
        <v>61496</v>
      </c>
      <c r="M769" s="21">
        <f t="shared" si="22"/>
        <v>46685.818181818177</v>
      </c>
      <c r="N769" s="52">
        <f t="shared" si="23"/>
        <v>0.43154957983193276</v>
      </c>
    </row>
    <row r="770" spans="1:14" x14ac:dyDescent="0.3">
      <c r="A770" t="str">
        <f>정규화데이터!A770</f>
        <v>SK스토아</v>
      </c>
      <c r="B770">
        <f>정규화데이터!B770</f>
        <v>20260210360847</v>
      </c>
      <c r="C770" t="str">
        <f>정규화데이터!C770</f>
        <v>[워커힐]워커힐 고메 시그니처 양념 본갈비 8팩</v>
      </c>
      <c r="D770">
        <f>정규화데이터!D770</f>
        <v>58481090</v>
      </c>
      <c r="E770" s="16" t="str">
        <f>정규화데이터!E770</f>
        <v>SKU001</v>
      </c>
      <c r="F770" s="3">
        <f>정규화데이터!F770</f>
        <v>1</v>
      </c>
      <c r="G770" s="3">
        <f>정규화데이터!G770</f>
        <v>119000</v>
      </c>
      <c r="H770" s="3">
        <f>정규화데이터!H770</f>
        <v>119000</v>
      </c>
      <c r="I770" s="3">
        <f>정규화데이터!I770</f>
        <v>80920</v>
      </c>
      <c r="J770" s="3">
        <f>정규화데이터!J770</f>
        <v>108181.81818181818</v>
      </c>
      <c r="K770" s="25">
        <f>정규화데이터!K770</f>
        <v>61496</v>
      </c>
      <c r="L770" s="25">
        <f>정규화데이터!L770</f>
        <v>61496</v>
      </c>
      <c r="M770" s="21">
        <f t="shared" si="22"/>
        <v>46685.818181818177</v>
      </c>
      <c r="N770" s="52">
        <f t="shared" si="23"/>
        <v>0.43154957983193276</v>
      </c>
    </row>
    <row r="771" spans="1:14" x14ac:dyDescent="0.3">
      <c r="A771" t="str">
        <f>정규화데이터!A771</f>
        <v>SK스토아</v>
      </c>
      <c r="B771">
        <f>정규화데이터!B771</f>
        <v>20260210360648</v>
      </c>
      <c r="C771" t="str">
        <f>정규화데이터!C771</f>
        <v>[워커힐]워커힐 고메 시그니처 양념 본갈비 8팩</v>
      </c>
      <c r="D771">
        <f>정규화데이터!D771</f>
        <v>58481090</v>
      </c>
      <c r="E771" s="16" t="str">
        <f>정규화데이터!E771</f>
        <v>SKU001</v>
      </c>
      <c r="F771" s="3">
        <f>정규화데이터!F771</f>
        <v>1</v>
      </c>
      <c r="G771" s="3">
        <f>정규화데이터!G771</f>
        <v>119000</v>
      </c>
      <c r="H771" s="3">
        <f>정규화데이터!H771</f>
        <v>119000</v>
      </c>
      <c r="I771" s="3">
        <f>정규화데이터!I771</f>
        <v>80920</v>
      </c>
      <c r="J771" s="3">
        <f>정규화데이터!J771</f>
        <v>108181.81818181818</v>
      </c>
      <c r="K771" s="25">
        <f>정규화데이터!K771</f>
        <v>61496</v>
      </c>
      <c r="L771" s="25">
        <f>정규화데이터!L771</f>
        <v>61496</v>
      </c>
      <c r="M771" s="21">
        <f t="shared" ref="M771:M834" si="24">J771-L771</f>
        <v>46685.818181818177</v>
      </c>
      <c r="N771" s="52">
        <f t="shared" ref="N771:N834" si="25">IF(J771=0,0,M771/J771)</f>
        <v>0.43154957983193276</v>
      </c>
    </row>
    <row r="772" spans="1:14" x14ac:dyDescent="0.3">
      <c r="A772" t="str">
        <f>정규화데이터!A772</f>
        <v>SK스토아</v>
      </c>
      <c r="B772">
        <f>정규화데이터!B772</f>
        <v>20260210360890</v>
      </c>
      <c r="C772" t="str">
        <f>정규화데이터!C772</f>
        <v>[워커힐]워커힐 고메 시그니처 양념 본갈비 8팩</v>
      </c>
      <c r="D772">
        <f>정규화데이터!D772</f>
        <v>58481090</v>
      </c>
      <c r="E772" s="16" t="str">
        <f>정규화데이터!E772</f>
        <v>SKU001</v>
      </c>
      <c r="F772" s="3">
        <f>정규화데이터!F772</f>
        <v>1</v>
      </c>
      <c r="G772" s="3">
        <f>정규화데이터!G772</f>
        <v>119000</v>
      </c>
      <c r="H772" s="3">
        <f>정규화데이터!H772</f>
        <v>119000</v>
      </c>
      <c r="I772" s="3">
        <f>정규화데이터!I772</f>
        <v>80920</v>
      </c>
      <c r="J772" s="3">
        <f>정규화데이터!J772</f>
        <v>108181.81818181818</v>
      </c>
      <c r="K772" s="25">
        <f>정규화데이터!K772</f>
        <v>61496</v>
      </c>
      <c r="L772" s="25">
        <f>정규화데이터!L772</f>
        <v>61496</v>
      </c>
      <c r="M772" s="21">
        <f t="shared" si="24"/>
        <v>46685.818181818177</v>
      </c>
      <c r="N772" s="52">
        <f t="shared" si="25"/>
        <v>0.43154957983193276</v>
      </c>
    </row>
    <row r="773" spans="1:14" x14ac:dyDescent="0.3">
      <c r="A773" t="str">
        <f>정규화데이터!A773</f>
        <v>SK스토아</v>
      </c>
      <c r="B773">
        <f>정규화데이터!B773</f>
        <v>20260210360922</v>
      </c>
      <c r="C773" t="str">
        <f>정규화데이터!C773</f>
        <v>[워커힐]워커힐 고메 시그니처 양념 본갈비 8팩</v>
      </c>
      <c r="D773">
        <f>정규화데이터!D773</f>
        <v>58481090</v>
      </c>
      <c r="E773" s="16" t="str">
        <f>정규화데이터!E773</f>
        <v>SKU001</v>
      </c>
      <c r="F773" s="3">
        <f>정규화데이터!F773</f>
        <v>1</v>
      </c>
      <c r="G773" s="3">
        <f>정규화데이터!G773</f>
        <v>119000</v>
      </c>
      <c r="H773" s="3">
        <f>정규화데이터!H773</f>
        <v>119000</v>
      </c>
      <c r="I773" s="3">
        <f>정규화데이터!I773</f>
        <v>80920</v>
      </c>
      <c r="J773" s="3">
        <f>정규화데이터!J773</f>
        <v>108181.81818181818</v>
      </c>
      <c r="K773" s="25">
        <f>정규화데이터!K773</f>
        <v>61496</v>
      </c>
      <c r="L773" s="25">
        <f>정규화데이터!L773</f>
        <v>61496</v>
      </c>
      <c r="M773" s="21">
        <f t="shared" si="24"/>
        <v>46685.818181818177</v>
      </c>
      <c r="N773" s="52">
        <f t="shared" si="25"/>
        <v>0.43154957983193276</v>
      </c>
    </row>
    <row r="774" spans="1:14" x14ac:dyDescent="0.3">
      <c r="A774" t="str">
        <f>정규화데이터!A774</f>
        <v>SK스토아</v>
      </c>
      <c r="B774">
        <f>정규화데이터!B774</f>
        <v>20260210361100</v>
      </c>
      <c r="C774" t="str">
        <f>정규화데이터!C774</f>
        <v>[워커힐]워커힐 고메 시그니처 양념 본갈비 8팩</v>
      </c>
      <c r="D774">
        <f>정규화데이터!D774</f>
        <v>58481090</v>
      </c>
      <c r="E774" s="16" t="str">
        <f>정규화데이터!E774</f>
        <v>SKU001</v>
      </c>
      <c r="F774" s="3">
        <f>정규화데이터!F774</f>
        <v>1</v>
      </c>
      <c r="G774" s="3">
        <f>정규화데이터!G774</f>
        <v>119000</v>
      </c>
      <c r="H774" s="3">
        <f>정규화데이터!H774</f>
        <v>119000</v>
      </c>
      <c r="I774" s="3">
        <f>정규화데이터!I774</f>
        <v>80920</v>
      </c>
      <c r="J774" s="3">
        <f>정규화데이터!J774</f>
        <v>108181.81818181818</v>
      </c>
      <c r="K774" s="25">
        <f>정규화데이터!K774</f>
        <v>61496</v>
      </c>
      <c r="L774" s="25">
        <f>정규화데이터!L774</f>
        <v>61496</v>
      </c>
      <c r="M774" s="21">
        <f t="shared" si="24"/>
        <v>46685.818181818177</v>
      </c>
      <c r="N774" s="52">
        <f t="shared" si="25"/>
        <v>0.43154957983193276</v>
      </c>
    </row>
    <row r="775" spans="1:14" x14ac:dyDescent="0.3">
      <c r="A775" t="str">
        <f>정규화데이터!A775</f>
        <v>SK스토아</v>
      </c>
      <c r="B775">
        <f>정규화데이터!B775</f>
        <v>20260210361163</v>
      </c>
      <c r="C775" t="str">
        <f>정규화데이터!C775</f>
        <v>[워커힐]워커힐 고메 시그니처 양념 본갈비 8팩</v>
      </c>
      <c r="D775">
        <f>정규화데이터!D775</f>
        <v>58481090</v>
      </c>
      <c r="E775" s="16" t="str">
        <f>정규화데이터!E775</f>
        <v>SKU001</v>
      </c>
      <c r="F775" s="3">
        <f>정규화데이터!F775</f>
        <v>1</v>
      </c>
      <c r="G775" s="3">
        <f>정규화데이터!G775</f>
        <v>119000</v>
      </c>
      <c r="H775" s="3">
        <f>정규화데이터!H775</f>
        <v>119000</v>
      </c>
      <c r="I775" s="3">
        <f>정규화데이터!I775</f>
        <v>80920</v>
      </c>
      <c r="J775" s="3">
        <f>정규화데이터!J775</f>
        <v>108181.81818181818</v>
      </c>
      <c r="K775" s="25">
        <f>정규화데이터!K775</f>
        <v>61496</v>
      </c>
      <c r="L775" s="25">
        <f>정규화데이터!L775</f>
        <v>61496</v>
      </c>
      <c r="M775" s="21">
        <f t="shared" si="24"/>
        <v>46685.818181818177</v>
      </c>
      <c r="N775" s="52">
        <f t="shared" si="25"/>
        <v>0.43154957983193276</v>
      </c>
    </row>
    <row r="776" spans="1:14" x14ac:dyDescent="0.3">
      <c r="A776" t="str">
        <f>정규화데이터!A776</f>
        <v>SK스토아</v>
      </c>
      <c r="B776">
        <f>정규화데이터!B776</f>
        <v>20260210360249</v>
      </c>
      <c r="C776" t="str">
        <f>정규화데이터!C776</f>
        <v>[워커힐]워커힐 고메 시그니처 양념 본갈비 8팩</v>
      </c>
      <c r="D776">
        <f>정규화데이터!D776</f>
        <v>58481090</v>
      </c>
      <c r="E776" s="16" t="str">
        <f>정규화데이터!E776</f>
        <v>SKU001</v>
      </c>
      <c r="F776" s="3">
        <f>정규화데이터!F776</f>
        <v>1</v>
      </c>
      <c r="G776" s="3">
        <f>정규화데이터!G776</f>
        <v>119000</v>
      </c>
      <c r="H776" s="3">
        <f>정규화데이터!H776</f>
        <v>119000</v>
      </c>
      <c r="I776" s="3">
        <f>정규화데이터!I776</f>
        <v>80920</v>
      </c>
      <c r="J776" s="3">
        <f>정규화데이터!J776</f>
        <v>108181.81818181818</v>
      </c>
      <c r="K776" s="25">
        <f>정규화데이터!K776</f>
        <v>61496</v>
      </c>
      <c r="L776" s="25">
        <f>정규화데이터!L776</f>
        <v>61496</v>
      </c>
      <c r="M776" s="21">
        <f t="shared" si="24"/>
        <v>46685.818181818177</v>
      </c>
      <c r="N776" s="52">
        <f t="shared" si="25"/>
        <v>0.43154957983193276</v>
      </c>
    </row>
    <row r="777" spans="1:14" x14ac:dyDescent="0.3">
      <c r="A777" t="str">
        <f>정규화데이터!A777</f>
        <v>SK스토아</v>
      </c>
      <c r="B777">
        <f>정규화데이터!B777</f>
        <v>20260210360429</v>
      </c>
      <c r="C777" t="str">
        <f>정규화데이터!C777</f>
        <v>[워커힐]워커힐 고메 시그니처 양념 본갈비 8팩</v>
      </c>
      <c r="D777">
        <f>정규화데이터!D777</f>
        <v>58481090</v>
      </c>
      <c r="E777" s="16" t="str">
        <f>정규화데이터!E777</f>
        <v>SKU001</v>
      </c>
      <c r="F777" s="3">
        <f>정규화데이터!F777</f>
        <v>1</v>
      </c>
      <c r="G777" s="3">
        <f>정규화데이터!G777</f>
        <v>119000</v>
      </c>
      <c r="H777" s="3">
        <f>정규화데이터!H777</f>
        <v>119000</v>
      </c>
      <c r="I777" s="3">
        <f>정규화데이터!I777</f>
        <v>80920</v>
      </c>
      <c r="J777" s="3">
        <f>정규화데이터!J777</f>
        <v>108181.81818181818</v>
      </c>
      <c r="K777" s="25">
        <f>정규화데이터!K777</f>
        <v>61496</v>
      </c>
      <c r="L777" s="25">
        <f>정규화데이터!L777</f>
        <v>61496</v>
      </c>
      <c r="M777" s="21">
        <f t="shared" si="24"/>
        <v>46685.818181818177</v>
      </c>
      <c r="N777" s="52">
        <f t="shared" si="25"/>
        <v>0.43154957983193276</v>
      </c>
    </row>
    <row r="778" spans="1:14" x14ac:dyDescent="0.3">
      <c r="A778" t="str">
        <f>정규화데이터!A778</f>
        <v>SK스토아</v>
      </c>
      <c r="B778">
        <f>정규화데이터!B778</f>
        <v>20260210361277</v>
      </c>
      <c r="C778" t="str">
        <f>정규화데이터!C778</f>
        <v>[워커힐]워커힐 고메 시그니처 양념 본갈비 8팩</v>
      </c>
      <c r="D778">
        <f>정규화데이터!D778</f>
        <v>58481090</v>
      </c>
      <c r="E778" s="16" t="str">
        <f>정규화데이터!E778</f>
        <v>SKU001</v>
      </c>
      <c r="F778" s="3">
        <f>정규화데이터!F778</f>
        <v>1</v>
      </c>
      <c r="G778" s="3">
        <f>정규화데이터!G778</f>
        <v>119000</v>
      </c>
      <c r="H778" s="3">
        <f>정규화데이터!H778</f>
        <v>119000</v>
      </c>
      <c r="I778" s="3">
        <f>정규화데이터!I778</f>
        <v>80920</v>
      </c>
      <c r="J778" s="3">
        <f>정규화데이터!J778</f>
        <v>108181.81818181818</v>
      </c>
      <c r="K778" s="25">
        <f>정규화데이터!K778</f>
        <v>61496</v>
      </c>
      <c r="L778" s="25">
        <f>정규화데이터!L778</f>
        <v>61496</v>
      </c>
      <c r="M778" s="21">
        <f t="shared" si="24"/>
        <v>46685.818181818177</v>
      </c>
      <c r="N778" s="52">
        <f t="shared" si="25"/>
        <v>0.43154957983193276</v>
      </c>
    </row>
    <row r="779" spans="1:14" x14ac:dyDescent="0.3">
      <c r="A779" t="str">
        <f>정규화데이터!A779</f>
        <v>SK스토아</v>
      </c>
      <c r="B779">
        <f>정규화데이터!B779</f>
        <v>20260210361301</v>
      </c>
      <c r="C779" t="str">
        <f>정규화데이터!C779</f>
        <v>[워커힐]워커힐 고메 시그니처 양념 본갈비 8팩</v>
      </c>
      <c r="D779">
        <f>정규화데이터!D779</f>
        <v>58481090</v>
      </c>
      <c r="E779" s="16" t="str">
        <f>정규화데이터!E779</f>
        <v>SKU001</v>
      </c>
      <c r="F779" s="3">
        <f>정규화데이터!F779</f>
        <v>1</v>
      </c>
      <c r="G779" s="3">
        <f>정규화데이터!G779</f>
        <v>119000</v>
      </c>
      <c r="H779" s="3">
        <f>정규화데이터!H779</f>
        <v>119000</v>
      </c>
      <c r="I779" s="3">
        <f>정규화데이터!I779</f>
        <v>80920</v>
      </c>
      <c r="J779" s="3">
        <f>정규화데이터!J779</f>
        <v>108181.81818181818</v>
      </c>
      <c r="K779" s="25">
        <f>정규화데이터!K779</f>
        <v>61496</v>
      </c>
      <c r="L779" s="25">
        <f>정규화데이터!L779</f>
        <v>61496</v>
      </c>
      <c r="M779" s="21">
        <f t="shared" si="24"/>
        <v>46685.818181818177</v>
      </c>
      <c r="N779" s="52">
        <f t="shared" si="25"/>
        <v>0.43154957983193276</v>
      </c>
    </row>
    <row r="780" spans="1:14" x14ac:dyDescent="0.3">
      <c r="A780" t="str">
        <f>정규화데이터!A780</f>
        <v>SK스토아</v>
      </c>
      <c r="B780">
        <f>정규화데이터!B780</f>
        <v>20260210360542</v>
      </c>
      <c r="C780" t="str">
        <f>정규화데이터!C780</f>
        <v>[워커힐]워커힐 고메 시그니처 양념 본갈비 8팩</v>
      </c>
      <c r="D780">
        <f>정규화데이터!D780</f>
        <v>58481090</v>
      </c>
      <c r="E780" s="16" t="str">
        <f>정규화데이터!E780</f>
        <v>SKU001</v>
      </c>
      <c r="F780" s="3">
        <f>정규화데이터!F780</f>
        <v>1</v>
      </c>
      <c r="G780" s="3">
        <f>정규화데이터!G780</f>
        <v>119000</v>
      </c>
      <c r="H780" s="3">
        <f>정규화데이터!H780</f>
        <v>119000</v>
      </c>
      <c r="I780" s="3">
        <f>정규화데이터!I780</f>
        <v>80920</v>
      </c>
      <c r="J780" s="3">
        <f>정규화데이터!J780</f>
        <v>108181.81818181818</v>
      </c>
      <c r="K780" s="25">
        <f>정규화데이터!K780</f>
        <v>61496</v>
      </c>
      <c r="L780" s="25">
        <f>정규화데이터!L780</f>
        <v>61496</v>
      </c>
      <c r="M780" s="21">
        <f t="shared" si="24"/>
        <v>46685.818181818177</v>
      </c>
      <c r="N780" s="52">
        <f t="shared" si="25"/>
        <v>0.43154957983193276</v>
      </c>
    </row>
    <row r="781" spans="1:14" x14ac:dyDescent="0.3">
      <c r="A781" t="str">
        <f>정규화데이터!A781</f>
        <v>SK스토아</v>
      </c>
      <c r="B781">
        <f>정규화데이터!B781</f>
        <v>20260210361360</v>
      </c>
      <c r="C781" t="str">
        <f>정규화데이터!C781</f>
        <v>[워커힐]워커힐 고메 시그니처 양념 본갈비 8팩</v>
      </c>
      <c r="D781">
        <f>정규화데이터!D781</f>
        <v>58481090</v>
      </c>
      <c r="E781" s="16" t="str">
        <f>정규화데이터!E781</f>
        <v>SKU001</v>
      </c>
      <c r="F781" s="3">
        <f>정규화데이터!F781</f>
        <v>1</v>
      </c>
      <c r="G781" s="3">
        <f>정규화데이터!G781</f>
        <v>119000</v>
      </c>
      <c r="H781" s="3">
        <f>정규화데이터!H781</f>
        <v>119000</v>
      </c>
      <c r="I781" s="3">
        <f>정규화데이터!I781</f>
        <v>80920</v>
      </c>
      <c r="J781" s="3">
        <f>정규화데이터!J781</f>
        <v>108181.81818181818</v>
      </c>
      <c r="K781" s="25">
        <f>정규화데이터!K781</f>
        <v>61496</v>
      </c>
      <c r="L781" s="25">
        <f>정규화데이터!L781</f>
        <v>61496</v>
      </c>
      <c r="M781" s="21">
        <f t="shared" si="24"/>
        <v>46685.818181818177</v>
      </c>
      <c r="N781" s="52">
        <f t="shared" si="25"/>
        <v>0.43154957983193276</v>
      </c>
    </row>
    <row r="782" spans="1:14" x14ac:dyDescent="0.3">
      <c r="A782" t="str">
        <f>정규화데이터!A782</f>
        <v>SK스토아</v>
      </c>
      <c r="B782">
        <f>정규화데이터!B782</f>
        <v>20260210361536</v>
      </c>
      <c r="C782" t="str">
        <f>정규화데이터!C782</f>
        <v>[워커힐]워커힐 고메 시그니처 양념 본갈비 8팩</v>
      </c>
      <c r="D782">
        <f>정규화데이터!D782</f>
        <v>58481090</v>
      </c>
      <c r="E782" s="16" t="str">
        <f>정규화데이터!E782</f>
        <v>SKU001</v>
      </c>
      <c r="F782" s="3">
        <f>정규화데이터!F782</f>
        <v>1</v>
      </c>
      <c r="G782" s="3">
        <f>정규화데이터!G782</f>
        <v>119000</v>
      </c>
      <c r="H782" s="3">
        <f>정규화데이터!H782</f>
        <v>119000</v>
      </c>
      <c r="I782" s="3">
        <f>정규화데이터!I782</f>
        <v>80920</v>
      </c>
      <c r="J782" s="3">
        <f>정규화데이터!J782</f>
        <v>108181.81818181818</v>
      </c>
      <c r="K782" s="25">
        <f>정규화데이터!K782</f>
        <v>61496</v>
      </c>
      <c r="L782" s="25">
        <f>정규화데이터!L782</f>
        <v>61496</v>
      </c>
      <c r="M782" s="21">
        <f t="shared" si="24"/>
        <v>46685.818181818177</v>
      </c>
      <c r="N782" s="52">
        <f t="shared" si="25"/>
        <v>0.43154957983193276</v>
      </c>
    </row>
    <row r="783" spans="1:14" x14ac:dyDescent="0.3">
      <c r="A783" t="str">
        <f>정규화데이터!A783</f>
        <v>SK스토아</v>
      </c>
      <c r="B783">
        <f>정규화데이터!B783</f>
        <v>20260210361726</v>
      </c>
      <c r="C783" t="str">
        <f>정규화데이터!C783</f>
        <v>[워커힐]워커힐 고메 시그니처 양념 본갈비 8팩</v>
      </c>
      <c r="D783">
        <f>정규화데이터!D783</f>
        <v>58481090</v>
      </c>
      <c r="E783" s="16" t="str">
        <f>정규화데이터!E783</f>
        <v>SKU001</v>
      </c>
      <c r="F783" s="3">
        <f>정규화데이터!F783</f>
        <v>1</v>
      </c>
      <c r="G783" s="3">
        <f>정규화데이터!G783</f>
        <v>119000</v>
      </c>
      <c r="H783" s="3">
        <f>정규화데이터!H783</f>
        <v>119000</v>
      </c>
      <c r="I783" s="3">
        <f>정규화데이터!I783</f>
        <v>80920</v>
      </c>
      <c r="J783" s="3">
        <f>정규화데이터!J783</f>
        <v>108181.81818181818</v>
      </c>
      <c r="K783" s="25">
        <f>정규화데이터!K783</f>
        <v>61496</v>
      </c>
      <c r="L783" s="25">
        <f>정규화데이터!L783</f>
        <v>61496</v>
      </c>
      <c r="M783" s="21">
        <f t="shared" si="24"/>
        <v>46685.818181818177</v>
      </c>
      <c r="N783" s="52">
        <f t="shared" si="25"/>
        <v>0.43154957983193276</v>
      </c>
    </row>
    <row r="784" spans="1:14" x14ac:dyDescent="0.3">
      <c r="A784" t="str">
        <f>정규화데이터!A784</f>
        <v>SK스토아</v>
      </c>
      <c r="B784">
        <f>정규화데이터!B784</f>
        <v>20260210361322</v>
      </c>
      <c r="C784" t="str">
        <f>정규화데이터!C784</f>
        <v>[워커힐]워커힐 고메 시그니처 양념 본갈비 8팩</v>
      </c>
      <c r="D784">
        <f>정규화데이터!D784</f>
        <v>58481090</v>
      </c>
      <c r="E784" s="16" t="str">
        <f>정규화데이터!E784</f>
        <v>SKU001</v>
      </c>
      <c r="F784" s="3">
        <f>정규화데이터!F784</f>
        <v>1</v>
      </c>
      <c r="G784" s="3">
        <f>정규화데이터!G784</f>
        <v>119000</v>
      </c>
      <c r="H784" s="3">
        <f>정규화데이터!H784</f>
        <v>119000</v>
      </c>
      <c r="I784" s="3">
        <f>정규화데이터!I784</f>
        <v>80920</v>
      </c>
      <c r="J784" s="3">
        <f>정규화데이터!J784</f>
        <v>108181.81818181818</v>
      </c>
      <c r="K784" s="25">
        <f>정규화데이터!K784</f>
        <v>61496</v>
      </c>
      <c r="L784" s="25">
        <f>정규화데이터!L784</f>
        <v>61496</v>
      </c>
      <c r="M784" s="21">
        <f t="shared" si="24"/>
        <v>46685.818181818177</v>
      </c>
      <c r="N784" s="52">
        <f t="shared" si="25"/>
        <v>0.43154957983193276</v>
      </c>
    </row>
    <row r="785" spans="1:14" x14ac:dyDescent="0.3">
      <c r="A785" t="str">
        <f>정규화데이터!A785</f>
        <v>SK스토아</v>
      </c>
      <c r="B785">
        <f>정규화데이터!B785</f>
        <v>20260210361734</v>
      </c>
      <c r="C785" t="str">
        <f>정규화데이터!C785</f>
        <v>[워커힐]워커힐 고메 시그니처 양념 본갈비 8팩</v>
      </c>
      <c r="D785">
        <f>정규화데이터!D785</f>
        <v>58481090</v>
      </c>
      <c r="E785" s="16" t="str">
        <f>정규화데이터!E785</f>
        <v>SKU001</v>
      </c>
      <c r="F785" s="3">
        <f>정규화데이터!F785</f>
        <v>1</v>
      </c>
      <c r="G785" s="3">
        <f>정규화데이터!G785</f>
        <v>119000</v>
      </c>
      <c r="H785" s="3">
        <f>정규화데이터!H785</f>
        <v>119000</v>
      </c>
      <c r="I785" s="3">
        <f>정규화데이터!I785</f>
        <v>80920</v>
      </c>
      <c r="J785" s="3">
        <f>정규화데이터!J785</f>
        <v>108181.81818181818</v>
      </c>
      <c r="K785" s="25">
        <f>정규화데이터!K785</f>
        <v>61496</v>
      </c>
      <c r="L785" s="25">
        <f>정규화데이터!L785</f>
        <v>61496</v>
      </c>
      <c r="M785" s="21">
        <f t="shared" si="24"/>
        <v>46685.818181818177</v>
      </c>
      <c r="N785" s="52">
        <f t="shared" si="25"/>
        <v>0.43154957983193276</v>
      </c>
    </row>
    <row r="786" spans="1:14" x14ac:dyDescent="0.3">
      <c r="A786" t="str">
        <f>정규화데이터!A786</f>
        <v>SK스토아</v>
      </c>
      <c r="B786">
        <f>정규화데이터!B786</f>
        <v>20260210361697</v>
      </c>
      <c r="C786" t="str">
        <f>정규화데이터!C786</f>
        <v>[워커힐]워커힐 고메 시그니처 양념 본갈비 8팩</v>
      </c>
      <c r="D786">
        <f>정규화데이터!D786</f>
        <v>58481090</v>
      </c>
      <c r="E786" s="16" t="str">
        <f>정규화데이터!E786</f>
        <v>SKU001</v>
      </c>
      <c r="F786" s="3">
        <f>정규화데이터!F786</f>
        <v>1</v>
      </c>
      <c r="G786" s="3">
        <f>정규화데이터!G786</f>
        <v>119000</v>
      </c>
      <c r="H786" s="3">
        <f>정규화데이터!H786</f>
        <v>119000</v>
      </c>
      <c r="I786" s="3">
        <f>정규화데이터!I786</f>
        <v>80920</v>
      </c>
      <c r="J786" s="3">
        <f>정규화데이터!J786</f>
        <v>108181.81818181818</v>
      </c>
      <c r="K786" s="25">
        <f>정규화데이터!K786</f>
        <v>61496</v>
      </c>
      <c r="L786" s="25">
        <f>정규화데이터!L786</f>
        <v>61496</v>
      </c>
      <c r="M786" s="21">
        <f t="shared" si="24"/>
        <v>46685.818181818177</v>
      </c>
      <c r="N786" s="52">
        <f t="shared" si="25"/>
        <v>0.43154957983193276</v>
      </c>
    </row>
    <row r="787" spans="1:14" x14ac:dyDescent="0.3">
      <c r="A787" t="str">
        <f>정규화데이터!A787</f>
        <v>SK스토아</v>
      </c>
      <c r="B787">
        <f>정규화데이터!B787</f>
        <v>20260210361959</v>
      </c>
      <c r="C787" t="str">
        <f>정규화데이터!C787</f>
        <v>[워커힐]워커힐 고메 시그니처 양념 본갈비 8팩</v>
      </c>
      <c r="D787">
        <f>정규화데이터!D787</f>
        <v>58481090</v>
      </c>
      <c r="E787" s="16" t="str">
        <f>정규화데이터!E787</f>
        <v>SKU001</v>
      </c>
      <c r="F787" s="3">
        <f>정규화데이터!F787</f>
        <v>1</v>
      </c>
      <c r="G787" s="3">
        <f>정규화데이터!G787</f>
        <v>119000</v>
      </c>
      <c r="H787" s="3">
        <f>정규화데이터!H787</f>
        <v>119000</v>
      </c>
      <c r="I787" s="3">
        <f>정규화데이터!I787</f>
        <v>80920</v>
      </c>
      <c r="J787" s="3">
        <f>정규화데이터!J787</f>
        <v>108181.81818181818</v>
      </c>
      <c r="K787" s="25">
        <f>정규화데이터!K787</f>
        <v>61496</v>
      </c>
      <c r="L787" s="25">
        <f>정규화데이터!L787</f>
        <v>61496</v>
      </c>
      <c r="M787" s="21">
        <f t="shared" si="24"/>
        <v>46685.818181818177</v>
      </c>
      <c r="N787" s="52">
        <f t="shared" si="25"/>
        <v>0.43154957983193276</v>
      </c>
    </row>
    <row r="788" spans="1:14" x14ac:dyDescent="0.3">
      <c r="A788" t="str">
        <f>정규화데이터!A788</f>
        <v>SK스토아</v>
      </c>
      <c r="B788">
        <f>정규화데이터!B788</f>
        <v>20260210361974</v>
      </c>
      <c r="C788" t="str">
        <f>정규화데이터!C788</f>
        <v>[워커힐]워커힐 고메 시그니처 양념 본갈비 8팩</v>
      </c>
      <c r="D788">
        <f>정규화데이터!D788</f>
        <v>58481090</v>
      </c>
      <c r="E788" s="16" t="str">
        <f>정규화데이터!E788</f>
        <v>SKU001</v>
      </c>
      <c r="F788" s="3">
        <f>정규화데이터!F788</f>
        <v>1</v>
      </c>
      <c r="G788" s="3">
        <f>정규화데이터!G788</f>
        <v>119000</v>
      </c>
      <c r="H788" s="3">
        <f>정규화데이터!H788</f>
        <v>119000</v>
      </c>
      <c r="I788" s="3">
        <f>정규화데이터!I788</f>
        <v>80920</v>
      </c>
      <c r="J788" s="3">
        <f>정규화데이터!J788</f>
        <v>108181.81818181818</v>
      </c>
      <c r="K788" s="25">
        <f>정규화데이터!K788</f>
        <v>61496</v>
      </c>
      <c r="L788" s="25">
        <f>정규화데이터!L788</f>
        <v>61496</v>
      </c>
      <c r="M788" s="21">
        <f t="shared" si="24"/>
        <v>46685.818181818177</v>
      </c>
      <c r="N788" s="52">
        <f t="shared" si="25"/>
        <v>0.43154957983193276</v>
      </c>
    </row>
    <row r="789" spans="1:14" x14ac:dyDescent="0.3">
      <c r="A789" t="str">
        <f>정규화데이터!A789</f>
        <v>SK스토아</v>
      </c>
      <c r="B789">
        <f>정규화데이터!B789</f>
        <v>20260210362007</v>
      </c>
      <c r="C789" t="str">
        <f>정규화데이터!C789</f>
        <v>[워커힐]워커힐 고메 시그니처 양념 본갈비 8팩</v>
      </c>
      <c r="D789">
        <f>정규화데이터!D789</f>
        <v>58481090</v>
      </c>
      <c r="E789" s="16" t="str">
        <f>정규화데이터!E789</f>
        <v>SKU001</v>
      </c>
      <c r="F789" s="3">
        <f>정규화데이터!F789</f>
        <v>1</v>
      </c>
      <c r="G789" s="3">
        <f>정규화데이터!G789</f>
        <v>119000</v>
      </c>
      <c r="H789" s="3">
        <f>정규화데이터!H789</f>
        <v>119000</v>
      </c>
      <c r="I789" s="3">
        <f>정규화데이터!I789</f>
        <v>80920</v>
      </c>
      <c r="J789" s="3">
        <f>정규화데이터!J789</f>
        <v>108181.81818181818</v>
      </c>
      <c r="K789" s="25">
        <f>정규화데이터!K789</f>
        <v>61496</v>
      </c>
      <c r="L789" s="25">
        <f>정규화데이터!L789</f>
        <v>61496</v>
      </c>
      <c r="M789" s="21">
        <f t="shared" si="24"/>
        <v>46685.818181818177</v>
      </c>
      <c r="N789" s="52">
        <f t="shared" si="25"/>
        <v>0.43154957983193276</v>
      </c>
    </row>
    <row r="790" spans="1:14" x14ac:dyDescent="0.3">
      <c r="A790" t="str">
        <f>정규화데이터!A790</f>
        <v>SK스토아</v>
      </c>
      <c r="B790">
        <f>정규화데이터!B790</f>
        <v>20260210360828</v>
      </c>
      <c r="C790" t="str">
        <f>정규화데이터!C790</f>
        <v>[워커힐]워커힐 고메 시그니처 양념 본갈비 8팩</v>
      </c>
      <c r="D790">
        <f>정규화데이터!D790</f>
        <v>58481090</v>
      </c>
      <c r="E790" s="16" t="str">
        <f>정규화데이터!E790</f>
        <v>SKU001</v>
      </c>
      <c r="F790" s="3">
        <f>정규화데이터!F790</f>
        <v>1</v>
      </c>
      <c r="G790" s="3">
        <f>정규화데이터!G790</f>
        <v>119000</v>
      </c>
      <c r="H790" s="3">
        <f>정규화데이터!H790</f>
        <v>113050</v>
      </c>
      <c r="I790" s="3">
        <f>정규화데이터!I790</f>
        <v>80920</v>
      </c>
      <c r="J790" s="3">
        <f>정규화데이터!J790</f>
        <v>102772.72727272726</v>
      </c>
      <c r="K790" s="25">
        <f>정규화데이터!K790</f>
        <v>61496</v>
      </c>
      <c r="L790" s="25">
        <f>정규화데이터!L790</f>
        <v>61496</v>
      </c>
      <c r="M790" s="21">
        <f t="shared" si="24"/>
        <v>41276.727272727265</v>
      </c>
      <c r="N790" s="52">
        <f t="shared" si="25"/>
        <v>0.40163113666519235</v>
      </c>
    </row>
    <row r="791" spans="1:14" x14ac:dyDescent="0.3">
      <c r="A791" t="str">
        <f>정규화데이터!A791</f>
        <v>SK스토아</v>
      </c>
      <c r="B791">
        <f>정규화데이터!B791</f>
        <v>20260210360893</v>
      </c>
      <c r="C791" t="str">
        <f>정규화데이터!C791</f>
        <v>[워커힐]워커힐 고메 시그니처 양념 본갈비 8팩</v>
      </c>
      <c r="D791">
        <f>정규화데이터!D791</f>
        <v>58481090</v>
      </c>
      <c r="E791" s="16" t="str">
        <f>정규화데이터!E791</f>
        <v>SKU001</v>
      </c>
      <c r="F791" s="3">
        <f>정규화데이터!F791</f>
        <v>1</v>
      </c>
      <c r="G791" s="3">
        <f>정규화데이터!G791</f>
        <v>119000</v>
      </c>
      <c r="H791" s="3">
        <f>정규화데이터!H791</f>
        <v>119000</v>
      </c>
      <c r="I791" s="3">
        <f>정규화데이터!I791</f>
        <v>80920</v>
      </c>
      <c r="J791" s="3">
        <f>정규화데이터!J791</f>
        <v>108181.81818181818</v>
      </c>
      <c r="K791" s="25">
        <f>정규화데이터!K791</f>
        <v>61496</v>
      </c>
      <c r="L791" s="25">
        <f>정규화데이터!L791</f>
        <v>61496</v>
      </c>
      <c r="M791" s="21">
        <f t="shared" si="24"/>
        <v>46685.818181818177</v>
      </c>
      <c r="N791" s="52">
        <f t="shared" si="25"/>
        <v>0.43154957983193276</v>
      </c>
    </row>
    <row r="792" spans="1:14" x14ac:dyDescent="0.3">
      <c r="A792" t="str">
        <f>정규화데이터!A792</f>
        <v>SK스토아</v>
      </c>
      <c r="B792">
        <f>정규화데이터!B792</f>
        <v>20260210360092</v>
      </c>
      <c r="C792" t="str">
        <f>정규화데이터!C792</f>
        <v>[워커힐]워커힐 고메 시그니처 양념 본갈비 8팩</v>
      </c>
      <c r="D792">
        <f>정규화데이터!D792</f>
        <v>58481090</v>
      </c>
      <c r="E792" s="16" t="str">
        <f>정규화데이터!E792</f>
        <v>SKU001</v>
      </c>
      <c r="F792" s="3">
        <f>정규화데이터!F792</f>
        <v>1</v>
      </c>
      <c r="G792" s="3">
        <f>정규화데이터!G792</f>
        <v>119000</v>
      </c>
      <c r="H792" s="3">
        <f>정규화데이터!H792</f>
        <v>119000</v>
      </c>
      <c r="I792" s="3">
        <f>정규화데이터!I792</f>
        <v>80920</v>
      </c>
      <c r="J792" s="3">
        <f>정규화데이터!J792</f>
        <v>108181.81818181818</v>
      </c>
      <c r="K792" s="25">
        <f>정규화데이터!K792</f>
        <v>61496</v>
      </c>
      <c r="L792" s="25">
        <f>정규화데이터!L792</f>
        <v>61496</v>
      </c>
      <c r="M792" s="21">
        <f t="shared" si="24"/>
        <v>46685.818181818177</v>
      </c>
      <c r="N792" s="52">
        <f t="shared" si="25"/>
        <v>0.43154957983193276</v>
      </c>
    </row>
    <row r="793" spans="1:14" x14ac:dyDescent="0.3">
      <c r="A793" t="str">
        <f>정규화데이터!A793</f>
        <v>SK스토아</v>
      </c>
      <c r="B793">
        <f>정규화데이터!B793</f>
        <v>20260210360272</v>
      </c>
      <c r="C793" t="str">
        <f>정규화데이터!C793</f>
        <v>[워커힐]워커힐 고메 시그니처 양념 본갈비 8팩</v>
      </c>
      <c r="D793">
        <f>정규화데이터!D793</f>
        <v>58481090</v>
      </c>
      <c r="E793" s="16" t="str">
        <f>정규화데이터!E793</f>
        <v>SKU001</v>
      </c>
      <c r="F793" s="3">
        <f>정규화데이터!F793</f>
        <v>1</v>
      </c>
      <c r="G793" s="3">
        <f>정규화데이터!G793</f>
        <v>119000</v>
      </c>
      <c r="H793" s="3">
        <f>정규화데이터!H793</f>
        <v>119000</v>
      </c>
      <c r="I793" s="3">
        <f>정규화데이터!I793</f>
        <v>80920</v>
      </c>
      <c r="J793" s="3">
        <f>정규화데이터!J793</f>
        <v>108181.81818181818</v>
      </c>
      <c r="K793" s="25">
        <f>정규화데이터!K793</f>
        <v>61496</v>
      </c>
      <c r="L793" s="25">
        <f>정규화데이터!L793</f>
        <v>61496</v>
      </c>
      <c r="M793" s="21">
        <f t="shared" si="24"/>
        <v>46685.818181818177</v>
      </c>
      <c r="N793" s="52">
        <f t="shared" si="25"/>
        <v>0.43154957983193276</v>
      </c>
    </row>
    <row r="794" spans="1:14" x14ac:dyDescent="0.3">
      <c r="A794" t="str">
        <f>정규화데이터!A794</f>
        <v>SK스토아</v>
      </c>
      <c r="B794">
        <f>정규화데이터!B794</f>
        <v>20260210361097</v>
      </c>
      <c r="C794" t="str">
        <f>정규화데이터!C794</f>
        <v>[워커힐]워커힐 고메 시그니처 양념 본갈비 8팩</v>
      </c>
      <c r="D794">
        <f>정규화데이터!D794</f>
        <v>58481090</v>
      </c>
      <c r="E794" s="16" t="str">
        <f>정규화데이터!E794</f>
        <v>SKU001</v>
      </c>
      <c r="F794" s="3">
        <f>정규화데이터!F794</f>
        <v>1</v>
      </c>
      <c r="G794" s="3">
        <f>정규화데이터!G794</f>
        <v>119000</v>
      </c>
      <c r="H794" s="3">
        <f>정규화데이터!H794</f>
        <v>113050</v>
      </c>
      <c r="I794" s="3">
        <f>정규화데이터!I794</f>
        <v>80920</v>
      </c>
      <c r="J794" s="3">
        <f>정규화데이터!J794</f>
        <v>102772.72727272726</v>
      </c>
      <c r="K794" s="25">
        <f>정규화데이터!K794</f>
        <v>61496</v>
      </c>
      <c r="L794" s="25">
        <f>정규화데이터!L794</f>
        <v>61496</v>
      </c>
      <c r="M794" s="21">
        <f t="shared" si="24"/>
        <v>41276.727272727265</v>
      </c>
      <c r="N794" s="52">
        <f t="shared" si="25"/>
        <v>0.40163113666519235</v>
      </c>
    </row>
    <row r="795" spans="1:14" x14ac:dyDescent="0.3">
      <c r="A795" t="str">
        <f>정규화데이터!A795</f>
        <v>SK스토아</v>
      </c>
      <c r="B795">
        <f>정규화데이터!B795</f>
        <v>20260210360282</v>
      </c>
      <c r="C795" t="str">
        <f>정규화데이터!C795</f>
        <v>[워커힐]워커힐 고메 시그니처 양념 본갈비 8팩</v>
      </c>
      <c r="D795">
        <f>정규화데이터!D795</f>
        <v>58481090</v>
      </c>
      <c r="E795" s="16" t="str">
        <f>정규화데이터!E795</f>
        <v>SKU001</v>
      </c>
      <c r="F795" s="3">
        <f>정규화데이터!F795</f>
        <v>1</v>
      </c>
      <c r="G795" s="3">
        <f>정규화데이터!G795</f>
        <v>119000</v>
      </c>
      <c r="H795" s="3">
        <f>정규화데이터!H795</f>
        <v>119000</v>
      </c>
      <c r="I795" s="3">
        <f>정규화데이터!I795</f>
        <v>80920</v>
      </c>
      <c r="J795" s="3">
        <f>정규화데이터!J795</f>
        <v>108181.81818181818</v>
      </c>
      <c r="K795" s="25">
        <f>정규화데이터!K795</f>
        <v>61496</v>
      </c>
      <c r="L795" s="25">
        <f>정규화데이터!L795</f>
        <v>61496</v>
      </c>
      <c r="M795" s="21">
        <f t="shared" si="24"/>
        <v>46685.818181818177</v>
      </c>
      <c r="N795" s="52">
        <f t="shared" si="25"/>
        <v>0.43154957983193276</v>
      </c>
    </row>
    <row r="796" spans="1:14" x14ac:dyDescent="0.3">
      <c r="A796" t="str">
        <f>정규화데이터!A796</f>
        <v>SK스토아</v>
      </c>
      <c r="B796">
        <f>정규화데이터!B796</f>
        <v>20260210361403</v>
      </c>
      <c r="C796" t="str">
        <f>정규화데이터!C796</f>
        <v>[워커힐]워커힐 고메 시그니처 양념 본갈비 8팩</v>
      </c>
      <c r="D796">
        <f>정규화데이터!D796</f>
        <v>58481090</v>
      </c>
      <c r="E796" s="16" t="str">
        <f>정규화데이터!E796</f>
        <v>SKU001</v>
      </c>
      <c r="F796" s="3">
        <f>정규화데이터!F796</f>
        <v>1</v>
      </c>
      <c r="G796" s="3">
        <f>정규화데이터!G796</f>
        <v>119000</v>
      </c>
      <c r="H796" s="3">
        <f>정규화데이터!H796</f>
        <v>119000</v>
      </c>
      <c r="I796" s="3">
        <f>정규화데이터!I796</f>
        <v>80920</v>
      </c>
      <c r="J796" s="3">
        <f>정규화데이터!J796</f>
        <v>108181.81818181818</v>
      </c>
      <c r="K796" s="25">
        <f>정규화데이터!K796</f>
        <v>61496</v>
      </c>
      <c r="L796" s="25">
        <f>정규화데이터!L796</f>
        <v>61496</v>
      </c>
      <c r="M796" s="21">
        <f t="shared" si="24"/>
        <v>46685.818181818177</v>
      </c>
      <c r="N796" s="52">
        <f t="shared" si="25"/>
        <v>0.43154957983193276</v>
      </c>
    </row>
    <row r="797" spans="1:14" x14ac:dyDescent="0.3">
      <c r="A797" t="str">
        <f>정규화데이터!A797</f>
        <v>SK스토아</v>
      </c>
      <c r="B797">
        <f>정규화데이터!B797</f>
        <v>20260210360433</v>
      </c>
      <c r="C797" t="str">
        <f>정규화데이터!C797</f>
        <v>[워커힐]워커힐 고메 시그니처 양념 본갈비 8팩</v>
      </c>
      <c r="D797">
        <f>정규화데이터!D797</f>
        <v>58481090</v>
      </c>
      <c r="E797" s="16" t="str">
        <f>정규화데이터!E797</f>
        <v>SKU001</v>
      </c>
      <c r="F797" s="3">
        <f>정규화데이터!F797</f>
        <v>1</v>
      </c>
      <c r="G797" s="3">
        <f>정규화데이터!G797</f>
        <v>119000</v>
      </c>
      <c r="H797" s="3">
        <f>정규화데이터!H797</f>
        <v>119000</v>
      </c>
      <c r="I797" s="3">
        <f>정규화데이터!I797</f>
        <v>80920</v>
      </c>
      <c r="J797" s="3">
        <f>정규화데이터!J797</f>
        <v>108181.81818181818</v>
      </c>
      <c r="K797" s="25">
        <f>정규화데이터!K797</f>
        <v>61496</v>
      </c>
      <c r="L797" s="25">
        <f>정규화데이터!L797</f>
        <v>61496</v>
      </c>
      <c r="M797" s="21">
        <f t="shared" si="24"/>
        <v>46685.818181818177</v>
      </c>
      <c r="N797" s="52">
        <f t="shared" si="25"/>
        <v>0.43154957983193276</v>
      </c>
    </row>
    <row r="798" spans="1:14" x14ac:dyDescent="0.3">
      <c r="A798" t="str">
        <f>정규화데이터!A798</f>
        <v>SK스토아</v>
      </c>
      <c r="B798">
        <f>정규화데이터!B798</f>
        <v>20260210361474</v>
      </c>
      <c r="C798" t="str">
        <f>정규화데이터!C798</f>
        <v>[워커힐]워커힐 고메 시그니처 양념 본갈비 8팩</v>
      </c>
      <c r="D798">
        <f>정규화데이터!D798</f>
        <v>58481090</v>
      </c>
      <c r="E798" s="16" t="str">
        <f>정규화데이터!E798</f>
        <v>SKU001</v>
      </c>
      <c r="F798" s="3">
        <f>정규화데이터!F798</f>
        <v>1</v>
      </c>
      <c r="G798" s="3">
        <f>정규화데이터!G798</f>
        <v>119000</v>
      </c>
      <c r="H798" s="3">
        <f>정규화데이터!H798</f>
        <v>119000</v>
      </c>
      <c r="I798" s="3">
        <f>정규화데이터!I798</f>
        <v>80920</v>
      </c>
      <c r="J798" s="3">
        <f>정규화데이터!J798</f>
        <v>108181.81818181818</v>
      </c>
      <c r="K798" s="25">
        <f>정규화데이터!K798</f>
        <v>61496</v>
      </c>
      <c r="L798" s="25">
        <f>정규화데이터!L798</f>
        <v>61496</v>
      </c>
      <c r="M798" s="21">
        <f t="shared" si="24"/>
        <v>46685.818181818177</v>
      </c>
      <c r="N798" s="52">
        <f t="shared" si="25"/>
        <v>0.43154957983193276</v>
      </c>
    </row>
    <row r="799" spans="1:14" x14ac:dyDescent="0.3">
      <c r="A799" t="str">
        <f>정규화데이터!A799</f>
        <v>SK스토아</v>
      </c>
      <c r="B799">
        <f>정규화데이터!B799</f>
        <v>20260210360656</v>
      </c>
      <c r="C799" t="str">
        <f>정규화데이터!C799</f>
        <v>[워커힐]워커힐 고메 시그니처 양념 본갈비 8팩</v>
      </c>
      <c r="D799">
        <f>정규화데이터!D799</f>
        <v>58481090</v>
      </c>
      <c r="E799" s="16" t="str">
        <f>정규화데이터!E799</f>
        <v>SKU001</v>
      </c>
      <c r="F799" s="3">
        <f>정규화데이터!F799</f>
        <v>1</v>
      </c>
      <c r="G799" s="3">
        <f>정규화데이터!G799</f>
        <v>119000</v>
      </c>
      <c r="H799" s="3">
        <f>정규화데이터!H799</f>
        <v>98770</v>
      </c>
      <c r="I799" s="3">
        <f>정규화데이터!I799</f>
        <v>80920</v>
      </c>
      <c r="J799" s="3">
        <f>정규화데이터!J799</f>
        <v>89790.909090909088</v>
      </c>
      <c r="K799" s="25">
        <f>정규화데이터!K799</f>
        <v>61496</v>
      </c>
      <c r="L799" s="25">
        <f>정규화데이터!L799</f>
        <v>61496</v>
      </c>
      <c r="M799" s="21">
        <f t="shared" si="24"/>
        <v>28294.909090909088</v>
      </c>
      <c r="N799" s="52">
        <f t="shared" si="25"/>
        <v>0.31511997570112382</v>
      </c>
    </row>
    <row r="800" spans="1:14" x14ac:dyDescent="0.3">
      <c r="A800" t="str">
        <f>정규화데이터!A800</f>
        <v>SK스토아</v>
      </c>
      <c r="B800">
        <f>정규화데이터!B800</f>
        <v>20260210361500</v>
      </c>
      <c r="C800" t="str">
        <f>정규화데이터!C800</f>
        <v>[워커힐]워커힐 고메 시그니처 양념 본갈비 8팩</v>
      </c>
      <c r="D800">
        <f>정규화데이터!D800</f>
        <v>58481090</v>
      </c>
      <c r="E800" s="16" t="str">
        <f>정규화데이터!E800</f>
        <v>SKU001</v>
      </c>
      <c r="F800" s="3">
        <f>정규화데이터!F800</f>
        <v>1</v>
      </c>
      <c r="G800" s="3">
        <f>정규화데이터!G800</f>
        <v>119000</v>
      </c>
      <c r="H800" s="3">
        <f>정규화데이터!H800</f>
        <v>119000</v>
      </c>
      <c r="I800" s="3">
        <f>정규화데이터!I800</f>
        <v>80920</v>
      </c>
      <c r="J800" s="3">
        <f>정규화데이터!J800</f>
        <v>108181.81818181818</v>
      </c>
      <c r="K800" s="25">
        <f>정규화데이터!K800</f>
        <v>61496</v>
      </c>
      <c r="L800" s="25">
        <f>정규화데이터!L800</f>
        <v>61496</v>
      </c>
      <c r="M800" s="21">
        <f t="shared" si="24"/>
        <v>46685.818181818177</v>
      </c>
      <c r="N800" s="52">
        <f t="shared" si="25"/>
        <v>0.43154957983193276</v>
      </c>
    </row>
    <row r="801" spans="1:14" x14ac:dyDescent="0.3">
      <c r="A801" t="str">
        <f>정규화데이터!A801</f>
        <v>SK스토아</v>
      </c>
      <c r="B801">
        <f>정규화데이터!B801</f>
        <v>20260210360722</v>
      </c>
      <c r="C801" t="str">
        <f>정규화데이터!C801</f>
        <v>[워커힐]워커힐 고메 시그니처 양념 본갈비 8팩</v>
      </c>
      <c r="D801">
        <f>정규화데이터!D801</f>
        <v>58481090</v>
      </c>
      <c r="E801" s="16" t="str">
        <f>정규화데이터!E801</f>
        <v>SKU001</v>
      </c>
      <c r="F801" s="3">
        <f>정규화데이터!F801</f>
        <v>1</v>
      </c>
      <c r="G801" s="3">
        <f>정규화데이터!G801</f>
        <v>119000</v>
      </c>
      <c r="H801" s="3">
        <f>정규화데이터!H801</f>
        <v>113050</v>
      </c>
      <c r="I801" s="3">
        <f>정규화데이터!I801</f>
        <v>80920</v>
      </c>
      <c r="J801" s="3">
        <f>정규화데이터!J801</f>
        <v>102772.72727272726</v>
      </c>
      <c r="K801" s="25">
        <f>정규화데이터!K801</f>
        <v>61496</v>
      </c>
      <c r="L801" s="25">
        <f>정규화데이터!L801</f>
        <v>61496</v>
      </c>
      <c r="M801" s="21">
        <f t="shared" si="24"/>
        <v>41276.727272727265</v>
      </c>
      <c r="N801" s="52">
        <f t="shared" si="25"/>
        <v>0.40163113666519235</v>
      </c>
    </row>
    <row r="802" spans="1:14" x14ac:dyDescent="0.3">
      <c r="A802" t="str">
        <f>정규화데이터!A802</f>
        <v>SK스토아</v>
      </c>
      <c r="B802">
        <f>정규화데이터!B802</f>
        <v>20260210361757</v>
      </c>
      <c r="C802" t="str">
        <f>정규화데이터!C802</f>
        <v>[워커힐]워커힐 고메 시그니처 양념 본갈비 8팩</v>
      </c>
      <c r="D802">
        <f>정규화데이터!D802</f>
        <v>58481090</v>
      </c>
      <c r="E802" s="16" t="str">
        <f>정규화데이터!E802</f>
        <v>SKU001</v>
      </c>
      <c r="F802" s="3">
        <f>정규화데이터!F802</f>
        <v>1</v>
      </c>
      <c r="G802" s="3">
        <f>정규화데이터!G802</f>
        <v>119000</v>
      </c>
      <c r="H802" s="3">
        <f>정규화데이터!H802</f>
        <v>119000</v>
      </c>
      <c r="I802" s="3">
        <f>정규화데이터!I802</f>
        <v>80920</v>
      </c>
      <c r="J802" s="3">
        <f>정규화데이터!J802</f>
        <v>108181.81818181818</v>
      </c>
      <c r="K802" s="25">
        <f>정규화데이터!K802</f>
        <v>61496</v>
      </c>
      <c r="L802" s="25">
        <f>정규화데이터!L802</f>
        <v>61496</v>
      </c>
      <c r="M802" s="21">
        <f t="shared" si="24"/>
        <v>46685.818181818177</v>
      </c>
      <c r="N802" s="52">
        <f t="shared" si="25"/>
        <v>0.43154957983193276</v>
      </c>
    </row>
    <row r="803" spans="1:14" x14ac:dyDescent="0.3">
      <c r="A803" t="str">
        <f>정규화데이터!A803</f>
        <v>SK스토아</v>
      </c>
      <c r="B803">
        <f>정규화데이터!B803</f>
        <v>20260210360526</v>
      </c>
      <c r="C803" t="str">
        <f>정규화데이터!C803</f>
        <v>[워커힐]워커힐 고메 시그니처 양념 본갈비 8팩</v>
      </c>
      <c r="D803">
        <f>정규화데이터!D803</f>
        <v>58481090</v>
      </c>
      <c r="E803" s="16" t="str">
        <f>정규화데이터!E803</f>
        <v>SKU001</v>
      </c>
      <c r="F803" s="3">
        <f>정규화데이터!F803</f>
        <v>1</v>
      </c>
      <c r="G803" s="3">
        <f>정규화데이터!G803</f>
        <v>119000</v>
      </c>
      <c r="H803" s="3">
        <f>정규화데이터!H803</f>
        <v>119000</v>
      </c>
      <c r="I803" s="3">
        <f>정규화데이터!I803</f>
        <v>80920</v>
      </c>
      <c r="J803" s="3">
        <f>정규화데이터!J803</f>
        <v>108181.81818181818</v>
      </c>
      <c r="K803" s="25">
        <f>정규화데이터!K803</f>
        <v>61496</v>
      </c>
      <c r="L803" s="25">
        <f>정규화데이터!L803</f>
        <v>61496</v>
      </c>
      <c r="M803" s="21">
        <f t="shared" si="24"/>
        <v>46685.818181818177</v>
      </c>
      <c r="N803" s="52">
        <f t="shared" si="25"/>
        <v>0.43154957983193276</v>
      </c>
    </row>
    <row r="804" spans="1:14" x14ac:dyDescent="0.3">
      <c r="A804" t="str">
        <f>정규화데이터!A804</f>
        <v>SK스토아</v>
      </c>
      <c r="B804">
        <f>정규화데이터!B804</f>
        <v>20260210361758</v>
      </c>
      <c r="C804" t="str">
        <f>정규화데이터!C804</f>
        <v>[워커힐]워커힐 고메 시그니처 양념 본갈비 8팩</v>
      </c>
      <c r="D804">
        <f>정규화데이터!D804</f>
        <v>58481090</v>
      </c>
      <c r="E804" s="16" t="str">
        <f>정규화데이터!E804</f>
        <v>SKU001</v>
      </c>
      <c r="F804" s="3">
        <f>정규화데이터!F804</f>
        <v>1</v>
      </c>
      <c r="G804" s="3">
        <f>정규화데이터!G804</f>
        <v>119000</v>
      </c>
      <c r="H804" s="3">
        <f>정규화데이터!H804</f>
        <v>119000</v>
      </c>
      <c r="I804" s="3">
        <f>정규화데이터!I804</f>
        <v>80920</v>
      </c>
      <c r="J804" s="3">
        <f>정규화데이터!J804</f>
        <v>108181.81818181818</v>
      </c>
      <c r="K804" s="25">
        <f>정규화데이터!K804</f>
        <v>61496</v>
      </c>
      <c r="L804" s="25">
        <f>정규화데이터!L804</f>
        <v>61496</v>
      </c>
      <c r="M804" s="21">
        <f t="shared" si="24"/>
        <v>46685.818181818177</v>
      </c>
      <c r="N804" s="52">
        <f t="shared" si="25"/>
        <v>0.43154957983193276</v>
      </c>
    </row>
    <row r="805" spans="1:14" x14ac:dyDescent="0.3">
      <c r="A805" t="str">
        <f>정규화데이터!A805</f>
        <v>SK스토아</v>
      </c>
      <c r="B805">
        <f>정규화데이터!B805</f>
        <v>20260210361268</v>
      </c>
      <c r="C805" t="str">
        <f>정규화데이터!C805</f>
        <v>[워커힐]워커힐 고메 시그니처 양념 본갈비 8팩</v>
      </c>
      <c r="D805">
        <f>정규화데이터!D805</f>
        <v>58481090</v>
      </c>
      <c r="E805" s="16" t="str">
        <f>정규화데이터!E805</f>
        <v>SKU001</v>
      </c>
      <c r="F805" s="3">
        <f>정규화데이터!F805</f>
        <v>1</v>
      </c>
      <c r="G805" s="3">
        <f>정규화데이터!G805</f>
        <v>119000</v>
      </c>
      <c r="H805" s="3">
        <f>정규화데이터!H805</f>
        <v>119000</v>
      </c>
      <c r="I805" s="3">
        <f>정규화데이터!I805</f>
        <v>80920</v>
      </c>
      <c r="J805" s="3">
        <f>정규화데이터!J805</f>
        <v>108181.81818181818</v>
      </c>
      <c r="K805" s="25">
        <f>정규화데이터!K805</f>
        <v>61496</v>
      </c>
      <c r="L805" s="25">
        <f>정규화데이터!L805</f>
        <v>61496</v>
      </c>
      <c r="M805" s="21">
        <f t="shared" si="24"/>
        <v>46685.818181818177</v>
      </c>
      <c r="N805" s="52">
        <f t="shared" si="25"/>
        <v>0.43154957983193276</v>
      </c>
    </row>
    <row r="806" spans="1:14" x14ac:dyDescent="0.3">
      <c r="A806" t="str">
        <f>정규화데이터!A806</f>
        <v>SK스토아</v>
      </c>
      <c r="B806">
        <f>정규화데이터!B806</f>
        <v>20260210361522</v>
      </c>
      <c r="C806" t="str">
        <f>정규화데이터!C806</f>
        <v>[워커힐]워커힐 고메 시그니처 양념 본갈비 8팩</v>
      </c>
      <c r="D806">
        <f>정규화데이터!D806</f>
        <v>58481090</v>
      </c>
      <c r="E806" s="16" t="str">
        <f>정규화데이터!E806</f>
        <v>SKU001</v>
      </c>
      <c r="F806" s="3">
        <f>정규화데이터!F806</f>
        <v>1</v>
      </c>
      <c r="G806" s="3">
        <f>정규화데이터!G806</f>
        <v>119000</v>
      </c>
      <c r="H806" s="3">
        <f>정규화데이터!H806</f>
        <v>119000</v>
      </c>
      <c r="I806" s="3">
        <f>정규화데이터!I806</f>
        <v>80920</v>
      </c>
      <c r="J806" s="3">
        <f>정규화데이터!J806</f>
        <v>108181.81818181818</v>
      </c>
      <c r="K806" s="25">
        <f>정규화데이터!K806</f>
        <v>61496</v>
      </c>
      <c r="L806" s="25">
        <f>정규화데이터!L806</f>
        <v>61496</v>
      </c>
      <c r="M806" s="21">
        <f t="shared" si="24"/>
        <v>46685.818181818177</v>
      </c>
      <c r="N806" s="52">
        <f t="shared" si="25"/>
        <v>0.43154957983193276</v>
      </c>
    </row>
    <row r="807" spans="1:14" x14ac:dyDescent="0.3">
      <c r="A807" t="str">
        <f>정규화데이터!A807</f>
        <v>SK스토아</v>
      </c>
      <c r="B807">
        <f>정규화데이터!B807</f>
        <v>20260210362264</v>
      </c>
      <c r="C807" t="str">
        <f>정규화데이터!C807</f>
        <v>[워커힐]워커힐 고메 시그니처 양념 본갈비 8팩</v>
      </c>
      <c r="D807">
        <f>정규화데이터!D807</f>
        <v>58481090</v>
      </c>
      <c r="E807" s="16" t="str">
        <f>정규화데이터!E807</f>
        <v>SKU001</v>
      </c>
      <c r="F807" s="3">
        <f>정규화데이터!F807</f>
        <v>1</v>
      </c>
      <c r="G807" s="3">
        <f>정규화데이터!G807</f>
        <v>119000</v>
      </c>
      <c r="H807" s="3">
        <f>정규화데이터!H807</f>
        <v>113050</v>
      </c>
      <c r="I807" s="3">
        <f>정규화데이터!I807</f>
        <v>80920</v>
      </c>
      <c r="J807" s="3">
        <f>정규화데이터!J807</f>
        <v>102772.72727272726</v>
      </c>
      <c r="K807" s="25">
        <f>정규화데이터!K807</f>
        <v>61496</v>
      </c>
      <c r="L807" s="25">
        <f>정규화데이터!L807</f>
        <v>61496</v>
      </c>
      <c r="M807" s="21">
        <f t="shared" si="24"/>
        <v>41276.727272727265</v>
      </c>
      <c r="N807" s="52">
        <f t="shared" si="25"/>
        <v>0.40163113666519235</v>
      </c>
    </row>
    <row r="808" spans="1:14" x14ac:dyDescent="0.3">
      <c r="A808" t="str">
        <f>정규화데이터!A808</f>
        <v>SK스토아</v>
      </c>
      <c r="B808">
        <f>정규화데이터!B808</f>
        <v>20260210360898</v>
      </c>
      <c r="C808" t="str">
        <f>정규화데이터!C808</f>
        <v>[워커힐]워커힐 고메 시그니처 양념 본갈비 8팩</v>
      </c>
      <c r="D808">
        <f>정규화데이터!D808</f>
        <v>58481090</v>
      </c>
      <c r="E808" s="16" t="str">
        <f>정규화데이터!E808</f>
        <v>SKU001</v>
      </c>
      <c r="F808" s="3">
        <f>정규화데이터!F808</f>
        <v>1</v>
      </c>
      <c r="G808" s="3">
        <f>정규화데이터!G808</f>
        <v>119000</v>
      </c>
      <c r="H808" s="3">
        <f>정규화데이터!H808</f>
        <v>119000</v>
      </c>
      <c r="I808" s="3">
        <f>정규화데이터!I808</f>
        <v>80920</v>
      </c>
      <c r="J808" s="3">
        <f>정규화데이터!J808</f>
        <v>108181.81818181818</v>
      </c>
      <c r="K808" s="25">
        <f>정규화데이터!K808</f>
        <v>61496</v>
      </c>
      <c r="L808" s="25">
        <f>정규화데이터!L808</f>
        <v>61496</v>
      </c>
      <c r="M808" s="21">
        <f t="shared" si="24"/>
        <v>46685.818181818177</v>
      </c>
      <c r="N808" s="52">
        <f t="shared" si="25"/>
        <v>0.43154957983193276</v>
      </c>
    </row>
    <row r="809" spans="1:14" x14ac:dyDescent="0.3">
      <c r="A809" t="str">
        <f>정규화데이터!A809</f>
        <v>SK스토아</v>
      </c>
      <c r="B809">
        <f>정규화데이터!B809</f>
        <v>20260210360968</v>
      </c>
      <c r="C809" t="str">
        <f>정규화데이터!C809</f>
        <v>[워커힐]워커힐 고메 시그니처 양념 본갈비 8팩</v>
      </c>
      <c r="D809">
        <f>정규화데이터!D809</f>
        <v>58481090</v>
      </c>
      <c r="E809" s="16" t="str">
        <f>정규화데이터!E809</f>
        <v>SKU001</v>
      </c>
      <c r="F809" s="3">
        <f>정규화데이터!F809</f>
        <v>1</v>
      </c>
      <c r="G809" s="3">
        <f>정규화데이터!G809</f>
        <v>119000</v>
      </c>
      <c r="H809" s="3">
        <f>정규화데이터!H809</f>
        <v>119000</v>
      </c>
      <c r="I809" s="3">
        <f>정규화데이터!I809</f>
        <v>80920</v>
      </c>
      <c r="J809" s="3">
        <f>정규화데이터!J809</f>
        <v>108181.81818181818</v>
      </c>
      <c r="K809" s="25">
        <f>정규화데이터!K809</f>
        <v>61496</v>
      </c>
      <c r="L809" s="25">
        <f>정규화데이터!L809</f>
        <v>61496</v>
      </c>
      <c r="M809" s="21">
        <f t="shared" si="24"/>
        <v>46685.818181818177</v>
      </c>
      <c r="N809" s="52">
        <f t="shared" si="25"/>
        <v>0.43154957983193276</v>
      </c>
    </row>
    <row r="810" spans="1:14" x14ac:dyDescent="0.3">
      <c r="A810" t="str">
        <f>정규화데이터!A810</f>
        <v>SK스토아</v>
      </c>
      <c r="B810">
        <f>정규화데이터!B810</f>
        <v>20260210361315</v>
      </c>
      <c r="C810" t="str">
        <f>정규화데이터!C810</f>
        <v>[워커힐]워커힐 고메 시그니처 양념 본갈비 8팩</v>
      </c>
      <c r="D810">
        <f>정규화데이터!D810</f>
        <v>58481090</v>
      </c>
      <c r="E810" s="16" t="str">
        <f>정규화데이터!E810</f>
        <v>SKU001</v>
      </c>
      <c r="F810" s="3">
        <f>정규화데이터!F810</f>
        <v>1</v>
      </c>
      <c r="G810" s="3">
        <f>정규화데이터!G810</f>
        <v>119000</v>
      </c>
      <c r="H810" s="3">
        <f>정규화데이터!H810</f>
        <v>119000</v>
      </c>
      <c r="I810" s="3">
        <f>정규화데이터!I810</f>
        <v>80920</v>
      </c>
      <c r="J810" s="3">
        <f>정규화데이터!J810</f>
        <v>108181.81818181818</v>
      </c>
      <c r="K810" s="25">
        <f>정규화데이터!K810</f>
        <v>61496</v>
      </c>
      <c r="L810" s="25">
        <f>정규화데이터!L810</f>
        <v>61496</v>
      </c>
      <c r="M810" s="21">
        <f t="shared" si="24"/>
        <v>46685.818181818177</v>
      </c>
      <c r="N810" s="52">
        <f t="shared" si="25"/>
        <v>0.43154957983193276</v>
      </c>
    </row>
    <row r="811" spans="1:14" x14ac:dyDescent="0.3">
      <c r="A811" t="str">
        <f>정규화데이터!A811</f>
        <v>SK스토아</v>
      </c>
      <c r="B811">
        <f>정규화데이터!B811</f>
        <v>20260210364732</v>
      </c>
      <c r="C811" t="str">
        <f>정규화데이터!C811</f>
        <v>[워커힐]워커힐 고메 시그니처 양념 본갈비 8팩</v>
      </c>
      <c r="D811">
        <f>정규화데이터!D811</f>
        <v>58481090</v>
      </c>
      <c r="E811" s="16" t="str">
        <f>정규화데이터!E811</f>
        <v>SKU001</v>
      </c>
      <c r="F811" s="3">
        <f>정규화데이터!F811</f>
        <v>1</v>
      </c>
      <c r="G811" s="3">
        <f>정규화데이터!G811</f>
        <v>119000</v>
      </c>
      <c r="H811" s="3">
        <f>정규화데이터!H811</f>
        <v>113050</v>
      </c>
      <c r="I811" s="3">
        <f>정규화데이터!I811</f>
        <v>80920</v>
      </c>
      <c r="J811" s="3">
        <f>정규화데이터!J811</f>
        <v>102772.72727272726</v>
      </c>
      <c r="K811" s="25">
        <f>정규화데이터!K811</f>
        <v>61496</v>
      </c>
      <c r="L811" s="25">
        <f>정규화데이터!L811</f>
        <v>61496</v>
      </c>
      <c r="M811" s="21">
        <f t="shared" si="24"/>
        <v>41276.727272727265</v>
      </c>
      <c r="N811" s="52">
        <f t="shared" si="25"/>
        <v>0.40163113666519235</v>
      </c>
    </row>
    <row r="812" spans="1:14" x14ac:dyDescent="0.3">
      <c r="A812" t="str">
        <f>정규화데이터!A812</f>
        <v>SK스토아</v>
      </c>
      <c r="B812">
        <f>정규화데이터!B812</f>
        <v>20260210361752</v>
      </c>
      <c r="C812" t="str">
        <f>정규화데이터!C812</f>
        <v>[워커힐]워커힐 고메 시그니처 양념 본갈비 8팩</v>
      </c>
      <c r="D812">
        <f>정규화데이터!D812</f>
        <v>58481090</v>
      </c>
      <c r="E812" s="16" t="str">
        <f>정규화데이터!E812</f>
        <v>SKU001</v>
      </c>
      <c r="F812" s="3">
        <f>정규화데이터!F812</f>
        <v>1</v>
      </c>
      <c r="G812" s="3">
        <f>정규화데이터!G812</f>
        <v>119000</v>
      </c>
      <c r="H812" s="3">
        <f>정규화데이터!H812</f>
        <v>119000</v>
      </c>
      <c r="I812" s="3">
        <f>정규화데이터!I812</f>
        <v>80920</v>
      </c>
      <c r="J812" s="3">
        <f>정규화데이터!J812</f>
        <v>108181.81818181818</v>
      </c>
      <c r="K812" s="25">
        <f>정규화데이터!K812</f>
        <v>61496</v>
      </c>
      <c r="L812" s="25">
        <f>정규화데이터!L812</f>
        <v>61496</v>
      </c>
      <c r="M812" s="21">
        <f t="shared" si="24"/>
        <v>46685.818181818177</v>
      </c>
      <c r="N812" s="52">
        <f t="shared" si="25"/>
        <v>0.43154957983193276</v>
      </c>
    </row>
    <row r="813" spans="1:14" x14ac:dyDescent="0.3">
      <c r="A813" t="str">
        <f>정규화데이터!A813</f>
        <v>SK스토아</v>
      </c>
      <c r="B813">
        <f>정규화데이터!B813</f>
        <v>20260210361404</v>
      </c>
      <c r="C813" t="str">
        <f>정규화데이터!C813</f>
        <v>[워커힐]워커힐 고메 시그니처 양념 본갈비 8팩</v>
      </c>
      <c r="D813">
        <f>정규화데이터!D813</f>
        <v>58481090</v>
      </c>
      <c r="E813" s="16" t="str">
        <f>정규화데이터!E813</f>
        <v>SKU001</v>
      </c>
      <c r="F813" s="3">
        <f>정규화데이터!F813</f>
        <v>1</v>
      </c>
      <c r="G813" s="3">
        <f>정규화데이터!G813</f>
        <v>119000</v>
      </c>
      <c r="H813" s="3">
        <f>정규화데이터!H813</f>
        <v>119000</v>
      </c>
      <c r="I813" s="3">
        <f>정규화데이터!I813</f>
        <v>80920</v>
      </c>
      <c r="J813" s="3">
        <f>정규화데이터!J813</f>
        <v>108181.81818181818</v>
      </c>
      <c r="K813" s="25">
        <f>정규화데이터!K813</f>
        <v>61496</v>
      </c>
      <c r="L813" s="25">
        <f>정규화데이터!L813</f>
        <v>61496</v>
      </c>
      <c r="M813" s="21">
        <f t="shared" si="24"/>
        <v>46685.818181818177</v>
      </c>
      <c r="N813" s="52">
        <f t="shared" si="25"/>
        <v>0.43154957983193276</v>
      </c>
    </row>
    <row r="814" spans="1:14" x14ac:dyDescent="0.3">
      <c r="A814" t="str">
        <f>정규화데이터!A814</f>
        <v>SK스토아</v>
      </c>
      <c r="B814">
        <f>정규화데이터!B814</f>
        <v>20260210361750</v>
      </c>
      <c r="C814" t="str">
        <f>정규화데이터!C814</f>
        <v>[워커힐]워커힐 고메 시그니처 양념 본갈비 8팩</v>
      </c>
      <c r="D814">
        <f>정규화데이터!D814</f>
        <v>58481090</v>
      </c>
      <c r="E814" s="16" t="str">
        <f>정규화데이터!E814</f>
        <v>SKU001</v>
      </c>
      <c r="F814" s="3">
        <f>정규화데이터!F814</f>
        <v>1</v>
      </c>
      <c r="G814" s="3">
        <f>정규화데이터!G814</f>
        <v>119000</v>
      </c>
      <c r="H814" s="3">
        <f>정규화데이터!H814</f>
        <v>119000</v>
      </c>
      <c r="I814" s="3">
        <f>정규화데이터!I814</f>
        <v>80920</v>
      </c>
      <c r="J814" s="3">
        <f>정규화데이터!J814</f>
        <v>108181.81818181818</v>
      </c>
      <c r="K814" s="25">
        <f>정규화데이터!K814</f>
        <v>61496</v>
      </c>
      <c r="L814" s="25">
        <f>정규화데이터!L814</f>
        <v>61496</v>
      </c>
      <c r="M814" s="21">
        <f t="shared" si="24"/>
        <v>46685.818181818177</v>
      </c>
      <c r="N814" s="52">
        <f t="shared" si="25"/>
        <v>0.43154957983193276</v>
      </c>
    </row>
    <row r="815" spans="1:14" x14ac:dyDescent="0.3">
      <c r="A815" t="str">
        <f>정규화데이터!A815</f>
        <v>SK스토아</v>
      </c>
      <c r="B815">
        <f>정규화데이터!B815</f>
        <v>20260210361384</v>
      </c>
      <c r="C815" t="str">
        <f>정규화데이터!C815</f>
        <v>[워커힐]워커힐 고메 시그니처 양념 본갈비 8팩</v>
      </c>
      <c r="D815">
        <f>정규화데이터!D815</f>
        <v>58481090</v>
      </c>
      <c r="E815" s="16" t="str">
        <f>정규화데이터!E815</f>
        <v>SKU001</v>
      </c>
      <c r="F815" s="3">
        <f>정규화데이터!F815</f>
        <v>1</v>
      </c>
      <c r="G815" s="3">
        <f>정규화데이터!G815</f>
        <v>119000</v>
      </c>
      <c r="H815" s="3">
        <f>정규화데이터!H815</f>
        <v>113050</v>
      </c>
      <c r="I815" s="3">
        <f>정규화데이터!I815</f>
        <v>80920</v>
      </c>
      <c r="J815" s="3">
        <f>정규화데이터!J815</f>
        <v>102772.72727272726</v>
      </c>
      <c r="K815" s="25">
        <f>정규화데이터!K815</f>
        <v>61496</v>
      </c>
      <c r="L815" s="25">
        <f>정규화데이터!L815</f>
        <v>61496</v>
      </c>
      <c r="M815" s="21">
        <f t="shared" si="24"/>
        <v>41276.727272727265</v>
      </c>
      <c r="N815" s="52">
        <f t="shared" si="25"/>
        <v>0.40163113666519235</v>
      </c>
    </row>
    <row r="816" spans="1:14" x14ac:dyDescent="0.3">
      <c r="A816" t="str">
        <f>정규화데이터!A816</f>
        <v>SK스토아</v>
      </c>
      <c r="B816">
        <f>정규화데이터!B816</f>
        <v>20260210360934</v>
      </c>
      <c r="C816" t="str">
        <f>정규화데이터!C816</f>
        <v>[워커힐]워커힐 고메 시그니처 양념 본갈비 8팩</v>
      </c>
      <c r="D816">
        <f>정규화데이터!D816</f>
        <v>58481090</v>
      </c>
      <c r="E816" s="16" t="str">
        <f>정규화데이터!E816</f>
        <v>SKU001</v>
      </c>
      <c r="F816" s="3">
        <f>정규화데이터!F816</f>
        <v>1</v>
      </c>
      <c r="G816" s="3">
        <f>정규화데이터!G816</f>
        <v>119000</v>
      </c>
      <c r="H816" s="3">
        <f>정규화데이터!H816</f>
        <v>119000</v>
      </c>
      <c r="I816" s="3">
        <f>정규화데이터!I816</f>
        <v>80920</v>
      </c>
      <c r="J816" s="3">
        <f>정규화데이터!J816</f>
        <v>108181.81818181818</v>
      </c>
      <c r="K816" s="25">
        <f>정규화데이터!K816</f>
        <v>61496</v>
      </c>
      <c r="L816" s="25">
        <f>정규화데이터!L816</f>
        <v>61496</v>
      </c>
      <c r="M816" s="21">
        <f t="shared" si="24"/>
        <v>46685.818181818177</v>
      </c>
      <c r="N816" s="52">
        <f t="shared" si="25"/>
        <v>0.43154957983193276</v>
      </c>
    </row>
    <row r="817" spans="1:14" x14ac:dyDescent="0.3">
      <c r="A817" t="str">
        <f>정규화데이터!A817</f>
        <v>SK스토아</v>
      </c>
      <c r="B817">
        <f>정규화데이터!B817</f>
        <v>20260210360899</v>
      </c>
      <c r="C817" t="str">
        <f>정규화데이터!C817</f>
        <v>[워커힐]워커힐 고메 시그니처 양념 본갈비 8팩</v>
      </c>
      <c r="D817">
        <f>정규화데이터!D817</f>
        <v>58481090</v>
      </c>
      <c r="E817" s="16" t="str">
        <f>정규화데이터!E817</f>
        <v>SKU001</v>
      </c>
      <c r="F817" s="3">
        <f>정규화데이터!F817</f>
        <v>1</v>
      </c>
      <c r="G817" s="3">
        <f>정규화데이터!G817</f>
        <v>119000</v>
      </c>
      <c r="H817" s="3">
        <f>정규화데이터!H817</f>
        <v>119000</v>
      </c>
      <c r="I817" s="3">
        <f>정규화데이터!I817</f>
        <v>80920</v>
      </c>
      <c r="J817" s="3">
        <f>정규화데이터!J817</f>
        <v>108181.81818181818</v>
      </c>
      <c r="K817" s="25">
        <f>정규화데이터!K817</f>
        <v>61496</v>
      </c>
      <c r="L817" s="25">
        <f>정규화데이터!L817</f>
        <v>61496</v>
      </c>
      <c r="M817" s="21">
        <f t="shared" si="24"/>
        <v>46685.818181818177</v>
      </c>
      <c r="N817" s="52">
        <f t="shared" si="25"/>
        <v>0.43154957983193276</v>
      </c>
    </row>
    <row r="818" spans="1:14" x14ac:dyDescent="0.3">
      <c r="A818" t="str">
        <f>정규화데이터!A818</f>
        <v>SK스토아</v>
      </c>
      <c r="B818">
        <f>정규화데이터!B818</f>
        <v>20260210360206</v>
      </c>
      <c r="C818" t="str">
        <f>정규화데이터!C818</f>
        <v>[워커힐]워커힐 고메 시그니처 양념 본갈비 8팩</v>
      </c>
      <c r="D818">
        <f>정규화데이터!D818</f>
        <v>58481090</v>
      </c>
      <c r="E818" s="16" t="str">
        <f>정규화데이터!E818</f>
        <v>SKU001</v>
      </c>
      <c r="F818" s="3">
        <f>정규화데이터!F818</f>
        <v>1</v>
      </c>
      <c r="G818" s="3">
        <f>정규화데이터!G818</f>
        <v>119000</v>
      </c>
      <c r="H818" s="3">
        <f>정규화데이터!H818</f>
        <v>119000</v>
      </c>
      <c r="I818" s="3">
        <f>정규화데이터!I818</f>
        <v>80920</v>
      </c>
      <c r="J818" s="3">
        <f>정규화데이터!J818</f>
        <v>108181.81818181818</v>
      </c>
      <c r="K818" s="25">
        <f>정규화데이터!K818</f>
        <v>61496</v>
      </c>
      <c r="L818" s="25">
        <f>정규화데이터!L818</f>
        <v>61496</v>
      </c>
      <c r="M818" s="21">
        <f t="shared" si="24"/>
        <v>46685.818181818177</v>
      </c>
      <c r="N818" s="52">
        <f t="shared" si="25"/>
        <v>0.43154957983193276</v>
      </c>
    </row>
    <row r="819" spans="1:14" x14ac:dyDescent="0.3">
      <c r="A819" t="str">
        <f>정규화데이터!A819</f>
        <v>SK스토아</v>
      </c>
      <c r="B819">
        <f>정규화데이터!B819</f>
        <v>20260210360674</v>
      </c>
      <c r="C819" t="str">
        <f>정규화데이터!C819</f>
        <v>[워커힐]워커힐 고메 시그니처 양념 본갈비 8팩</v>
      </c>
      <c r="D819">
        <f>정규화데이터!D819</f>
        <v>58481090</v>
      </c>
      <c r="E819" s="16" t="str">
        <f>정규화데이터!E819</f>
        <v>SKU001</v>
      </c>
      <c r="F819" s="3">
        <f>정규화데이터!F819</f>
        <v>1</v>
      </c>
      <c r="G819" s="3">
        <f>정규화데이터!G819</f>
        <v>119000</v>
      </c>
      <c r="H819" s="3">
        <f>정규화데이터!H819</f>
        <v>119000</v>
      </c>
      <c r="I819" s="3">
        <f>정규화데이터!I819</f>
        <v>80920</v>
      </c>
      <c r="J819" s="3">
        <f>정규화데이터!J819</f>
        <v>108181.81818181818</v>
      </c>
      <c r="K819" s="25">
        <f>정규화데이터!K819</f>
        <v>61496</v>
      </c>
      <c r="L819" s="25">
        <f>정규화데이터!L819</f>
        <v>61496</v>
      </c>
      <c r="M819" s="21">
        <f t="shared" si="24"/>
        <v>46685.818181818177</v>
      </c>
      <c r="N819" s="52">
        <f t="shared" si="25"/>
        <v>0.43154957983193276</v>
      </c>
    </row>
    <row r="820" spans="1:14" x14ac:dyDescent="0.3">
      <c r="A820" t="str">
        <f>정규화데이터!A820</f>
        <v>SK스토아</v>
      </c>
      <c r="B820">
        <f>정규화데이터!B820</f>
        <v>20260210361998</v>
      </c>
      <c r="C820" t="str">
        <f>정규화데이터!C820</f>
        <v>[워커힐]워커힐 고메 시그니처 양념 본갈비 8팩</v>
      </c>
      <c r="D820">
        <f>정규화데이터!D820</f>
        <v>58481090</v>
      </c>
      <c r="E820" s="16" t="str">
        <f>정규화데이터!E820</f>
        <v>SKU001</v>
      </c>
      <c r="F820" s="3">
        <f>정규화데이터!F820</f>
        <v>1</v>
      </c>
      <c r="G820" s="3">
        <f>정규화데이터!G820</f>
        <v>119000</v>
      </c>
      <c r="H820" s="3">
        <f>정규화데이터!H820</f>
        <v>109000</v>
      </c>
      <c r="I820" s="3">
        <f>정규화데이터!I820</f>
        <v>80920</v>
      </c>
      <c r="J820" s="3">
        <f>정규화데이터!J820</f>
        <v>99090.909090909074</v>
      </c>
      <c r="K820" s="25">
        <f>정규화데이터!K820</f>
        <v>61496</v>
      </c>
      <c r="L820" s="25">
        <f>정규화데이터!L820</f>
        <v>61496</v>
      </c>
      <c r="M820" s="21">
        <f t="shared" si="24"/>
        <v>37594.909090909074</v>
      </c>
      <c r="N820" s="52">
        <f t="shared" si="25"/>
        <v>0.3793981651376146</v>
      </c>
    </row>
    <row r="821" spans="1:14" x14ac:dyDescent="0.3">
      <c r="A821" t="str">
        <f>정규화데이터!A821</f>
        <v>SK스토아</v>
      </c>
      <c r="B821">
        <f>정규화데이터!B821</f>
        <v>20260210362210</v>
      </c>
      <c r="C821" t="str">
        <f>정규화데이터!C821</f>
        <v>[워커힐]워커힐 고메 시그니처 양념 본갈비 8팩</v>
      </c>
      <c r="D821">
        <f>정규화데이터!D821</f>
        <v>58481090</v>
      </c>
      <c r="E821" s="16" t="str">
        <f>정규화데이터!E821</f>
        <v>SKU001</v>
      </c>
      <c r="F821" s="3">
        <f>정규화데이터!F821</f>
        <v>1</v>
      </c>
      <c r="G821" s="3">
        <f>정규화데이터!G821</f>
        <v>119000</v>
      </c>
      <c r="H821" s="3">
        <f>정규화데이터!H821</f>
        <v>113050</v>
      </c>
      <c r="I821" s="3">
        <f>정규화데이터!I821</f>
        <v>80920</v>
      </c>
      <c r="J821" s="3">
        <f>정규화데이터!J821</f>
        <v>102772.72727272726</v>
      </c>
      <c r="K821" s="25">
        <f>정규화데이터!K821</f>
        <v>61496</v>
      </c>
      <c r="L821" s="25">
        <f>정규화데이터!L821</f>
        <v>61496</v>
      </c>
      <c r="M821" s="21">
        <f t="shared" si="24"/>
        <v>41276.727272727265</v>
      </c>
      <c r="N821" s="52">
        <f t="shared" si="25"/>
        <v>0.40163113666519235</v>
      </c>
    </row>
    <row r="822" spans="1:14" x14ac:dyDescent="0.3">
      <c r="A822" t="str">
        <f>정규화데이터!A822</f>
        <v>SK스토아</v>
      </c>
      <c r="B822">
        <f>정규화데이터!B822</f>
        <v>20260210361648</v>
      </c>
      <c r="C822" t="str">
        <f>정규화데이터!C822</f>
        <v>[워커힐]워커힐 고메 시그니처 양념 본갈비 8팩</v>
      </c>
      <c r="D822">
        <f>정규화데이터!D822</f>
        <v>58481090</v>
      </c>
      <c r="E822" s="16" t="str">
        <f>정규화데이터!E822</f>
        <v>SKU001</v>
      </c>
      <c r="F822" s="3">
        <f>정규화데이터!F822</f>
        <v>1</v>
      </c>
      <c r="G822" s="3">
        <f>정규화데이터!G822</f>
        <v>119000</v>
      </c>
      <c r="H822" s="3">
        <f>정규화데이터!H822</f>
        <v>113050</v>
      </c>
      <c r="I822" s="3">
        <f>정규화데이터!I822</f>
        <v>80920</v>
      </c>
      <c r="J822" s="3">
        <f>정규화데이터!J822</f>
        <v>102772.72727272726</v>
      </c>
      <c r="K822" s="25">
        <f>정규화데이터!K822</f>
        <v>61496</v>
      </c>
      <c r="L822" s="25">
        <f>정규화데이터!L822</f>
        <v>61496</v>
      </c>
      <c r="M822" s="21">
        <f t="shared" si="24"/>
        <v>41276.727272727265</v>
      </c>
      <c r="N822" s="52">
        <f t="shared" si="25"/>
        <v>0.40163113666519235</v>
      </c>
    </row>
    <row r="823" spans="1:14" x14ac:dyDescent="0.3">
      <c r="A823" t="str">
        <f>정규화데이터!A823</f>
        <v>SK스토아</v>
      </c>
      <c r="B823">
        <f>정규화데이터!B823</f>
        <v>20260210361577</v>
      </c>
      <c r="C823" t="str">
        <f>정규화데이터!C823</f>
        <v>[워커힐]워커힐 고메 시그니처 양념 본갈비 8팩</v>
      </c>
      <c r="D823">
        <f>정규화데이터!D823</f>
        <v>58481090</v>
      </c>
      <c r="E823" s="16" t="str">
        <f>정규화데이터!E823</f>
        <v>SKU001</v>
      </c>
      <c r="F823" s="3">
        <f>정규화데이터!F823</f>
        <v>1</v>
      </c>
      <c r="G823" s="3">
        <f>정규화데이터!G823</f>
        <v>119000</v>
      </c>
      <c r="H823" s="3">
        <f>정규화데이터!H823</f>
        <v>119000</v>
      </c>
      <c r="I823" s="3">
        <f>정규화데이터!I823</f>
        <v>80920</v>
      </c>
      <c r="J823" s="3">
        <f>정규화데이터!J823</f>
        <v>108181.81818181818</v>
      </c>
      <c r="K823" s="25">
        <f>정규화데이터!K823</f>
        <v>61496</v>
      </c>
      <c r="L823" s="25">
        <f>정규화데이터!L823</f>
        <v>61496</v>
      </c>
      <c r="M823" s="21">
        <f t="shared" si="24"/>
        <v>46685.818181818177</v>
      </c>
      <c r="N823" s="52">
        <f t="shared" si="25"/>
        <v>0.43154957983193276</v>
      </c>
    </row>
    <row r="824" spans="1:14" x14ac:dyDescent="0.3">
      <c r="A824" t="str">
        <f>정규화데이터!A824</f>
        <v>SK스토아</v>
      </c>
      <c r="B824">
        <f>정규화데이터!B824</f>
        <v>20260210361256</v>
      </c>
      <c r="C824" t="str">
        <f>정규화데이터!C824</f>
        <v>[워커힐]워커힐 고메 시그니처 양념 본갈비 8팩</v>
      </c>
      <c r="D824">
        <f>정규화데이터!D824</f>
        <v>58481090</v>
      </c>
      <c r="E824" s="16" t="str">
        <f>정규화데이터!E824</f>
        <v>SKU001</v>
      </c>
      <c r="F824" s="3">
        <f>정규화데이터!F824</f>
        <v>1</v>
      </c>
      <c r="G824" s="3">
        <f>정규화데이터!G824</f>
        <v>119000</v>
      </c>
      <c r="H824" s="3">
        <f>정규화데이터!H824</f>
        <v>113050</v>
      </c>
      <c r="I824" s="3">
        <f>정규화데이터!I824</f>
        <v>80920</v>
      </c>
      <c r="J824" s="3">
        <f>정규화데이터!J824</f>
        <v>102772.72727272726</v>
      </c>
      <c r="K824" s="25">
        <f>정규화데이터!K824</f>
        <v>61496</v>
      </c>
      <c r="L824" s="25">
        <f>정규화데이터!L824</f>
        <v>61496</v>
      </c>
      <c r="M824" s="21">
        <f t="shared" si="24"/>
        <v>41276.727272727265</v>
      </c>
      <c r="N824" s="52">
        <f t="shared" si="25"/>
        <v>0.40163113666519235</v>
      </c>
    </row>
    <row r="825" spans="1:14" x14ac:dyDescent="0.3">
      <c r="A825" t="str">
        <f>정규화데이터!A825</f>
        <v>SK스토아</v>
      </c>
      <c r="B825">
        <f>정규화데이터!B825</f>
        <v>20260210361264</v>
      </c>
      <c r="C825" t="str">
        <f>정규화데이터!C825</f>
        <v>[워커힐]워커힐 고메 시그니처 양념 본갈비 8팩</v>
      </c>
      <c r="D825">
        <f>정규화데이터!D825</f>
        <v>58481090</v>
      </c>
      <c r="E825" s="16" t="str">
        <f>정규화데이터!E825</f>
        <v>SKU001</v>
      </c>
      <c r="F825" s="3">
        <f>정규화데이터!F825</f>
        <v>1</v>
      </c>
      <c r="G825" s="3">
        <f>정규화데이터!G825</f>
        <v>119000</v>
      </c>
      <c r="H825" s="3">
        <f>정규화데이터!H825</f>
        <v>119000</v>
      </c>
      <c r="I825" s="3">
        <f>정규화데이터!I825</f>
        <v>80920</v>
      </c>
      <c r="J825" s="3">
        <f>정규화데이터!J825</f>
        <v>108181.81818181818</v>
      </c>
      <c r="K825" s="25">
        <f>정규화데이터!K825</f>
        <v>61496</v>
      </c>
      <c r="L825" s="25">
        <f>정규화데이터!L825</f>
        <v>61496</v>
      </c>
      <c r="M825" s="21">
        <f t="shared" si="24"/>
        <v>46685.818181818177</v>
      </c>
      <c r="N825" s="52">
        <f t="shared" si="25"/>
        <v>0.43154957983193276</v>
      </c>
    </row>
    <row r="826" spans="1:14" x14ac:dyDescent="0.3">
      <c r="A826" t="str">
        <f>정규화데이터!A826</f>
        <v>SK스토아</v>
      </c>
      <c r="B826">
        <f>정규화데이터!B826</f>
        <v>20260210360518</v>
      </c>
      <c r="C826" t="str">
        <f>정규화데이터!C826</f>
        <v>[워커힐]워커힐 고메 시그니처 양념 본갈비 8팩</v>
      </c>
      <c r="D826">
        <f>정규화데이터!D826</f>
        <v>58481090</v>
      </c>
      <c r="E826" s="16" t="str">
        <f>정규화데이터!E826</f>
        <v>SKU001</v>
      </c>
      <c r="F826" s="3">
        <f>정규화데이터!F826</f>
        <v>1</v>
      </c>
      <c r="G826" s="3">
        <f>정규화데이터!G826</f>
        <v>119000</v>
      </c>
      <c r="H826" s="3">
        <f>정규화데이터!H826</f>
        <v>119000</v>
      </c>
      <c r="I826" s="3">
        <f>정규화데이터!I826</f>
        <v>80920</v>
      </c>
      <c r="J826" s="3">
        <f>정규화데이터!J826</f>
        <v>108181.81818181818</v>
      </c>
      <c r="K826" s="25">
        <f>정규화데이터!K826</f>
        <v>61496</v>
      </c>
      <c r="L826" s="25">
        <f>정규화데이터!L826</f>
        <v>61496</v>
      </c>
      <c r="M826" s="21">
        <f t="shared" si="24"/>
        <v>46685.818181818177</v>
      </c>
      <c r="N826" s="52">
        <f t="shared" si="25"/>
        <v>0.43154957983193276</v>
      </c>
    </row>
    <row r="827" spans="1:14" x14ac:dyDescent="0.3">
      <c r="A827" t="str">
        <f>정규화데이터!A827</f>
        <v>SK스토아</v>
      </c>
      <c r="B827">
        <f>정규화데이터!B827</f>
        <v>20260210361362</v>
      </c>
      <c r="C827" t="str">
        <f>정규화데이터!C827</f>
        <v>[워커힐]워커힐 고메 시그니처 양념 본갈비 8팩</v>
      </c>
      <c r="D827">
        <f>정규화데이터!D827</f>
        <v>58481090</v>
      </c>
      <c r="E827" s="16" t="str">
        <f>정규화데이터!E827</f>
        <v>SKU001</v>
      </c>
      <c r="F827" s="3">
        <f>정규화데이터!F827</f>
        <v>1</v>
      </c>
      <c r="G827" s="3">
        <f>정규화데이터!G827</f>
        <v>119000</v>
      </c>
      <c r="H827" s="3">
        <f>정규화데이터!H827</f>
        <v>98770</v>
      </c>
      <c r="I827" s="3">
        <f>정규화데이터!I827</f>
        <v>80920</v>
      </c>
      <c r="J827" s="3">
        <f>정규화데이터!J827</f>
        <v>89790.909090909088</v>
      </c>
      <c r="K827" s="25">
        <f>정규화데이터!K827</f>
        <v>61496</v>
      </c>
      <c r="L827" s="25">
        <f>정규화데이터!L827</f>
        <v>61496</v>
      </c>
      <c r="M827" s="21">
        <f t="shared" si="24"/>
        <v>28294.909090909088</v>
      </c>
      <c r="N827" s="52">
        <f t="shared" si="25"/>
        <v>0.31511997570112382</v>
      </c>
    </row>
    <row r="828" spans="1:14" x14ac:dyDescent="0.3">
      <c r="A828" t="str">
        <f>정규화데이터!A828</f>
        <v>SK스토아</v>
      </c>
      <c r="B828">
        <f>정규화데이터!B828</f>
        <v>20260210361601</v>
      </c>
      <c r="C828" t="str">
        <f>정규화데이터!C828</f>
        <v>[워커힐]워커힐 고메 시그니처 양념 본갈비 8팩</v>
      </c>
      <c r="D828">
        <f>정규화데이터!D828</f>
        <v>58481090</v>
      </c>
      <c r="E828" s="16" t="str">
        <f>정규화데이터!E828</f>
        <v>SKU001</v>
      </c>
      <c r="F828" s="3">
        <f>정규화데이터!F828</f>
        <v>1</v>
      </c>
      <c r="G828" s="3">
        <f>정규화데이터!G828</f>
        <v>119000</v>
      </c>
      <c r="H828" s="3">
        <f>정규화데이터!H828</f>
        <v>109000</v>
      </c>
      <c r="I828" s="3">
        <f>정규화데이터!I828</f>
        <v>80920</v>
      </c>
      <c r="J828" s="3">
        <f>정규화데이터!J828</f>
        <v>99090.909090909074</v>
      </c>
      <c r="K828" s="25">
        <f>정규화데이터!K828</f>
        <v>61496</v>
      </c>
      <c r="L828" s="25">
        <f>정규화데이터!L828</f>
        <v>61496</v>
      </c>
      <c r="M828" s="21">
        <f t="shared" si="24"/>
        <v>37594.909090909074</v>
      </c>
      <c r="N828" s="52">
        <f t="shared" si="25"/>
        <v>0.3793981651376146</v>
      </c>
    </row>
    <row r="829" spans="1:14" x14ac:dyDescent="0.3">
      <c r="A829" t="str">
        <f>정규화데이터!A829</f>
        <v>SK스토아</v>
      </c>
      <c r="B829">
        <f>정규화데이터!B829</f>
        <v>20260210361654</v>
      </c>
      <c r="C829" t="str">
        <f>정규화데이터!C829</f>
        <v>[워커힐]워커힐 고메 시그니처 양념 본갈비 8팩</v>
      </c>
      <c r="D829">
        <f>정규화데이터!D829</f>
        <v>58481090</v>
      </c>
      <c r="E829" s="16" t="str">
        <f>정규화데이터!E829</f>
        <v>SKU001</v>
      </c>
      <c r="F829" s="3">
        <f>정규화데이터!F829</f>
        <v>1</v>
      </c>
      <c r="G829" s="3">
        <f>정규화데이터!G829</f>
        <v>119000</v>
      </c>
      <c r="H829" s="3">
        <f>정규화데이터!H829</f>
        <v>113050</v>
      </c>
      <c r="I829" s="3">
        <f>정규화데이터!I829</f>
        <v>80920</v>
      </c>
      <c r="J829" s="3">
        <f>정규화데이터!J829</f>
        <v>102772.72727272726</v>
      </c>
      <c r="K829" s="25">
        <f>정규화데이터!K829</f>
        <v>61496</v>
      </c>
      <c r="L829" s="25">
        <f>정규화데이터!L829</f>
        <v>61496</v>
      </c>
      <c r="M829" s="21">
        <f t="shared" si="24"/>
        <v>41276.727272727265</v>
      </c>
      <c r="N829" s="52">
        <f t="shared" si="25"/>
        <v>0.40163113666519235</v>
      </c>
    </row>
    <row r="830" spans="1:14" x14ac:dyDescent="0.3">
      <c r="A830" t="str">
        <f>정규화데이터!A830</f>
        <v>SK스토아</v>
      </c>
      <c r="B830">
        <f>정규화데이터!B830</f>
        <v>20260210360588</v>
      </c>
      <c r="C830" t="str">
        <f>정규화데이터!C830</f>
        <v>[워커힐]워커힐 고메 시그니처 양념 본갈비 8팩</v>
      </c>
      <c r="D830">
        <f>정규화데이터!D830</f>
        <v>58481090</v>
      </c>
      <c r="E830" s="16" t="str">
        <f>정규화데이터!E830</f>
        <v>SKU001</v>
      </c>
      <c r="F830" s="3">
        <f>정규화데이터!F830</f>
        <v>1</v>
      </c>
      <c r="G830" s="3">
        <f>정규화데이터!G830</f>
        <v>119000</v>
      </c>
      <c r="H830" s="3">
        <f>정규화데이터!H830</f>
        <v>119000</v>
      </c>
      <c r="I830" s="3">
        <f>정규화데이터!I830</f>
        <v>80920</v>
      </c>
      <c r="J830" s="3">
        <f>정규화데이터!J830</f>
        <v>108181.81818181818</v>
      </c>
      <c r="K830" s="25">
        <f>정규화데이터!K830</f>
        <v>61496</v>
      </c>
      <c r="L830" s="25">
        <f>정규화데이터!L830</f>
        <v>61496</v>
      </c>
      <c r="M830" s="21">
        <f t="shared" si="24"/>
        <v>46685.818181818177</v>
      </c>
      <c r="N830" s="52">
        <f t="shared" si="25"/>
        <v>0.43154957983193276</v>
      </c>
    </row>
    <row r="831" spans="1:14" x14ac:dyDescent="0.3">
      <c r="A831" t="str">
        <f>정규화데이터!A831</f>
        <v>SK스토아</v>
      </c>
      <c r="B831">
        <f>정규화데이터!B831</f>
        <v>20260210361176</v>
      </c>
      <c r="C831" t="str">
        <f>정규화데이터!C831</f>
        <v>[워커힐]워커힐 고메 시그니처 양념 본갈비 8팩</v>
      </c>
      <c r="D831">
        <f>정규화데이터!D831</f>
        <v>58481090</v>
      </c>
      <c r="E831" s="16" t="str">
        <f>정규화데이터!E831</f>
        <v>SKU001</v>
      </c>
      <c r="F831" s="3">
        <f>정규화데이터!F831</f>
        <v>1</v>
      </c>
      <c r="G831" s="3">
        <f>정규화데이터!G831</f>
        <v>119000</v>
      </c>
      <c r="H831" s="3">
        <f>정규화데이터!H831</f>
        <v>119000</v>
      </c>
      <c r="I831" s="3">
        <f>정규화데이터!I831</f>
        <v>80920</v>
      </c>
      <c r="J831" s="3">
        <f>정규화데이터!J831</f>
        <v>108181.81818181818</v>
      </c>
      <c r="K831" s="25">
        <f>정규화데이터!K831</f>
        <v>61496</v>
      </c>
      <c r="L831" s="25">
        <f>정규화데이터!L831</f>
        <v>61496</v>
      </c>
      <c r="M831" s="21">
        <f t="shared" si="24"/>
        <v>46685.818181818177</v>
      </c>
      <c r="N831" s="52">
        <f t="shared" si="25"/>
        <v>0.43154957983193276</v>
      </c>
    </row>
    <row r="832" spans="1:14" x14ac:dyDescent="0.3">
      <c r="A832" t="str">
        <f>정규화데이터!A832</f>
        <v>SK스토아</v>
      </c>
      <c r="B832">
        <f>정규화데이터!B832</f>
        <v>20260210362003</v>
      </c>
      <c r="C832" t="str">
        <f>정규화데이터!C832</f>
        <v>[워커힐]워커힐 고메 시그니처 양념 본갈비 8팩</v>
      </c>
      <c r="D832">
        <f>정규화데이터!D832</f>
        <v>58481090</v>
      </c>
      <c r="E832" s="16" t="str">
        <f>정규화데이터!E832</f>
        <v>SKU001</v>
      </c>
      <c r="F832" s="3">
        <f>정규화데이터!F832</f>
        <v>1</v>
      </c>
      <c r="G832" s="3">
        <f>정규화데이터!G832</f>
        <v>119000</v>
      </c>
      <c r="H832" s="3">
        <f>정규화데이터!H832</f>
        <v>119000</v>
      </c>
      <c r="I832" s="3">
        <f>정규화데이터!I832</f>
        <v>80920</v>
      </c>
      <c r="J832" s="3">
        <f>정규화데이터!J832</f>
        <v>108181.81818181818</v>
      </c>
      <c r="K832" s="25">
        <f>정규화데이터!K832</f>
        <v>61496</v>
      </c>
      <c r="L832" s="25">
        <f>정규화데이터!L832</f>
        <v>61496</v>
      </c>
      <c r="M832" s="21">
        <f t="shared" si="24"/>
        <v>46685.818181818177</v>
      </c>
      <c r="N832" s="52">
        <f t="shared" si="25"/>
        <v>0.43154957983193276</v>
      </c>
    </row>
    <row r="833" spans="1:14" x14ac:dyDescent="0.3">
      <c r="A833" t="str">
        <f>정규화데이터!A833</f>
        <v>SK스토아</v>
      </c>
      <c r="B833">
        <f>정규화데이터!B833</f>
        <v>20260210360969</v>
      </c>
      <c r="C833" t="str">
        <f>정규화데이터!C833</f>
        <v>[워커힐]워커힐 고메 시그니처 양념 본갈비 8팩</v>
      </c>
      <c r="D833">
        <f>정규화데이터!D833</f>
        <v>58481090</v>
      </c>
      <c r="E833" s="16" t="str">
        <f>정규화데이터!E833</f>
        <v>SKU001</v>
      </c>
      <c r="F833" s="3">
        <f>정규화데이터!F833</f>
        <v>1</v>
      </c>
      <c r="G833" s="3">
        <f>정규화데이터!G833</f>
        <v>119000</v>
      </c>
      <c r="H833" s="3">
        <f>정규화데이터!H833</f>
        <v>119000</v>
      </c>
      <c r="I833" s="3">
        <f>정규화데이터!I833</f>
        <v>80920</v>
      </c>
      <c r="J833" s="3">
        <f>정규화데이터!J833</f>
        <v>108181.81818181818</v>
      </c>
      <c r="K833" s="25">
        <f>정규화데이터!K833</f>
        <v>61496</v>
      </c>
      <c r="L833" s="25">
        <f>정규화데이터!L833</f>
        <v>61496</v>
      </c>
      <c r="M833" s="21">
        <f t="shared" si="24"/>
        <v>46685.818181818177</v>
      </c>
      <c r="N833" s="52">
        <f t="shared" si="25"/>
        <v>0.43154957983193276</v>
      </c>
    </row>
    <row r="834" spans="1:14" x14ac:dyDescent="0.3">
      <c r="A834" t="str">
        <f>정규화데이터!A834</f>
        <v>SK스토아</v>
      </c>
      <c r="B834">
        <f>정규화데이터!B834</f>
        <v>20260210361596</v>
      </c>
      <c r="C834" t="str">
        <f>정규화데이터!C834</f>
        <v>[워커힐]워커힐 고메 시그니처 양념 본갈비 8팩</v>
      </c>
      <c r="D834">
        <f>정규화데이터!D834</f>
        <v>58481090</v>
      </c>
      <c r="E834" s="16" t="str">
        <f>정규화데이터!E834</f>
        <v>SKU001</v>
      </c>
      <c r="F834" s="3">
        <f>정규화데이터!F834</f>
        <v>2</v>
      </c>
      <c r="G834" s="3">
        <f>정규화데이터!G834</f>
        <v>119000</v>
      </c>
      <c r="H834" s="3">
        <f>정규화데이터!H834</f>
        <v>238000</v>
      </c>
      <c r="I834" s="3">
        <f>정규화데이터!I834</f>
        <v>161840</v>
      </c>
      <c r="J834" s="3">
        <f>정규화데이터!J834</f>
        <v>216363.63636363635</v>
      </c>
      <c r="K834" s="25">
        <f>정규화데이터!K834</f>
        <v>61496</v>
      </c>
      <c r="L834" s="25">
        <f>정규화데이터!L834</f>
        <v>122992</v>
      </c>
      <c r="M834" s="21">
        <f t="shared" si="24"/>
        <v>93371.636363636353</v>
      </c>
      <c r="N834" s="52">
        <f t="shared" si="25"/>
        <v>0.43154957983193276</v>
      </c>
    </row>
    <row r="835" spans="1:14" x14ac:dyDescent="0.3">
      <c r="A835" t="str">
        <f>정규화데이터!A835</f>
        <v>SK스토아</v>
      </c>
      <c r="B835">
        <f>정규화데이터!B835</f>
        <v>20260210361138</v>
      </c>
      <c r="C835" t="str">
        <f>정규화데이터!C835</f>
        <v>[워커힐]워커힐 고메 시그니처 양념 본갈비 8팩</v>
      </c>
      <c r="D835">
        <f>정규화데이터!D835</f>
        <v>58481090</v>
      </c>
      <c r="E835" s="16" t="str">
        <f>정규화데이터!E835</f>
        <v>SKU001</v>
      </c>
      <c r="F835" s="3">
        <f>정규화데이터!F835</f>
        <v>1</v>
      </c>
      <c r="G835" s="3">
        <f>정규화데이터!G835</f>
        <v>119000</v>
      </c>
      <c r="H835" s="3">
        <f>정규화데이터!H835</f>
        <v>119000</v>
      </c>
      <c r="I835" s="3">
        <f>정규화데이터!I835</f>
        <v>80920</v>
      </c>
      <c r="J835" s="3">
        <f>정규화데이터!J835</f>
        <v>108181.81818181818</v>
      </c>
      <c r="K835" s="25">
        <f>정규화데이터!K835</f>
        <v>61496</v>
      </c>
      <c r="L835" s="25">
        <f>정규화데이터!L835</f>
        <v>61496</v>
      </c>
      <c r="M835" s="21">
        <f t="shared" ref="M835:M898" si="26">J835-L835</f>
        <v>46685.818181818177</v>
      </c>
      <c r="N835" s="52">
        <f t="shared" ref="N835:N898" si="27">IF(J835=0,0,M835/J835)</f>
        <v>0.43154957983193276</v>
      </c>
    </row>
    <row r="836" spans="1:14" x14ac:dyDescent="0.3">
      <c r="A836" t="str">
        <f>정규화데이터!A836</f>
        <v>SK스토아</v>
      </c>
      <c r="B836">
        <f>정규화데이터!B836</f>
        <v>20260210361906</v>
      </c>
      <c r="C836" t="str">
        <f>정규화데이터!C836</f>
        <v>[워커힐]워커힐 고메 시그니처 양념 본갈비 8팩</v>
      </c>
      <c r="D836">
        <f>정규화데이터!D836</f>
        <v>58481090</v>
      </c>
      <c r="E836" s="16" t="str">
        <f>정규화데이터!E836</f>
        <v>SKU001</v>
      </c>
      <c r="F836" s="3">
        <f>정규화데이터!F836</f>
        <v>1</v>
      </c>
      <c r="G836" s="3">
        <f>정규화데이터!G836</f>
        <v>119000</v>
      </c>
      <c r="H836" s="3">
        <f>정규화데이터!H836</f>
        <v>119000</v>
      </c>
      <c r="I836" s="3">
        <f>정규화데이터!I836</f>
        <v>80920</v>
      </c>
      <c r="J836" s="3">
        <f>정규화데이터!J836</f>
        <v>108181.81818181818</v>
      </c>
      <c r="K836" s="25">
        <f>정규화데이터!K836</f>
        <v>61496</v>
      </c>
      <c r="L836" s="25">
        <f>정규화데이터!L836</f>
        <v>61496</v>
      </c>
      <c r="M836" s="21">
        <f t="shared" si="26"/>
        <v>46685.818181818177</v>
      </c>
      <c r="N836" s="52">
        <f t="shared" si="27"/>
        <v>0.43154957983193276</v>
      </c>
    </row>
    <row r="837" spans="1:14" x14ac:dyDescent="0.3">
      <c r="A837" t="str">
        <f>정규화데이터!A837</f>
        <v>SK스토아</v>
      </c>
      <c r="B837">
        <f>정규화데이터!B837</f>
        <v>20260210360875</v>
      </c>
      <c r="C837" t="str">
        <f>정규화데이터!C837</f>
        <v>[워커힐]워커힐 고메 시그니처 양념 본갈비 8팩</v>
      </c>
      <c r="D837">
        <f>정규화데이터!D837</f>
        <v>58481090</v>
      </c>
      <c r="E837" s="16" t="str">
        <f>정규화데이터!E837</f>
        <v>SKU001</v>
      </c>
      <c r="F837" s="3">
        <f>정규화데이터!F837</f>
        <v>1</v>
      </c>
      <c r="G837" s="3">
        <f>정규화데이터!G837</f>
        <v>119000</v>
      </c>
      <c r="H837" s="3">
        <f>정규화데이터!H837</f>
        <v>119000</v>
      </c>
      <c r="I837" s="3">
        <f>정규화데이터!I837</f>
        <v>80920</v>
      </c>
      <c r="J837" s="3">
        <f>정규화데이터!J837</f>
        <v>108181.81818181818</v>
      </c>
      <c r="K837" s="25">
        <f>정규화데이터!K837</f>
        <v>61496</v>
      </c>
      <c r="L837" s="25">
        <f>정규화데이터!L837</f>
        <v>61496</v>
      </c>
      <c r="M837" s="21">
        <f t="shared" si="26"/>
        <v>46685.818181818177</v>
      </c>
      <c r="N837" s="52">
        <f t="shared" si="27"/>
        <v>0.43154957983193276</v>
      </c>
    </row>
    <row r="838" spans="1:14" x14ac:dyDescent="0.3">
      <c r="A838" t="str">
        <f>정규화데이터!A838</f>
        <v>SK스토아</v>
      </c>
      <c r="B838">
        <f>정규화데이터!B838</f>
        <v>20260210360271</v>
      </c>
      <c r="C838" t="str">
        <f>정규화데이터!C838</f>
        <v>[워커힐]워커힐 고메 시그니처 양념 본갈비 8팩</v>
      </c>
      <c r="D838">
        <f>정규화데이터!D838</f>
        <v>58481090</v>
      </c>
      <c r="E838" s="16" t="str">
        <f>정규화데이터!E838</f>
        <v>SKU001</v>
      </c>
      <c r="F838" s="3">
        <f>정규화데이터!F838</f>
        <v>2</v>
      </c>
      <c r="G838" s="3">
        <f>정규화데이터!G838</f>
        <v>119000</v>
      </c>
      <c r="H838" s="3">
        <f>정규화데이터!H838</f>
        <v>238000</v>
      </c>
      <c r="I838" s="3">
        <f>정규화데이터!I838</f>
        <v>161840</v>
      </c>
      <c r="J838" s="3">
        <f>정규화데이터!J838</f>
        <v>216363.63636363635</v>
      </c>
      <c r="K838" s="25">
        <f>정규화데이터!K838</f>
        <v>61496</v>
      </c>
      <c r="L838" s="25">
        <f>정규화데이터!L838</f>
        <v>122992</v>
      </c>
      <c r="M838" s="21">
        <f t="shared" si="26"/>
        <v>93371.636363636353</v>
      </c>
      <c r="N838" s="52">
        <f t="shared" si="27"/>
        <v>0.43154957983193276</v>
      </c>
    </row>
    <row r="839" spans="1:14" x14ac:dyDescent="0.3">
      <c r="A839" t="str">
        <f>정규화데이터!A839</f>
        <v>SK스토아</v>
      </c>
      <c r="B839">
        <f>정규화데이터!B839</f>
        <v>20260210360371</v>
      </c>
      <c r="C839" t="str">
        <f>정규화데이터!C839</f>
        <v>[워커힐]워커힐 고메 시그니처 양념 본갈비 8팩</v>
      </c>
      <c r="D839">
        <f>정규화데이터!D839</f>
        <v>58481090</v>
      </c>
      <c r="E839" s="16" t="str">
        <f>정규화데이터!E839</f>
        <v>SKU001</v>
      </c>
      <c r="F839" s="3">
        <f>정규화데이터!F839</f>
        <v>1</v>
      </c>
      <c r="G839" s="3">
        <f>정규화데이터!G839</f>
        <v>119000</v>
      </c>
      <c r="H839" s="3">
        <f>정규화데이터!H839</f>
        <v>113050</v>
      </c>
      <c r="I839" s="3">
        <f>정규화데이터!I839</f>
        <v>80920</v>
      </c>
      <c r="J839" s="3">
        <f>정규화데이터!J839</f>
        <v>102772.72727272726</v>
      </c>
      <c r="K839" s="25">
        <f>정규화데이터!K839</f>
        <v>61496</v>
      </c>
      <c r="L839" s="25">
        <f>정규화데이터!L839</f>
        <v>61496</v>
      </c>
      <c r="M839" s="21">
        <f t="shared" si="26"/>
        <v>41276.727272727265</v>
      </c>
      <c r="N839" s="52">
        <f t="shared" si="27"/>
        <v>0.40163113666519235</v>
      </c>
    </row>
    <row r="840" spans="1:14" x14ac:dyDescent="0.3">
      <c r="A840" t="str">
        <f>정규화데이터!A840</f>
        <v>SK스토아</v>
      </c>
      <c r="B840">
        <f>정규화데이터!B840</f>
        <v>20260210361908</v>
      </c>
      <c r="C840" t="str">
        <f>정규화데이터!C840</f>
        <v>[워커힐]워커힐 고메 시그니처 양념 본갈비 8팩</v>
      </c>
      <c r="D840">
        <f>정규화데이터!D840</f>
        <v>58481090</v>
      </c>
      <c r="E840" s="16" t="str">
        <f>정규화데이터!E840</f>
        <v>SKU001</v>
      </c>
      <c r="F840" s="3">
        <f>정규화데이터!F840</f>
        <v>1</v>
      </c>
      <c r="G840" s="3">
        <f>정규화데이터!G840</f>
        <v>119000</v>
      </c>
      <c r="H840" s="3">
        <f>정규화데이터!H840</f>
        <v>119000</v>
      </c>
      <c r="I840" s="3">
        <f>정규화데이터!I840</f>
        <v>80920</v>
      </c>
      <c r="J840" s="3">
        <f>정규화데이터!J840</f>
        <v>108181.81818181818</v>
      </c>
      <c r="K840" s="25">
        <f>정규화데이터!K840</f>
        <v>61496</v>
      </c>
      <c r="L840" s="25">
        <f>정규화데이터!L840</f>
        <v>61496</v>
      </c>
      <c r="M840" s="21">
        <f t="shared" si="26"/>
        <v>46685.818181818177</v>
      </c>
      <c r="N840" s="52">
        <f t="shared" si="27"/>
        <v>0.43154957983193276</v>
      </c>
    </row>
    <row r="841" spans="1:14" x14ac:dyDescent="0.3">
      <c r="A841" t="str">
        <f>정규화데이터!A841</f>
        <v>SK스토아</v>
      </c>
      <c r="B841">
        <f>정규화데이터!B841</f>
        <v>20260210360177</v>
      </c>
      <c r="C841" t="str">
        <f>정규화데이터!C841</f>
        <v>[워커힐]워커힐 고메 시그니처 양념 본갈비 8팩</v>
      </c>
      <c r="D841">
        <f>정규화데이터!D841</f>
        <v>58481090</v>
      </c>
      <c r="E841" s="16" t="str">
        <f>정규화데이터!E841</f>
        <v>SKU001</v>
      </c>
      <c r="F841" s="3">
        <f>정규화데이터!F841</f>
        <v>1</v>
      </c>
      <c r="G841" s="3">
        <f>정규화데이터!G841</f>
        <v>119000</v>
      </c>
      <c r="H841" s="3">
        <f>정규화데이터!H841</f>
        <v>119000</v>
      </c>
      <c r="I841" s="3">
        <f>정규화데이터!I841</f>
        <v>80920</v>
      </c>
      <c r="J841" s="3">
        <f>정규화데이터!J841</f>
        <v>108181.81818181818</v>
      </c>
      <c r="K841" s="25">
        <f>정규화데이터!K841</f>
        <v>61496</v>
      </c>
      <c r="L841" s="25">
        <f>정규화데이터!L841</f>
        <v>61496</v>
      </c>
      <c r="M841" s="21">
        <f t="shared" si="26"/>
        <v>46685.818181818177</v>
      </c>
      <c r="N841" s="52">
        <f t="shared" si="27"/>
        <v>0.43154957983193276</v>
      </c>
    </row>
    <row r="842" spans="1:14" x14ac:dyDescent="0.3">
      <c r="A842" t="str">
        <f>정규화데이터!A842</f>
        <v>SK스토아</v>
      </c>
      <c r="B842">
        <f>정규화데이터!B842</f>
        <v>20260210360979</v>
      </c>
      <c r="C842" t="str">
        <f>정규화데이터!C842</f>
        <v>[워커힐]워커힐 고메 시그니처 양념 본갈비 8팩</v>
      </c>
      <c r="D842">
        <f>정규화데이터!D842</f>
        <v>58481090</v>
      </c>
      <c r="E842" s="16" t="str">
        <f>정규화데이터!E842</f>
        <v>SKU001</v>
      </c>
      <c r="F842" s="3">
        <f>정규화데이터!F842</f>
        <v>1</v>
      </c>
      <c r="G842" s="3">
        <f>정규화데이터!G842</f>
        <v>119000</v>
      </c>
      <c r="H842" s="3">
        <f>정규화데이터!H842</f>
        <v>119000</v>
      </c>
      <c r="I842" s="3">
        <f>정규화데이터!I842</f>
        <v>80920</v>
      </c>
      <c r="J842" s="3">
        <f>정규화데이터!J842</f>
        <v>108181.81818181818</v>
      </c>
      <c r="K842" s="25">
        <f>정규화데이터!K842</f>
        <v>61496</v>
      </c>
      <c r="L842" s="25">
        <f>정규화데이터!L842</f>
        <v>61496</v>
      </c>
      <c r="M842" s="21">
        <f t="shared" si="26"/>
        <v>46685.818181818177</v>
      </c>
      <c r="N842" s="52">
        <f t="shared" si="27"/>
        <v>0.43154957983193276</v>
      </c>
    </row>
    <row r="843" spans="1:14" x14ac:dyDescent="0.3">
      <c r="A843" t="str">
        <f>정규화데이터!A843</f>
        <v>SK스토아</v>
      </c>
      <c r="B843">
        <f>정규화데이터!B843</f>
        <v>20260210361530</v>
      </c>
      <c r="C843" t="str">
        <f>정규화데이터!C843</f>
        <v>[워커힐]워커힐 고메 시그니처 양념 본갈비 8팩</v>
      </c>
      <c r="D843">
        <f>정규화데이터!D843</f>
        <v>58481090</v>
      </c>
      <c r="E843" s="16" t="str">
        <f>정규화데이터!E843</f>
        <v>SKU001</v>
      </c>
      <c r="F843" s="3">
        <f>정규화데이터!F843</f>
        <v>1</v>
      </c>
      <c r="G843" s="3">
        <f>정규화데이터!G843</f>
        <v>119000</v>
      </c>
      <c r="H843" s="3">
        <f>정규화데이터!H843</f>
        <v>119000</v>
      </c>
      <c r="I843" s="3">
        <f>정규화데이터!I843</f>
        <v>80920</v>
      </c>
      <c r="J843" s="3">
        <f>정규화데이터!J843</f>
        <v>108181.81818181818</v>
      </c>
      <c r="K843" s="25">
        <f>정규화데이터!K843</f>
        <v>61496</v>
      </c>
      <c r="L843" s="25">
        <f>정규화데이터!L843</f>
        <v>61496</v>
      </c>
      <c r="M843" s="21">
        <f t="shared" si="26"/>
        <v>46685.818181818177</v>
      </c>
      <c r="N843" s="52">
        <f t="shared" si="27"/>
        <v>0.43154957983193276</v>
      </c>
    </row>
    <row r="844" spans="1:14" x14ac:dyDescent="0.3">
      <c r="A844" t="str">
        <f>정규화데이터!A844</f>
        <v>SK스토아</v>
      </c>
      <c r="B844">
        <f>정규화데이터!B844</f>
        <v>20260210361628</v>
      </c>
      <c r="C844" t="str">
        <f>정규화데이터!C844</f>
        <v>[워커힐]워커힐 고메 시그니처 양념 본갈비 8팩</v>
      </c>
      <c r="D844">
        <f>정규화데이터!D844</f>
        <v>58481090</v>
      </c>
      <c r="E844" s="16" t="str">
        <f>정규화데이터!E844</f>
        <v>SKU001</v>
      </c>
      <c r="F844" s="3">
        <f>정규화데이터!F844</f>
        <v>1</v>
      </c>
      <c r="G844" s="3">
        <f>정규화데이터!G844</f>
        <v>119000</v>
      </c>
      <c r="H844" s="3">
        <f>정규화데이터!H844</f>
        <v>119000</v>
      </c>
      <c r="I844" s="3">
        <f>정규화데이터!I844</f>
        <v>80920</v>
      </c>
      <c r="J844" s="3">
        <f>정규화데이터!J844</f>
        <v>108181.81818181818</v>
      </c>
      <c r="K844" s="25">
        <f>정규화데이터!K844</f>
        <v>61496</v>
      </c>
      <c r="L844" s="25">
        <f>정규화데이터!L844</f>
        <v>61496</v>
      </c>
      <c r="M844" s="21">
        <f t="shared" si="26"/>
        <v>46685.818181818177</v>
      </c>
      <c r="N844" s="52">
        <f t="shared" si="27"/>
        <v>0.43154957983193276</v>
      </c>
    </row>
    <row r="845" spans="1:14" x14ac:dyDescent="0.3">
      <c r="A845" t="str">
        <f>정규화데이터!A845</f>
        <v>SK스토아</v>
      </c>
      <c r="B845">
        <f>정규화데이터!B845</f>
        <v>20260210360293</v>
      </c>
      <c r="C845" t="str">
        <f>정규화데이터!C845</f>
        <v>[워커힐]워커힐 고메 시그니처 양념 본갈비 8팩</v>
      </c>
      <c r="D845">
        <f>정규화데이터!D845</f>
        <v>58481090</v>
      </c>
      <c r="E845" s="16" t="str">
        <f>정규화데이터!E845</f>
        <v>SKU001</v>
      </c>
      <c r="F845" s="3">
        <f>정규화데이터!F845</f>
        <v>1</v>
      </c>
      <c r="G845" s="3">
        <f>정규화데이터!G845</f>
        <v>119000</v>
      </c>
      <c r="H845" s="3">
        <f>정규화데이터!H845</f>
        <v>119000</v>
      </c>
      <c r="I845" s="3">
        <f>정규화데이터!I845</f>
        <v>80920</v>
      </c>
      <c r="J845" s="3">
        <f>정규화데이터!J845</f>
        <v>108181.81818181818</v>
      </c>
      <c r="K845" s="25">
        <f>정규화데이터!K845</f>
        <v>61496</v>
      </c>
      <c r="L845" s="25">
        <f>정규화데이터!L845</f>
        <v>61496</v>
      </c>
      <c r="M845" s="21">
        <f t="shared" si="26"/>
        <v>46685.818181818177</v>
      </c>
      <c r="N845" s="52">
        <f t="shared" si="27"/>
        <v>0.43154957983193276</v>
      </c>
    </row>
    <row r="846" spans="1:14" x14ac:dyDescent="0.3">
      <c r="A846" t="str">
        <f>정규화데이터!A846</f>
        <v>SK스토아</v>
      </c>
      <c r="B846">
        <f>정규화데이터!B846</f>
        <v>20260210361554</v>
      </c>
      <c r="C846" t="str">
        <f>정규화데이터!C846</f>
        <v>[워커힐]워커힐 고메 시그니처 양념 본갈비 8팩</v>
      </c>
      <c r="D846">
        <f>정규화데이터!D846</f>
        <v>58481090</v>
      </c>
      <c r="E846" s="16" t="str">
        <f>정규화데이터!E846</f>
        <v>SKU001</v>
      </c>
      <c r="F846" s="3">
        <f>정규화데이터!F846</f>
        <v>1</v>
      </c>
      <c r="G846" s="3">
        <f>정규화데이터!G846</f>
        <v>119000</v>
      </c>
      <c r="H846" s="3">
        <f>정규화데이터!H846</f>
        <v>95200</v>
      </c>
      <c r="I846" s="3">
        <f>정규화데이터!I846</f>
        <v>80920</v>
      </c>
      <c r="J846" s="3">
        <f>정규화데이터!J846</f>
        <v>86545.454545454544</v>
      </c>
      <c r="K846" s="25">
        <f>정규화데이터!K846</f>
        <v>61496</v>
      </c>
      <c r="L846" s="25">
        <f>정규화데이터!L846</f>
        <v>61496</v>
      </c>
      <c r="M846" s="21">
        <f t="shared" si="26"/>
        <v>25049.454545454544</v>
      </c>
      <c r="N846" s="52">
        <f t="shared" si="27"/>
        <v>0.28943697478991598</v>
      </c>
    </row>
    <row r="847" spans="1:14" x14ac:dyDescent="0.3">
      <c r="A847" t="str">
        <f>정규화데이터!A847</f>
        <v>SK스토아</v>
      </c>
      <c r="B847">
        <f>정규화데이터!B847</f>
        <v>20260210360720</v>
      </c>
      <c r="C847" t="str">
        <f>정규화데이터!C847</f>
        <v>[워커힐]워커힐 고메 시그니처 양념 본갈비 8팩</v>
      </c>
      <c r="D847">
        <f>정규화데이터!D847</f>
        <v>58481090</v>
      </c>
      <c r="E847" s="16" t="str">
        <f>정규화데이터!E847</f>
        <v>SKU001</v>
      </c>
      <c r="F847" s="3">
        <f>정규화데이터!F847</f>
        <v>1</v>
      </c>
      <c r="G847" s="3">
        <f>정규화데이터!G847</f>
        <v>119000</v>
      </c>
      <c r="H847" s="3">
        <f>정규화데이터!H847</f>
        <v>119000</v>
      </c>
      <c r="I847" s="3">
        <f>정규화데이터!I847</f>
        <v>80920</v>
      </c>
      <c r="J847" s="3">
        <f>정규화데이터!J847</f>
        <v>108181.81818181818</v>
      </c>
      <c r="K847" s="25">
        <f>정규화데이터!K847</f>
        <v>61496</v>
      </c>
      <c r="L847" s="25">
        <f>정규화데이터!L847</f>
        <v>61496</v>
      </c>
      <c r="M847" s="21">
        <f t="shared" si="26"/>
        <v>46685.818181818177</v>
      </c>
      <c r="N847" s="52">
        <f t="shared" si="27"/>
        <v>0.43154957983193276</v>
      </c>
    </row>
    <row r="848" spans="1:14" x14ac:dyDescent="0.3">
      <c r="A848" t="str">
        <f>정규화데이터!A848</f>
        <v>SK스토아</v>
      </c>
      <c r="B848">
        <f>정규화데이터!B848</f>
        <v>20260210360283</v>
      </c>
      <c r="C848" t="str">
        <f>정규화데이터!C848</f>
        <v>[워커힐]워커힐 고메 시그니처 양념 본갈비 8팩</v>
      </c>
      <c r="D848">
        <f>정규화데이터!D848</f>
        <v>58481090</v>
      </c>
      <c r="E848" s="16" t="str">
        <f>정규화데이터!E848</f>
        <v>SKU001</v>
      </c>
      <c r="F848" s="3">
        <f>정규화데이터!F848</f>
        <v>2</v>
      </c>
      <c r="G848" s="3">
        <f>정규화데이터!G848</f>
        <v>119000</v>
      </c>
      <c r="H848" s="3">
        <f>정규화데이터!H848</f>
        <v>238000</v>
      </c>
      <c r="I848" s="3">
        <f>정규화데이터!I848</f>
        <v>161840</v>
      </c>
      <c r="J848" s="3">
        <f>정규화데이터!J848</f>
        <v>216363.63636363635</v>
      </c>
      <c r="K848" s="25">
        <f>정규화데이터!K848</f>
        <v>61496</v>
      </c>
      <c r="L848" s="25">
        <f>정규화데이터!L848</f>
        <v>122992</v>
      </c>
      <c r="M848" s="21">
        <f t="shared" si="26"/>
        <v>93371.636363636353</v>
      </c>
      <c r="N848" s="52">
        <f t="shared" si="27"/>
        <v>0.43154957983193276</v>
      </c>
    </row>
    <row r="849" spans="1:14" x14ac:dyDescent="0.3">
      <c r="A849" t="str">
        <f>정규화데이터!A849</f>
        <v>SK스토아</v>
      </c>
      <c r="B849">
        <f>정규화데이터!B849</f>
        <v>20260210361227</v>
      </c>
      <c r="C849" t="str">
        <f>정규화데이터!C849</f>
        <v>[워커힐]워커힐 고메 시그니처 양념 본갈비 8팩</v>
      </c>
      <c r="D849">
        <f>정규화데이터!D849</f>
        <v>58481090</v>
      </c>
      <c r="E849" s="16" t="str">
        <f>정규화데이터!E849</f>
        <v>SKU001</v>
      </c>
      <c r="F849" s="3">
        <f>정규화데이터!F849</f>
        <v>2</v>
      </c>
      <c r="G849" s="3">
        <f>정규화데이터!G849</f>
        <v>119000</v>
      </c>
      <c r="H849" s="3">
        <f>정규화데이터!H849</f>
        <v>238000</v>
      </c>
      <c r="I849" s="3">
        <f>정규화데이터!I849</f>
        <v>161840</v>
      </c>
      <c r="J849" s="3">
        <f>정규화데이터!J849</f>
        <v>216363.63636363635</v>
      </c>
      <c r="K849" s="25">
        <f>정규화데이터!K849</f>
        <v>61496</v>
      </c>
      <c r="L849" s="25">
        <f>정규화데이터!L849</f>
        <v>122992</v>
      </c>
      <c r="M849" s="21">
        <f t="shared" si="26"/>
        <v>93371.636363636353</v>
      </c>
      <c r="N849" s="52">
        <f t="shared" si="27"/>
        <v>0.43154957983193276</v>
      </c>
    </row>
    <row r="850" spans="1:14" x14ac:dyDescent="0.3">
      <c r="A850" t="str">
        <f>정규화데이터!A850</f>
        <v>SK스토아</v>
      </c>
      <c r="B850">
        <f>정규화데이터!B850</f>
        <v>20260210367975</v>
      </c>
      <c r="C850" t="str">
        <f>정규화데이터!C850</f>
        <v>[워커힐]워커힐 고메 시그니처 양념 본갈비 8팩</v>
      </c>
      <c r="D850">
        <f>정규화데이터!D850</f>
        <v>58481090</v>
      </c>
      <c r="E850" s="16" t="str">
        <f>정규화데이터!E850</f>
        <v>SKU001</v>
      </c>
      <c r="F850" s="3">
        <f>정규화데이터!F850</f>
        <v>1</v>
      </c>
      <c r="G850" s="3">
        <f>정규화데이터!G850</f>
        <v>119000</v>
      </c>
      <c r="H850" s="3">
        <f>정규화데이터!H850</f>
        <v>113050</v>
      </c>
      <c r="I850" s="3">
        <f>정규화데이터!I850</f>
        <v>80920</v>
      </c>
      <c r="J850" s="3">
        <f>정규화데이터!J850</f>
        <v>102772.72727272726</v>
      </c>
      <c r="K850" s="25">
        <f>정규화데이터!K850</f>
        <v>61496</v>
      </c>
      <c r="L850" s="25">
        <f>정규화데이터!L850</f>
        <v>61496</v>
      </c>
      <c r="M850" s="21">
        <f t="shared" si="26"/>
        <v>41276.727272727265</v>
      </c>
      <c r="N850" s="52">
        <f t="shared" si="27"/>
        <v>0.40163113666519235</v>
      </c>
    </row>
    <row r="851" spans="1:14" x14ac:dyDescent="0.3">
      <c r="A851" t="str">
        <f>정규화데이터!A851</f>
        <v>SK스토아</v>
      </c>
      <c r="B851">
        <f>정규화데이터!B851</f>
        <v>20260205994463</v>
      </c>
      <c r="C851" t="str">
        <f>정규화데이터!C851</f>
        <v>[워커힐]워커힐 고메 시그니처 양념 본갈비 8팩</v>
      </c>
      <c r="D851">
        <f>정규화데이터!D851</f>
        <v>58481090</v>
      </c>
      <c r="E851" s="16" t="str">
        <f>정규화데이터!E851</f>
        <v>SKU001</v>
      </c>
      <c r="F851" s="3">
        <f>정규화데이터!F851</f>
        <v>1</v>
      </c>
      <c r="G851" s="3">
        <f>정규화데이터!G851</f>
        <v>119000</v>
      </c>
      <c r="H851" s="3">
        <f>정규화데이터!H851</f>
        <v>119000</v>
      </c>
      <c r="I851" s="3">
        <f>정규화데이터!I851</f>
        <v>82110</v>
      </c>
      <c r="J851" s="3">
        <f>정규화데이터!J851</f>
        <v>108181.81818181818</v>
      </c>
      <c r="K851" s="25">
        <f>정규화데이터!K851</f>
        <v>61496</v>
      </c>
      <c r="L851" s="25">
        <f>정규화데이터!L851</f>
        <v>61496</v>
      </c>
      <c r="M851" s="21">
        <f t="shared" si="26"/>
        <v>46685.818181818177</v>
      </c>
      <c r="N851" s="52">
        <f t="shared" si="27"/>
        <v>0.43154957983193276</v>
      </c>
    </row>
    <row r="852" spans="1:14" x14ac:dyDescent="0.3">
      <c r="A852" t="str">
        <f>정규화데이터!A852</f>
        <v>SK스토아</v>
      </c>
      <c r="B852">
        <f>정규화데이터!B852</f>
        <v>20260210360499</v>
      </c>
      <c r="C852" t="str">
        <f>정규화데이터!C852</f>
        <v>[워커힐]워커힐 고메 시그니처 양념 본갈비 8팩</v>
      </c>
      <c r="D852">
        <f>정규화데이터!D852</f>
        <v>58481090</v>
      </c>
      <c r="E852" s="16" t="str">
        <f>정규화데이터!E852</f>
        <v>SKU001</v>
      </c>
      <c r="F852" s="3">
        <f>정규화데이터!F852</f>
        <v>1</v>
      </c>
      <c r="G852" s="3">
        <f>정규화데이터!G852</f>
        <v>119000</v>
      </c>
      <c r="H852" s="3">
        <f>정규화데이터!H852</f>
        <v>113050</v>
      </c>
      <c r="I852" s="3">
        <f>정규화데이터!I852</f>
        <v>80920</v>
      </c>
      <c r="J852" s="3">
        <f>정규화데이터!J852</f>
        <v>102772.72727272726</v>
      </c>
      <c r="K852" s="25">
        <f>정규화데이터!K852</f>
        <v>61496</v>
      </c>
      <c r="L852" s="25">
        <f>정규화데이터!L852</f>
        <v>61496</v>
      </c>
      <c r="M852" s="21">
        <f t="shared" si="26"/>
        <v>41276.727272727265</v>
      </c>
      <c r="N852" s="52">
        <f t="shared" si="27"/>
        <v>0.40163113666519235</v>
      </c>
    </row>
    <row r="853" spans="1:14" x14ac:dyDescent="0.3">
      <c r="A853" t="str">
        <f>정규화데이터!A853</f>
        <v>SK스토아</v>
      </c>
      <c r="B853">
        <f>정규화데이터!B853</f>
        <v>20260210361304</v>
      </c>
      <c r="C853" t="str">
        <f>정규화데이터!C853</f>
        <v>[워커힐]워커힐 고메 시그니처 양념 본갈비 8팩</v>
      </c>
      <c r="D853">
        <f>정규화데이터!D853</f>
        <v>58481090</v>
      </c>
      <c r="E853" s="16" t="str">
        <f>정규화데이터!E853</f>
        <v>SKU001</v>
      </c>
      <c r="F853" s="3">
        <f>정규화데이터!F853</f>
        <v>1</v>
      </c>
      <c r="G853" s="3">
        <f>정규화데이터!G853</f>
        <v>119000</v>
      </c>
      <c r="H853" s="3">
        <f>정규화데이터!H853</f>
        <v>119000</v>
      </c>
      <c r="I853" s="3">
        <f>정규화데이터!I853</f>
        <v>80920</v>
      </c>
      <c r="J853" s="3">
        <f>정규화데이터!J853</f>
        <v>108181.81818181818</v>
      </c>
      <c r="K853" s="25">
        <f>정규화데이터!K853</f>
        <v>61496</v>
      </c>
      <c r="L853" s="25">
        <f>정규화데이터!L853</f>
        <v>61496</v>
      </c>
      <c r="M853" s="21">
        <f t="shared" si="26"/>
        <v>46685.818181818177</v>
      </c>
      <c r="N853" s="52">
        <f t="shared" si="27"/>
        <v>0.43154957983193276</v>
      </c>
    </row>
    <row r="854" spans="1:14" x14ac:dyDescent="0.3">
      <c r="A854" t="str">
        <f>정규화데이터!A854</f>
        <v>SK스토아</v>
      </c>
      <c r="B854">
        <f>정규화데이터!B854</f>
        <v>20260210361296</v>
      </c>
      <c r="C854" t="str">
        <f>정규화데이터!C854</f>
        <v>[워커힐]워커힐 고메 시그니처 양념 본갈비 8팩</v>
      </c>
      <c r="D854">
        <f>정규화데이터!D854</f>
        <v>58481090</v>
      </c>
      <c r="E854" s="16" t="str">
        <f>정규화데이터!E854</f>
        <v>SKU001</v>
      </c>
      <c r="F854" s="3">
        <f>정규화데이터!F854</f>
        <v>1</v>
      </c>
      <c r="G854" s="3">
        <f>정규화데이터!G854</f>
        <v>119000</v>
      </c>
      <c r="H854" s="3">
        <f>정규화데이터!H854</f>
        <v>109000</v>
      </c>
      <c r="I854" s="3">
        <f>정규화데이터!I854</f>
        <v>80920</v>
      </c>
      <c r="J854" s="3">
        <f>정규화데이터!J854</f>
        <v>99090.909090909074</v>
      </c>
      <c r="K854" s="25">
        <f>정규화데이터!K854</f>
        <v>61496</v>
      </c>
      <c r="L854" s="25">
        <f>정규화데이터!L854</f>
        <v>61496</v>
      </c>
      <c r="M854" s="21">
        <f t="shared" si="26"/>
        <v>37594.909090909074</v>
      </c>
      <c r="N854" s="52">
        <f t="shared" si="27"/>
        <v>0.3793981651376146</v>
      </c>
    </row>
    <row r="855" spans="1:14" x14ac:dyDescent="0.3">
      <c r="A855" t="str">
        <f>정규화데이터!A855</f>
        <v>SK스토아</v>
      </c>
      <c r="B855">
        <f>정규화데이터!B855</f>
        <v>20260210361578</v>
      </c>
      <c r="C855" t="str">
        <f>정규화데이터!C855</f>
        <v>[워커힐]워커힐 고메 시그니처 양념 본갈비 8팩</v>
      </c>
      <c r="D855">
        <f>정규화데이터!D855</f>
        <v>58481090</v>
      </c>
      <c r="E855" s="16" t="str">
        <f>정규화데이터!E855</f>
        <v>SKU001</v>
      </c>
      <c r="F855" s="3">
        <f>정규화데이터!F855</f>
        <v>1</v>
      </c>
      <c r="G855" s="3">
        <f>정규화데이터!G855</f>
        <v>119000</v>
      </c>
      <c r="H855" s="3">
        <f>정규화데이터!H855</f>
        <v>119000</v>
      </c>
      <c r="I855" s="3">
        <f>정규화데이터!I855</f>
        <v>80920</v>
      </c>
      <c r="J855" s="3">
        <f>정규화데이터!J855</f>
        <v>108181.81818181818</v>
      </c>
      <c r="K855" s="25">
        <f>정규화데이터!K855</f>
        <v>61496</v>
      </c>
      <c r="L855" s="25">
        <f>정규화데이터!L855</f>
        <v>61496</v>
      </c>
      <c r="M855" s="21">
        <f t="shared" si="26"/>
        <v>46685.818181818177</v>
      </c>
      <c r="N855" s="52">
        <f t="shared" si="27"/>
        <v>0.43154957983193276</v>
      </c>
    </row>
    <row r="856" spans="1:14" x14ac:dyDescent="0.3">
      <c r="A856" t="str">
        <f>정규화데이터!A856</f>
        <v>SK스토아</v>
      </c>
      <c r="B856">
        <f>정규화데이터!B856</f>
        <v>20260210360604</v>
      </c>
      <c r="C856" t="str">
        <f>정규화데이터!C856</f>
        <v>[워커힐]워커힐 고메 시그니처 양념 본갈비 8팩</v>
      </c>
      <c r="D856">
        <f>정규화데이터!D856</f>
        <v>58481090</v>
      </c>
      <c r="E856" s="16" t="str">
        <f>정규화데이터!E856</f>
        <v>SKU001</v>
      </c>
      <c r="F856" s="3">
        <f>정규화데이터!F856</f>
        <v>1</v>
      </c>
      <c r="G856" s="3">
        <f>정규화데이터!G856</f>
        <v>119000</v>
      </c>
      <c r="H856" s="3">
        <f>정규화데이터!H856</f>
        <v>119000</v>
      </c>
      <c r="I856" s="3">
        <f>정규화데이터!I856</f>
        <v>80920</v>
      </c>
      <c r="J856" s="3">
        <f>정규화데이터!J856</f>
        <v>108181.81818181818</v>
      </c>
      <c r="K856" s="25">
        <f>정규화데이터!K856</f>
        <v>61496</v>
      </c>
      <c r="L856" s="25">
        <f>정규화데이터!L856</f>
        <v>61496</v>
      </c>
      <c r="M856" s="21">
        <f t="shared" si="26"/>
        <v>46685.818181818177</v>
      </c>
      <c r="N856" s="52">
        <f t="shared" si="27"/>
        <v>0.43154957983193276</v>
      </c>
    </row>
    <row r="857" spans="1:14" x14ac:dyDescent="0.3">
      <c r="A857" t="str">
        <f>정규화데이터!A857</f>
        <v>SK스토아</v>
      </c>
      <c r="B857">
        <f>정규화데이터!B857</f>
        <v>20260210361837</v>
      </c>
      <c r="C857" t="str">
        <f>정규화데이터!C857</f>
        <v>[워커힐]워커힐 고메 시그니처 양념 본갈비 8팩</v>
      </c>
      <c r="D857">
        <f>정규화데이터!D857</f>
        <v>58481090</v>
      </c>
      <c r="E857" s="16" t="str">
        <f>정규화데이터!E857</f>
        <v>SKU001</v>
      </c>
      <c r="F857" s="3">
        <f>정규화데이터!F857</f>
        <v>1</v>
      </c>
      <c r="G857" s="3">
        <f>정규화데이터!G857</f>
        <v>119000</v>
      </c>
      <c r="H857" s="3">
        <f>정규화데이터!H857</f>
        <v>113050</v>
      </c>
      <c r="I857" s="3">
        <f>정규화데이터!I857</f>
        <v>80920</v>
      </c>
      <c r="J857" s="3">
        <f>정규화데이터!J857</f>
        <v>102772.72727272726</v>
      </c>
      <c r="K857" s="25">
        <f>정규화데이터!K857</f>
        <v>61496</v>
      </c>
      <c r="L857" s="25">
        <f>정규화데이터!L857</f>
        <v>61496</v>
      </c>
      <c r="M857" s="21">
        <f t="shared" si="26"/>
        <v>41276.727272727265</v>
      </c>
      <c r="N857" s="52">
        <f t="shared" si="27"/>
        <v>0.40163113666519235</v>
      </c>
    </row>
    <row r="858" spans="1:14" x14ac:dyDescent="0.3">
      <c r="A858" t="str">
        <f>정규화데이터!A858</f>
        <v>SK스토아</v>
      </c>
      <c r="B858">
        <f>정규화데이터!B858</f>
        <v>20260210361837</v>
      </c>
      <c r="C858" t="str">
        <f>정규화데이터!C858</f>
        <v>[워커힐]워커힐 고메 시그니처 양념 본갈비 8팩</v>
      </c>
      <c r="D858">
        <f>정규화데이터!D858</f>
        <v>58481090</v>
      </c>
      <c r="E858" s="16" t="str">
        <f>정규화데이터!E858</f>
        <v>SKU001</v>
      </c>
      <c r="F858" s="3">
        <f>정규화데이터!F858</f>
        <v>1</v>
      </c>
      <c r="G858" s="3">
        <f>정규화데이터!G858</f>
        <v>119000</v>
      </c>
      <c r="H858" s="3">
        <f>정규화데이터!H858</f>
        <v>113050</v>
      </c>
      <c r="I858" s="3">
        <f>정규화데이터!I858</f>
        <v>80920</v>
      </c>
      <c r="J858" s="3">
        <f>정규화데이터!J858</f>
        <v>102772.72727272726</v>
      </c>
      <c r="K858" s="25">
        <f>정규화데이터!K858</f>
        <v>61496</v>
      </c>
      <c r="L858" s="25">
        <f>정규화데이터!L858</f>
        <v>61496</v>
      </c>
      <c r="M858" s="21">
        <f t="shared" si="26"/>
        <v>41276.727272727265</v>
      </c>
      <c r="N858" s="52">
        <f t="shared" si="27"/>
        <v>0.40163113666519235</v>
      </c>
    </row>
    <row r="859" spans="1:14" x14ac:dyDescent="0.3">
      <c r="A859" t="str">
        <f>정규화데이터!A859</f>
        <v>SK스토아</v>
      </c>
      <c r="B859">
        <f>정규화데이터!B859</f>
        <v>20260210360558</v>
      </c>
      <c r="C859" t="str">
        <f>정규화데이터!C859</f>
        <v>[워커힐]워커힐 고메 시그니처 양념 본갈비 8팩</v>
      </c>
      <c r="D859">
        <f>정규화데이터!D859</f>
        <v>58481090</v>
      </c>
      <c r="E859" s="16" t="str">
        <f>정규화데이터!E859</f>
        <v>SKU001</v>
      </c>
      <c r="F859" s="3">
        <f>정규화데이터!F859</f>
        <v>1</v>
      </c>
      <c r="G859" s="3">
        <f>정규화데이터!G859</f>
        <v>119000</v>
      </c>
      <c r="H859" s="3">
        <f>정규화데이터!H859</f>
        <v>119000</v>
      </c>
      <c r="I859" s="3">
        <f>정규화데이터!I859</f>
        <v>80920</v>
      </c>
      <c r="J859" s="3">
        <f>정규화데이터!J859</f>
        <v>108181.81818181818</v>
      </c>
      <c r="K859" s="25">
        <f>정규화데이터!K859</f>
        <v>61496</v>
      </c>
      <c r="L859" s="25">
        <f>정규화데이터!L859</f>
        <v>61496</v>
      </c>
      <c r="M859" s="21">
        <f t="shared" si="26"/>
        <v>46685.818181818177</v>
      </c>
      <c r="N859" s="52">
        <f t="shared" si="27"/>
        <v>0.43154957983193276</v>
      </c>
    </row>
    <row r="860" spans="1:14" x14ac:dyDescent="0.3">
      <c r="A860" t="str">
        <f>정규화데이터!A860</f>
        <v>SK스토아</v>
      </c>
      <c r="B860">
        <f>정규화데이터!B860</f>
        <v>20260210360940</v>
      </c>
      <c r="C860" t="str">
        <f>정규화데이터!C860</f>
        <v>[워커힐]워커힐 고메 시그니처 양념 본갈비 8팩</v>
      </c>
      <c r="D860">
        <f>정규화데이터!D860</f>
        <v>58481090</v>
      </c>
      <c r="E860" s="16" t="str">
        <f>정규화데이터!E860</f>
        <v>SKU001</v>
      </c>
      <c r="F860" s="3">
        <f>정규화데이터!F860</f>
        <v>1</v>
      </c>
      <c r="G860" s="3">
        <f>정규화데이터!G860</f>
        <v>119000</v>
      </c>
      <c r="H860" s="3">
        <f>정규화데이터!H860</f>
        <v>119000</v>
      </c>
      <c r="I860" s="3">
        <f>정규화데이터!I860</f>
        <v>80920</v>
      </c>
      <c r="J860" s="3">
        <f>정규화데이터!J860</f>
        <v>108181.81818181818</v>
      </c>
      <c r="K860" s="25">
        <f>정규화데이터!K860</f>
        <v>61496</v>
      </c>
      <c r="L860" s="25">
        <f>정규화데이터!L860</f>
        <v>61496</v>
      </c>
      <c r="M860" s="21">
        <f t="shared" si="26"/>
        <v>46685.818181818177</v>
      </c>
      <c r="N860" s="52">
        <f t="shared" si="27"/>
        <v>0.43154957983193276</v>
      </c>
    </row>
    <row r="861" spans="1:14" x14ac:dyDescent="0.3">
      <c r="A861" t="str">
        <f>정규화데이터!A861</f>
        <v>SK스토아</v>
      </c>
      <c r="B861">
        <f>정규화데이터!B861</f>
        <v>20260210360934</v>
      </c>
      <c r="C861" t="str">
        <f>정규화데이터!C861</f>
        <v>[워커힐]워커힐 고메 시그니처 양념 본갈비 8팩</v>
      </c>
      <c r="D861">
        <f>정규화데이터!D861</f>
        <v>58481090</v>
      </c>
      <c r="E861" s="16" t="str">
        <f>정규화데이터!E861</f>
        <v>SKU001</v>
      </c>
      <c r="F861" s="3">
        <f>정규화데이터!F861</f>
        <v>1</v>
      </c>
      <c r="G861" s="3">
        <f>정규화데이터!G861</f>
        <v>119000</v>
      </c>
      <c r="H861" s="3">
        <f>정규화데이터!H861</f>
        <v>119000</v>
      </c>
      <c r="I861" s="3">
        <f>정규화데이터!I861</f>
        <v>80920</v>
      </c>
      <c r="J861" s="3">
        <f>정규화데이터!J861</f>
        <v>108181.81818181818</v>
      </c>
      <c r="K861" s="25">
        <f>정규화데이터!K861</f>
        <v>61496</v>
      </c>
      <c r="L861" s="25">
        <f>정규화데이터!L861</f>
        <v>61496</v>
      </c>
      <c r="M861" s="21">
        <f t="shared" si="26"/>
        <v>46685.818181818177</v>
      </c>
      <c r="N861" s="52">
        <f t="shared" si="27"/>
        <v>0.43154957983193276</v>
      </c>
    </row>
    <row r="862" spans="1:14" x14ac:dyDescent="0.3">
      <c r="A862" t="str">
        <f>정규화데이터!A862</f>
        <v>SK스토아</v>
      </c>
      <c r="B862">
        <f>정규화데이터!B862</f>
        <v>20260210360612</v>
      </c>
      <c r="C862" t="str">
        <f>정규화데이터!C862</f>
        <v>[워커힐]워커힐 고메 시그니처 양념 본갈비 8팩</v>
      </c>
      <c r="D862">
        <f>정규화데이터!D862</f>
        <v>58481090</v>
      </c>
      <c r="E862" s="16" t="str">
        <f>정규화데이터!E862</f>
        <v>SKU001</v>
      </c>
      <c r="F862" s="3">
        <f>정규화데이터!F862</f>
        <v>1</v>
      </c>
      <c r="G862" s="3">
        <f>정규화데이터!G862</f>
        <v>119000</v>
      </c>
      <c r="H862" s="3">
        <f>정규화데이터!H862</f>
        <v>113050</v>
      </c>
      <c r="I862" s="3">
        <f>정규화데이터!I862</f>
        <v>80920</v>
      </c>
      <c r="J862" s="3">
        <f>정규화데이터!J862</f>
        <v>102772.72727272726</v>
      </c>
      <c r="K862" s="25">
        <f>정규화데이터!K862</f>
        <v>61496</v>
      </c>
      <c r="L862" s="25">
        <f>정규화데이터!L862</f>
        <v>61496</v>
      </c>
      <c r="M862" s="21">
        <f t="shared" si="26"/>
        <v>41276.727272727265</v>
      </c>
      <c r="N862" s="52">
        <f t="shared" si="27"/>
        <v>0.40163113666519235</v>
      </c>
    </row>
    <row r="863" spans="1:14" x14ac:dyDescent="0.3">
      <c r="A863" t="str">
        <f>정규화데이터!A863</f>
        <v>SK스토아</v>
      </c>
      <c r="B863">
        <f>정규화데이터!B863</f>
        <v>20260210361645</v>
      </c>
      <c r="C863" t="str">
        <f>정규화데이터!C863</f>
        <v>[워커힐]워커힐 고메 시그니처 양념 본갈비 8팩</v>
      </c>
      <c r="D863">
        <f>정규화데이터!D863</f>
        <v>58481090</v>
      </c>
      <c r="E863" s="16" t="str">
        <f>정규화데이터!E863</f>
        <v>SKU001</v>
      </c>
      <c r="F863" s="3">
        <f>정규화데이터!F863</f>
        <v>1</v>
      </c>
      <c r="G863" s="3">
        <f>정규화데이터!G863</f>
        <v>119000</v>
      </c>
      <c r="H863" s="3">
        <f>정규화데이터!H863</f>
        <v>119000</v>
      </c>
      <c r="I863" s="3">
        <f>정규화데이터!I863</f>
        <v>80920</v>
      </c>
      <c r="J863" s="3">
        <f>정규화데이터!J863</f>
        <v>108181.81818181818</v>
      </c>
      <c r="K863" s="25">
        <f>정규화데이터!K863</f>
        <v>61496</v>
      </c>
      <c r="L863" s="25">
        <f>정규화데이터!L863</f>
        <v>61496</v>
      </c>
      <c r="M863" s="21">
        <f t="shared" si="26"/>
        <v>46685.818181818177</v>
      </c>
      <c r="N863" s="52">
        <f t="shared" si="27"/>
        <v>0.43154957983193276</v>
      </c>
    </row>
    <row r="864" spans="1:14" x14ac:dyDescent="0.3">
      <c r="A864" t="str">
        <f>정규화데이터!A864</f>
        <v>SK스토아</v>
      </c>
      <c r="B864">
        <f>정규화데이터!B864</f>
        <v>20260210362008</v>
      </c>
      <c r="C864" t="str">
        <f>정규화데이터!C864</f>
        <v>[워커힐]워커힐 고메 시그니처 양념 본갈비 8팩</v>
      </c>
      <c r="D864">
        <f>정규화데이터!D864</f>
        <v>58481090</v>
      </c>
      <c r="E864" s="16" t="str">
        <f>정규화데이터!E864</f>
        <v>SKU001</v>
      </c>
      <c r="F864" s="3">
        <f>정규화데이터!F864</f>
        <v>1</v>
      </c>
      <c r="G864" s="3">
        <f>정규화데이터!G864</f>
        <v>119000</v>
      </c>
      <c r="H864" s="3">
        <f>정규화데이터!H864</f>
        <v>119000</v>
      </c>
      <c r="I864" s="3">
        <f>정규화데이터!I864</f>
        <v>80920</v>
      </c>
      <c r="J864" s="3">
        <f>정규화데이터!J864</f>
        <v>108181.81818181818</v>
      </c>
      <c r="K864" s="25">
        <f>정규화데이터!K864</f>
        <v>61496</v>
      </c>
      <c r="L864" s="25">
        <f>정규화데이터!L864</f>
        <v>61496</v>
      </c>
      <c r="M864" s="21">
        <f t="shared" si="26"/>
        <v>46685.818181818177</v>
      </c>
      <c r="N864" s="52">
        <f t="shared" si="27"/>
        <v>0.43154957983193276</v>
      </c>
    </row>
    <row r="865" spans="1:14" x14ac:dyDescent="0.3">
      <c r="A865" t="str">
        <f>정규화데이터!A865</f>
        <v>SK스토아</v>
      </c>
      <c r="B865">
        <f>정규화데이터!B865</f>
        <v>20260210360697</v>
      </c>
      <c r="C865" t="str">
        <f>정규화데이터!C865</f>
        <v>[워커힐]워커힐 고메 시그니처 양념 본갈비 8팩</v>
      </c>
      <c r="D865">
        <f>정규화데이터!D865</f>
        <v>58481090</v>
      </c>
      <c r="E865" s="16" t="str">
        <f>정규화데이터!E865</f>
        <v>SKU001</v>
      </c>
      <c r="F865" s="3">
        <f>정규화데이터!F865</f>
        <v>1</v>
      </c>
      <c r="G865" s="3">
        <f>정규화데이터!G865</f>
        <v>119000</v>
      </c>
      <c r="H865" s="3">
        <f>정규화데이터!H865</f>
        <v>101150</v>
      </c>
      <c r="I865" s="3">
        <f>정규화데이터!I865</f>
        <v>80920</v>
      </c>
      <c r="J865" s="3">
        <f>정규화데이터!J865</f>
        <v>91954.545454545441</v>
      </c>
      <c r="K865" s="25">
        <f>정규화데이터!K865</f>
        <v>61496</v>
      </c>
      <c r="L865" s="25">
        <f>정규화데이터!L865</f>
        <v>61496</v>
      </c>
      <c r="M865" s="21">
        <f t="shared" si="26"/>
        <v>30458.545454545441</v>
      </c>
      <c r="N865" s="52">
        <f t="shared" si="27"/>
        <v>0.33123479980227377</v>
      </c>
    </row>
    <row r="866" spans="1:14" x14ac:dyDescent="0.3">
      <c r="A866" t="str">
        <f>정규화데이터!A866</f>
        <v>SK스토아</v>
      </c>
      <c r="B866">
        <f>정규화데이터!B866</f>
        <v>20260210362079</v>
      </c>
      <c r="C866" t="str">
        <f>정규화데이터!C866</f>
        <v>[워커힐]워커힐 고메 시그니처 양념 본갈비 8팩</v>
      </c>
      <c r="D866">
        <f>정규화데이터!D866</f>
        <v>58481090</v>
      </c>
      <c r="E866" s="16" t="str">
        <f>정규화데이터!E866</f>
        <v>SKU001</v>
      </c>
      <c r="F866" s="3">
        <f>정규화데이터!F866</f>
        <v>1</v>
      </c>
      <c r="G866" s="3">
        <f>정규화데이터!G866</f>
        <v>119000</v>
      </c>
      <c r="H866" s="3">
        <f>정규화데이터!H866</f>
        <v>119000</v>
      </c>
      <c r="I866" s="3">
        <f>정규화데이터!I866</f>
        <v>80920</v>
      </c>
      <c r="J866" s="3">
        <f>정규화데이터!J866</f>
        <v>108181.81818181818</v>
      </c>
      <c r="K866" s="25">
        <f>정규화데이터!K866</f>
        <v>61496</v>
      </c>
      <c r="L866" s="25">
        <f>정규화데이터!L866</f>
        <v>61496</v>
      </c>
      <c r="M866" s="21">
        <f t="shared" si="26"/>
        <v>46685.818181818177</v>
      </c>
      <c r="N866" s="52">
        <f t="shared" si="27"/>
        <v>0.43154957983193276</v>
      </c>
    </row>
    <row r="867" spans="1:14" x14ac:dyDescent="0.3">
      <c r="A867" t="str">
        <f>정규화데이터!A867</f>
        <v>SK스토아</v>
      </c>
      <c r="B867">
        <f>정규화데이터!B867</f>
        <v>20260210361307</v>
      </c>
      <c r="C867" t="str">
        <f>정규화데이터!C867</f>
        <v>[워커힐]워커힐 고메 시그니처 양념 본갈비 8팩</v>
      </c>
      <c r="D867">
        <f>정규화데이터!D867</f>
        <v>58481090</v>
      </c>
      <c r="E867" s="16" t="str">
        <f>정규화데이터!E867</f>
        <v>SKU001</v>
      </c>
      <c r="F867" s="3">
        <f>정규화데이터!F867</f>
        <v>1</v>
      </c>
      <c r="G867" s="3">
        <f>정규화데이터!G867</f>
        <v>119000</v>
      </c>
      <c r="H867" s="3">
        <f>정규화데이터!H867</f>
        <v>119000</v>
      </c>
      <c r="I867" s="3">
        <f>정규화데이터!I867</f>
        <v>80920</v>
      </c>
      <c r="J867" s="3">
        <f>정규화데이터!J867</f>
        <v>108181.81818181818</v>
      </c>
      <c r="K867" s="25">
        <f>정규화데이터!K867</f>
        <v>61496</v>
      </c>
      <c r="L867" s="25">
        <f>정규화데이터!L867</f>
        <v>61496</v>
      </c>
      <c r="M867" s="21">
        <f t="shared" si="26"/>
        <v>46685.818181818177</v>
      </c>
      <c r="N867" s="52">
        <f t="shared" si="27"/>
        <v>0.43154957983193276</v>
      </c>
    </row>
    <row r="868" spans="1:14" x14ac:dyDescent="0.3">
      <c r="A868" t="str">
        <f>정규화데이터!A868</f>
        <v>SK스토아</v>
      </c>
      <c r="B868">
        <f>정규화데이터!B868</f>
        <v>20260210360709</v>
      </c>
      <c r="C868" t="str">
        <f>정규화데이터!C868</f>
        <v>[워커힐]워커힐 고메 시그니처 양념 본갈비 8팩</v>
      </c>
      <c r="D868">
        <f>정규화데이터!D868</f>
        <v>58481090</v>
      </c>
      <c r="E868" s="16" t="str">
        <f>정규화데이터!E868</f>
        <v>SKU001</v>
      </c>
      <c r="F868" s="3">
        <f>정규화데이터!F868</f>
        <v>1</v>
      </c>
      <c r="G868" s="3">
        <f>정규화데이터!G868</f>
        <v>119000</v>
      </c>
      <c r="H868" s="3">
        <f>정규화데이터!H868</f>
        <v>119000</v>
      </c>
      <c r="I868" s="3">
        <f>정규화데이터!I868</f>
        <v>80920</v>
      </c>
      <c r="J868" s="3">
        <f>정규화데이터!J868</f>
        <v>108181.81818181818</v>
      </c>
      <c r="K868" s="25">
        <f>정규화데이터!K868</f>
        <v>61496</v>
      </c>
      <c r="L868" s="25">
        <f>정규화데이터!L868</f>
        <v>61496</v>
      </c>
      <c r="M868" s="21">
        <f t="shared" si="26"/>
        <v>46685.818181818177</v>
      </c>
      <c r="N868" s="52">
        <f t="shared" si="27"/>
        <v>0.43154957983193276</v>
      </c>
    </row>
    <row r="869" spans="1:14" x14ac:dyDescent="0.3">
      <c r="A869" t="str">
        <f>정규화데이터!A869</f>
        <v>SK스토아</v>
      </c>
      <c r="B869">
        <f>정규화데이터!B869</f>
        <v>20260210361913</v>
      </c>
      <c r="C869" t="str">
        <f>정규화데이터!C869</f>
        <v>[워커힐]워커힐 고메 시그니처 양념 본갈비 8팩</v>
      </c>
      <c r="D869">
        <f>정규화데이터!D869</f>
        <v>58481090</v>
      </c>
      <c r="E869" s="16" t="str">
        <f>정규화데이터!E869</f>
        <v>SKU001</v>
      </c>
      <c r="F869" s="3">
        <f>정규화데이터!F869</f>
        <v>1</v>
      </c>
      <c r="G869" s="3">
        <f>정규화데이터!G869</f>
        <v>119000</v>
      </c>
      <c r="H869" s="3">
        <f>정규화데이터!H869</f>
        <v>119000</v>
      </c>
      <c r="I869" s="3">
        <f>정규화데이터!I869</f>
        <v>80920</v>
      </c>
      <c r="J869" s="3">
        <f>정규화데이터!J869</f>
        <v>108181.81818181818</v>
      </c>
      <c r="K869" s="25">
        <f>정규화데이터!K869</f>
        <v>61496</v>
      </c>
      <c r="L869" s="25">
        <f>정규화데이터!L869</f>
        <v>61496</v>
      </c>
      <c r="M869" s="21">
        <f t="shared" si="26"/>
        <v>46685.818181818177</v>
      </c>
      <c r="N869" s="52">
        <f t="shared" si="27"/>
        <v>0.43154957983193276</v>
      </c>
    </row>
    <row r="870" spans="1:14" x14ac:dyDescent="0.3">
      <c r="A870" t="str">
        <f>정규화데이터!A870</f>
        <v>SK스토아</v>
      </c>
      <c r="B870">
        <f>정규화데이터!B870</f>
        <v>20260210360756</v>
      </c>
      <c r="C870" t="str">
        <f>정규화데이터!C870</f>
        <v>[워커힐]워커힐 고메 시그니처 양념 본갈비 8팩</v>
      </c>
      <c r="D870">
        <f>정규화데이터!D870</f>
        <v>58481090</v>
      </c>
      <c r="E870" s="16" t="str">
        <f>정규화데이터!E870</f>
        <v>SKU001</v>
      </c>
      <c r="F870" s="3">
        <f>정규화데이터!F870</f>
        <v>1</v>
      </c>
      <c r="G870" s="3">
        <f>정규화데이터!G870</f>
        <v>119000</v>
      </c>
      <c r="H870" s="3">
        <f>정규화데이터!H870</f>
        <v>119000</v>
      </c>
      <c r="I870" s="3">
        <f>정규화데이터!I870</f>
        <v>80920</v>
      </c>
      <c r="J870" s="3">
        <f>정규화데이터!J870</f>
        <v>108181.81818181818</v>
      </c>
      <c r="K870" s="25">
        <f>정규화데이터!K870</f>
        <v>61496</v>
      </c>
      <c r="L870" s="25">
        <f>정규화데이터!L870</f>
        <v>61496</v>
      </c>
      <c r="M870" s="21">
        <f t="shared" si="26"/>
        <v>46685.818181818177</v>
      </c>
      <c r="N870" s="52">
        <f t="shared" si="27"/>
        <v>0.43154957983193276</v>
      </c>
    </row>
    <row r="871" spans="1:14" x14ac:dyDescent="0.3">
      <c r="A871" t="str">
        <f>정규화데이터!A871</f>
        <v>SK스토아</v>
      </c>
      <c r="B871">
        <f>정규화데이터!B871</f>
        <v>20260210361263</v>
      </c>
      <c r="C871" t="str">
        <f>정규화데이터!C871</f>
        <v>[워커힐]워커힐 고메 시그니처 양념 본갈비 8팩</v>
      </c>
      <c r="D871">
        <f>정규화데이터!D871</f>
        <v>58481090</v>
      </c>
      <c r="E871" s="16" t="str">
        <f>정규화데이터!E871</f>
        <v>SKU001</v>
      </c>
      <c r="F871" s="3">
        <f>정규화데이터!F871</f>
        <v>1</v>
      </c>
      <c r="G871" s="3">
        <f>정규화데이터!G871</f>
        <v>119000</v>
      </c>
      <c r="H871" s="3">
        <f>정규화데이터!H871</f>
        <v>119000</v>
      </c>
      <c r="I871" s="3">
        <f>정규화데이터!I871</f>
        <v>80920</v>
      </c>
      <c r="J871" s="3">
        <f>정규화데이터!J871</f>
        <v>108181.81818181818</v>
      </c>
      <c r="K871" s="25">
        <f>정규화데이터!K871</f>
        <v>61496</v>
      </c>
      <c r="L871" s="25">
        <f>정규화데이터!L871</f>
        <v>61496</v>
      </c>
      <c r="M871" s="21">
        <f t="shared" si="26"/>
        <v>46685.818181818177</v>
      </c>
      <c r="N871" s="52">
        <f t="shared" si="27"/>
        <v>0.43154957983193276</v>
      </c>
    </row>
    <row r="872" spans="1:14" x14ac:dyDescent="0.3">
      <c r="A872" t="str">
        <f>정규화데이터!A872</f>
        <v>SK스토아</v>
      </c>
      <c r="B872">
        <f>정규화데이터!B872</f>
        <v>20260210361539</v>
      </c>
      <c r="C872" t="str">
        <f>정규화데이터!C872</f>
        <v>[워커힐]워커힐 고메 시그니처 양념 본갈비 8팩</v>
      </c>
      <c r="D872">
        <f>정규화데이터!D872</f>
        <v>58481090</v>
      </c>
      <c r="E872" s="16" t="str">
        <f>정규화데이터!E872</f>
        <v>SKU001</v>
      </c>
      <c r="F872" s="3">
        <f>정규화데이터!F872</f>
        <v>1</v>
      </c>
      <c r="G872" s="3">
        <f>정규화데이터!G872</f>
        <v>119000</v>
      </c>
      <c r="H872" s="3">
        <f>정규화데이터!H872</f>
        <v>119000</v>
      </c>
      <c r="I872" s="3">
        <f>정규화데이터!I872</f>
        <v>80920</v>
      </c>
      <c r="J872" s="3">
        <f>정규화데이터!J872</f>
        <v>108181.81818181818</v>
      </c>
      <c r="K872" s="25">
        <f>정규화데이터!K872</f>
        <v>61496</v>
      </c>
      <c r="L872" s="25">
        <f>정규화데이터!L872</f>
        <v>61496</v>
      </c>
      <c r="M872" s="21">
        <f t="shared" si="26"/>
        <v>46685.818181818177</v>
      </c>
      <c r="N872" s="52">
        <f t="shared" si="27"/>
        <v>0.43154957983193276</v>
      </c>
    </row>
    <row r="873" spans="1:14" x14ac:dyDescent="0.3">
      <c r="A873" t="str">
        <f>정규화데이터!A873</f>
        <v>SK스토아</v>
      </c>
      <c r="B873">
        <f>정규화데이터!B873</f>
        <v>20260210361940</v>
      </c>
      <c r="C873" t="str">
        <f>정규화데이터!C873</f>
        <v>[워커힐]워커힐 고메 시그니처 양념 본갈비 8팩</v>
      </c>
      <c r="D873">
        <f>정규화데이터!D873</f>
        <v>58481090</v>
      </c>
      <c r="E873" s="16" t="str">
        <f>정규화데이터!E873</f>
        <v>SKU001</v>
      </c>
      <c r="F873" s="3">
        <f>정규화데이터!F873</f>
        <v>1</v>
      </c>
      <c r="G873" s="3">
        <f>정규화데이터!G873</f>
        <v>119000</v>
      </c>
      <c r="H873" s="3">
        <f>정규화데이터!H873</f>
        <v>119000</v>
      </c>
      <c r="I873" s="3">
        <f>정규화데이터!I873</f>
        <v>80920</v>
      </c>
      <c r="J873" s="3">
        <f>정규화데이터!J873</f>
        <v>108181.81818181818</v>
      </c>
      <c r="K873" s="25">
        <f>정규화데이터!K873</f>
        <v>61496</v>
      </c>
      <c r="L873" s="25">
        <f>정규화데이터!L873</f>
        <v>61496</v>
      </c>
      <c r="M873" s="21">
        <f t="shared" si="26"/>
        <v>46685.818181818177</v>
      </c>
      <c r="N873" s="52">
        <f t="shared" si="27"/>
        <v>0.43154957983193276</v>
      </c>
    </row>
    <row r="874" spans="1:14" x14ac:dyDescent="0.3">
      <c r="A874" t="str">
        <f>정규화데이터!A874</f>
        <v>SK스토아</v>
      </c>
      <c r="B874">
        <f>정규화데이터!B874</f>
        <v>20260210362078</v>
      </c>
      <c r="C874" t="str">
        <f>정규화데이터!C874</f>
        <v>[워커힐]워커힐 고메 시그니처 양념 본갈비 8팩</v>
      </c>
      <c r="D874">
        <f>정규화데이터!D874</f>
        <v>58481090</v>
      </c>
      <c r="E874" s="16" t="str">
        <f>정규화데이터!E874</f>
        <v>SKU001</v>
      </c>
      <c r="F874" s="3">
        <f>정규화데이터!F874</f>
        <v>1</v>
      </c>
      <c r="G874" s="3">
        <f>정규화데이터!G874</f>
        <v>119000</v>
      </c>
      <c r="H874" s="3">
        <f>정규화데이터!H874</f>
        <v>119000</v>
      </c>
      <c r="I874" s="3">
        <f>정규화데이터!I874</f>
        <v>80920</v>
      </c>
      <c r="J874" s="3">
        <f>정규화데이터!J874</f>
        <v>108181.81818181818</v>
      </c>
      <c r="K874" s="25">
        <f>정규화데이터!K874</f>
        <v>61496</v>
      </c>
      <c r="L874" s="25">
        <f>정규화데이터!L874</f>
        <v>61496</v>
      </c>
      <c r="M874" s="21">
        <f t="shared" si="26"/>
        <v>46685.818181818177</v>
      </c>
      <c r="N874" s="52">
        <f t="shared" si="27"/>
        <v>0.43154957983193276</v>
      </c>
    </row>
    <row r="875" spans="1:14" x14ac:dyDescent="0.3">
      <c r="A875" t="str">
        <f>정규화데이터!A875</f>
        <v>SK스토아</v>
      </c>
      <c r="B875">
        <f>정규화데이터!B875</f>
        <v>20260210361721</v>
      </c>
      <c r="C875" t="str">
        <f>정규화데이터!C875</f>
        <v>[워커힐]워커힐 고메 시그니처 양념 본갈비 8팩</v>
      </c>
      <c r="D875">
        <f>정규화데이터!D875</f>
        <v>58481090</v>
      </c>
      <c r="E875" s="16" t="str">
        <f>정규화데이터!E875</f>
        <v>SKU001</v>
      </c>
      <c r="F875" s="3">
        <f>정규화데이터!F875</f>
        <v>1</v>
      </c>
      <c r="G875" s="3">
        <f>정규화데이터!G875</f>
        <v>119000</v>
      </c>
      <c r="H875" s="3">
        <f>정규화데이터!H875</f>
        <v>119000</v>
      </c>
      <c r="I875" s="3">
        <f>정규화데이터!I875</f>
        <v>80920</v>
      </c>
      <c r="J875" s="3">
        <f>정규화데이터!J875</f>
        <v>108181.81818181818</v>
      </c>
      <c r="K875" s="25">
        <f>정규화데이터!K875</f>
        <v>61496</v>
      </c>
      <c r="L875" s="25">
        <f>정규화데이터!L875</f>
        <v>61496</v>
      </c>
      <c r="M875" s="21">
        <f t="shared" si="26"/>
        <v>46685.818181818177</v>
      </c>
      <c r="N875" s="52">
        <f t="shared" si="27"/>
        <v>0.43154957983193276</v>
      </c>
    </row>
    <row r="876" spans="1:14" x14ac:dyDescent="0.3">
      <c r="A876" t="str">
        <f>정규화데이터!A876</f>
        <v>SK스토아</v>
      </c>
      <c r="B876">
        <f>정규화데이터!B876</f>
        <v>20260210361178</v>
      </c>
      <c r="C876" t="str">
        <f>정규화데이터!C876</f>
        <v>[워커힐]워커힐 고메 시그니처 양념 본갈비 8팩</v>
      </c>
      <c r="D876">
        <f>정규화데이터!D876</f>
        <v>58481090</v>
      </c>
      <c r="E876" s="16" t="str">
        <f>정규화데이터!E876</f>
        <v>SKU001</v>
      </c>
      <c r="F876" s="3">
        <f>정규화데이터!F876</f>
        <v>1</v>
      </c>
      <c r="G876" s="3">
        <f>정규화데이터!G876</f>
        <v>119000</v>
      </c>
      <c r="H876" s="3">
        <f>정규화데이터!H876</f>
        <v>119000</v>
      </c>
      <c r="I876" s="3">
        <f>정규화데이터!I876</f>
        <v>80920</v>
      </c>
      <c r="J876" s="3">
        <f>정규화데이터!J876</f>
        <v>108181.81818181818</v>
      </c>
      <c r="K876" s="25">
        <f>정규화데이터!K876</f>
        <v>61496</v>
      </c>
      <c r="L876" s="25">
        <f>정규화데이터!L876</f>
        <v>61496</v>
      </c>
      <c r="M876" s="21">
        <f t="shared" si="26"/>
        <v>46685.818181818177</v>
      </c>
      <c r="N876" s="52">
        <f t="shared" si="27"/>
        <v>0.43154957983193276</v>
      </c>
    </row>
    <row r="877" spans="1:14" x14ac:dyDescent="0.3">
      <c r="A877" t="str">
        <f>정규화데이터!A877</f>
        <v>SK스토아</v>
      </c>
      <c r="B877">
        <f>정규화데이터!B877</f>
        <v>20260210360216</v>
      </c>
      <c r="C877" t="str">
        <f>정규화데이터!C877</f>
        <v>[워커힐]워커힐 고메 시그니처 양념 본갈비 8팩</v>
      </c>
      <c r="D877">
        <f>정규화데이터!D877</f>
        <v>58481090</v>
      </c>
      <c r="E877" s="16" t="str">
        <f>정규화데이터!E877</f>
        <v>SKU001</v>
      </c>
      <c r="F877" s="3">
        <f>정규화데이터!F877</f>
        <v>1</v>
      </c>
      <c r="G877" s="3">
        <f>정규화데이터!G877</f>
        <v>119000</v>
      </c>
      <c r="H877" s="3">
        <f>정규화데이터!H877</f>
        <v>119000</v>
      </c>
      <c r="I877" s="3">
        <f>정규화데이터!I877</f>
        <v>80920</v>
      </c>
      <c r="J877" s="3">
        <f>정규화데이터!J877</f>
        <v>108181.81818181818</v>
      </c>
      <c r="K877" s="25">
        <f>정규화데이터!K877</f>
        <v>61496</v>
      </c>
      <c r="L877" s="25">
        <f>정규화데이터!L877</f>
        <v>61496</v>
      </c>
      <c r="M877" s="21">
        <f t="shared" si="26"/>
        <v>46685.818181818177</v>
      </c>
      <c r="N877" s="52">
        <f t="shared" si="27"/>
        <v>0.43154957983193276</v>
      </c>
    </row>
    <row r="878" spans="1:14" x14ac:dyDescent="0.3">
      <c r="A878" t="str">
        <f>정규화데이터!A878</f>
        <v>SK스토아</v>
      </c>
      <c r="B878">
        <f>정규화데이터!B878</f>
        <v>20260210360543</v>
      </c>
      <c r="C878" t="str">
        <f>정규화데이터!C878</f>
        <v>[워커힐]워커힐 고메 시그니처 양념 본갈비 8팩</v>
      </c>
      <c r="D878">
        <f>정규화데이터!D878</f>
        <v>58481090</v>
      </c>
      <c r="E878" s="16" t="str">
        <f>정규화데이터!E878</f>
        <v>SKU001</v>
      </c>
      <c r="F878" s="3">
        <f>정규화데이터!F878</f>
        <v>1</v>
      </c>
      <c r="G878" s="3">
        <f>정규화데이터!G878</f>
        <v>119000</v>
      </c>
      <c r="H878" s="3">
        <f>정규화데이터!H878</f>
        <v>119000</v>
      </c>
      <c r="I878" s="3">
        <f>정규화데이터!I878</f>
        <v>80920</v>
      </c>
      <c r="J878" s="3">
        <f>정규화데이터!J878</f>
        <v>108181.81818181818</v>
      </c>
      <c r="K878" s="25">
        <f>정규화데이터!K878</f>
        <v>61496</v>
      </c>
      <c r="L878" s="25">
        <f>정규화데이터!L878</f>
        <v>61496</v>
      </c>
      <c r="M878" s="21">
        <f t="shared" si="26"/>
        <v>46685.818181818177</v>
      </c>
      <c r="N878" s="52">
        <f t="shared" si="27"/>
        <v>0.43154957983193276</v>
      </c>
    </row>
    <row r="879" spans="1:14" x14ac:dyDescent="0.3">
      <c r="A879" t="str">
        <f>정규화데이터!A879</f>
        <v>SK스토아</v>
      </c>
      <c r="B879">
        <f>정규화데이터!B879</f>
        <v>20260210361735</v>
      </c>
      <c r="C879" t="str">
        <f>정규화데이터!C879</f>
        <v>[워커힐]워커힐 고메 시그니처 양념 본갈비 8팩</v>
      </c>
      <c r="D879">
        <f>정규화데이터!D879</f>
        <v>58481090</v>
      </c>
      <c r="E879" s="16" t="str">
        <f>정규화데이터!E879</f>
        <v>SKU001</v>
      </c>
      <c r="F879" s="3">
        <f>정규화데이터!F879</f>
        <v>1</v>
      </c>
      <c r="G879" s="3">
        <f>정규화데이터!G879</f>
        <v>119000</v>
      </c>
      <c r="H879" s="3">
        <f>정규화데이터!H879</f>
        <v>113050</v>
      </c>
      <c r="I879" s="3">
        <f>정규화데이터!I879</f>
        <v>80920</v>
      </c>
      <c r="J879" s="3">
        <f>정규화데이터!J879</f>
        <v>102772.72727272726</v>
      </c>
      <c r="K879" s="25">
        <f>정규화데이터!K879</f>
        <v>61496</v>
      </c>
      <c r="L879" s="25">
        <f>정규화데이터!L879</f>
        <v>61496</v>
      </c>
      <c r="M879" s="21">
        <f t="shared" si="26"/>
        <v>41276.727272727265</v>
      </c>
      <c r="N879" s="52">
        <f t="shared" si="27"/>
        <v>0.40163113666519235</v>
      </c>
    </row>
    <row r="880" spans="1:14" x14ac:dyDescent="0.3">
      <c r="A880" t="str">
        <f>정규화데이터!A880</f>
        <v>SK스토아</v>
      </c>
      <c r="B880">
        <f>정규화데이터!B880</f>
        <v>20260210360908</v>
      </c>
      <c r="C880" t="str">
        <f>정규화데이터!C880</f>
        <v>[워커힐]워커힐 고메 시그니처 양념 본갈비 8팩</v>
      </c>
      <c r="D880">
        <f>정규화데이터!D880</f>
        <v>58481090</v>
      </c>
      <c r="E880" s="16" t="str">
        <f>정규화데이터!E880</f>
        <v>SKU001</v>
      </c>
      <c r="F880" s="3">
        <f>정규화데이터!F880</f>
        <v>1</v>
      </c>
      <c r="G880" s="3">
        <f>정규화데이터!G880</f>
        <v>119000</v>
      </c>
      <c r="H880" s="3">
        <f>정규화데이터!H880</f>
        <v>113050</v>
      </c>
      <c r="I880" s="3">
        <f>정규화데이터!I880</f>
        <v>80920</v>
      </c>
      <c r="J880" s="3">
        <f>정규화데이터!J880</f>
        <v>102772.72727272726</v>
      </c>
      <c r="K880" s="25">
        <f>정규화데이터!K880</f>
        <v>61496</v>
      </c>
      <c r="L880" s="25">
        <f>정규화데이터!L880</f>
        <v>61496</v>
      </c>
      <c r="M880" s="21">
        <f t="shared" si="26"/>
        <v>41276.727272727265</v>
      </c>
      <c r="N880" s="52">
        <f t="shared" si="27"/>
        <v>0.40163113666519235</v>
      </c>
    </row>
    <row r="881" spans="1:14" x14ac:dyDescent="0.3">
      <c r="A881" t="str">
        <f>정규화데이터!A881</f>
        <v>SK스토아</v>
      </c>
      <c r="B881">
        <f>정규화데이터!B881</f>
        <v>20260210342835</v>
      </c>
      <c r="C881" t="str">
        <f>정규화데이터!C881</f>
        <v>[워커힐]워커힐 고메 시그니처 양념 본갈비 8팩</v>
      </c>
      <c r="D881">
        <f>정규화데이터!D881</f>
        <v>58481090</v>
      </c>
      <c r="E881" s="16" t="str">
        <f>정규화데이터!E881</f>
        <v>SKU001</v>
      </c>
      <c r="F881" s="3">
        <f>정규화데이터!F881</f>
        <v>1</v>
      </c>
      <c r="G881" s="3">
        <f>정규화데이터!G881</f>
        <v>119000</v>
      </c>
      <c r="H881" s="3">
        <f>정규화데이터!H881</f>
        <v>119000</v>
      </c>
      <c r="I881" s="3">
        <f>정규화데이터!I881</f>
        <v>80920</v>
      </c>
      <c r="J881" s="3">
        <f>정규화데이터!J881</f>
        <v>108181.81818181818</v>
      </c>
      <c r="K881" s="25">
        <f>정규화데이터!K881</f>
        <v>61496</v>
      </c>
      <c r="L881" s="25">
        <f>정규화데이터!L881</f>
        <v>61496</v>
      </c>
      <c r="M881" s="21">
        <f t="shared" si="26"/>
        <v>46685.818181818177</v>
      </c>
      <c r="N881" s="52">
        <f t="shared" si="27"/>
        <v>0.43154957983193276</v>
      </c>
    </row>
    <row r="882" spans="1:14" x14ac:dyDescent="0.3">
      <c r="A882" t="str">
        <f>정규화데이터!A882</f>
        <v>쿠팡</v>
      </c>
      <c r="B882">
        <f>정규화데이터!B882</f>
        <v>12100169248866</v>
      </c>
      <c r="C882" t="str">
        <f>정규화데이터!C882</f>
        <v>워커힐 시그니처 양념 본갈비 300g</v>
      </c>
      <c r="D882" t="str">
        <f>정규화데이터!D882</f>
        <v>쿠팡_미지정</v>
      </c>
      <c r="E882" s="16" t="str">
        <f>정규화데이터!E882</f>
        <v>SKU001</v>
      </c>
      <c r="F882" s="3">
        <f>정규화데이터!F882</f>
        <v>1</v>
      </c>
      <c r="G882" s="3">
        <f>정규화데이터!G882</f>
        <v>20900</v>
      </c>
      <c r="H882" s="3">
        <f>정규화데이터!H882</f>
        <v>20900</v>
      </c>
      <c r="I882" s="3">
        <f>정규화데이터!I882</f>
        <v>18183</v>
      </c>
      <c r="J882" s="3">
        <f>정규화데이터!J882</f>
        <v>19000</v>
      </c>
      <c r="K882" s="25">
        <f>정규화데이터!K882</f>
        <v>7687</v>
      </c>
      <c r="L882" s="25">
        <f>정규화데이터!L882</f>
        <v>7687</v>
      </c>
      <c r="M882" s="21">
        <f t="shared" si="26"/>
        <v>11313</v>
      </c>
      <c r="N882" s="52">
        <f t="shared" si="27"/>
        <v>0.59542105263157896</v>
      </c>
    </row>
    <row r="883" spans="1:14" x14ac:dyDescent="0.3">
      <c r="A883" t="str">
        <f>정규화데이터!A883</f>
        <v>쿠팡</v>
      </c>
      <c r="B883">
        <f>정규화데이터!B883</f>
        <v>28100169339326</v>
      </c>
      <c r="C883" t="str">
        <f>정규화데이터!C883</f>
        <v>워커힐 시그니처 양념 본갈비 300g</v>
      </c>
      <c r="D883" t="str">
        <f>정규화데이터!D883</f>
        <v>쿠팡_미지정</v>
      </c>
      <c r="E883" s="16" t="str">
        <f>정규화데이터!E883</f>
        <v>SKU001</v>
      </c>
      <c r="F883" s="3">
        <f>정규화데이터!F883</f>
        <v>1</v>
      </c>
      <c r="G883" s="3">
        <f>정규화데이터!G883</f>
        <v>20900</v>
      </c>
      <c r="H883" s="3">
        <f>정규화데이터!H883</f>
        <v>20900</v>
      </c>
      <c r="I883" s="3">
        <f>정규화데이터!I883</f>
        <v>18183</v>
      </c>
      <c r="J883" s="3">
        <f>정규화데이터!J883</f>
        <v>19000</v>
      </c>
      <c r="K883" s="25">
        <f>정규화데이터!K883</f>
        <v>7687</v>
      </c>
      <c r="L883" s="25">
        <f>정규화데이터!L883</f>
        <v>7687</v>
      </c>
      <c r="M883" s="21">
        <f t="shared" si="26"/>
        <v>11313</v>
      </c>
      <c r="N883" s="52">
        <f t="shared" si="27"/>
        <v>0.59542105263157896</v>
      </c>
    </row>
    <row r="884" spans="1:14" x14ac:dyDescent="0.3">
      <c r="A884" t="str">
        <f>정규화데이터!A884</f>
        <v>쿠팡</v>
      </c>
      <c r="B884">
        <f>정규화데이터!B884</f>
        <v>30100169868577</v>
      </c>
      <c r="C884" t="str">
        <f>정규화데이터!C884</f>
        <v>워커힐 시그니처 양념 본갈비 300g</v>
      </c>
      <c r="D884" t="str">
        <f>정규화데이터!D884</f>
        <v>쿠팡_미지정</v>
      </c>
      <c r="E884" s="16" t="str">
        <f>정규화데이터!E884</f>
        <v>SKU001</v>
      </c>
      <c r="F884" s="3">
        <f>정규화데이터!F884</f>
        <v>3</v>
      </c>
      <c r="G884" s="3">
        <f>정규화데이터!G884</f>
        <v>20900</v>
      </c>
      <c r="H884" s="3">
        <f>정규화데이터!H884</f>
        <v>62700</v>
      </c>
      <c r="I884" s="3">
        <f>정규화데이터!I884</f>
        <v>54549</v>
      </c>
      <c r="J884" s="3">
        <f>정규화데이터!J884</f>
        <v>56999.999999999993</v>
      </c>
      <c r="K884" s="25">
        <f>정규화데이터!K884</f>
        <v>7687</v>
      </c>
      <c r="L884" s="25">
        <f>정규화데이터!L884</f>
        <v>23061</v>
      </c>
      <c r="M884" s="21">
        <f t="shared" si="26"/>
        <v>33938.999999999993</v>
      </c>
      <c r="N884" s="52">
        <f t="shared" si="27"/>
        <v>0.59542105263157885</v>
      </c>
    </row>
    <row r="885" spans="1:14" x14ac:dyDescent="0.3">
      <c r="A885" t="str">
        <f>정규화데이터!A885</f>
        <v>쿠팡</v>
      </c>
      <c r="B885">
        <f>정규화데이터!B885</f>
        <v>19100169693948</v>
      </c>
      <c r="C885" t="str">
        <f>정규화데이터!C885</f>
        <v>워커힐 시그니처 양념 본갈비 300g</v>
      </c>
      <c r="D885" t="str">
        <f>정규화데이터!D885</f>
        <v>쿠팡_미지정</v>
      </c>
      <c r="E885" s="16" t="str">
        <f>정규화데이터!E885</f>
        <v>SKU001</v>
      </c>
      <c r="F885" s="3">
        <f>정규화데이터!F885</f>
        <v>1</v>
      </c>
      <c r="G885" s="3">
        <f>정규화데이터!G885</f>
        <v>20900</v>
      </c>
      <c r="H885" s="3">
        <f>정규화데이터!H885</f>
        <v>20900</v>
      </c>
      <c r="I885" s="3">
        <f>정규화데이터!I885</f>
        <v>18183</v>
      </c>
      <c r="J885" s="3">
        <f>정규화데이터!J885</f>
        <v>19000</v>
      </c>
      <c r="K885" s="25">
        <f>정규화데이터!K885</f>
        <v>7687</v>
      </c>
      <c r="L885" s="25">
        <f>정규화데이터!L885</f>
        <v>7687</v>
      </c>
      <c r="M885" s="21">
        <f t="shared" si="26"/>
        <v>11313</v>
      </c>
      <c r="N885" s="52">
        <f t="shared" si="27"/>
        <v>0.59542105263157896</v>
      </c>
    </row>
    <row r="886" spans="1:14" x14ac:dyDescent="0.3">
      <c r="A886" t="str">
        <f>정규화데이터!A886</f>
        <v>쿠팡</v>
      </c>
      <c r="B886">
        <f>정규화데이터!B886</f>
        <v>26100169614931</v>
      </c>
      <c r="C886" t="str">
        <f>정규화데이터!C886</f>
        <v>워커힐 시그니처 양념 본갈비 300g</v>
      </c>
      <c r="D886" t="str">
        <f>정규화데이터!D886</f>
        <v>쿠팡_미지정</v>
      </c>
      <c r="E886" s="16" t="str">
        <f>정규화데이터!E886</f>
        <v>SKU001</v>
      </c>
      <c r="F886" s="3">
        <f>정규화데이터!F886</f>
        <v>1</v>
      </c>
      <c r="G886" s="3">
        <f>정규화데이터!G886</f>
        <v>40000</v>
      </c>
      <c r="H886" s="3">
        <f>정규화데이터!H886</f>
        <v>40000</v>
      </c>
      <c r="I886" s="3">
        <f>정규화데이터!I886</f>
        <v>34800</v>
      </c>
      <c r="J886" s="3">
        <f>정규화데이터!J886</f>
        <v>36363.63636363636</v>
      </c>
      <c r="K886" s="25">
        <f>정규화데이터!K886</f>
        <v>7687</v>
      </c>
      <c r="L886" s="25">
        <f>정규화데이터!L886</f>
        <v>7687</v>
      </c>
      <c r="M886" s="21">
        <f t="shared" si="26"/>
        <v>28676.63636363636</v>
      </c>
      <c r="N886" s="52">
        <f t="shared" si="27"/>
        <v>0.78860750000000002</v>
      </c>
    </row>
    <row r="887" spans="1:14" x14ac:dyDescent="0.3">
      <c r="A887" t="str">
        <f>정규화데이터!A887</f>
        <v>쿠팡</v>
      </c>
      <c r="B887">
        <f>정규화데이터!B887</f>
        <v>7100170513612</v>
      </c>
      <c r="C887" t="str">
        <f>정규화데이터!C887</f>
        <v>워커힐 시그니처 양념 본갈비 300g</v>
      </c>
      <c r="D887" t="str">
        <f>정규화데이터!D887</f>
        <v>쿠팡_미지정</v>
      </c>
      <c r="E887" s="16" t="str">
        <f>정규화데이터!E887</f>
        <v>SKU001</v>
      </c>
      <c r="F887" s="3">
        <f>정규화데이터!F887</f>
        <v>1</v>
      </c>
      <c r="G887" s="3">
        <f>정규화데이터!G887</f>
        <v>78000</v>
      </c>
      <c r="H887" s="3">
        <f>정규화데이터!H887</f>
        <v>78000</v>
      </c>
      <c r="I887" s="3">
        <f>정규화데이터!I887</f>
        <v>67860</v>
      </c>
      <c r="J887" s="3">
        <f>정규화데이터!J887</f>
        <v>70909.090909090897</v>
      </c>
      <c r="K887" s="25">
        <f>정규화데이터!K887</f>
        <v>7687</v>
      </c>
      <c r="L887" s="25">
        <f>정규화데이터!L887</f>
        <v>7687</v>
      </c>
      <c r="M887" s="21">
        <f t="shared" si="26"/>
        <v>63222.090909090897</v>
      </c>
      <c r="N887" s="52">
        <f t="shared" si="27"/>
        <v>0.89159358974358971</v>
      </c>
    </row>
    <row r="888" spans="1:14" x14ac:dyDescent="0.3">
      <c r="A888" t="str">
        <f>정규화데이터!A888</f>
        <v>쿠팡</v>
      </c>
      <c r="B888">
        <f>정규화데이터!B888</f>
        <v>32100170207333</v>
      </c>
      <c r="C888" t="str">
        <f>정규화데이터!C888</f>
        <v>워커힐 시그니처 양념 본갈비 300g</v>
      </c>
      <c r="D888" t="str">
        <f>정규화데이터!D888</f>
        <v>쿠팡_미지정</v>
      </c>
      <c r="E888" s="16" t="str">
        <f>정규화데이터!E888</f>
        <v>SKU001</v>
      </c>
      <c r="F888" s="3">
        <f>정규화데이터!F888</f>
        <v>1</v>
      </c>
      <c r="G888" s="3">
        <f>정규화데이터!G888</f>
        <v>78000</v>
      </c>
      <c r="H888" s="3">
        <f>정규화데이터!H888</f>
        <v>78000</v>
      </c>
      <c r="I888" s="3">
        <f>정규화데이터!I888</f>
        <v>67860</v>
      </c>
      <c r="J888" s="3">
        <f>정규화데이터!J888</f>
        <v>70909.090909090897</v>
      </c>
      <c r="K888" s="25">
        <f>정규화데이터!K888</f>
        <v>7687</v>
      </c>
      <c r="L888" s="25">
        <f>정규화데이터!L888</f>
        <v>7687</v>
      </c>
      <c r="M888" s="21">
        <f t="shared" si="26"/>
        <v>63222.090909090897</v>
      </c>
      <c r="N888" s="52">
        <f t="shared" si="27"/>
        <v>0.89159358974358971</v>
      </c>
    </row>
    <row r="889" spans="1:14" x14ac:dyDescent="0.3">
      <c r="A889" t="str">
        <f>정규화데이터!A889</f>
        <v>쿠팡</v>
      </c>
      <c r="B889">
        <f>정규화데이터!B889</f>
        <v>18100170248996</v>
      </c>
      <c r="C889" t="str">
        <f>정규화데이터!C889</f>
        <v>워커힐 시그니처 양념 본갈비 300g</v>
      </c>
      <c r="D889" t="str">
        <f>정규화데이터!D889</f>
        <v>쿠팡_미지정</v>
      </c>
      <c r="E889" s="16" t="str">
        <f>정규화데이터!E889</f>
        <v>SKU001</v>
      </c>
      <c r="F889" s="3">
        <f>정규화데이터!F889</f>
        <v>1</v>
      </c>
      <c r="G889" s="3">
        <f>정규화데이터!G889</f>
        <v>40000</v>
      </c>
      <c r="H889" s="3">
        <f>정규화데이터!H889</f>
        <v>40000</v>
      </c>
      <c r="I889" s="3">
        <f>정규화데이터!I889</f>
        <v>34800</v>
      </c>
      <c r="J889" s="3">
        <f>정규화데이터!J889</f>
        <v>36363.63636363636</v>
      </c>
      <c r="K889" s="25">
        <f>정규화데이터!K889</f>
        <v>7687</v>
      </c>
      <c r="L889" s="25">
        <f>정규화데이터!L889</f>
        <v>7687</v>
      </c>
      <c r="M889" s="21">
        <f t="shared" si="26"/>
        <v>28676.63636363636</v>
      </c>
      <c r="N889" s="52">
        <f t="shared" si="27"/>
        <v>0.78860750000000002</v>
      </c>
    </row>
    <row r="890" spans="1:14" x14ac:dyDescent="0.3">
      <c r="A890" t="str">
        <f>정규화데이터!A890</f>
        <v>쿠팡</v>
      </c>
      <c r="B890">
        <f>정규화데이터!B890</f>
        <v>9100170443201</v>
      </c>
      <c r="C890" t="str">
        <f>정규화데이터!C890</f>
        <v>워커힐 시그니처 양념 본갈비 300g</v>
      </c>
      <c r="D890" t="str">
        <f>정규화데이터!D890</f>
        <v>쿠팡_미지정</v>
      </c>
      <c r="E890" s="16" t="str">
        <f>정규화데이터!E890</f>
        <v>SKU001</v>
      </c>
      <c r="F890" s="3">
        <f>정규화데이터!F890</f>
        <v>1</v>
      </c>
      <c r="G890" s="3">
        <f>정규화데이터!G890</f>
        <v>78000</v>
      </c>
      <c r="H890" s="3">
        <f>정규화데이터!H890</f>
        <v>78000</v>
      </c>
      <c r="I890" s="3">
        <f>정규화데이터!I890</f>
        <v>67860</v>
      </c>
      <c r="J890" s="3">
        <f>정규화데이터!J890</f>
        <v>70909.090909090897</v>
      </c>
      <c r="K890" s="25">
        <f>정규화데이터!K890</f>
        <v>7687</v>
      </c>
      <c r="L890" s="25">
        <f>정규화데이터!L890</f>
        <v>7687</v>
      </c>
      <c r="M890" s="21">
        <f t="shared" si="26"/>
        <v>63222.090909090897</v>
      </c>
      <c r="N890" s="52">
        <f t="shared" si="27"/>
        <v>0.89159358974358971</v>
      </c>
    </row>
    <row r="891" spans="1:14" x14ac:dyDescent="0.3">
      <c r="A891" t="str">
        <f>정규화데이터!A891</f>
        <v>쿠팡</v>
      </c>
      <c r="B891">
        <f>정규화데이터!B891</f>
        <v>9100170453124</v>
      </c>
      <c r="C891" t="str">
        <f>정규화데이터!C891</f>
        <v>워커힐 시그니처 양념 본갈비 300g</v>
      </c>
      <c r="D891" t="str">
        <f>정규화데이터!D891</f>
        <v>쿠팡_미지정</v>
      </c>
      <c r="E891" s="16" t="str">
        <f>정규화데이터!E891</f>
        <v>SKU001</v>
      </c>
      <c r="F891" s="3">
        <f>정규화데이터!F891</f>
        <v>1</v>
      </c>
      <c r="G891" s="3">
        <f>정규화데이터!G891</f>
        <v>78000</v>
      </c>
      <c r="H891" s="3">
        <f>정규화데이터!H891</f>
        <v>78000</v>
      </c>
      <c r="I891" s="3">
        <f>정규화데이터!I891</f>
        <v>67860</v>
      </c>
      <c r="J891" s="3">
        <f>정규화데이터!J891</f>
        <v>70909.090909090897</v>
      </c>
      <c r="K891" s="25">
        <f>정규화데이터!K891</f>
        <v>7687</v>
      </c>
      <c r="L891" s="25">
        <f>정규화데이터!L891</f>
        <v>7687</v>
      </c>
      <c r="M891" s="21">
        <f t="shared" si="26"/>
        <v>63222.090909090897</v>
      </c>
      <c r="N891" s="52">
        <f t="shared" si="27"/>
        <v>0.89159358974358971</v>
      </c>
    </row>
    <row r="892" spans="1:14" x14ac:dyDescent="0.3">
      <c r="A892" t="str">
        <f>정규화데이터!A892</f>
        <v>쿠팡</v>
      </c>
      <c r="B892">
        <f>정규화데이터!B892</f>
        <v>16100171241527</v>
      </c>
      <c r="C892" t="str">
        <f>정규화데이터!C892</f>
        <v>워커힐 시그니처 양념 본갈비 300g</v>
      </c>
      <c r="D892" t="str">
        <f>정규화데이터!D892</f>
        <v>쿠팡_미지정</v>
      </c>
      <c r="E892" s="16" t="str">
        <f>정규화데이터!E892</f>
        <v>SKU001</v>
      </c>
      <c r="F892" s="3">
        <f>정규화데이터!F892</f>
        <v>1</v>
      </c>
      <c r="G892" s="3">
        <f>정규화데이터!G892</f>
        <v>40000</v>
      </c>
      <c r="H892" s="3">
        <f>정규화데이터!H892</f>
        <v>40000</v>
      </c>
      <c r="I892" s="3">
        <f>정규화데이터!I892</f>
        <v>34800</v>
      </c>
      <c r="J892" s="3">
        <f>정규화데이터!J892</f>
        <v>36363.63636363636</v>
      </c>
      <c r="K892" s="25">
        <f>정규화데이터!K892</f>
        <v>7687</v>
      </c>
      <c r="L892" s="25">
        <f>정규화데이터!L892</f>
        <v>7687</v>
      </c>
      <c r="M892" s="21">
        <f t="shared" si="26"/>
        <v>28676.63636363636</v>
      </c>
      <c r="N892" s="52">
        <f t="shared" si="27"/>
        <v>0.78860750000000002</v>
      </c>
    </row>
    <row r="893" spans="1:14" x14ac:dyDescent="0.3">
      <c r="A893" t="str">
        <f>정규화데이터!A893</f>
        <v>쿠팡</v>
      </c>
      <c r="B893">
        <f>정규화데이터!B893</f>
        <v>32100170791524</v>
      </c>
      <c r="C893" t="str">
        <f>정규화데이터!C893</f>
        <v>워커힐 시그니처 양념 본갈비 300g</v>
      </c>
      <c r="D893" t="str">
        <f>정규화데이터!D893</f>
        <v>쿠팡_미지정</v>
      </c>
      <c r="E893" s="16" t="str">
        <f>정규화데이터!E893</f>
        <v>SKU001</v>
      </c>
      <c r="F893" s="3">
        <f>정규화데이터!F893</f>
        <v>1</v>
      </c>
      <c r="G893" s="3">
        <f>정규화데이터!G893</f>
        <v>78000</v>
      </c>
      <c r="H893" s="3">
        <f>정규화데이터!H893</f>
        <v>78000</v>
      </c>
      <c r="I893" s="3">
        <f>정규화데이터!I893</f>
        <v>67860</v>
      </c>
      <c r="J893" s="3">
        <f>정규화데이터!J893</f>
        <v>70909.090909090897</v>
      </c>
      <c r="K893" s="25">
        <f>정규화데이터!K893</f>
        <v>7687</v>
      </c>
      <c r="L893" s="25">
        <f>정규화데이터!L893</f>
        <v>7687</v>
      </c>
      <c r="M893" s="21">
        <f t="shared" si="26"/>
        <v>63222.090909090897</v>
      </c>
      <c r="N893" s="52">
        <f t="shared" si="27"/>
        <v>0.89159358974358971</v>
      </c>
    </row>
    <row r="894" spans="1:14" x14ac:dyDescent="0.3">
      <c r="A894" t="str">
        <f>정규화데이터!A894</f>
        <v>쿠팡</v>
      </c>
      <c r="B894">
        <f>정규화데이터!B894</f>
        <v>6100170728171</v>
      </c>
      <c r="C894" t="str">
        <f>정규화데이터!C894</f>
        <v>워커힐 시그니처 양념 본갈비 300g</v>
      </c>
      <c r="D894" t="str">
        <f>정규화데이터!D894</f>
        <v>쿠팡_미지정</v>
      </c>
      <c r="E894" s="16" t="str">
        <f>정규화데이터!E894</f>
        <v>SKU001</v>
      </c>
      <c r="F894" s="3">
        <f>정규화데이터!F894</f>
        <v>1</v>
      </c>
      <c r="G894" s="3">
        <f>정규화데이터!G894</f>
        <v>40000</v>
      </c>
      <c r="H894" s="3">
        <f>정규화데이터!H894</f>
        <v>40000</v>
      </c>
      <c r="I894" s="3">
        <f>정규화데이터!I894</f>
        <v>34800</v>
      </c>
      <c r="J894" s="3">
        <f>정규화데이터!J894</f>
        <v>36363.63636363636</v>
      </c>
      <c r="K894" s="25">
        <f>정규화데이터!K894</f>
        <v>7687</v>
      </c>
      <c r="L894" s="25">
        <f>정규화데이터!L894</f>
        <v>7687</v>
      </c>
      <c r="M894" s="21">
        <f t="shared" si="26"/>
        <v>28676.63636363636</v>
      </c>
      <c r="N894" s="52">
        <f t="shared" si="27"/>
        <v>0.78860750000000002</v>
      </c>
    </row>
    <row r="895" spans="1:14" x14ac:dyDescent="0.3">
      <c r="A895" t="str">
        <f>정규화데이터!A895</f>
        <v>쿠팡</v>
      </c>
      <c r="B895">
        <f>정규화데이터!B895</f>
        <v>17100170827220</v>
      </c>
      <c r="C895" t="str">
        <f>정규화데이터!C895</f>
        <v>워커힐 시그니처 양념 본갈비 300g</v>
      </c>
      <c r="D895" t="str">
        <f>정규화데이터!D895</f>
        <v>쿠팡_미지정</v>
      </c>
      <c r="E895" s="16" t="str">
        <f>정규화데이터!E895</f>
        <v>SKU001</v>
      </c>
      <c r="F895" s="3">
        <f>정규화데이터!F895</f>
        <v>2</v>
      </c>
      <c r="G895" s="3">
        <f>정규화데이터!G895</f>
        <v>40000</v>
      </c>
      <c r="H895" s="3">
        <f>정규화데이터!H895</f>
        <v>80000</v>
      </c>
      <c r="I895" s="3">
        <f>정규화데이터!I895</f>
        <v>69600</v>
      </c>
      <c r="J895" s="3">
        <f>정규화데이터!J895</f>
        <v>72727.272727272721</v>
      </c>
      <c r="K895" s="25">
        <f>정규화데이터!K895</f>
        <v>7687</v>
      </c>
      <c r="L895" s="25">
        <f>정규화데이터!L895</f>
        <v>15374</v>
      </c>
      <c r="M895" s="21">
        <f t="shared" si="26"/>
        <v>57353.272727272721</v>
      </c>
      <c r="N895" s="52">
        <f t="shared" si="27"/>
        <v>0.78860750000000002</v>
      </c>
    </row>
    <row r="896" spans="1:14" x14ac:dyDescent="0.3">
      <c r="A896" t="str">
        <f>정규화데이터!A896</f>
        <v>쿠팡</v>
      </c>
      <c r="B896">
        <f>정규화데이터!B896</f>
        <v>20100171016693</v>
      </c>
      <c r="C896" t="str">
        <f>정규화데이터!C896</f>
        <v>워커힐 시그니처 양념 본갈비 300g</v>
      </c>
      <c r="D896" t="str">
        <f>정규화데이터!D896</f>
        <v>쿠팡_미지정</v>
      </c>
      <c r="E896" s="16" t="str">
        <f>정규화데이터!E896</f>
        <v>SKU001</v>
      </c>
      <c r="F896" s="3">
        <f>정규화데이터!F896</f>
        <v>1</v>
      </c>
      <c r="G896" s="3">
        <f>정규화데이터!G896</f>
        <v>20900</v>
      </c>
      <c r="H896" s="3">
        <f>정규화데이터!H896</f>
        <v>20900</v>
      </c>
      <c r="I896" s="3">
        <f>정규화데이터!I896</f>
        <v>18183</v>
      </c>
      <c r="J896" s="3">
        <f>정규화데이터!J896</f>
        <v>19000</v>
      </c>
      <c r="K896" s="25">
        <f>정규화데이터!K896</f>
        <v>7687</v>
      </c>
      <c r="L896" s="25">
        <f>정규화데이터!L896</f>
        <v>7687</v>
      </c>
      <c r="M896" s="21">
        <f t="shared" si="26"/>
        <v>11313</v>
      </c>
      <c r="N896" s="52">
        <f t="shared" si="27"/>
        <v>0.59542105263157896</v>
      </c>
    </row>
    <row r="897" spans="1:14" x14ac:dyDescent="0.3">
      <c r="A897" t="str">
        <f>정규화데이터!A897</f>
        <v>네이버</v>
      </c>
      <c r="B897">
        <f>정규화데이터!B897</f>
        <v>2026020586548500</v>
      </c>
      <c r="C897" t="str">
        <f>정규화데이터!C897</f>
        <v>워커힐 시그니처 양념 본갈비 300g, 2개</v>
      </c>
      <c r="D897" t="str">
        <f>정규화데이터!D897</f>
        <v>A2</v>
      </c>
      <c r="E897" s="16" t="str">
        <f>정규화데이터!E897</f>
        <v>SKU001</v>
      </c>
      <c r="F897" s="3">
        <f>정규화데이터!F897</f>
        <v>1</v>
      </c>
      <c r="G897" s="3">
        <f>정규화데이터!G897</f>
        <v>45800</v>
      </c>
      <c r="H897" s="3">
        <f>정규화데이터!H897</f>
        <v>33900</v>
      </c>
      <c r="I897" s="3">
        <f>정규화데이터!I897</f>
        <v>32205</v>
      </c>
      <c r="J897" s="3">
        <f>정규화데이터!J897</f>
        <v>30818.181818181816</v>
      </c>
      <c r="K897" s="25">
        <f>정규화데이터!K897</f>
        <v>15374</v>
      </c>
      <c r="L897" s="25">
        <f>정규화데이터!L897</f>
        <v>15374</v>
      </c>
      <c r="M897" s="21">
        <f t="shared" si="26"/>
        <v>15444.181818181816</v>
      </c>
      <c r="N897" s="52">
        <f t="shared" si="27"/>
        <v>0.50113864306784661</v>
      </c>
    </row>
    <row r="898" spans="1:14" x14ac:dyDescent="0.3">
      <c r="A898" t="str">
        <f>정규화데이터!A898</f>
        <v>네이버</v>
      </c>
      <c r="B898">
        <f>정규화데이터!B898</f>
        <v>2026020586295070</v>
      </c>
      <c r="C898" t="str">
        <f>정규화데이터!C898</f>
        <v>워커힐 시그니처 양념 본갈비 300g, 1개</v>
      </c>
      <c r="D898" t="str">
        <f>정규화데이터!D898</f>
        <v>A1</v>
      </c>
      <c r="E898" s="16" t="str">
        <f>정규화데이터!E898</f>
        <v>SKU001</v>
      </c>
      <c r="F898" s="3">
        <f>정규화데이터!F898</f>
        <v>1</v>
      </c>
      <c r="G898" s="3">
        <f>정규화데이터!G898</f>
        <v>22900</v>
      </c>
      <c r="H898" s="3">
        <f>정규화데이터!H898</f>
        <v>17800</v>
      </c>
      <c r="I898" s="3">
        <f>정규화데이터!I898</f>
        <v>16910</v>
      </c>
      <c r="J898" s="3">
        <f>정규화데이터!J898</f>
        <v>16181.81818181818</v>
      </c>
      <c r="K898" s="25">
        <f>정규화데이터!K898</f>
        <v>7687</v>
      </c>
      <c r="L898" s="25">
        <f>정규화데이터!L898</f>
        <v>7687</v>
      </c>
      <c r="M898" s="21">
        <f t="shared" si="26"/>
        <v>8494.8181818181802</v>
      </c>
      <c r="N898" s="52">
        <f t="shared" si="27"/>
        <v>0.5249606741573033</v>
      </c>
    </row>
    <row r="899" spans="1:14" x14ac:dyDescent="0.3">
      <c r="A899" t="str">
        <f>정규화데이터!A899</f>
        <v>네이버</v>
      </c>
      <c r="B899">
        <f>정규화데이터!B899</f>
        <v>2026020480361830</v>
      </c>
      <c r="C899" t="str">
        <f>정규화데이터!C899</f>
        <v>워커힐 시그니처 양념 본갈비 300g, 1개</v>
      </c>
      <c r="D899" t="str">
        <f>정규화데이터!D899</f>
        <v>A1</v>
      </c>
      <c r="E899" s="16" t="str">
        <f>정규화데이터!E899</f>
        <v>SKU001</v>
      </c>
      <c r="F899" s="3">
        <f>정규화데이터!F899</f>
        <v>1</v>
      </c>
      <c r="G899" s="3">
        <f>정규화데이터!G899</f>
        <v>22900</v>
      </c>
      <c r="H899" s="3">
        <f>정규화데이터!H899</f>
        <v>17800</v>
      </c>
      <c r="I899" s="3">
        <f>정규화데이터!I899</f>
        <v>16910</v>
      </c>
      <c r="J899" s="3">
        <f>정규화데이터!J899</f>
        <v>16181.81818181818</v>
      </c>
      <c r="K899" s="25">
        <f>정규화데이터!K899</f>
        <v>7687</v>
      </c>
      <c r="L899" s="25">
        <f>정규화데이터!L899</f>
        <v>7687</v>
      </c>
      <c r="M899" s="21">
        <f t="shared" ref="M899:M962" si="28">J899-L899</f>
        <v>8494.8181818181802</v>
      </c>
      <c r="N899" s="52">
        <f t="shared" ref="N899:N962" si="29">IF(J899=0,0,M899/J899)</f>
        <v>0.5249606741573033</v>
      </c>
    </row>
    <row r="900" spans="1:14" x14ac:dyDescent="0.3">
      <c r="A900" t="str">
        <f>정규화데이터!A900</f>
        <v>네이버</v>
      </c>
      <c r="B900">
        <f>정규화데이터!B900</f>
        <v>2026020641602910</v>
      </c>
      <c r="C900" t="str">
        <f>정규화데이터!C900</f>
        <v>워커힐 시그니처 양념 본갈비 300g, 2개</v>
      </c>
      <c r="D900" t="str">
        <f>정규화데이터!D900</f>
        <v>A2</v>
      </c>
      <c r="E900" s="16" t="str">
        <f>정규화데이터!E900</f>
        <v>SKU001</v>
      </c>
      <c r="F900" s="3">
        <f>정규화데이터!F900</f>
        <v>1</v>
      </c>
      <c r="G900" s="3">
        <f>정규화데이터!G900</f>
        <v>45800</v>
      </c>
      <c r="H900" s="3">
        <f>정규화데이터!H900</f>
        <v>33900</v>
      </c>
      <c r="I900" s="3">
        <f>정규화데이터!I900</f>
        <v>32205</v>
      </c>
      <c r="J900" s="3">
        <f>정규화데이터!J900</f>
        <v>30818.181818181816</v>
      </c>
      <c r="K900" s="25">
        <f>정규화데이터!K900</f>
        <v>15374</v>
      </c>
      <c r="L900" s="25">
        <f>정규화데이터!L900</f>
        <v>15374</v>
      </c>
      <c r="M900" s="21">
        <f t="shared" si="28"/>
        <v>15444.181818181816</v>
      </c>
      <c r="N900" s="52">
        <f t="shared" si="29"/>
        <v>0.50113864306784661</v>
      </c>
    </row>
    <row r="901" spans="1:14" x14ac:dyDescent="0.3">
      <c r="A901" t="str">
        <f>정규화데이터!A901</f>
        <v>카카오</v>
      </c>
      <c r="B901">
        <f>정규화데이터!B901</f>
        <v>3242789909</v>
      </c>
      <c r="C901" t="str">
        <f>정규화데이터!C901</f>
        <v>워커힐 시그니처 양념 본갈비 300g, 1개</v>
      </c>
      <c r="D901" t="str">
        <f>정규화데이터!D901</f>
        <v>A1</v>
      </c>
      <c r="E901" s="16" t="str">
        <f>정규화데이터!E901</f>
        <v>SKU001</v>
      </c>
      <c r="F901" s="3">
        <f>정규화데이터!F901</f>
        <v>1</v>
      </c>
      <c r="G901" s="3">
        <f>정규화데이터!G901</f>
        <v>22900</v>
      </c>
      <c r="H901" s="3">
        <f>정규화데이터!H901</f>
        <v>22900</v>
      </c>
      <c r="I901" s="3">
        <f>정규화데이터!I901</f>
        <v>21297</v>
      </c>
      <c r="J901" s="3">
        <f>정규화데이터!J901</f>
        <v>20818.181818181816</v>
      </c>
      <c r="K901" s="25">
        <f>정규화데이터!K901</f>
        <v>7687</v>
      </c>
      <c r="L901" s="25">
        <f>정규화데이터!L901</f>
        <v>7687</v>
      </c>
      <c r="M901" s="21">
        <f t="shared" si="28"/>
        <v>13131.181818181816</v>
      </c>
      <c r="N901" s="52">
        <f t="shared" si="29"/>
        <v>0.63075545851528381</v>
      </c>
    </row>
    <row r="902" spans="1:14" x14ac:dyDescent="0.3">
      <c r="A902" t="str">
        <f>정규화데이터!A902</f>
        <v>카카오</v>
      </c>
      <c r="B902">
        <f>정규화데이터!B902</f>
        <v>3242866950</v>
      </c>
      <c r="C902" t="str">
        <f>정규화데이터!C902</f>
        <v>워커힐 시그니처 양념 본갈비 300g, 1개</v>
      </c>
      <c r="D902" t="str">
        <f>정규화데이터!D902</f>
        <v>A1</v>
      </c>
      <c r="E902" s="16" t="str">
        <f>정규화데이터!E902</f>
        <v>SKU001</v>
      </c>
      <c r="F902" s="3">
        <f>정규화데이터!F902</f>
        <v>2</v>
      </c>
      <c r="G902" s="3">
        <f>정규화데이터!G902</f>
        <v>45800</v>
      </c>
      <c r="H902" s="3">
        <f>정규화데이터!H902</f>
        <v>91600</v>
      </c>
      <c r="I902" s="3">
        <f>정규화데이터!I902</f>
        <v>85188</v>
      </c>
      <c r="J902" s="3">
        <f>정규화데이터!J902</f>
        <v>83272.727272727265</v>
      </c>
      <c r="K902" s="25">
        <f>정규화데이터!K902</f>
        <v>7687</v>
      </c>
      <c r="L902" s="25">
        <f>정규화데이터!L902</f>
        <v>15374</v>
      </c>
      <c r="M902" s="21">
        <f t="shared" si="28"/>
        <v>67898.727272727265</v>
      </c>
      <c r="N902" s="52">
        <f t="shared" si="29"/>
        <v>0.81537772925764196</v>
      </c>
    </row>
    <row r="903" spans="1:14" x14ac:dyDescent="0.3">
      <c r="A903" t="str">
        <f>정규화데이터!A903</f>
        <v>카카오</v>
      </c>
      <c r="B903">
        <f>정규화데이터!B903</f>
        <v>3242952358</v>
      </c>
      <c r="C903" t="str">
        <f>정규화데이터!C903</f>
        <v>워커힐 시그니처 양념 본갈비 300g, 1개</v>
      </c>
      <c r="D903" t="str">
        <f>정규화데이터!D903</f>
        <v>A1</v>
      </c>
      <c r="E903" s="16" t="str">
        <f>정규화데이터!E903</f>
        <v>SKU001</v>
      </c>
      <c r="F903" s="3">
        <f>정규화데이터!F903</f>
        <v>1</v>
      </c>
      <c r="G903" s="3">
        <f>정규화데이터!G903</f>
        <v>22900</v>
      </c>
      <c r="H903" s="3">
        <f>정규화데이터!H903</f>
        <v>22900</v>
      </c>
      <c r="I903" s="3">
        <f>정규화데이터!I903</f>
        <v>21297</v>
      </c>
      <c r="J903" s="3">
        <f>정규화데이터!J903</f>
        <v>20818.181818181816</v>
      </c>
      <c r="K903" s="25">
        <f>정규화데이터!K903</f>
        <v>7687</v>
      </c>
      <c r="L903" s="25">
        <f>정규화데이터!L903</f>
        <v>7687</v>
      </c>
      <c r="M903" s="21">
        <f t="shared" si="28"/>
        <v>13131.181818181816</v>
      </c>
      <c r="N903" s="52">
        <f t="shared" si="29"/>
        <v>0.63075545851528381</v>
      </c>
    </row>
    <row r="904" spans="1:14" x14ac:dyDescent="0.3">
      <c r="A904" t="str">
        <f>정규화데이터!A904</f>
        <v>카카오</v>
      </c>
      <c r="B904">
        <f>정규화데이터!B904</f>
        <v>3242962470</v>
      </c>
      <c r="C904" t="str">
        <f>정규화데이터!C904</f>
        <v>워커힐 시그니처 양념 본갈비 300g, 1개</v>
      </c>
      <c r="D904" t="str">
        <f>정규화데이터!D904</f>
        <v>A1</v>
      </c>
      <c r="E904" s="16" t="str">
        <f>정규화데이터!E904</f>
        <v>SKU001</v>
      </c>
      <c r="F904" s="3">
        <f>정규화데이터!F904</f>
        <v>2</v>
      </c>
      <c r="G904" s="3">
        <f>정규화데이터!G904</f>
        <v>45800</v>
      </c>
      <c r="H904" s="3">
        <f>정규화데이터!H904</f>
        <v>91600</v>
      </c>
      <c r="I904" s="3">
        <f>정규화데이터!I904</f>
        <v>85188</v>
      </c>
      <c r="J904" s="3">
        <f>정규화데이터!J904</f>
        <v>83272.727272727265</v>
      </c>
      <c r="K904" s="25">
        <f>정규화데이터!K904</f>
        <v>7687</v>
      </c>
      <c r="L904" s="25">
        <f>정규화데이터!L904</f>
        <v>15374</v>
      </c>
      <c r="M904" s="21">
        <f t="shared" si="28"/>
        <v>67898.727272727265</v>
      </c>
      <c r="N904" s="52">
        <f t="shared" si="29"/>
        <v>0.81537772925764196</v>
      </c>
    </row>
    <row r="905" spans="1:14" x14ac:dyDescent="0.3">
      <c r="A905" t="str">
        <f>정규화데이터!A905</f>
        <v>카카오</v>
      </c>
      <c r="B905">
        <f>정규화데이터!B905</f>
        <v>3242973875</v>
      </c>
      <c r="C905" t="str">
        <f>정규화데이터!C905</f>
        <v>워커힐 시그니처 양념 본갈비 300g, 1개</v>
      </c>
      <c r="D905" t="str">
        <f>정규화데이터!D905</f>
        <v>A1</v>
      </c>
      <c r="E905" s="16" t="str">
        <f>정규화데이터!E905</f>
        <v>SKU001</v>
      </c>
      <c r="F905" s="3">
        <f>정규화데이터!F905</f>
        <v>2</v>
      </c>
      <c r="G905" s="3">
        <f>정규화데이터!G905</f>
        <v>45800</v>
      </c>
      <c r="H905" s="3">
        <f>정규화데이터!H905</f>
        <v>91600</v>
      </c>
      <c r="I905" s="3">
        <f>정규화데이터!I905</f>
        <v>85188</v>
      </c>
      <c r="J905" s="3">
        <f>정규화데이터!J905</f>
        <v>83272.727272727265</v>
      </c>
      <c r="K905" s="25">
        <f>정규화데이터!K905</f>
        <v>7687</v>
      </c>
      <c r="L905" s="25">
        <f>정규화데이터!L905</f>
        <v>15374</v>
      </c>
      <c r="M905" s="21">
        <f t="shared" si="28"/>
        <v>67898.727272727265</v>
      </c>
      <c r="N905" s="52">
        <f t="shared" si="29"/>
        <v>0.81537772925764196</v>
      </c>
    </row>
    <row r="906" spans="1:14" x14ac:dyDescent="0.3">
      <c r="A906" t="str">
        <f>정규화데이터!A906</f>
        <v>리씽크</v>
      </c>
      <c r="B906">
        <f>정규화데이터!B906</f>
        <v>2.0260205105831501E+18</v>
      </c>
      <c r="C906" t="str">
        <f>정규화데이터!C906</f>
        <v xml:space="preserve">워커힐 본갈비 3+1 최초❤️5만원대! 총1.2kg✨호텔특제 양념갈비 8인분 (✨1인분 7,375원꼴! / [300g,2인분] x 총 4팩  / ✨초이스등급 본갈비 / ❣️워커힐 </v>
      </c>
      <c r="D906">
        <f>정규화데이터!D906</f>
        <v>143790</v>
      </c>
      <c r="E906" s="16" t="str">
        <f>정규화데이터!E906</f>
        <v>SKU001</v>
      </c>
      <c r="F906" s="3">
        <f>정규화데이터!F906</f>
        <v>1</v>
      </c>
      <c r="G906" s="3">
        <f>정규화데이터!G906</f>
        <v>41363.636363636302</v>
      </c>
      <c r="H906" s="3">
        <f>정규화데이터!H906</f>
        <v>45499.999999999935</v>
      </c>
      <c r="I906" s="3">
        <f>정규화데이터!I906</f>
        <v>45500</v>
      </c>
      <c r="J906" s="3">
        <f>정규화데이터!J906</f>
        <v>41363.636363636302</v>
      </c>
      <c r="K906" s="25">
        <f>정규화데이터!K906</f>
        <v>30748</v>
      </c>
      <c r="L906" s="25">
        <f>정규화데이터!L906</f>
        <v>30748</v>
      </c>
      <c r="M906" s="21">
        <f t="shared" si="28"/>
        <v>10615.636363636302</v>
      </c>
      <c r="N906" s="52">
        <f t="shared" si="29"/>
        <v>0.25664175824175711</v>
      </c>
    </row>
    <row r="907" spans="1:14" x14ac:dyDescent="0.3">
      <c r="A907" t="str">
        <f>정규화데이터!A907</f>
        <v>리씽크</v>
      </c>
      <c r="B907">
        <f>정규화데이터!B907</f>
        <v>2.02602051039395E+18</v>
      </c>
      <c r="C907" t="str">
        <f>정규화데이터!C907</f>
        <v xml:space="preserve">워커힐 본갈비 3+1 최초❤️5만원대! 총1.2kg✨호텔특제 양념갈비 8인분 (✨1인분 7,375원꼴! / [300g,2인분] x 총 4팩  / ✨초이스등급 본갈비 / ❣️워커힐 </v>
      </c>
      <c r="D907">
        <f>정규화데이터!D907</f>
        <v>143790</v>
      </c>
      <c r="E907" s="16" t="str">
        <f>정규화데이터!E907</f>
        <v>SKU001</v>
      </c>
      <c r="F907" s="3">
        <f>정규화데이터!F907</f>
        <v>1</v>
      </c>
      <c r="G907" s="3">
        <f>정규화데이터!G907</f>
        <v>41363.636363636302</v>
      </c>
      <c r="H907" s="3">
        <f>정규화데이터!H907</f>
        <v>45499.999999999935</v>
      </c>
      <c r="I907" s="3">
        <f>정규화데이터!I907</f>
        <v>45500</v>
      </c>
      <c r="J907" s="3">
        <f>정규화데이터!J907</f>
        <v>41363.636363636302</v>
      </c>
      <c r="K907" s="25">
        <f>정규화데이터!K907</f>
        <v>30748</v>
      </c>
      <c r="L907" s="25">
        <f>정규화데이터!L907</f>
        <v>30748</v>
      </c>
      <c r="M907" s="21">
        <f t="shared" si="28"/>
        <v>10615.636363636302</v>
      </c>
      <c r="N907" s="52">
        <f t="shared" si="29"/>
        <v>0.25664175824175711</v>
      </c>
    </row>
    <row r="908" spans="1:14" x14ac:dyDescent="0.3">
      <c r="A908" t="str">
        <f>정규화데이터!A908</f>
        <v>리씽크</v>
      </c>
      <c r="B908">
        <f>정규화데이터!B908</f>
        <v>2.0260205103855301E+18</v>
      </c>
      <c r="C908" t="str">
        <f>정규화데이터!C908</f>
        <v xml:space="preserve">워커힐 본갈비 3+1 최초❤️5만원대! 총1.2kg✨호텔특제 양념갈비 8인분 (✨1인분 7,375원꼴! / [300g,2인분] x 총 4팩  / ✨초이스등급 본갈비 / ❣️워커힐 </v>
      </c>
      <c r="D908">
        <f>정규화데이터!D908</f>
        <v>143790</v>
      </c>
      <c r="E908" s="16" t="str">
        <f>정규화데이터!E908</f>
        <v>SKU001</v>
      </c>
      <c r="F908" s="3">
        <f>정규화데이터!F908</f>
        <v>1</v>
      </c>
      <c r="G908" s="3">
        <f>정규화데이터!G908</f>
        <v>41363.636363636302</v>
      </c>
      <c r="H908" s="3">
        <f>정규화데이터!H908</f>
        <v>45499.999999999935</v>
      </c>
      <c r="I908" s="3">
        <f>정규화데이터!I908</f>
        <v>45500</v>
      </c>
      <c r="J908" s="3">
        <f>정규화데이터!J908</f>
        <v>41363.636363636302</v>
      </c>
      <c r="K908" s="25">
        <f>정규화데이터!K908</f>
        <v>30748</v>
      </c>
      <c r="L908" s="25">
        <f>정규화데이터!L908</f>
        <v>30748</v>
      </c>
      <c r="M908" s="21">
        <f t="shared" si="28"/>
        <v>10615.636363636302</v>
      </c>
      <c r="N908" s="52">
        <f t="shared" si="29"/>
        <v>0.25664175824175711</v>
      </c>
    </row>
    <row r="909" spans="1:14" x14ac:dyDescent="0.3">
      <c r="A909" t="str">
        <f>정규화데이터!A909</f>
        <v>리씽크</v>
      </c>
      <c r="B909">
        <f>정규화데이터!B909</f>
        <v>2.0260205102430001E+18</v>
      </c>
      <c r="C909" t="str">
        <f>정규화데이터!C909</f>
        <v xml:space="preserve">워커힐 본갈비 3+1 최초❤️5만원대! 총1.2kg✨호텔특제 양념갈비 8인분 (✨1인분 7,375원꼴! / [300g,2인분] x 총 4팩  / ✨초이스등급 본갈비 / ❣️워커힐 </v>
      </c>
      <c r="D909">
        <f>정규화데이터!D909</f>
        <v>143790</v>
      </c>
      <c r="E909" s="16" t="str">
        <f>정규화데이터!E909</f>
        <v>SKU001</v>
      </c>
      <c r="F909" s="3">
        <f>정규화데이터!F909</f>
        <v>1</v>
      </c>
      <c r="G909" s="3">
        <f>정규화데이터!G909</f>
        <v>41363.636363636302</v>
      </c>
      <c r="H909" s="3">
        <f>정규화데이터!H909</f>
        <v>45499.999999999935</v>
      </c>
      <c r="I909" s="3">
        <f>정규화데이터!I909</f>
        <v>45500</v>
      </c>
      <c r="J909" s="3">
        <f>정규화데이터!J909</f>
        <v>41363.636363636302</v>
      </c>
      <c r="K909" s="25">
        <f>정규화데이터!K909</f>
        <v>30748</v>
      </c>
      <c r="L909" s="25">
        <f>정규화데이터!L909</f>
        <v>30748</v>
      </c>
      <c r="M909" s="21">
        <f t="shared" si="28"/>
        <v>10615.636363636302</v>
      </c>
      <c r="N909" s="52">
        <f t="shared" si="29"/>
        <v>0.25664175824175711</v>
      </c>
    </row>
    <row r="910" spans="1:14" x14ac:dyDescent="0.3">
      <c r="A910" t="str">
        <f>정규화데이터!A910</f>
        <v>리씽크</v>
      </c>
      <c r="B910">
        <f>정규화데이터!B910</f>
        <v>2.0260205102414999E+18</v>
      </c>
      <c r="C910" t="str">
        <f>정규화데이터!C910</f>
        <v xml:space="preserve">워커힐 본갈비 3+1 최초❤️5만원대! 총1.2kg✨호텔특제 양념갈비 8인분 (✨1인분 7,375원꼴! / [300g,2인분] x 총 4팩  / ✨초이스등급 본갈비 / ❣️워커힐 </v>
      </c>
      <c r="D910">
        <f>정규화데이터!D910</f>
        <v>143790</v>
      </c>
      <c r="E910" s="16" t="str">
        <f>정규화데이터!E910</f>
        <v>SKU001</v>
      </c>
      <c r="F910" s="3">
        <f>정규화데이터!F910</f>
        <v>1</v>
      </c>
      <c r="G910" s="3">
        <f>정규화데이터!G910</f>
        <v>41363.636363636302</v>
      </c>
      <c r="H910" s="3">
        <f>정규화데이터!H910</f>
        <v>45499.999999999935</v>
      </c>
      <c r="I910" s="3">
        <f>정규화데이터!I910</f>
        <v>45500</v>
      </c>
      <c r="J910" s="3">
        <f>정규화데이터!J910</f>
        <v>41363.636363636302</v>
      </c>
      <c r="K910" s="25">
        <f>정규화데이터!K910</f>
        <v>30748</v>
      </c>
      <c r="L910" s="25">
        <f>정규화데이터!L910</f>
        <v>30748</v>
      </c>
      <c r="M910" s="21">
        <f t="shared" si="28"/>
        <v>10615.636363636302</v>
      </c>
      <c r="N910" s="52">
        <f t="shared" si="29"/>
        <v>0.25664175824175711</v>
      </c>
    </row>
    <row r="911" spans="1:14" x14ac:dyDescent="0.3">
      <c r="A911" t="str">
        <f>정규화데이터!A911</f>
        <v>리씽크</v>
      </c>
      <c r="B911">
        <f>정규화데이터!B911</f>
        <v>2.02602051023325E+18</v>
      </c>
      <c r="C911" t="str">
        <f>정규화데이터!C911</f>
        <v xml:space="preserve">워커힐 본갈비 3+1 최초❤️5만원대! 총1.2kg✨호텔특제 양념갈비 8인분 (✨1인분 7,375원꼴! / [300g,2인분] x 총 4팩  / ✨초이스등급 본갈비 / ❣️워커힐 </v>
      </c>
      <c r="D911">
        <f>정규화데이터!D911</f>
        <v>143790</v>
      </c>
      <c r="E911" s="16" t="str">
        <f>정규화데이터!E911</f>
        <v>SKU001</v>
      </c>
      <c r="F911" s="3">
        <f>정규화데이터!F911</f>
        <v>1</v>
      </c>
      <c r="G911" s="3">
        <f>정규화데이터!G911</f>
        <v>41363.636363636302</v>
      </c>
      <c r="H911" s="3">
        <f>정규화데이터!H911</f>
        <v>45499.999999999935</v>
      </c>
      <c r="I911" s="3">
        <f>정규화데이터!I911</f>
        <v>45500</v>
      </c>
      <c r="J911" s="3">
        <f>정규화데이터!J911</f>
        <v>41363.636363636302</v>
      </c>
      <c r="K911" s="25">
        <f>정규화데이터!K911</f>
        <v>30748</v>
      </c>
      <c r="L911" s="25">
        <f>정규화데이터!L911</f>
        <v>30748</v>
      </c>
      <c r="M911" s="21">
        <f t="shared" si="28"/>
        <v>10615.636363636302</v>
      </c>
      <c r="N911" s="52">
        <f t="shared" si="29"/>
        <v>0.25664175824175711</v>
      </c>
    </row>
    <row r="912" spans="1:14" x14ac:dyDescent="0.3">
      <c r="A912" t="str">
        <f>정규화데이터!A912</f>
        <v>리씽크</v>
      </c>
      <c r="B912">
        <f>정규화데이터!B912</f>
        <v>2.0260205101943401E+18</v>
      </c>
      <c r="C912" t="str">
        <f>정규화데이터!C912</f>
        <v xml:space="preserve">워커힐 본갈비 3+1 최초❤️5만원대! 총1.2kg✨호텔특제 양념갈비 8인분 (✨1인분 7,375원꼴! / [300g,2인분] x 총 4팩  / ✨초이스등급 본갈비 / ❣️워커힐 </v>
      </c>
      <c r="D912">
        <f>정규화데이터!D912</f>
        <v>143790</v>
      </c>
      <c r="E912" s="16" t="str">
        <f>정규화데이터!E912</f>
        <v>SKU001</v>
      </c>
      <c r="F912" s="3">
        <f>정규화데이터!F912</f>
        <v>2</v>
      </c>
      <c r="G912" s="3">
        <f>정규화데이터!G912</f>
        <v>41363.636363636353</v>
      </c>
      <c r="H912" s="3">
        <f>정규화데이터!H912</f>
        <v>91000</v>
      </c>
      <c r="I912" s="3">
        <f>정규화데이터!I912</f>
        <v>91000</v>
      </c>
      <c r="J912" s="3">
        <f>정규화데이터!J912</f>
        <v>82727.272727272706</v>
      </c>
      <c r="K912" s="25">
        <f>정규화데이터!K912</f>
        <v>30748</v>
      </c>
      <c r="L912" s="25">
        <f>정규화데이터!L912</f>
        <v>61496</v>
      </c>
      <c r="M912" s="21">
        <f t="shared" si="28"/>
        <v>21231.272727272706</v>
      </c>
      <c r="N912" s="52">
        <f t="shared" si="29"/>
        <v>0.25664175824175806</v>
      </c>
    </row>
    <row r="913" spans="1:14" x14ac:dyDescent="0.3">
      <c r="A913" t="str">
        <f>정규화데이터!A913</f>
        <v>리씽크</v>
      </c>
      <c r="B913">
        <f>정규화데이터!B913</f>
        <v>2.02602051008162E+18</v>
      </c>
      <c r="C913" t="str">
        <f>정규화데이터!C913</f>
        <v xml:space="preserve">워커힐 본갈비 3+1 최초❤️5만원대! 총1.2kg✨호텔특제 양념갈비 8인분 (✨1인분 7,375원꼴! / [300g,2인분] x 총 4팩  / ✨초이스등급 본갈비 / ❣️워커힐 </v>
      </c>
      <c r="D913">
        <f>정규화데이터!D913</f>
        <v>143790</v>
      </c>
      <c r="E913" s="16" t="str">
        <f>정규화데이터!E913</f>
        <v>SKU001</v>
      </c>
      <c r="F913" s="3">
        <f>정규화데이터!F913</f>
        <v>1</v>
      </c>
      <c r="G913" s="3">
        <f>정규화데이터!G913</f>
        <v>41363.636363636302</v>
      </c>
      <c r="H913" s="3">
        <f>정규화데이터!H913</f>
        <v>45499.999999999935</v>
      </c>
      <c r="I913" s="3">
        <f>정규화데이터!I913</f>
        <v>45500</v>
      </c>
      <c r="J913" s="3">
        <f>정규화데이터!J913</f>
        <v>41363.636363636302</v>
      </c>
      <c r="K913" s="25">
        <f>정규화데이터!K913</f>
        <v>30748</v>
      </c>
      <c r="L913" s="25">
        <f>정규화데이터!L913</f>
        <v>30748</v>
      </c>
      <c r="M913" s="21">
        <f t="shared" si="28"/>
        <v>10615.636363636302</v>
      </c>
      <c r="N913" s="52">
        <f t="shared" si="29"/>
        <v>0.25664175824175711</v>
      </c>
    </row>
    <row r="914" spans="1:14" x14ac:dyDescent="0.3">
      <c r="A914" t="str">
        <f>정규화데이터!A914</f>
        <v>리씽크</v>
      </c>
      <c r="B914">
        <f>정규화데이터!B914</f>
        <v>2.0260205100247401E+18</v>
      </c>
      <c r="C914" t="str">
        <f>정규화데이터!C914</f>
        <v xml:space="preserve">워커힐 본갈비 3+1 최초❤️5만원대! 총1.2kg✨호텔특제 양념갈비 8인분 (✨1인분 7,375원꼴! / [300g,2인분] x 총 4팩  / ✨초이스등급 본갈비 / ❣️워커힐 </v>
      </c>
      <c r="D914">
        <f>정규화데이터!D914</f>
        <v>143790</v>
      </c>
      <c r="E914" s="16" t="str">
        <f>정규화데이터!E914</f>
        <v>SKU001</v>
      </c>
      <c r="F914" s="3">
        <f>정규화데이터!F914</f>
        <v>1</v>
      </c>
      <c r="G914" s="3">
        <f>정규화데이터!G914</f>
        <v>41363.636363636302</v>
      </c>
      <c r="H914" s="3">
        <f>정규화데이터!H914</f>
        <v>45499.999999999935</v>
      </c>
      <c r="I914" s="3">
        <f>정규화데이터!I914</f>
        <v>45500</v>
      </c>
      <c r="J914" s="3">
        <f>정규화데이터!J914</f>
        <v>41363.636363636302</v>
      </c>
      <c r="K914" s="25">
        <f>정규화데이터!K914</f>
        <v>30748</v>
      </c>
      <c r="L914" s="25">
        <f>정규화데이터!L914</f>
        <v>30748</v>
      </c>
      <c r="M914" s="21">
        <f t="shared" si="28"/>
        <v>10615.636363636302</v>
      </c>
      <c r="N914" s="52">
        <f t="shared" si="29"/>
        <v>0.25664175824175711</v>
      </c>
    </row>
    <row r="915" spans="1:14" x14ac:dyDescent="0.3">
      <c r="A915" t="str">
        <f>정규화데이터!A915</f>
        <v>리씽크</v>
      </c>
      <c r="B915">
        <f>정규화데이터!B915</f>
        <v>2.0260205095056499E+18</v>
      </c>
      <c r="C915" t="str">
        <f>정규화데이터!C915</f>
        <v xml:space="preserve">워커힐 본갈비 3+1 최초❤️5만원대! 총1.2kg✨호텔특제 양념갈비 8인분 (✨1인분 7,375원꼴! / [300g,2인분] x 총 4팩  / ✨초이스등급 본갈비 / ❣️워커힐 </v>
      </c>
      <c r="D915">
        <f>정규화데이터!D915</f>
        <v>143790</v>
      </c>
      <c r="E915" s="16" t="str">
        <f>정규화데이터!E915</f>
        <v>SKU001</v>
      </c>
      <c r="F915" s="3">
        <f>정규화데이터!F915</f>
        <v>1</v>
      </c>
      <c r="G915" s="3">
        <f>정규화데이터!G915</f>
        <v>41363.636363636302</v>
      </c>
      <c r="H915" s="3">
        <f>정규화데이터!H915</f>
        <v>45499.999999999935</v>
      </c>
      <c r="I915" s="3">
        <f>정규화데이터!I915</f>
        <v>45500</v>
      </c>
      <c r="J915" s="3">
        <f>정규화데이터!J915</f>
        <v>41363.636363636302</v>
      </c>
      <c r="K915" s="25">
        <f>정규화데이터!K915</f>
        <v>30748</v>
      </c>
      <c r="L915" s="25">
        <f>정규화데이터!L915</f>
        <v>30748</v>
      </c>
      <c r="M915" s="21">
        <f t="shared" si="28"/>
        <v>10615.636363636302</v>
      </c>
      <c r="N915" s="52">
        <f t="shared" si="29"/>
        <v>0.25664175824175711</v>
      </c>
    </row>
    <row r="916" spans="1:14" x14ac:dyDescent="0.3">
      <c r="A916" t="str">
        <f>정규화데이터!A916</f>
        <v>리씽크</v>
      </c>
      <c r="B916">
        <f>정규화데이터!B916</f>
        <v>2.0260205094735601E+18</v>
      </c>
      <c r="C916" t="str">
        <f>정규화데이터!C916</f>
        <v xml:space="preserve">워커힐 본갈비 3+1 최초❤️5만원대! 총1.2kg✨호텔특제 양념갈비 8인분 (✨1인분 7,375원꼴! / [300g,2인분] x 총 4팩  / ✨초이스등급 본갈비 / ❣️워커힐 </v>
      </c>
      <c r="D916">
        <f>정규화데이터!D916</f>
        <v>143790</v>
      </c>
      <c r="E916" s="16" t="str">
        <f>정규화데이터!E916</f>
        <v>SKU001</v>
      </c>
      <c r="F916" s="3">
        <f>정규화데이터!F916</f>
        <v>1</v>
      </c>
      <c r="G916" s="3">
        <f>정규화데이터!G916</f>
        <v>41363.636363636302</v>
      </c>
      <c r="H916" s="3">
        <f>정규화데이터!H916</f>
        <v>45499.999999999935</v>
      </c>
      <c r="I916" s="3">
        <f>정규화데이터!I916</f>
        <v>45500</v>
      </c>
      <c r="J916" s="3">
        <f>정규화데이터!J916</f>
        <v>41363.636363636302</v>
      </c>
      <c r="K916" s="25">
        <f>정규화데이터!K916</f>
        <v>30748</v>
      </c>
      <c r="L916" s="25">
        <f>정규화데이터!L916</f>
        <v>30748</v>
      </c>
      <c r="M916" s="21">
        <f t="shared" si="28"/>
        <v>10615.636363636302</v>
      </c>
      <c r="N916" s="52">
        <f t="shared" si="29"/>
        <v>0.25664175824175711</v>
      </c>
    </row>
    <row r="917" spans="1:14" x14ac:dyDescent="0.3">
      <c r="A917" t="str">
        <f>정규화데이터!A917</f>
        <v>리씽크</v>
      </c>
      <c r="B917">
        <f>정규화데이터!B917</f>
        <v>2.0260205094305999E+18</v>
      </c>
      <c r="C917" t="str">
        <f>정규화데이터!C917</f>
        <v xml:space="preserve">워커힐 본갈비 3+1 최초❤️5만원대! 총1.2kg✨호텔특제 양념갈비 8인분 (✨1인분 7,375원꼴! / [300g,2인분] x 총 4팩  / ✨초이스등급 본갈비 / ❣️워커힐 </v>
      </c>
      <c r="D917">
        <f>정규화데이터!D917</f>
        <v>143790</v>
      </c>
      <c r="E917" s="16" t="str">
        <f>정규화데이터!E917</f>
        <v>SKU001</v>
      </c>
      <c r="F917" s="3">
        <f>정규화데이터!F917</f>
        <v>1</v>
      </c>
      <c r="G917" s="3">
        <f>정규화데이터!G917</f>
        <v>41363.636363636302</v>
      </c>
      <c r="H917" s="3">
        <f>정규화데이터!H917</f>
        <v>45499.999999999935</v>
      </c>
      <c r="I917" s="3">
        <f>정규화데이터!I917</f>
        <v>45500</v>
      </c>
      <c r="J917" s="3">
        <f>정규화데이터!J917</f>
        <v>41363.636363636302</v>
      </c>
      <c r="K917" s="25">
        <f>정규화데이터!K917</f>
        <v>30748</v>
      </c>
      <c r="L917" s="25">
        <f>정규화데이터!L917</f>
        <v>30748</v>
      </c>
      <c r="M917" s="21">
        <f t="shared" si="28"/>
        <v>10615.636363636302</v>
      </c>
      <c r="N917" s="52">
        <f t="shared" si="29"/>
        <v>0.25664175824175711</v>
      </c>
    </row>
    <row r="918" spans="1:14" x14ac:dyDescent="0.3">
      <c r="A918" t="str">
        <f>정규화데이터!A918</f>
        <v>리씽크</v>
      </c>
      <c r="B918">
        <f>정규화데이터!B918</f>
        <v>2.0260205094337001E+18</v>
      </c>
      <c r="C918" t="str">
        <f>정규화데이터!C918</f>
        <v xml:space="preserve">워커힐 본갈비 3+1 최초❤️5만원대! 총1.2kg✨호텔특제 양념갈비 8인분 (✨1인분 7,375원꼴! / [300g,2인분] x 총 4팩  / ✨초이스등급 본갈비 / ❣️워커힐 </v>
      </c>
      <c r="D918">
        <f>정규화데이터!D918</f>
        <v>143790</v>
      </c>
      <c r="E918" s="16" t="str">
        <f>정규화데이터!E918</f>
        <v>SKU001</v>
      </c>
      <c r="F918" s="3">
        <f>정규화데이터!F918</f>
        <v>1</v>
      </c>
      <c r="G918" s="3">
        <f>정규화데이터!G918</f>
        <v>41363.636363636302</v>
      </c>
      <c r="H918" s="3">
        <f>정규화데이터!H918</f>
        <v>45499.999999999935</v>
      </c>
      <c r="I918" s="3">
        <f>정규화데이터!I918</f>
        <v>45500</v>
      </c>
      <c r="J918" s="3">
        <f>정규화데이터!J918</f>
        <v>41363.636363636302</v>
      </c>
      <c r="K918" s="25">
        <f>정규화데이터!K918</f>
        <v>30748</v>
      </c>
      <c r="L918" s="25">
        <f>정규화데이터!L918</f>
        <v>30748</v>
      </c>
      <c r="M918" s="21">
        <f t="shared" si="28"/>
        <v>10615.636363636302</v>
      </c>
      <c r="N918" s="52">
        <f t="shared" si="29"/>
        <v>0.25664175824175711</v>
      </c>
    </row>
    <row r="919" spans="1:14" x14ac:dyDescent="0.3">
      <c r="A919" t="str">
        <f>정규화데이터!A919</f>
        <v>리씽크</v>
      </c>
      <c r="B919">
        <f>정규화데이터!B919</f>
        <v>2.0260205094230899E+18</v>
      </c>
      <c r="C919" t="str">
        <f>정규화데이터!C919</f>
        <v xml:space="preserve">워커힐 본갈비 3+1 최초❤️5만원대! 총1.2kg✨호텔특제 양념갈비 8인분 (✨1인분 7,375원꼴! / [300g,2인분] x 총 4팩  / ✨초이스등급 본갈비 / ❣️워커힐 </v>
      </c>
      <c r="D919">
        <f>정규화데이터!D919</f>
        <v>143790</v>
      </c>
      <c r="E919" s="16" t="str">
        <f>정규화데이터!E919</f>
        <v>SKU001</v>
      </c>
      <c r="F919" s="3">
        <f>정규화데이터!F919</f>
        <v>1</v>
      </c>
      <c r="G919" s="3">
        <f>정규화데이터!G919</f>
        <v>41363.636363636302</v>
      </c>
      <c r="H919" s="3">
        <f>정규화데이터!H919</f>
        <v>45499.999999999935</v>
      </c>
      <c r="I919" s="3">
        <f>정규화데이터!I919</f>
        <v>45500</v>
      </c>
      <c r="J919" s="3">
        <f>정규화데이터!J919</f>
        <v>41363.636363636302</v>
      </c>
      <c r="K919" s="25">
        <f>정규화데이터!K919</f>
        <v>30748</v>
      </c>
      <c r="L919" s="25">
        <f>정규화데이터!L919</f>
        <v>30748</v>
      </c>
      <c r="M919" s="21">
        <f t="shared" si="28"/>
        <v>10615.636363636302</v>
      </c>
      <c r="N919" s="52">
        <f t="shared" si="29"/>
        <v>0.25664175824175711</v>
      </c>
    </row>
    <row r="920" spans="1:14" x14ac:dyDescent="0.3">
      <c r="A920" t="str">
        <f>정규화데이터!A920</f>
        <v>리씽크</v>
      </c>
      <c r="B920">
        <f>정규화데이터!B920</f>
        <v>2.0260205093831501E+18</v>
      </c>
      <c r="C920" t="str">
        <f>정규화데이터!C920</f>
        <v xml:space="preserve">워커힐 본갈비 3+1 최초❤️5만원대! 총1.2kg✨호텔특제 양념갈비 8인분 (✨1인분 7,375원꼴! / [300g,2인분] x 총 4팩  / ✨초이스등급 본갈비 / ❣️워커힐 </v>
      </c>
      <c r="D920">
        <f>정규화데이터!D920</f>
        <v>143790</v>
      </c>
      <c r="E920" s="16" t="str">
        <f>정규화데이터!E920</f>
        <v>SKU001</v>
      </c>
      <c r="F920" s="3">
        <f>정규화데이터!F920</f>
        <v>2</v>
      </c>
      <c r="G920" s="3">
        <f>정규화데이터!G920</f>
        <v>41363.636363636353</v>
      </c>
      <c r="H920" s="3">
        <f>정규화데이터!H920</f>
        <v>91000</v>
      </c>
      <c r="I920" s="3">
        <f>정규화데이터!I920</f>
        <v>91000</v>
      </c>
      <c r="J920" s="3">
        <f>정규화데이터!J920</f>
        <v>82727.272727272706</v>
      </c>
      <c r="K920" s="25">
        <f>정규화데이터!K920</f>
        <v>30748</v>
      </c>
      <c r="L920" s="25">
        <f>정규화데이터!L920</f>
        <v>61496</v>
      </c>
      <c r="M920" s="21">
        <f t="shared" si="28"/>
        <v>21231.272727272706</v>
      </c>
      <c r="N920" s="52">
        <f t="shared" si="29"/>
        <v>0.25664175824175806</v>
      </c>
    </row>
    <row r="921" spans="1:14" x14ac:dyDescent="0.3">
      <c r="A921" t="str">
        <f>정규화데이터!A921</f>
        <v>리씽크</v>
      </c>
      <c r="B921">
        <f>정규화데이터!B921</f>
        <v>2.0260205093328599E+18</v>
      </c>
      <c r="C921" t="str">
        <f>정규화데이터!C921</f>
        <v xml:space="preserve">워커힐 본갈비 3+1 최초❤️5만원대! 총1.2kg✨호텔특제 양념갈비 8인분 (✨1인분 7,375원꼴! / [300g,2인분] x 총 4팩  / ✨초이스등급 본갈비 / ❣️워커힐 </v>
      </c>
      <c r="D921">
        <f>정규화데이터!D921</f>
        <v>143790</v>
      </c>
      <c r="E921" s="16" t="str">
        <f>정규화데이터!E921</f>
        <v>SKU001</v>
      </c>
      <c r="F921" s="3">
        <f>정규화데이터!F921</f>
        <v>1</v>
      </c>
      <c r="G921" s="3">
        <f>정규화데이터!G921</f>
        <v>41363.636363636302</v>
      </c>
      <c r="H921" s="3">
        <f>정규화데이터!H921</f>
        <v>45499.999999999935</v>
      </c>
      <c r="I921" s="3">
        <f>정규화데이터!I921</f>
        <v>45500</v>
      </c>
      <c r="J921" s="3">
        <f>정규화데이터!J921</f>
        <v>41363.636363636302</v>
      </c>
      <c r="K921" s="25">
        <f>정규화데이터!K921</f>
        <v>30748</v>
      </c>
      <c r="L921" s="25">
        <f>정규화데이터!L921</f>
        <v>30748</v>
      </c>
      <c r="M921" s="21">
        <f t="shared" si="28"/>
        <v>10615.636363636302</v>
      </c>
      <c r="N921" s="52">
        <f t="shared" si="29"/>
        <v>0.25664175824175711</v>
      </c>
    </row>
    <row r="922" spans="1:14" x14ac:dyDescent="0.3">
      <c r="A922" t="str">
        <f>정규화데이터!A922</f>
        <v>리씽크</v>
      </c>
      <c r="B922">
        <f>정규화데이터!B922</f>
        <v>2.0260205093010601E+18</v>
      </c>
      <c r="C922" t="str">
        <f>정규화데이터!C922</f>
        <v xml:space="preserve">워커힐 본갈비 3+1 최초❤️5만원대! 총1.2kg✨호텔특제 양념갈비 8인분 (✨1인분 7,375원꼴! / [300g,2인분] x 총 4팩  / ✨초이스등급 본갈비 / ❣️워커힐 </v>
      </c>
      <c r="D922">
        <f>정규화데이터!D922</f>
        <v>143790</v>
      </c>
      <c r="E922" s="16" t="str">
        <f>정규화데이터!E922</f>
        <v>SKU001</v>
      </c>
      <c r="F922" s="3">
        <f>정규화데이터!F922</f>
        <v>1</v>
      </c>
      <c r="G922" s="3">
        <f>정규화데이터!G922</f>
        <v>41363.636363636302</v>
      </c>
      <c r="H922" s="3">
        <f>정규화데이터!H922</f>
        <v>45499.999999999935</v>
      </c>
      <c r="I922" s="3">
        <f>정규화데이터!I922</f>
        <v>45500</v>
      </c>
      <c r="J922" s="3">
        <f>정규화데이터!J922</f>
        <v>41363.636363636302</v>
      </c>
      <c r="K922" s="25">
        <f>정규화데이터!K922</f>
        <v>30748</v>
      </c>
      <c r="L922" s="25">
        <f>정규화데이터!L922</f>
        <v>30748</v>
      </c>
      <c r="M922" s="21">
        <f t="shared" si="28"/>
        <v>10615.636363636302</v>
      </c>
      <c r="N922" s="52">
        <f t="shared" si="29"/>
        <v>0.25664175824175711</v>
      </c>
    </row>
    <row r="923" spans="1:14" x14ac:dyDescent="0.3">
      <c r="A923" t="str">
        <f>정규화데이터!A923</f>
        <v>리씽크</v>
      </c>
      <c r="B923">
        <f>정규화데이터!B923</f>
        <v>2.02602050925264E+18</v>
      </c>
      <c r="C923" t="str">
        <f>정규화데이터!C923</f>
        <v xml:space="preserve">워커힐 본갈비 3+1 최초❤️5만원대! 총1.2kg✨호텔특제 양념갈비 8인분 (✨1인분 7,375원꼴! / [300g,2인분] x 총 4팩  / ✨초이스등급 본갈비 / ❣️워커힐 </v>
      </c>
      <c r="D923">
        <f>정규화데이터!D923</f>
        <v>143790</v>
      </c>
      <c r="E923" s="16" t="str">
        <f>정규화데이터!E923</f>
        <v>SKU001</v>
      </c>
      <c r="F923" s="3">
        <f>정규화데이터!F923</f>
        <v>1</v>
      </c>
      <c r="G923" s="3">
        <f>정규화데이터!G923</f>
        <v>41363.636363636302</v>
      </c>
      <c r="H923" s="3">
        <f>정규화데이터!H923</f>
        <v>45499.999999999935</v>
      </c>
      <c r="I923" s="3">
        <f>정규화데이터!I923</f>
        <v>45500</v>
      </c>
      <c r="J923" s="3">
        <f>정규화데이터!J923</f>
        <v>41363.636363636302</v>
      </c>
      <c r="K923" s="25">
        <f>정규화데이터!K923</f>
        <v>30748</v>
      </c>
      <c r="L923" s="25">
        <f>정규화데이터!L923</f>
        <v>30748</v>
      </c>
      <c r="M923" s="21">
        <f t="shared" si="28"/>
        <v>10615.636363636302</v>
      </c>
      <c r="N923" s="52">
        <f t="shared" si="29"/>
        <v>0.25664175824175711</v>
      </c>
    </row>
    <row r="924" spans="1:14" x14ac:dyDescent="0.3">
      <c r="A924" t="str">
        <f>정규화데이터!A924</f>
        <v>리씽크</v>
      </c>
      <c r="B924">
        <f>정규화데이터!B924</f>
        <v>2.02602050919327E+18</v>
      </c>
      <c r="C924" t="str">
        <f>정규화데이터!C924</f>
        <v xml:space="preserve">워커힐 본갈비 3+1 최초❤️5만원대! 총1.2kg✨호텔특제 양념갈비 8인분 (✨1인분 7,375원꼴! / [300g,2인분] x 총 4팩  / ✨초이스등급 본갈비 / ❣️워커힐 </v>
      </c>
      <c r="D924">
        <f>정규화데이터!D924</f>
        <v>143790</v>
      </c>
      <c r="E924" s="16" t="str">
        <f>정규화데이터!E924</f>
        <v>SKU001</v>
      </c>
      <c r="F924" s="3">
        <f>정규화데이터!F924</f>
        <v>1</v>
      </c>
      <c r="G924" s="3">
        <f>정규화데이터!G924</f>
        <v>41363.636363636302</v>
      </c>
      <c r="H924" s="3">
        <f>정규화데이터!H924</f>
        <v>45499.999999999935</v>
      </c>
      <c r="I924" s="3">
        <f>정규화데이터!I924</f>
        <v>45500</v>
      </c>
      <c r="J924" s="3">
        <f>정규화데이터!J924</f>
        <v>41363.636363636302</v>
      </c>
      <c r="K924" s="25">
        <f>정규화데이터!K924</f>
        <v>30748</v>
      </c>
      <c r="L924" s="25">
        <f>정규화데이터!L924</f>
        <v>30748</v>
      </c>
      <c r="M924" s="21">
        <f t="shared" si="28"/>
        <v>10615.636363636302</v>
      </c>
      <c r="N924" s="52">
        <f t="shared" si="29"/>
        <v>0.25664175824175711</v>
      </c>
    </row>
    <row r="925" spans="1:14" x14ac:dyDescent="0.3">
      <c r="A925" t="str">
        <f>정규화데이터!A925</f>
        <v>리씽크</v>
      </c>
      <c r="B925">
        <f>정규화데이터!B925</f>
        <v>2.0260205091626299E+18</v>
      </c>
      <c r="C925" t="str">
        <f>정규화데이터!C925</f>
        <v xml:space="preserve">워커힐 본갈비 3+1 최초❤️5만원대! 총1.2kg✨호텔특제 양념갈비 8인분 (✨1인분 7,375원꼴! / [300g,2인분] x 총 4팩  / ✨초이스등급 본갈비 / ❣️워커힐 </v>
      </c>
      <c r="D925">
        <f>정규화데이터!D925</f>
        <v>143790</v>
      </c>
      <c r="E925" s="16" t="str">
        <f>정규화데이터!E925</f>
        <v>SKU001</v>
      </c>
      <c r="F925" s="3">
        <f>정규화데이터!F925</f>
        <v>1</v>
      </c>
      <c r="G925" s="3">
        <f>정규화데이터!G925</f>
        <v>41363.636363636302</v>
      </c>
      <c r="H925" s="3">
        <f>정규화데이터!H925</f>
        <v>45499.999999999935</v>
      </c>
      <c r="I925" s="3">
        <f>정규화데이터!I925</f>
        <v>45500</v>
      </c>
      <c r="J925" s="3">
        <f>정규화데이터!J925</f>
        <v>41363.636363636302</v>
      </c>
      <c r="K925" s="25">
        <f>정규화데이터!K925</f>
        <v>30748</v>
      </c>
      <c r="L925" s="25">
        <f>정규화데이터!L925</f>
        <v>30748</v>
      </c>
      <c r="M925" s="21">
        <f t="shared" si="28"/>
        <v>10615.636363636302</v>
      </c>
      <c r="N925" s="52">
        <f t="shared" si="29"/>
        <v>0.25664175824175711</v>
      </c>
    </row>
    <row r="926" spans="1:14" x14ac:dyDescent="0.3">
      <c r="A926" t="str">
        <f>정규화데이터!A926</f>
        <v>리씽크</v>
      </c>
      <c r="B926">
        <f>정규화데이터!B926</f>
        <v>2.0260205091303199E+18</v>
      </c>
      <c r="C926" t="str">
        <f>정규화데이터!C926</f>
        <v xml:space="preserve">워커힐 본갈비 3+1 최초❤️5만원대! 총1.2kg✨호텔특제 양념갈비 8인분 (✨1인분 7,375원꼴! / [300g,2인분] x 총 4팩  / ✨초이스등급 본갈비 / ❣️워커힐 </v>
      </c>
      <c r="D926">
        <f>정규화데이터!D926</f>
        <v>143790</v>
      </c>
      <c r="E926" s="16" t="str">
        <f>정규화데이터!E926</f>
        <v>SKU001</v>
      </c>
      <c r="F926" s="3">
        <f>정규화데이터!F926</f>
        <v>1</v>
      </c>
      <c r="G926" s="3">
        <f>정규화데이터!G926</f>
        <v>41363.636363636302</v>
      </c>
      <c r="H926" s="3">
        <f>정규화데이터!H926</f>
        <v>45499.999999999935</v>
      </c>
      <c r="I926" s="3">
        <f>정규화데이터!I926</f>
        <v>45500</v>
      </c>
      <c r="J926" s="3">
        <f>정규화데이터!J926</f>
        <v>41363.636363636302</v>
      </c>
      <c r="K926" s="25">
        <f>정규화데이터!K926</f>
        <v>30748</v>
      </c>
      <c r="L926" s="25">
        <f>정규화데이터!L926</f>
        <v>30748</v>
      </c>
      <c r="M926" s="21">
        <f t="shared" si="28"/>
        <v>10615.636363636302</v>
      </c>
      <c r="N926" s="52">
        <f t="shared" si="29"/>
        <v>0.25664175824175711</v>
      </c>
    </row>
    <row r="927" spans="1:14" x14ac:dyDescent="0.3">
      <c r="A927" t="str">
        <f>정규화데이터!A927</f>
        <v>리씽크</v>
      </c>
      <c r="B927">
        <f>정규화데이터!B927</f>
        <v>2.0260205091251999E+18</v>
      </c>
      <c r="C927" t="str">
        <f>정규화데이터!C927</f>
        <v xml:space="preserve">워커힐 본갈비 3+1 최초❤️5만원대! 총1.2kg✨호텔특제 양념갈비 8인분 (✨1인분 7,375원꼴! / [300g,2인분] x 총 4팩  / ✨초이스등급 본갈비 / ❣️워커힐 </v>
      </c>
      <c r="D927">
        <f>정규화데이터!D927</f>
        <v>143790</v>
      </c>
      <c r="E927" s="16" t="str">
        <f>정규화데이터!E927</f>
        <v>SKU001</v>
      </c>
      <c r="F927" s="3">
        <f>정규화데이터!F927</f>
        <v>1</v>
      </c>
      <c r="G927" s="3">
        <f>정규화데이터!G927</f>
        <v>41363.636363636302</v>
      </c>
      <c r="H927" s="3">
        <f>정규화데이터!H927</f>
        <v>45499.999999999935</v>
      </c>
      <c r="I927" s="3">
        <f>정규화데이터!I927</f>
        <v>45500</v>
      </c>
      <c r="J927" s="3">
        <f>정규화데이터!J927</f>
        <v>41363.636363636302</v>
      </c>
      <c r="K927" s="25">
        <f>정규화데이터!K927</f>
        <v>30748</v>
      </c>
      <c r="L927" s="25">
        <f>정규화데이터!L927</f>
        <v>30748</v>
      </c>
      <c r="M927" s="21">
        <f t="shared" si="28"/>
        <v>10615.636363636302</v>
      </c>
      <c r="N927" s="52">
        <f t="shared" si="29"/>
        <v>0.25664175824175711</v>
      </c>
    </row>
    <row r="928" spans="1:14" x14ac:dyDescent="0.3">
      <c r="A928" t="str">
        <f>정규화데이터!A928</f>
        <v>리씽크</v>
      </c>
      <c r="B928">
        <f>정규화데이터!B928</f>
        <v>2.0260205090842701E+18</v>
      </c>
      <c r="C928" t="str">
        <f>정규화데이터!C928</f>
        <v xml:space="preserve">워커힐 본갈비 3+1 최초❤️5만원대! 총1.2kg✨호텔특제 양념갈비 8인분 (✨1인분 7,375원꼴! / [300g,2인분] x 총 4팩  / ✨초이스등급 본갈비 / ❣️워커힐 </v>
      </c>
      <c r="D928">
        <f>정규화데이터!D928</f>
        <v>143790</v>
      </c>
      <c r="E928" s="16" t="str">
        <f>정규화데이터!E928</f>
        <v>SKU001</v>
      </c>
      <c r="F928" s="3">
        <f>정규화데이터!F928</f>
        <v>1</v>
      </c>
      <c r="G928" s="3">
        <f>정규화데이터!G928</f>
        <v>41363.636363636302</v>
      </c>
      <c r="H928" s="3">
        <f>정규화데이터!H928</f>
        <v>45499.999999999935</v>
      </c>
      <c r="I928" s="3">
        <f>정규화데이터!I928</f>
        <v>45500</v>
      </c>
      <c r="J928" s="3">
        <f>정규화데이터!J928</f>
        <v>41363.636363636302</v>
      </c>
      <c r="K928" s="25">
        <f>정규화데이터!K928</f>
        <v>30748</v>
      </c>
      <c r="L928" s="25">
        <f>정규화데이터!L928</f>
        <v>30748</v>
      </c>
      <c r="M928" s="21">
        <f t="shared" si="28"/>
        <v>10615.636363636302</v>
      </c>
      <c r="N928" s="52">
        <f t="shared" si="29"/>
        <v>0.25664175824175711</v>
      </c>
    </row>
    <row r="929" spans="1:14" x14ac:dyDescent="0.3">
      <c r="A929" t="str">
        <f>정규화데이터!A929</f>
        <v>리씽크</v>
      </c>
      <c r="B929">
        <f>정규화데이터!B929</f>
        <v>2.0260205090740301E+18</v>
      </c>
      <c r="C929" t="str">
        <f>정규화데이터!C929</f>
        <v xml:space="preserve">워커힐 본갈비 3+1 최초❤️5만원대! 총1.2kg✨호텔특제 양념갈비 8인분 (✨1인분 7,375원꼴! / [300g,2인분] x 총 4팩  / ✨초이스등급 본갈비 / ❣️워커힐 </v>
      </c>
      <c r="D929">
        <f>정규화데이터!D929</f>
        <v>143790</v>
      </c>
      <c r="E929" s="16" t="str">
        <f>정규화데이터!E929</f>
        <v>SKU001</v>
      </c>
      <c r="F929" s="3">
        <f>정규화데이터!F929</f>
        <v>1</v>
      </c>
      <c r="G929" s="3">
        <f>정규화데이터!G929</f>
        <v>41363.636363636302</v>
      </c>
      <c r="H929" s="3">
        <f>정규화데이터!H929</f>
        <v>45499.999999999935</v>
      </c>
      <c r="I929" s="3">
        <f>정규화데이터!I929</f>
        <v>45500</v>
      </c>
      <c r="J929" s="3">
        <f>정규화데이터!J929</f>
        <v>41363.636363636302</v>
      </c>
      <c r="K929" s="25">
        <f>정규화데이터!K929</f>
        <v>30748</v>
      </c>
      <c r="L929" s="25">
        <f>정규화데이터!L929</f>
        <v>30748</v>
      </c>
      <c r="M929" s="21">
        <f t="shared" si="28"/>
        <v>10615.636363636302</v>
      </c>
      <c r="N929" s="52">
        <f t="shared" si="29"/>
        <v>0.25664175824175711</v>
      </c>
    </row>
    <row r="930" spans="1:14" x14ac:dyDescent="0.3">
      <c r="A930" t="str">
        <f>정규화데이터!A930</f>
        <v>리씽크</v>
      </c>
      <c r="B930">
        <f>정규화데이터!B930</f>
        <v>2.0260205090347699E+18</v>
      </c>
      <c r="C930" t="str">
        <f>정규화데이터!C930</f>
        <v xml:space="preserve">워커힐 본갈비 3+1 최초❤️5만원대! 총1.2kg✨호텔특제 양념갈비 8인분 (✨1인분 7,375원꼴! / [300g,2인분] x 총 4팩  / ✨초이스등급 본갈비 / ❣️워커힐 </v>
      </c>
      <c r="D930">
        <f>정규화데이터!D930</f>
        <v>143790</v>
      </c>
      <c r="E930" s="16" t="str">
        <f>정규화데이터!E930</f>
        <v>SKU001</v>
      </c>
      <c r="F930" s="3">
        <f>정규화데이터!F930</f>
        <v>1</v>
      </c>
      <c r="G930" s="3">
        <f>정규화데이터!G930</f>
        <v>41363.636363636302</v>
      </c>
      <c r="H930" s="3">
        <f>정규화데이터!H930</f>
        <v>45499.999999999935</v>
      </c>
      <c r="I930" s="3">
        <f>정규화데이터!I930</f>
        <v>45500</v>
      </c>
      <c r="J930" s="3">
        <f>정규화데이터!J930</f>
        <v>41363.636363636302</v>
      </c>
      <c r="K930" s="25">
        <f>정규화데이터!K930</f>
        <v>30748</v>
      </c>
      <c r="L930" s="25">
        <f>정규화데이터!L930</f>
        <v>30748</v>
      </c>
      <c r="M930" s="21">
        <f t="shared" si="28"/>
        <v>10615.636363636302</v>
      </c>
      <c r="N930" s="52">
        <f t="shared" si="29"/>
        <v>0.25664175824175711</v>
      </c>
    </row>
    <row r="931" spans="1:14" x14ac:dyDescent="0.3">
      <c r="A931" t="str">
        <f>정규화데이터!A931</f>
        <v>리씽크</v>
      </c>
      <c r="B931">
        <f>정규화데이터!B931</f>
        <v>2.02602050900546E+18</v>
      </c>
      <c r="C931" t="str">
        <f>정규화데이터!C931</f>
        <v xml:space="preserve">워커힐 본갈비 3+1 최초❤️5만원대! 총1.2kg✨호텔특제 양념갈비 8인분 (✨1인분 7,375원꼴! / [300g,2인분] x 총 4팩  / ✨초이스등급 본갈비 / ❣️워커힐 </v>
      </c>
      <c r="D931">
        <f>정규화데이터!D931</f>
        <v>143790</v>
      </c>
      <c r="E931" s="16" t="str">
        <f>정규화데이터!E931</f>
        <v>SKU001</v>
      </c>
      <c r="F931" s="3">
        <f>정규화데이터!F931</f>
        <v>2</v>
      </c>
      <c r="G931" s="3">
        <f>정규화데이터!G931</f>
        <v>41363.636363636353</v>
      </c>
      <c r="H931" s="3">
        <f>정규화데이터!H931</f>
        <v>91000</v>
      </c>
      <c r="I931" s="3">
        <f>정규화데이터!I931</f>
        <v>91000</v>
      </c>
      <c r="J931" s="3">
        <f>정규화데이터!J931</f>
        <v>82727.272727272706</v>
      </c>
      <c r="K931" s="25">
        <f>정규화데이터!K931</f>
        <v>30748</v>
      </c>
      <c r="L931" s="25">
        <f>정규화데이터!L931</f>
        <v>61496</v>
      </c>
      <c r="M931" s="21">
        <f t="shared" si="28"/>
        <v>21231.272727272706</v>
      </c>
      <c r="N931" s="52">
        <f t="shared" si="29"/>
        <v>0.25664175824175806</v>
      </c>
    </row>
    <row r="932" spans="1:14" x14ac:dyDescent="0.3">
      <c r="A932" t="str">
        <f>정규화데이터!A932</f>
        <v>리씽크</v>
      </c>
      <c r="B932">
        <f>정규화데이터!B932</f>
        <v>2.0260205090016499E+18</v>
      </c>
      <c r="C932" t="str">
        <f>정규화데이터!C932</f>
        <v xml:space="preserve">워커힐 본갈비 3+1 최초❤️5만원대! 총1.2kg✨호텔특제 양념갈비 8인분 (✨1인분 7,375원꼴! / [300g,2인분] x 총 4팩  / ✨초이스등급 본갈비 / ❣️워커힐 </v>
      </c>
      <c r="D932">
        <f>정규화데이터!D932</f>
        <v>143790</v>
      </c>
      <c r="E932" s="16" t="str">
        <f>정규화데이터!E932</f>
        <v>SKU001</v>
      </c>
      <c r="F932" s="3">
        <f>정규화데이터!F932</f>
        <v>1</v>
      </c>
      <c r="G932" s="3">
        <f>정규화데이터!G932</f>
        <v>41363.636363636302</v>
      </c>
      <c r="H932" s="3">
        <f>정규화데이터!H932</f>
        <v>45499.999999999935</v>
      </c>
      <c r="I932" s="3">
        <f>정규화데이터!I932</f>
        <v>45500</v>
      </c>
      <c r="J932" s="3">
        <f>정규화데이터!J932</f>
        <v>41363.636363636302</v>
      </c>
      <c r="K932" s="25">
        <f>정규화데이터!K932</f>
        <v>30748</v>
      </c>
      <c r="L932" s="25">
        <f>정규화데이터!L932</f>
        <v>30748</v>
      </c>
      <c r="M932" s="21">
        <f t="shared" si="28"/>
        <v>10615.636363636302</v>
      </c>
      <c r="N932" s="52">
        <f t="shared" si="29"/>
        <v>0.25664175824175711</v>
      </c>
    </row>
    <row r="933" spans="1:14" x14ac:dyDescent="0.3">
      <c r="A933" t="str">
        <f>정규화데이터!A933</f>
        <v>리씽크</v>
      </c>
      <c r="B933">
        <f>정규화데이터!B933</f>
        <v>2.02602050837278E+18</v>
      </c>
      <c r="C933" t="str">
        <f>정규화데이터!C933</f>
        <v xml:space="preserve">워커힐 본갈비 3+1 최초❤️5만원대! 총1.2kg✨호텔특제 양념갈비 8인분 (✨1인분 7,375원꼴! / [300g,2인분] x 총 4팩  / ✨초이스등급 본갈비 / ❣️워커힐 </v>
      </c>
      <c r="D933">
        <f>정규화데이터!D933</f>
        <v>143790</v>
      </c>
      <c r="E933" s="16" t="str">
        <f>정규화데이터!E933</f>
        <v>SKU001</v>
      </c>
      <c r="F933" s="3">
        <f>정규화데이터!F933</f>
        <v>3</v>
      </c>
      <c r="G933" s="3">
        <f>정규화데이터!G933</f>
        <v>41363.636363636331</v>
      </c>
      <c r="H933" s="3">
        <f>정규화데이터!H933</f>
        <v>136499.99999999991</v>
      </c>
      <c r="I933" s="3">
        <f>정규화데이터!I933</f>
        <v>136500</v>
      </c>
      <c r="J933" s="3">
        <f>정규화데이터!J933</f>
        <v>124090.909090909</v>
      </c>
      <c r="K933" s="25">
        <f>정규화데이터!K933</f>
        <v>30748</v>
      </c>
      <c r="L933" s="25">
        <f>정규화데이터!L933</f>
        <v>92244</v>
      </c>
      <c r="M933" s="21">
        <f t="shared" si="28"/>
        <v>31846.909090909001</v>
      </c>
      <c r="N933" s="52">
        <f t="shared" si="29"/>
        <v>0.25664175824175772</v>
      </c>
    </row>
    <row r="934" spans="1:14" x14ac:dyDescent="0.3">
      <c r="A934" t="str">
        <f>정규화데이터!A934</f>
        <v>리씽크</v>
      </c>
      <c r="B934">
        <f>정규화데이터!B934</f>
        <v>2.02602050854272E+18</v>
      </c>
      <c r="C934" t="str">
        <f>정규화데이터!C934</f>
        <v xml:space="preserve">워커힐 본갈비 3+1 최초❤️5만원대! 총1.2kg✨호텔특제 양념갈비 8인분 (✨1인분 7,375원꼴! / [300g,2인분] x 총 4팩  / ✨초이스등급 본갈비 / ❣️워커힐 </v>
      </c>
      <c r="D934">
        <f>정규화데이터!D934</f>
        <v>143790</v>
      </c>
      <c r="E934" s="16" t="str">
        <f>정규화데이터!E934</f>
        <v>SKU001</v>
      </c>
      <c r="F934" s="3">
        <f>정규화데이터!F934</f>
        <v>1</v>
      </c>
      <c r="G934" s="3">
        <f>정규화데이터!G934</f>
        <v>41363.636363636302</v>
      </c>
      <c r="H934" s="3">
        <f>정규화데이터!H934</f>
        <v>45499.999999999935</v>
      </c>
      <c r="I934" s="3">
        <f>정규화데이터!I934</f>
        <v>45500</v>
      </c>
      <c r="J934" s="3">
        <f>정규화데이터!J934</f>
        <v>41363.636363636302</v>
      </c>
      <c r="K934" s="25">
        <f>정규화데이터!K934</f>
        <v>30748</v>
      </c>
      <c r="L934" s="25">
        <f>정규화데이터!L934</f>
        <v>30748</v>
      </c>
      <c r="M934" s="21">
        <f t="shared" si="28"/>
        <v>10615.636363636302</v>
      </c>
      <c r="N934" s="52">
        <f t="shared" si="29"/>
        <v>0.25664175824175711</v>
      </c>
    </row>
    <row r="935" spans="1:14" x14ac:dyDescent="0.3">
      <c r="A935" t="str">
        <f>정규화데이터!A935</f>
        <v>리씽크</v>
      </c>
      <c r="B935">
        <f>정규화데이터!B935</f>
        <v>2.0260205085447501E+18</v>
      </c>
      <c r="C935" t="str">
        <f>정규화데이터!C935</f>
        <v xml:space="preserve">워커힐 본갈비 3+1 최초❤️5만원대! 총1.2kg✨호텔특제 양념갈비 8인분 (✨1인분 7,375원꼴! / [300g,2인분] x 총 4팩  / ✨초이스등급 본갈비 / ❣️워커힐 </v>
      </c>
      <c r="D935">
        <f>정규화데이터!D935</f>
        <v>143790</v>
      </c>
      <c r="E935" s="16" t="str">
        <f>정규화데이터!E935</f>
        <v>SKU001</v>
      </c>
      <c r="F935" s="3">
        <f>정규화데이터!F935</f>
        <v>1</v>
      </c>
      <c r="G935" s="3">
        <f>정규화데이터!G935</f>
        <v>41363.636363636302</v>
      </c>
      <c r="H935" s="3">
        <f>정규화데이터!H935</f>
        <v>45499.999999999935</v>
      </c>
      <c r="I935" s="3">
        <f>정규화데이터!I935</f>
        <v>45500</v>
      </c>
      <c r="J935" s="3">
        <f>정규화데이터!J935</f>
        <v>41363.636363636302</v>
      </c>
      <c r="K935" s="25">
        <f>정규화데이터!K935</f>
        <v>30748</v>
      </c>
      <c r="L935" s="25">
        <f>정규화데이터!L935</f>
        <v>30748</v>
      </c>
      <c r="M935" s="21">
        <f t="shared" si="28"/>
        <v>10615.636363636302</v>
      </c>
      <c r="N935" s="52">
        <f t="shared" si="29"/>
        <v>0.25664175824175711</v>
      </c>
    </row>
    <row r="936" spans="1:14" x14ac:dyDescent="0.3">
      <c r="A936" t="str">
        <f>정규화데이터!A936</f>
        <v>리씽크</v>
      </c>
      <c r="B936">
        <f>정규화데이터!B936</f>
        <v>2.02602050847137E+18</v>
      </c>
      <c r="C936" t="str">
        <f>정규화데이터!C936</f>
        <v xml:space="preserve">워커힐 본갈비 3+1 최초❤️5만원대! 총1.2kg✨호텔특제 양념갈비 8인분 (✨1인분 7,375원꼴! / [300g,2인분] x 총 4팩  / ✨초이스등급 본갈비 / ❣️워커힐 </v>
      </c>
      <c r="D936">
        <f>정규화데이터!D936</f>
        <v>143790</v>
      </c>
      <c r="E936" s="16" t="str">
        <f>정규화데이터!E936</f>
        <v>SKU001</v>
      </c>
      <c r="F936" s="3">
        <f>정규화데이터!F936</f>
        <v>1</v>
      </c>
      <c r="G936" s="3">
        <f>정규화데이터!G936</f>
        <v>41363.636363636302</v>
      </c>
      <c r="H936" s="3">
        <f>정규화데이터!H936</f>
        <v>45499.999999999935</v>
      </c>
      <c r="I936" s="3">
        <f>정규화데이터!I936</f>
        <v>45500</v>
      </c>
      <c r="J936" s="3">
        <f>정규화데이터!J936</f>
        <v>41363.636363636302</v>
      </c>
      <c r="K936" s="25">
        <f>정규화데이터!K936</f>
        <v>30748</v>
      </c>
      <c r="L936" s="25">
        <f>정규화데이터!L936</f>
        <v>30748</v>
      </c>
      <c r="M936" s="21">
        <f t="shared" si="28"/>
        <v>10615.636363636302</v>
      </c>
      <c r="N936" s="52">
        <f t="shared" si="29"/>
        <v>0.25664175824175711</v>
      </c>
    </row>
    <row r="937" spans="1:14" x14ac:dyDescent="0.3">
      <c r="A937" t="str">
        <f>정규화데이터!A937</f>
        <v>리씽크</v>
      </c>
      <c r="B937">
        <f>정규화데이터!B937</f>
        <v>2.02602050849389E+18</v>
      </c>
      <c r="C937" t="str">
        <f>정규화데이터!C937</f>
        <v xml:space="preserve">워커힐 본갈비 3+1 최초❤️5만원대! 총1.2kg✨호텔특제 양념갈비 8인분 (✨1인분 7,375원꼴! / [300g,2인분] x 총 4팩  / ✨초이스등급 본갈비 / ❣️워커힐 </v>
      </c>
      <c r="D937">
        <f>정규화데이터!D937</f>
        <v>143790</v>
      </c>
      <c r="E937" s="16" t="str">
        <f>정규화데이터!E937</f>
        <v>SKU001</v>
      </c>
      <c r="F937" s="3">
        <f>정규화데이터!F937</f>
        <v>1</v>
      </c>
      <c r="G937" s="3">
        <f>정규화데이터!G937</f>
        <v>41363.636363636302</v>
      </c>
      <c r="H937" s="3">
        <f>정규화데이터!H937</f>
        <v>45499.999999999935</v>
      </c>
      <c r="I937" s="3">
        <f>정규화데이터!I937</f>
        <v>45500</v>
      </c>
      <c r="J937" s="3">
        <f>정규화데이터!J937</f>
        <v>41363.636363636302</v>
      </c>
      <c r="K937" s="25">
        <f>정규화데이터!K937</f>
        <v>30748</v>
      </c>
      <c r="L937" s="25">
        <f>정규화데이터!L937</f>
        <v>30748</v>
      </c>
      <c r="M937" s="21">
        <f t="shared" si="28"/>
        <v>10615.636363636302</v>
      </c>
      <c r="N937" s="52">
        <f t="shared" si="29"/>
        <v>0.25664175824175711</v>
      </c>
    </row>
    <row r="938" spans="1:14" x14ac:dyDescent="0.3">
      <c r="A938" t="str">
        <f>정규화데이터!A938</f>
        <v>리씽크</v>
      </c>
      <c r="B938">
        <f>정규화데이터!B938</f>
        <v>2.02602050848349E+18</v>
      </c>
      <c r="C938" t="str">
        <f>정규화데이터!C938</f>
        <v xml:space="preserve">워커힐 본갈비 3+1 최초❤️5만원대! 총1.2kg✨호텔특제 양념갈비 8인분 (✨1인분 7,375원꼴! / [300g,2인분] x 총 4팩  / ✨초이스등급 본갈비 / ❣️워커힐 </v>
      </c>
      <c r="D938">
        <f>정규화데이터!D938</f>
        <v>143790</v>
      </c>
      <c r="E938" s="16" t="str">
        <f>정규화데이터!E938</f>
        <v>SKU001</v>
      </c>
      <c r="F938" s="3">
        <f>정규화데이터!F938</f>
        <v>1</v>
      </c>
      <c r="G938" s="3">
        <f>정규화데이터!G938</f>
        <v>41363.636363636302</v>
      </c>
      <c r="H938" s="3">
        <f>정규화데이터!H938</f>
        <v>45499.999999999935</v>
      </c>
      <c r="I938" s="3">
        <f>정규화데이터!I938</f>
        <v>45500</v>
      </c>
      <c r="J938" s="3">
        <f>정규화데이터!J938</f>
        <v>41363.636363636302</v>
      </c>
      <c r="K938" s="25">
        <f>정규화데이터!K938</f>
        <v>30748</v>
      </c>
      <c r="L938" s="25">
        <f>정규화데이터!L938</f>
        <v>30748</v>
      </c>
      <c r="M938" s="21">
        <f t="shared" si="28"/>
        <v>10615.636363636302</v>
      </c>
      <c r="N938" s="52">
        <f t="shared" si="29"/>
        <v>0.25664175824175711</v>
      </c>
    </row>
    <row r="939" spans="1:14" x14ac:dyDescent="0.3">
      <c r="A939" t="str">
        <f>정규화데이터!A939</f>
        <v>리씽크</v>
      </c>
      <c r="B939">
        <f>정규화데이터!B939</f>
        <v>2.0260205084509901E+18</v>
      </c>
      <c r="C939" t="str">
        <f>정규화데이터!C939</f>
        <v xml:space="preserve">워커힐 본갈비 3+1 최초❤️5만원대! 총1.2kg✨호텔특제 양념갈비 8인분 (✨1인분 7,375원꼴! / [300g,2인분] x 총 4팩  / ✨초이스등급 본갈비 / ❣️워커힐 </v>
      </c>
      <c r="D939">
        <f>정규화데이터!D939</f>
        <v>143790</v>
      </c>
      <c r="E939" s="16" t="str">
        <f>정규화데이터!E939</f>
        <v>SKU001</v>
      </c>
      <c r="F939" s="3">
        <f>정규화데이터!F939</f>
        <v>1</v>
      </c>
      <c r="G939" s="3">
        <f>정규화데이터!G939</f>
        <v>41363.636363636302</v>
      </c>
      <c r="H939" s="3">
        <f>정규화데이터!H939</f>
        <v>45499.999999999935</v>
      </c>
      <c r="I939" s="3">
        <f>정규화데이터!I939</f>
        <v>45500</v>
      </c>
      <c r="J939" s="3">
        <f>정규화데이터!J939</f>
        <v>41363.636363636302</v>
      </c>
      <c r="K939" s="25">
        <f>정규화데이터!K939</f>
        <v>30748</v>
      </c>
      <c r="L939" s="25">
        <f>정규화데이터!L939</f>
        <v>30748</v>
      </c>
      <c r="M939" s="21">
        <f t="shared" si="28"/>
        <v>10615.636363636302</v>
      </c>
      <c r="N939" s="52">
        <f t="shared" si="29"/>
        <v>0.25664175824175711</v>
      </c>
    </row>
    <row r="940" spans="1:14" x14ac:dyDescent="0.3">
      <c r="A940" t="str">
        <f>정규화데이터!A940</f>
        <v>리씽크</v>
      </c>
      <c r="B940">
        <f>정규화데이터!B940</f>
        <v>2.02602050842125E+18</v>
      </c>
      <c r="C940" t="str">
        <f>정규화데이터!C940</f>
        <v xml:space="preserve">워커힐 본갈비 3+1 최초❤️5만원대! 총1.2kg✨호텔특제 양념갈비 8인분 (✨1인분 7,375원꼴! / [300g,2인분] x 총 4팩  / ✨초이스등급 본갈비 / ❣️워커힐 </v>
      </c>
      <c r="D940">
        <f>정규화데이터!D940</f>
        <v>143790</v>
      </c>
      <c r="E940" s="16" t="str">
        <f>정규화데이터!E940</f>
        <v>SKU001</v>
      </c>
      <c r="F940" s="3">
        <f>정규화데이터!F940</f>
        <v>1</v>
      </c>
      <c r="G940" s="3">
        <f>정규화데이터!G940</f>
        <v>41363.636363636302</v>
      </c>
      <c r="H940" s="3">
        <f>정규화데이터!H940</f>
        <v>45499.999999999935</v>
      </c>
      <c r="I940" s="3">
        <f>정규화데이터!I940</f>
        <v>45500</v>
      </c>
      <c r="J940" s="3">
        <f>정규화데이터!J940</f>
        <v>41363.636363636302</v>
      </c>
      <c r="K940" s="25">
        <f>정규화데이터!K940</f>
        <v>30748</v>
      </c>
      <c r="L940" s="25">
        <f>정규화데이터!L940</f>
        <v>30748</v>
      </c>
      <c r="M940" s="21">
        <f t="shared" si="28"/>
        <v>10615.636363636302</v>
      </c>
      <c r="N940" s="52">
        <f t="shared" si="29"/>
        <v>0.25664175824175711</v>
      </c>
    </row>
    <row r="941" spans="1:14" x14ac:dyDescent="0.3">
      <c r="A941" t="str">
        <f>정규화데이터!A941</f>
        <v>리씽크</v>
      </c>
      <c r="B941">
        <f>정규화데이터!B941</f>
        <v>2.02602050843263E+18</v>
      </c>
      <c r="C941" t="str">
        <f>정규화데이터!C941</f>
        <v xml:space="preserve">워커힐 본갈비 3+1 최초❤️5만원대! 총1.2kg✨호텔특제 양념갈비 8인분 (✨1인분 7,375원꼴! / [300g,2인분] x 총 4팩  / ✨초이스등급 본갈비 / ❣️워커힐 </v>
      </c>
      <c r="D941">
        <f>정규화데이터!D941</f>
        <v>143790</v>
      </c>
      <c r="E941" s="16" t="str">
        <f>정규화데이터!E941</f>
        <v>SKU001</v>
      </c>
      <c r="F941" s="3">
        <f>정규화데이터!F941</f>
        <v>1</v>
      </c>
      <c r="G941" s="3">
        <f>정규화데이터!G941</f>
        <v>41363.636363636302</v>
      </c>
      <c r="H941" s="3">
        <f>정규화데이터!H941</f>
        <v>45499.999999999935</v>
      </c>
      <c r="I941" s="3">
        <f>정규화데이터!I941</f>
        <v>45500</v>
      </c>
      <c r="J941" s="3">
        <f>정규화데이터!J941</f>
        <v>41363.636363636302</v>
      </c>
      <c r="K941" s="25">
        <f>정규화데이터!K941</f>
        <v>30748</v>
      </c>
      <c r="L941" s="25">
        <f>정규화데이터!L941</f>
        <v>30748</v>
      </c>
      <c r="M941" s="21">
        <f t="shared" si="28"/>
        <v>10615.636363636302</v>
      </c>
      <c r="N941" s="52">
        <f t="shared" si="29"/>
        <v>0.25664175824175711</v>
      </c>
    </row>
    <row r="942" spans="1:14" x14ac:dyDescent="0.3">
      <c r="A942" t="str">
        <f>정규화데이터!A942</f>
        <v>리씽크</v>
      </c>
      <c r="B942">
        <f>정규화데이터!B942</f>
        <v>2.0260205083347999E+18</v>
      </c>
      <c r="C942" t="str">
        <f>정규화데이터!C942</f>
        <v xml:space="preserve">워커힐 본갈비 3+1 최초❤️5만원대! 총1.2kg✨호텔특제 양념갈비 8인분 (✨1인분 7,375원꼴! / [300g,2인분] x 총 4팩  / ✨초이스등급 본갈비 / ❣️워커힐 </v>
      </c>
      <c r="D942">
        <f>정규화데이터!D942</f>
        <v>143790</v>
      </c>
      <c r="E942" s="16" t="str">
        <f>정규화데이터!E942</f>
        <v>SKU001</v>
      </c>
      <c r="F942" s="3">
        <f>정규화데이터!F942</f>
        <v>1</v>
      </c>
      <c r="G942" s="3">
        <f>정규화데이터!G942</f>
        <v>41363.636363636302</v>
      </c>
      <c r="H942" s="3">
        <f>정규화데이터!H942</f>
        <v>45499.999999999935</v>
      </c>
      <c r="I942" s="3">
        <f>정규화데이터!I942</f>
        <v>45500</v>
      </c>
      <c r="J942" s="3">
        <f>정규화데이터!J942</f>
        <v>41363.636363636302</v>
      </c>
      <c r="K942" s="25">
        <f>정규화데이터!K942</f>
        <v>30748</v>
      </c>
      <c r="L942" s="25">
        <f>정규화데이터!L942</f>
        <v>30748</v>
      </c>
      <c r="M942" s="21">
        <f t="shared" si="28"/>
        <v>10615.636363636302</v>
      </c>
      <c r="N942" s="52">
        <f t="shared" si="29"/>
        <v>0.25664175824175711</v>
      </c>
    </row>
    <row r="943" spans="1:14" x14ac:dyDescent="0.3">
      <c r="A943" t="str">
        <f>정규화데이터!A943</f>
        <v>리씽크</v>
      </c>
      <c r="B943">
        <f>정규화데이터!B943</f>
        <v>2.0260205083925499E+18</v>
      </c>
      <c r="C943" t="str">
        <f>정규화데이터!C943</f>
        <v xml:space="preserve">워커힐 본갈비 3+1 최초❤️5만원대! 총1.2kg✨호텔특제 양념갈비 8인분 (✨1인분 7,375원꼴! / [300g,2인분] x 총 4팩  / ✨초이스등급 본갈비 / ❣️워커힐 </v>
      </c>
      <c r="D943">
        <f>정규화데이터!D943</f>
        <v>143790</v>
      </c>
      <c r="E943" s="16" t="str">
        <f>정규화데이터!E943</f>
        <v>SKU001</v>
      </c>
      <c r="F943" s="3">
        <f>정규화데이터!F943</f>
        <v>1</v>
      </c>
      <c r="G943" s="3">
        <f>정규화데이터!G943</f>
        <v>41363.636363636302</v>
      </c>
      <c r="H943" s="3">
        <f>정규화데이터!H943</f>
        <v>45499.999999999935</v>
      </c>
      <c r="I943" s="3">
        <f>정규화데이터!I943</f>
        <v>45500</v>
      </c>
      <c r="J943" s="3">
        <f>정규화데이터!J943</f>
        <v>41363.636363636302</v>
      </c>
      <c r="K943" s="25">
        <f>정규화데이터!K943</f>
        <v>30748</v>
      </c>
      <c r="L943" s="25">
        <f>정규화데이터!L943</f>
        <v>30748</v>
      </c>
      <c r="M943" s="21">
        <f t="shared" si="28"/>
        <v>10615.636363636302</v>
      </c>
      <c r="N943" s="52">
        <f t="shared" si="29"/>
        <v>0.25664175824175711</v>
      </c>
    </row>
    <row r="944" spans="1:14" x14ac:dyDescent="0.3">
      <c r="A944" t="str">
        <f>정규화데이터!A944</f>
        <v>리씽크</v>
      </c>
      <c r="B944">
        <f>정규화데이터!B944</f>
        <v>2.02602050835165E+18</v>
      </c>
      <c r="C944" t="str">
        <f>정규화데이터!C944</f>
        <v xml:space="preserve">워커힐 본갈비 3+1 최초❤️5만원대! 총1.2kg✨호텔특제 양념갈비 8인분 (✨1인분 7,375원꼴! / [300g,2인분] x 총 4팩  / ✨초이스등급 본갈비 / ❣️워커힐 </v>
      </c>
      <c r="D944">
        <f>정규화데이터!D944</f>
        <v>143790</v>
      </c>
      <c r="E944" s="16" t="str">
        <f>정규화데이터!E944</f>
        <v>SKU001</v>
      </c>
      <c r="F944" s="3">
        <f>정규화데이터!F944</f>
        <v>2</v>
      </c>
      <c r="G944" s="3">
        <f>정규화데이터!G944</f>
        <v>41363.636363636353</v>
      </c>
      <c r="H944" s="3">
        <f>정규화데이터!H944</f>
        <v>91000</v>
      </c>
      <c r="I944" s="3">
        <f>정규화데이터!I944</f>
        <v>91000</v>
      </c>
      <c r="J944" s="3">
        <f>정규화데이터!J944</f>
        <v>82727.272727272706</v>
      </c>
      <c r="K944" s="25">
        <f>정규화데이터!K944</f>
        <v>30748</v>
      </c>
      <c r="L944" s="25">
        <f>정규화데이터!L944</f>
        <v>61496</v>
      </c>
      <c r="M944" s="21">
        <f t="shared" si="28"/>
        <v>21231.272727272706</v>
      </c>
      <c r="N944" s="52">
        <f t="shared" si="29"/>
        <v>0.25664175824175806</v>
      </c>
    </row>
    <row r="945" spans="1:14" x14ac:dyDescent="0.3">
      <c r="A945" t="str">
        <f>정규화데이터!A945</f>
        <v>리씽크</v>
      </c>
      <c r="B945">
        <f>정규화데이터!B945</f>
        <v>2.02602050836337E+18</v>
      </c>
      <c r="C945" t="str">
        <f>정규화데이터!C945</f>
        <v xml:space="preserve">워커힐 본갈비 3+1 최초❤️5만원대! 총1.2kg✨호텔특제 양념갈비 8인분 (✨1인분 7,375원꼴! / [300g,2인분] x 총 4팩  / ✨초이스등급 본갈비 / ❣️워커힐 </v>
      </c>
      <c r="D945">
        <f>정규화데이터!D945</f>
        <v>143790</v>
      </c>
      <c r="E945" s="16" t="str">
        <f>정규화데이터!E945</f>
        <v>SKU001</v>
      </c>
      <c r="F945" s="3">
        <f>정규화데이터!F945</f>
        <v>1</v>
      </c>
      <c r="G945" s="3">
        <f>정규화데이터!G945</f>
        <v>41363.636363636302</v>
      </c>
      <c r="H945" s="3">
        <f>정규화데이터!H945</f>
        <v>45499.999999999935</v>
      </c>
      <c r="I945" s="3">
        <f>정규화데이터!I945</f>
        <v>45500</v>
      </c>
      <c r="J945" s="3">
        <f>정규화데이터!J945</f>
        <v>41363.636363636302</v>
      </c>
      <c r="K945" s="25">
        <f>정규화데이터!K945</f>
        <v>30748</v>
      </c>
      <c r="L945" s="25">
        <f>정규화데이터!L945</f>
        <v>30748</v>
      </c>
      <c r="M945" s="21">
        <f t="shared" si="28"/>
        <v>10615.636363636302</v>
      </c>
      <c r="N945" s="52">
        <f t="shared" si="29"/>
        <v>0.25664175824175711</v>
      </c>
    </row>
    <row r="946" spans="1:14" x14ac:dyDescent="0.3">
      <c r="A946" t="str">
        <f>정규화데이터!A946</f>
        <v>리씽크</v>
      </c>
      <c r="B946">
        <f>정규화데이터!B946</f>
        <v>2.02602050833106E+18</v>
      </c>
      <c r="C946" t="str">
        <f>정규화데이터!C946</f>
        <v xml:space="preserve">워커힐 본갈비 3+1 최초❤️5만원대! 총1.2kg✨호텔특제 양념갈비 8인분 (✨1인분 7,375원꼴! / [300g,2인분] x 총 4팩  / ✨초이스등급 본갈비 / ❣️워커힐 </v>
      </c>
      <c r="D946">
        <f>정규화데이터!D946</f>
        <v>143790</v>
      </c>
      <c r="E946" s="16" t="str">
        <f>정규화데이터!E946</f>
        <v>SKU001</v>
      </c>
      <c r="F946" s="3">
        <f>정규화데이터!F946</f>
        <v>1</v>
      </c>
      <c r="G946" s="3">
        <f>정규화데이터!G946</f>
        <v>41363.636363636302</v>
      </c>
      <c r="H946" s="3">
        <f>정규화데이터!H946</f>
        <v>45499.999999999935</v>
      </c>
      <c r="I946" s="3">
        <f>정규화데이터!I946</f>
        <v>45500</v>
      </c>
      <c r="J946" s="3">
        <f>정규화데이터!J946</f>
        <v>41363.636363636302</v>
      </c>
      <c r="K946" s="25">
        <f>정규화데이터!K946</f>
        <v>30748</v>
      </c>
      <c r="L946" s="25">
        <f>정규화데이터!L946</f>
        <v>30748</v>
      </c>
      <c r="M946" s="21">
        <f t="shared" si="28"/>
        <v>10615.636363636302</v>
      </c>
      <c r="N946" s="52">
        <f t="shared" si="29"/>
        <v>0.25664175824175711</v>
      </c>
    </row>
    <row r="947" spans="1:14" x14ac:dyDescent="0.3">
      <c r="A947" t="str">
        <f>정규화데이터!A947</f>
        <v>리씽크</v>
      </c>
      <c r="B947">
        <f>정규화데이터!B947</f>
        <v>2.0260205083219E+18</v>
      </c>
      <c r="C947" t="str">
        <f>정규화데이터!C947</f>
        <v xml:space="preserve">워커힐 본갈비 3+1 최초❤️5만원대! 총1.2kg✨호텔특제 양념갈비 8인분 (✨1인분 7,375원꼴! / [300g,2인분] x 총 4팩  / ✨초이스등급 본갈비 / ❣️워커힐 </v>
      </c>
      <c r="D947">
        <f>정규화데이터!D947</f>
        <v>143790</v>
      </c>
      <c r="E947" s="16" t="str">
        <f>정규화데이터!E947</f>
        <v>SKU001</v>
      </c>
      <c r="F947" s="3">
        <f>정규화데이터!F947</f>
        <v>1</v>
      </c>
      <c r="G947" s="3">
        <f>정규화데이터!G947</f>
        <v>41363.636363636302</v>
      </c>
      <c r="H947" s="3">
        <f>정규화데이터!H947</f>
        <v>45499.999999999935</v>
      </c>
      <c r="I947" s="3">
        <f>정규화데이터!I947</f>
        <v>45500</v>
      </c>
      <c r="J947" s="3">
        <f>정규화데이터!J947</f>
        <v>41363.636363636302</v>
      </c>
      <c r="K947" s="25">
        <f>정규화데이터!K947</f>
        <v>30748</v>
      </c>
      <c r="L947" s="25">
        <f>정규화데이터!L947</f>
        <v>30748</v>
      </c>
      <c r="M947" s="21">
        <f t="shared" si="28"/>
        <v>10615.636363636302</v>
      </c>
      <c r="N947" s="52">
        <f t="shared" si="29"/>
        <v>0.25664175824175711</v>
      </c>
    </row>
    <row r="948" spans="1:14" x14ac:dyDescent="0.3">
      <c r="A948" t="str">
        <f>정규화데이터!A948</f>
        <v>리씽크</v>
      </c>
      <c r="B948">
        <f>정규화데이터!B948</f>
        <v>2.02602050833026E+18</v>
      </c>
      <c r="C948" t="str">
        <f>정규화데이터!C948</f>
        <v xml:space="preserve">워커힐 본갈비 3+1 최초❤️5만원대! 총1.2kg✨호텔특제 양념갈비 8인분 (✨1인분 7,375원꼴! / [300g,2인분] x 총 4팩  / ✨초이스등급 본갈비 / ❣️워커힐 </v>
      </c>
      <c r="D948">
        <f>정규화데이터!D948</f>
        <v>143790</v>
      </c>
      <c r="E948" s="16" t="str">
        <f>정규화데이터!E948</f>
        <v>SKU001</v>
      </c>
      <c r="F948" s="3">
        <f>정규화데이터!F948</f>
        <v>1</v>
      </c>
      <c r="G948" s="3">
        <f>정규화데이터!G948</f>
        <v>41363.636363636302</v>
      </c>
      <c r="H948" s="3">
        <f>정규화데이터!H948</f>
        <v>45499.999999999935</v>
      </c>
      <c r="I948" s="3">
        <f>정규화데이터!I948</f>
        <v>45500</v>
      </c>
      <c r="J948" s="3">
        <f>정규화데이터!J948</f>
        <v>41363.636363636302</v>
      </c>
      <c r="K948" s="25">
        <f>정규화데이터!K948</f>
        <v>30748</v>
      </c>
      <c r="L948" s="25">
        <f>정규화데이터!L948</f>
        <v>30748</v>
      </c>
      <c r="M948" s="21">
        <f t="shared" si="28"/>
        <v>10615.636363636302</v>
      </c>
      <c r="N948" s="52">
        <f t="shared" si="29"/>
        <v>0.25664175824175711</v>
      </c>
    </row>
    <row r="949" spans="1:14" x14ac:dyDescent="0.3">
      <c r="A949" t="str">
        <f>정규화데이터!A949</f>
        <v>리씽크</v>
      </c>
      <c r="B949">
        <f>정규화데이터!B949</f>
        <v>2.02602050830125E+18</v>
      </c>
      <c r="C949" t="str">
        <f>정규화데이터!C949</f>
        <v xml:space="preserve">워커힐 본갈비 3+1 최초❤️5만원대! 총1.2kg✨호텔특제 양념갈비 8인분 (✨1인분 7,375원꼴! / [300g,2인분] x 총 4팩  / ✨초이스등급 본갈비 / ❣️워커힐 </v>
      </c>
      <c r="D949">
        <f>정규화데이터!D949</f>
        <v>143790</v>
      </c>
      <c r="E949" s="16" t="str">
        <f>정규화데이터!E949</f>
        <v>SKU001</v>
      </c>
      <c r="F949" s="3">
        <f>정규화데이터!F949</f>
        <v>1</v>
      </c>
      <c r="G949" s="3">
        <f>정규화데이터!G949</f>
        <v>41363.636363636302</v>
      </c>
      <c r="H949" s="3">
        <f>정규화데이터!H949</f>
        <v>45499.999999999935</v>
      </c>
      <c r="I949" s="3">
        <f>정규화데이터!I949</f>
        <v>45500</v>
      </c>
      <c r="J949" s="3">
        <f>정규화데이터!J949</f>
        <v>41363.636363636302</v>
      </c>
      <c r="K949" s="25">
        <f>정규화데이터!K949</f>
        <v>30748</v>
      </c>
      <c r="L949" s="25">
        <f>정규화데이터!L949</f>
        <v>30748</v>
      </c>
      <c r="M949" s="21">
        <f t="shared" si="28"/>
        <v>10615.636363636302</v>
      </c>
      <c r="N949" s="52">
        <f t="shared" si="29"/>
        <v>0.25664175824175711</v>
      </c>
    </row>
    <row r="950" spans="1:14" x14ac:dyDescent="0.3">
      <c r="A950" t="str">
        <f>정규화데이터!A950</f>
        <v>리씽크</v>
      </c>
      <c r="B950">
        <f>정규화데이터!B950</f>
        <v>2.0260205082946701E+18</v>
      </c>
      <c r="C950" t="str">
        <f>정규화데이터!C950</f>
        <v xml:space="preserve">워커힐 본갈비 3+1 최초❤️5만원대! 총1.2kg✨호텔특제 양념갈비 8인분 (✨1인분 7,375원꼴! / [300g,2인분] x 총 4팩  / ✨초이스등급 본갈비 / ❣️워커힐 </v>
      </c>
      <c r="D950">
        <f>정규화데이터!D950</f>
        <v>143790</v>
      </c>
      <c r="E950" s="16" t="str">
        <f>정규화데이터!E950</f>
        <v>SKU001</v>
      </c>
      <c r="F950" s="3">
        <f>정규화데이터!F950</f>
        <v>1</v>
      </c>
      <c r="G950" s="3">
        <f>정규화데이터!G950</f>
        <v>41363.636363636302</v>
      </c>
      <c r="H950" s="3">
        <f>정규화데이터!H950</f>
        <v>45499.999999999935</v>
      </c>
      <c r="I950" s="3">
        <f>정규화데이터!I950</f>
        <v>45500</v>
      </c>
      <c r="J950" s="3">
        <f>정규화데이터!J950</f>
        <v>41363.636363636302</v>
      </c>
      <c r="K950" s="25">
        <f>정규화데이터!K950</f>
        <v>30748</v>
      </c>
      <c r="L950" s="25">
        <f>정규화데이터!L950</f>
        <v>30748</v>
      </c>
      <c r="M950" s="21">
        <f t="shared" si="28"/>
        <v>10615.636363636302</v>
      </c>
      <c r="N950" s="52">
        <f t="shared" si="29"/>
        <v>0.25664175824175711</v>
      </c>
    </row>
    <row r="951" spans="1:14" x14ac:dyDescent="0.3">
      <c r="A951" t="str">
        <f>정규화데이터!A951</f>
        <v>리씽크</v>
      </c>
      <c r="B951">
        <f>정규화데이터!B951</f>
        <v>2.0260205082545001E+18</v>
      </c>
      <c r="C951" t="str">
        <f>정규화데이터!C951</f>
        <v xml:space="preserve">워커힐 본갈비 3+1 최초❤️5만원대! 총1.2kg✨호텔특제 양념갈비 8인분 (✨1인분 7,375원꼴! / [300g,2인분] x 총 4팩  / ✨초이스등급 본갈비 / ❣️워커힐 </v>
      </c>
      <c r="D951">
        <f>정규화데이터!D951</f>
        <v>143790</v>
      </c>
      <c r="E951" s="16" t="str">
        <f>정규화데이터!E951</f>
        <v>SKU001</v>
      </c>
      <c r="F951" s="3">
        <f>정규화데이터!F951</f>
        <v>1</v>
      </c>
      <c r="G951" s="3">
        <f>정규화데이터!G951</f>
        <v>41363.636363636302</v>
      </c>
      <c r="H951" s="3">
        <f>정규화데이터!H951</f>
        <v>45499.999999999935</v>
      </c>
      <c r="I951" s="3">
        <f>정규화데이터!I951</f>
        <v>45500</v>
      </c>
      <c r="J951" s="3">
        <f>정규화데이터!J951</f>
        <v>41363.636363636302</v>
      </c>
      <c r="K951" s="25">
        <f>정규화데이터!K951</f>
        <v>30748</v>
      </c>
      <c r="L951" s="25">
        <f>정규화데이터!L951</f>
        <v>30748</v>
      </c>
      <c r="M951" s="21">
        <f t="shared" si="28"/>
        <v>10615.636363636302</v>
      </c>
      <c r="N951" s="52">
        <f t="shared" si="29"/>
        <v>0.25664175824175711</v>
      </c>
    </row>
    <row r="952" spans="1:14" x14ac:dyDescent="0.3">
      <c r="A952" t="str">
        <f>정규화데이터!A952</f>
        <v>리씽크</v>
      </c>
      <c r="B952">
        <f>정규화데이터!B952</f>
        <v>2.02602050828414E+18</v>
      </c>
      <c r="C952" t="str">
        <f>정규화데이터!C952</f>
        <v xml:space="preserve">워커힐 본갈비 3+1 최초❤️5만원대! 총1.2kg✨호텔특제 양념갈비 8인분 (✨1인분 7,375원꼴! / [300g,2인분] x 총 4팩  / ✨초이스등급 본갈비 / ❣️워커힐 </v>
      </c>
      <c r="D952">
        <f>정규화데이터!D952</f>
        <v>143790</v>
      </c>
      <c r="E952" s="16" t="str">
        <f>정규화데이터!E952</f>
        <v>SKU001</v>
      </c>
      <c r="F952" s="3">
        <f>정규화데이터!F952</f>
        <v>1</v>
      </c>
      <c r="G952" s="3">
        <f>정규화데이터!G952</f>
        <v>41363.636363636302</v>
      </c>
      <c r="H952" s="3">
        <f>정규화데이터!H952</f>
        <v>45499.999999999935</v>
      </c>
      <c r="I952" s="3">
        <f>정규화데이터!I952</f>
        <v>45500</v>
      </c>
      <c r="J952" s="3">
        <f>정규화데이터!J952</f>
        <v>41363.636363636302</v>
      </c>
      <c r="K952" s="25">
        <f>정규화데이터!K952</f>
        <v>30748</v>
      </c>
      <c r="L952" s="25">
        <f>정규화데이터!L952</f>
        <v>30748</v>
      </c>
      <c r="M952" s="21">
        <f t="shared" si="28"/>
        <v>10615.636363636302</v>
      </c>
      <c r="N952" s="52">
        <f t="shared" si="29"/>
        <v>0.25664175824175711</v>
      </c>
    </row>
    <row r="953" spans="1:14" x14ac:dyDescent="0.3">
      <c r="A953" t="str">
        <f>정규화데이터!A953</f>
        <v>리씽크</v>
      </c>
      <c r="B953">
        <f>정규화데이터!B953</f>
        <v>2.02602050823519E+18</v>
      </c>
      <c r="C953" t="str">
        <f>정규화데이터!C953</f>
        <v xml:space="preserve">워커힐 본갈비 3+1 최초❤️5만원대! 총1.2kg✨호텔특제 양념갈비 8인분 (✨1인분 7,375원꼴! / [300g,2인분] x 총 4팩  / ✨초이스등급 본갈비 / ❣️워커힐 </v>
      </c>
      <c r="D953">
        <f>정규화데이터!D953</f>
        <v>143790</v>
      </c>
      <c r="E953" s="16" t="str">
        <f>정규화데이터!E953</f>
        <v>SKU001</v>
      </c>
      <c r="F953" s="3">
        <f>정규화데이터!F953</f>
        <v>1</v>
      </c>
      <c r="G953" s="3">
        <f>정규화데이터!G953</f>
        <v>41363.636363636302</v>
      </c>
      <c r="H953" s="3">
        <f>정규화데이터!H953</f>
        <v>45499.999999999935</v>
      </c>
      <c r="I953" s="3">
        <f>정규화데이터!I953</f>
        <v>45500</v>
      </c>
      <c r="J953" s="3">
        <f>정규화데이터!J953</f>
        <v>41363.636363636302</v>
      </c>
      <c r="K953" s="25">
        <f>정규화데이터!K953</f>
        <v>30748</v>
      </c>
      <c r="L953" s="25">
        <f>정규화데이터!L953</f>
        <v>30748</v>
      </c>
      <c r="M953" s="21">
        <f t="shared" si="28"/>
        <v>10615.636363636302</v>
      </c>
      <c r="N953" s="52">
        <f t="shared" si="29"/>
        <v>0.25664175824175711</v>
      </c>
    </row>
    <row r="954" spans="1:14" x14ac:dyDescent="0.3">
      <c r="A954" t="str">
        <f>정규화데이터!A954</f>
        <v>리씽크</v>
      </c>
      <c r="B954">
        <f>정규화데이터!B954</f>
        <v>2.0260205081959099E+18</v>
      </c>
      <c r="C954" t="str">
        <f>정규화데이터!C954</f>
        <v xml:space="preserve">워커힐 본갈비 3+1 최초❤️5만원대! 총1.2kg✨호텔특제 양념갈비 8인분 (✨1인분 7,375원꼴! / [300g,2인분] x 총 4팩  / ✨초이스등급 본갈비 / ❣️워커힐 </v>
      </c>
      <c r="D954">
        <f>정규화데이터!D954</f>
        <v>143790</v>
      </c>
      <c r="E954" s="16" t="str">
        <f>정규화데이터!E954</f>
        <v>SKU001</v>
      </c>
      <c r="F954" s="3">
        <f>정규화데이터!F954</f>
        <v>1</v>
      </c>
      <c r="G954" s="3">
        <f>정규화데이터!G954</f>
        <v>41363.636363636302</v>
      </c>
      <c r="H954" s="3">
        <f>정규화데이터!H954</f>
        <v>45499.999999999935</v>
      </c>
      <c r="I954" s="3">
        <f>정규화데이터!I954</f>
        <v>45500</v>
      </c>
      <c r="J954" s="3">
        <f>정규화데이터!J954</f>
        <v>41363.636363636302</v>
      </c>
      <c r="K954" s="25">
        <f>정규화데이터!K954</f>
        <v>30748</v>
      </c>
      <c r="L954" s="25">
        <f>정규화데이터!L954</f>
        <v>30748</v>
      </c>
      <c r="M954" s="21">
        <f t="shared" si="28"/>
        <v>10615.636363636302</v>
      </c>
      <c r="N954" s="52">
        <f t="shared" si="29"/>
        <v>0.25664175824175711</v>
      </c>
    </row>
    <row r="955" spans="1:14" x14ac:dyDescent="0.3">
      <c r="A955" t="str">
        <f>정규화데이터!A955</f>
        <v>리씽크</v>
      </c>
      <c r="B955">
        <f>정규화데이터!B955</f>
        <v>2.0260205081955999E+18</v>
      </c>
      <c r="C955" t="str">
        <f>정규화데이터!C955</f>
        <v xml:space="preserve">워커힐 본갈비 3+1 최초❤️5만원대! 총1.2kg✨호텔특제 양념갈비 8인분 (✨1인분 7,375원꼴! / [300g,2인분] x 총 4팩  / ✨초이스등급 본갈비 / ❣️워커힐 </v>
      </c>
      <c r="D955">
        <f>정규화데이터!D955</f>
        <v>143790</v>
      </c>
      <c r="E955" s="16" t="str">
        <f>정규화데이터!E955</f>
        <v>SKU001</v>
      </c>
      <c r="F955" s="3">
        <f>정규화데이터!F955</f>
        <v>1</v>
      </c>
      <c r="G955" s="3">
        <f>정규화데이터!G955</f>
        <v>41363.636363636302</v>
      </c>
      <c r="H955" s="3">
        <f>정규화데이터!H955</f>
        <v>45499.999999999935</v>
      </c>
      <c r="I955" s="3">
        <f>정규화데이터!I955</f>
        <v>45500</v>
      </c>
      <c r="J955" s="3">
        <f>정규화데이터!J955</f>
        <v>41363.636363636302</v>
      </c>
      <c r="K955" s="25">
        <f>정규화데이터!K955</f>
        <v>30748</v>
      </c>
      <c r="L955" s="25">
        <f>정규화데이터!L955</f>
        <v>30748</v>
      </c>
      <c r="M955" s="21">
        <f t="shared" si="28"/>
        <v>10615.636363636302</v>
      </c>
      <c r="N955" s="52">
        <f t="shared" si="29"/>
        <v>0.25664175824175711</v>
      </c>
    </row>
    <row r="956" spans="1:14" x14ac:dyDescent="0.3">
      <c r="A956" t="str">
        <f>정규화데이터!A956</f>
        <v>리씽크</v>
      </c>
      <c r="B956">
        <f>정규화데이터!B956</f>
        <v>2.0260205082016E+18</v>
      </c>
      <c r="C956" t="str">
        <f>정규화데이터!C956</f>
        <v xml:space="preserve">워커힐 본갈비 3+1 최초❤️5만원대! 총1.2kg✨호텔특제 양념갈비 8인분 (✨1인분 7,375원꼴! / [300g,2인분] x 총 4팩  / ✨초이스등급 본갈비 / ❣️워커힐 </v>
      </c>
      <c r="D956">
        <f>정규화데이터!D956</f>
        <v>143790</v>
      </c>
      <c r="E956" s="16" t="str">
        <f>정규화데이터!E956</f>
        <v>SKU001</v>
      </c>
      <c r="F956" s="3">
        <f>정규화데이터!F956</f>
        <v>2</v>
      </c>
      <c r="G956" s="3">
        <f>정규화데이터!G956</f>
        <v>41363.636363636353</v>
      </c>
      <c r="H956" s="3">
        <f>정규화데이터!H956</f>
        <v>91000</v>
      </c>
      <c r="I956" s="3">
        <f>정규화데이터!I956</f>
        <v>91000</v>
      </c>
      <c r="J956" s="3">
        <f>정규화데이터!J956</f>
        <v>82727.272727272706</v>
      </c>
      <c r="K956" s="25">
        <f>정규화데이터!K956</f>
        <v>30748</v>
      </c>
      <c r="L956" s="25">
        <f>정규화데이터!L956</f>
        <v>61496</v>
      </c>
      <c r="M956" s="21">
        <f t="shared" si="28"/>
        <v>21231.272727272706</v>
      </c>
      <c r="N956" s="52">
        <f t="shared" si="29"/>
        <v>0.25664175824175806</v>
      </c>
    </row>
    <row r="957" spans="1:14" x14ac:dyDescent="0.3">
      <c r="A957" t="str">
        <f>정규화데이터!A957</f>
        <v>리씽크</v>
      </c>
      <c r="B957">
        <f>정규화데이터!B957</f>
        <v>2.0260205081637901E+18</v>
      </c>
      <c r="C957" t="str">
        <f>정규화데이터!C957</f>
        <v xml:space="preserve">워커힐 본갈비 3+1 최초❤️5만원대! 총1.2kg✨호텔특제 양념갈비 8인분 (✨1인분 7,375원꼴! / [300g,2인분] x 총 4팩  / ✨초이스등급 본갈비 / ❣️워커힐 </v>
      </c>
      <c r="D957">
        <f>정규화데이터!D957</f>
        <v>143790</v>
      </c>
      <c r="E957" s="16" t="str">
        <f>정규화데이터!E957</f>
        <v>SKU001</v>
      </c>
      <c r="F957" s="3">
        <f>정규화데이터!F957</f>
        <v>1</v>
      </c>
      <c r="G957" s="3">
        <f>정규화데이터!G957</f>
        <v>41363.636363636302</v>
      </c>
      <c r="H957" s="3">
        <f>정규화데이터!H957</f>
        <v>45499.999999999935</v>
      </c>
      <c r="I957" s="3">
        <f>정규화데이터!I957</f>
        <v>45500</v>
      </c>
      <c r="J957" s="3">
        <f>정규화데이터!J957</f>
        <v>41363.636363636302</v>
      </c>
      <c r="K957" s="25">
        <f>정규화데이터!K957</f>
        <v>30748</v>
      </c>
      <c r="L957" s="25">
        <f>정규화데이터!L957</f>
        <v>30748</v>
      </c>
      <c r="M957" s="21">
        <f t="shared" si="28"/>
        <v>10615.636363636302</v>
      </c>
      <c r="N957" s="52">
        <f t="shared" si="29"/>
        <v>0.25664175824175711</v>
      </c>
    </row>
    <row r="958" spans="1:14" x14ac:dyDescent="0.3">
      <c r="A958" t="str">
        <f>정규화데이터!A958</f>
        <v>리씽크</v>
      </c>
      <c r="B958">
        <f>정규화데이터!B958</f>
        <v>2.02602050817439E+18</v>
      </c>
      <c r="C958" t="str">
        <f>정규화데이터!C958</f>
        <v xml:space="preserve">워커힐 본갈비 3+1 최초❤️5만원대! 총1.2kg✨호텔특제 양념갈비 8인분 (✨1인분 7,375원꼴! / [300g,2인분] x 총 4팩  / ✨초이스등급 본갈비 / ❣️워커힐 </v>
      </c>
      <c r="D958">
        <f>정규화데이터!D958</f>
        <v>143790</v>
      </c>
      <c r="E958" s="16" t="str">
        <f>정규화데이터!E958</f>
        <v>SKU001</v>
      </c>
      <c r="F958" s="3">
        <f>정규화데이터!F958</f>
        <v>1</v>
      </c>
      <c r="G958" s="3">
        <f>정규화데이터!G958</f>
        <v>41363.636363636302</v>
      </c>
      <c r="H958" s="3">
        <f>정규화데이터!H958</f>
        <v>45499.999999999935</v>
      </c>
      <c r="I958" s="3">
        <f>정규화데이터!I958</f>
        <v>45500</v>
      </c>
      <c r="J958" s="3">
        <f>정규화데이터!J958</f>
        <v>41363.636363636302</v>
      </c>
      <c r="K958" s="25">
        <f>정규화데이터!K958</f>
        <v>30748</v>
      </c>
      <c r="L958" s="25">
        <f>정규화데이터!L958</f>
        <v>30748</v>
      </c>
      <c r="M958" s="21">
        <f t="shared" si="28"/>
        <v>10615.636363636302</v>
      </c>
      <c r="N958" s="52">
        <f t="shared" si="29"/>
        <v>0.25664175824175711</v>
      </c>
    </row>
    <row r="959" spans="1:14" x14ac:dyDescent="0.3">
      <c r="A959" t="str">
        <f>정규화데이터!A959</f>
        <v>리씽크</v>
      </c>
      <c r="B959">
        <f>정규화데이터!B959</f>
        <v>2.0260205081316201E+18</v>
      </c>
      <c r="C959" t="str">
        <f>정규화데이터!C959</f>
        <v xml:space="preserve">워커힐 본갈비 3+1 최초❤️5만원대! 총1.2kg✨호텔특제 양념갈비 8인분 (✨1인분 7,375원꼴! / [300g,2인분] x 총 4팩  / ✨초이스등급 본갈비 / ❣️워커힐 </v>
      </c>
      <c r="D959">
        <f>정규화데이터!D959</f>
        <v>143790</v>
      </c>
      <c r="E959" s="16" t="str">
        <f>정규화데이터!E959</f>
        <v>SKU001</v>
      </c>
      <c r="F959" s="3">
        <f>정규화데이터!F959</f>
        <v>1</v>
      </c>
      <c r="G959" s="3">
        <f>정규화데이터!G959</f>
        <v>41363.636363636302</v>
      </c>
      <c r="H959" s="3">
        <f>정규화데이터!H959</f>
        <v>45499.999999999935</v>
      </c>
      <c r="I959" s="3">
        <f>정규화데이터!I959</f>
        <v>45500</v>
      </c>
      <c r="J959" s="3">
        <f>정규화데이터!J959</f>
        <v>41363.636363636302</v>
      </c>
      <c r="K959" s="25">
        <f>정규화데이터!K959</f>
        <v>30748</v>
      </c>
      <c r="L959" s="25">
        <f>정규화데이터!L959</f>
        <v>30748</v>
      </c>
      <c r="M959" s="21">
        <f t="shared" si="28"/>
        <v>10615.636363636302</v>
      </c>
      <c r="N959" s="52">
        <f t="shared" si="29"/>
        <v>0.25664175824175711</v>
      </c>
    </row>
    <row r="960" spans="1:14" x14ac:dyDescent="0.3">
      <c r="A960" t="str">
        <f>정규화데이터!A960</f>
        <v>리씽크</v>
      </c>
      <c r="B960">
        <f>정규화데이터!B960</f>
        <v>2.0260205081550899E+18</v>
      </c>
      <c r="C960" t="str">
        <f>정규화데이터!C960</f>
        <v xml:space="preserve">워커힐 본갈비 3+1 최초❤️5만원대! 총1.2kg✨호텔특제 양념갈비 8인분 (✨1인분 7,375원꼴! / [300g,2인분] x 총 4팩  / ✨초이스등급 본갈비 / ❣️워커힐 </v>
      </c>
      <c r="D960">
        <f>정규화데이터!D960</f>
        <v>143790</v>
      </c>
      <c r="E960" s="16" t="str">
        <f>정규화데이터!E960</f>
        <v>SKU001</v>
      </c>
      <c r="F960" s="3">
        <f>정규화데이터!F960</f>
        <v>1</v>
      </c>
      <c r="G960" s="3">
        <f>정규화데이터!G960</f>
        <v>41363.636363636302</v>
      </c>
      <c r="H960" s="3">
        <f>정규화데이터!H960</f>
        <v>45499.999999999935</v>
      </c>
      <c r="I960" s="3">
        <f>정규화데이터!I960</f>
        <v>45500</v>
      </c>
      <c r="J960" s="3">
        <f>정규화데이터!J960</f>
        <v>41363.636363636302</v>
      </c>
      <c r="K960" s="25">
        <f>정규화데이터!K960</f>
        <v>30748</v>
      </c>
      <c r="L960" s="25">
        <f>정규화데이터!L960</f>
        <v>30748</v>
      </c>
      <c r="M960" s="21">
        <f t="shared" si="28"/>
        <v>10615.636363636302</v>
      </c>
      <c r="N960" s="52">
        <f t="shared" si="29"/>
        <v>0.25664175824175711</v>
      </c>
    </row>
    <row r="961" spans="1:14" x14ac:dyDescent="0.3">
      <c r="A961" t="str">
        <f>정규화데이터!A961</f>
        <v>리씽크</v>
      </c>
      <c r="B961">
        <f>정규화데이터!B961</f>
        <v>2.02602050814254E+18</v>
      </c>
      <c r="C961" t="str">
        <f>정규화데이터!C961</f>
        <v xml:space="preserve">워커힐 본갈비 3+1 최초❤️5만원대! 총1.2kg✨호텔특제 양념갈비 8인분 (✨1인분 7,375원꼴! / [300g,2인분] x 총 4팩  / ✨초이스등급 본갈비 / ❣️워커힐 </v>
      </c>
      <c r="D961">
        <f>정규화데이터!D961</f>
        <v>143790</v>
      </c>
      <c r="E961" s="16" t="str">
        <f>정규화데이터!E961</f>
        <v>SKU001</v>
      </c>
      <c r="F961" s="3">
        <f>정규화데이터!F961</f>
        <v>1</v>
      </c>
      <c r="G961" s="3">
        <f>정규화데이터!G961</f>
        <v>41363.636363636302</v>
      </c>
      <c r="H961" s="3">
        <f>정규화데이터!H961</f>
        <v>45499.999999999935</v>
      </c>
      <c r="I961" s="3">
        <f>정규화데이터!I961</f>
        <v>45500</v>
      </c>
      <c r="J961" s="3">
        <f>정규화데이터!J961</f>
        <v>41363.636363636302</v>
      </c>
      <c r="K961" s="25">
        <f>정규화데이터!K961</f>
        <v>30748</v>
      </c>
      <c r="L961" s="25">
        <f>정규화데이터!L961</f>
        <v>30748</v>
      </c>
      <c r="M961" s="21">
        <f t="shared" si="28"/>
        <v>10615.636363636302</v>
      </c>
      <c r="N961" s="52">
        <f t="shared" si="29"/>
        <v>0.25664175824175711</v>
      </c>
    </row>
    <row r="962" spans="1:14" x14ac:dyDescent="0.3">
      <c r="A962" t="str">
        <f>정규화데이터!A962</f>
        <v>리씽크</v>
      </c>
      <c r="B962">
        <f>정규화데이터!B962</f>
        <v>2.02602050814271E+18</v>
      </c>
      <c r="C962" t="str">
        <f>정규화데이터!C962</f>
        <v xml:space="preserve">워커힐 본갈비 3+1 최초❤️5만원대! 총1.2kg✨호텔특제 양념갈비 8인분 (✨1인분 7,375원꼴! / [300g,2인분] x 총 4팩  / ✨초이스등급 본갈비 / ❣️워커힐 </v>
      </c>
      <c r="D962">
        <f>정규화데이터!D962</f>
        <v>143790</v>
      </c>
      <c r="E962" s="16" t="str">
        <f>정규화데이터!E962</f>
        <v>SKU001</v>
      </c>
      <c r="F962" s="3">
        <f>정규화데이터!F962</f>
        <v>1</v>
      </c>
      <c r="G962" s="3">
        <f>정규화데이터!G962</f>
        <v>41363.636363636302</v>
      </c>
      <c r="H962" s="3">
        <f>정규화데이터!H962</f>
        <v>45499.999999999935</v>
      </c>
      <c r="I962" s="3">
        <f>정규화데이터!I962</f>
        <v>45500</v>
      </c>
      <c r="J962" s="3">
        <f>정규화데이터!J962</f>
        <v>41363.636363636302</v>
      </c>
      <c r="K962" s="25">
        <f>정규화데이터!K962</f>
        <v>30748</v>
      </c>
      <c r="L962" s="25">
        <f>정규화데이터!L962</f>
        <v>30748</v>
      </c>
      <c r="M962" s="21">
        <f t="shared" si="28"/>
        <v>10615.636363636302</v>
      </c>
      <c r="N962" s="52">
        <f t="shared" si="29"/>
        <v>0.25664175824175711</v>
      </c>
    </row>
    <row r="963" spans="1:14" x14ac:dyDescent="0.3">
      <c r="A963" t="str">
        <f>정규화데이터!A963</f>
        <v>리씽크</v>
      </c>
      <c r="B963">
        <f>정규화데이터!B963</f>
        <v>2.0260205081336499E+18</v>
      </c>
      <c r="C963" t="str">
        <f>정규화데이터!C963</f>
        <v xml:space="preserve">워커힐 본갈비 3+1 최초❤️5만원대! 총1.2kg✨호텔특제 양념갈비 8인분 (✨1인분 7,375원꼴! / [300g,2인분] x 총 4팩  / ✨초이스등급 본갈비 / ❣️워커힐 </v>
      </c>
      <c r="D963">
        <f>정규화데이터!D963</f>
        <v>143790</v>
      </c>
      <c r="E963" s="16" t="str">
        <f>정규화데이터!E963</f>
        <v>SKU001</v>
      </c>
      <c r="F963" s="3">
        <f>정규화데이터!F963</f>
        <v>1</v>
      </c>
      <c r="G963" s="3">
        <f>정규화데이터!G963</f>
        <v>41363.636363636302</v>
      </c>
      <c r="H963" s="3">
        <f>정규화데이터!H963</f>
        <v>45499.999999999935</v>
      </c>
      <c r="I963" s="3">
        <f>정규화데이터!I963</f>
        <v>45500</v>
      </c>
      <c r="J963" s="3">
        <f>정규화데이터!J963</f>
        <v>41363.636363636302</v>
      </c>
      <c r="K963" s="25">
        <f>정규화데이터!K963</f>
        <v>30748</v>
      </c>
      <c r="L963" s="25">
        <f>정규화데이터!L963</f>
        <v>30748</v>
      </c>
      <c r="M963" s="21">
        <f t="shared" ref="M963:M1026" si="30">J963-L963</f>
        <v>10615.636363636302</v>
      </c>
      <c r="N963" s="52">
        <f t="shared" ref="N963:N1026" si="31">IF(J963=0,0,M963/J963)</f>
        <v>0.25664175824175711</v>
      </c>
    </row>
    <row r="964" spans="1:14" x14ac:dyDescent="0.3">
      <c r="A964" t="str">
        <f>정규화데이터!A964</f>
        <v>리씽크</v>
      </c>
      <c r="B964">
        <f>정규화데이터!B964</f>
        <v>2.02602050813342E+18</v>
      </c>
      <c r="C964" t="str">
        <f>정규화데이터!C964</f>
        <v xml:space="preserve">워커힐 본갈비 3+1 최초❤️5만원대! 총1.2kg✨호텔특제 양념갈비 8인분 (✨1인분 7,375원꼴! / [300g,2인분] x 총 4팩  / ✨초이스등급 본갈비 / ❣️워커힐 </v>
      </c>
      <c r="D964">
        <f>정규화데이터!D964</f>
        <v>143790</v>
      </c>
      <c r="E964" s="16" t="str">
        <f>정규화데이터!E964</f>
        <v>SKU001</v>
      </c>
      <c r="F964" s="3">
        <f>정규화데이터!F964</f>
        <v>1</v>
      </c>
      <c r="G964" s="3">
        <f>정규화데이터!G964</f>
        <v>41363.636363636302</v>
      </c>
      <c r="H964" s="3">
        <f>정규화데이터!H964</f>
        <v>45499.999999999935</v>
      </c>
      <c r="I964" s="3">
        <f>정규화데이터!I964</f>
        <v>45500</v>
      </c>
      <c r="J964" s="3">
        <f>정규화데이터!J964</f>
        <v>41363.636363636302</v>
      </c>
      <c r="K964" s="25">
        <f>정규화데이터!K964</f>
        <v>30748</v>
      </c>
      <c r="L964" s="25">
        <f>정규화데이터!L964</f>
        <v>30748</v>
      </c>
      <c r="M964" s="21">
        <f t="shared" si="30"/>
        <v>10615.636363636302</v>
      </c>
      <c r="N964" s="52">
        <f t="shared" si="31"/>
        <v>0.25664175824175711</v>
      </c>
    </row>
    <row r="965" spans="1:14" x14ac:dyDescent="0.3">
      <c r="A965" t="str">
        <f>정규화데이터!A965</f>
        <v>리씽크</v>
      </c>
      <c r="B965">
        <f>정규화데이터!B965</f>
        <v>2.02602050809534E+18</v>
      </c>
      <c r="C965" t="str">
        <f>정규화데이터!C965</f>
        <v xml:space="preserve">워커힐 본갈비 3+1 최초❤️5만원대! 총1.2kg✨호텔특제 양념갈비 8인분 (✨1인분 7,375원꼴! / [300g,2인분] x 총 4팩  / ✨초이스등급 본갈비 / ❣️워커힐 </v>
      </c>
      <c r="D965">
        <f>정규화데이터!D965</f>
        <v>143790</v>
      </c>
      <c r="E965" s="16" t="str">
        <f>정규화데이터!E965</f>
        <v>SKU001</v>
      </c>
      <c r="F965" s="3">
        <f>정규화데이터!F965</f>
        <v>1</v>
      </c>
      <c r="G965" s="3">
        <f>정규화데이터!G965</f>
        <v>41363.636363636302</v>
      </c>
      <c r="H965" s="3">
        <f>정규화데이터!H965</f>
        <v>45499.999999999935</v>
      </c>
      <c r="I965" s="3">
        <f>정규화데이터!I965</f>
        <v>45500</v>
      </c>
      <c r="J965" s="3">
        <f>정규화데이터!J965</f>
        <v>41363.636363636302</v>
      </c>
      <c r="K965" s="25">
        <f>정규화데이터!K965</f>
        <v>30748</v>
      </c>
      <c r="L965" s="25">
        <f>정규화데이터!L965</f>
        <v>30748</v>
      </c>
      <c r="M965" s="21">
        <f t="shared" si="30"/>
        <v>10615.636363636302</v>
      </c>
      <c r="N965" s="52">
        <f t="shared" si="31"/>
        <v>0.25664175824175711</v>
      </c>
    </row>
    <row r="966" spans="1:14" x14ac:dyDescent="0.3">
      <c r="A966" t="str">
        <f>정규화데이터!A966</f>
        <v>리씽크</v>
      </c>
      <c r="B966">
        <f>정규화데이터!B966</f>
        <v>2.02602050811037E+18</v>
      </c>
      <c r="C966" t="str">
        <f>정규화데이터!C966</f>
        <v xml:space="preserve">워커힐 본갈비 3+1 최초❤️5만원대! 총1.2kg✨호텔특제 양념갈비 8인분 (✨1인분 7,375원꼴! / [300g,2인분] x 총 4팩  / ✨초이스등급 본갈비 / ❣️워커힐 </v>
      </c>
      <c r="D966">
        <f>정규화데이터!D966</f>
        <v>143790</v>
      </c>
      <c r="E966" s="16" t="str">
        <f>정규화데이터!E966</f>
        <v>SKU001</v>
      </c>
      <c r="F966" s="3">
        <f>정규화데이터!F966</f>
        <v>1</v>
      </c>
      <c r="G966" s="3">
        <f>정규화데이터!G966</f>
        <v>41363.636363636302</v>
      </c>
      <c r="H966" s="3">
        <f>정규화데이터!H966</f>
        <v>45499.999999999935</v>
      </c>
      <c r="I966" s="3">
        <f>정규화데이터!I966</f>
        <v>45500</v>
      </c>
      <c r="J966" s="3">
        <f>정규화데이터!J966</f>
        <v>41363.636363636302</v>
      </c>
      <c r="K966" s="25">
        <f>정규화데이터!K966</f>
        <v>30748</v>
      </c>
      <c r="L966" s="25">
        <f>정규화데이터!L966</f>
        <v>30748</v>
      </c>
      <c r="M966" s="21">
        <f t="shared" si="30"/>
        <v>10615.636363636302</v>
      </c>
      <c r="N966" s="52">
        <f t="shared" si="31"/>
        <v>0.25664175824175711</v>
      </c>
    </row>
    <row r="967" spans="1:14" x14ac:dyDescent="0.3">
      <c r="A967" t="str">
        <f>정규화데이터!A967</f>
        <v>리씽크</v>
      </c>
      <c r="B967">
        <f>정규화데이터!B967</f>
        <v>2.02602050811315E+18</v>
      </c>
      <c r="C967" t="str">
        <f>정규화데이터!C967</f>
        <v xml:space="preserve">워커힐 본갈비 3+1 최초❤️5만원대! 총1.2kg✨호텔특제 양념갈비 8인분 (✨1인분 7,375원꼴! / [300g,2인분] x 총 4팩  / ✨초이스등급 본갈비 / ❣️워커힐 </v>
      </c>
      <c r="D967">
        <f>정규화데이터!D967</f>
        <v>143790</v>
      </c>
      <c r="E967" s="16" t="str">
        <f>정규화데이터!E967</f>
        <v>SKU001</v>
      </c>
      <c r="F967" s="3">
        <f>정규화데이터!F967</f>
        <v>1</v>
      </c>
      <c r="G967" s="3">
        <f>정규화데이터!G967</f>
        <v>41363.636363636302</v>
      </c>
      <c r="H967" s="3">
        <f>정규화데이터!H967</f>
        <v>45499.999999999935</v>
      </c>
      <c r="I967" s="3">
        <f>정규화데이터!I967</f>
        <v>45500</v>
      </c>
      <c r="J967" s="3">
        <f>정규화데이터!J967</f>
        <v>41363.636363636302</v>
      </c>
      <c r="K967" s="25">
        <f>정규화데이터!K967</f>
        <v>30748</v>
      </c>
      <c r="L967" s="25">
        <f>정규화데이터!L967</f>
        <v>30748</v>
      </c>
      <c r="M967" s="21">
        <f t="shared" si="30"/>
        <v>10615.636363636302</v>
      </c>
      <c r="N967" s="52">
        <f t="shared" si="31"/>
        <v>0.25664175824175711</v>
      </c>
    </row>
    <row r="968" spans="1:14" x14ac:dyDescent="0.3">
      <c r="A968" t="str">
        <f>정규화데이터!A968</f>
        <v>리씽크</v>
      </c>
      <c r="B968">
        <f>정규화데이터!B968</f>
        <v>2.0260205080940301E+18</v>
      </c>
      <c r="C968" t="str">
        <f>정규화데이터!C968</f>
        <v xml:space="preserve">워커힐 본갈비 3+1 최초❤️5만원대! 총1.2kg✨호텔특제 양념갈비 8인분 (✨1인분 7,375원꼴! / [300g,2인분] x 총 4팩  / ✨초이스등급 본갈비 / ❣️워커힐 </v>
      </c>
      <c r="D968">
        <f>정규화데이터!D968</f>
        <v>143790</v>
      </c>
      <c r="E968" s="16" t="str">
        <f>정규화데이터!E968</f>
        <v>SKU001</v>
      </c>
      <c r="F968" s="3">
        <f>정규화데이터!F968</f>
        <v>1</v>
      </c>
      <c r="G968" s="3">
        <f>정규화데이터!G968</f>
        <v>41363.636363636302</v>
      </c>
      <c r="H968" s="3">
        <f>정규화데이터!H968</f>
        <v>45499.999999999935</v>
      </c>
      <c r="I968" s="3">
        <f>정규화데이터!I968</f>
        <v>45500</v>
      </c>
      <c r="J968" s="3">
        <f>정규화데이터!J968</f>
        <v>41363.636363636302</v>
      </c>
      <c r="K968" s="25">
        <f>정규화데이터!K968</f>
        <v>30748</v>
      </c>
      <c r="L968" s="25">
        <f>정규화데이터!L968</f>
        <v>30748</v>
      </c>
      <c r="M968" s="21">
        <f t="shared" si="30"/>
        <v>10615.636363636302</v>
      </c>
      <c r="N968" s="52">
        <f t="shared" si="31"/>
        <v>0.25664175824175711</v>
      </c>
    </row>
    <row r="969" spans="1:14" x14ac:dyDescent="0.3">
      <c r="A969" t="str">
        <f>정규화데이터!A969</f>
        <v>리씽크</v>
      </c>
      <c r="B969">
        <f>정규화데이터!B969</f>
        <v>2.0260205075842801E+18</v>
      </c>
      <c r="C969" t="str">
        <f>정규화데이터!C969</f>
        <v xml:space="preserve">워커힐 본갈비 3+1 최초❤️5만원대! 총1.2kg✨호텔특제 양념갈비 8인분 (✨1인분 7,375원꼴! / [300g,2인분] x 총 4팩  / ✨초이스등급 본갈비 / ❣️워커힐 </v>
      </c>
      <c r="D969">
        <f>정규화데이터!D969</f>
        <v>143790</v>
      </c>
      <c r="E969" s="16" t="str">
        <f>정규화데이터!E969</f>
        <v>SKU001</v>
      </c>
      <c r="F969" s="3">
        <f>정규화데이터!F969</f>
        <v>1</v>
      </c>
      <c r="G969" s="3">
        <f>정규화데이터!G969</f>
        <v>41363.636363636302</v>
      </c>
      <c r="H969" s="3">
        <f>정규화데이터!H969</f>
        <v>45499.999999999935</v>
      </c>
      <c r="I969" s="3">
        <f>정규화데이터!I969</f>
        <v>45500</v>
      </c>
      <c r="J969" s="3">
        <f>정규화데이터!J969</f>
        <v>41363.636363636302</v>
      </c>
      <c r="K969" s="25">
        <f>정규화데이터!K969</f>
        <v>30748</v>
      </c>
      <c r="L969" s="25">
        <f>정규화데이터!L969</f>
        <v>30748</v>
      </c>
      <c r="M969" s="21">
        <f t="shared" si="30"/>
        <v>10615.636363636302</v>
      </c>
      <c r="N969" s="52">
        <f t="shared" si="31"/>
        <v>0.25664175824175711</v>
      </c>
    </row>
    <row r="970" spans="1:14" x14ac:dyDescent="0.3">
      <c r="A970" t="str">
        <f>정규화데이터!A970</f>
        <v>리씽크</v>
      </c>
      <c r="B970">
        <f>정규화데이터!B970</f>
        <v>2.02602050806224E+18</v>
      </c>
      <c r="C970" t="str">
        <f>정규화데이터!C970</f>
        <v xml:space="preserve">워커힐 본갈비 3+1 최초❤️5만원대! 총1.2kg✨호텔특제 양념갈비 8인분 (✨1인분 7,375원꼴! / [300g,2인분] x 총 4팩  / ✨초이스등급 본갈비 / ❣️워커힐 </v>
      </c>
      <c r="D970">
        <f>정규화데이터!D970</f>
        <v>143790</v>
      </c>
      <c r="E970" s="16" t="str">
        <f>정규화데이터!E970</f>
        <v>SKU001</v>
      </c>
      <c r="F970" s="3">
        <f>정규화데이터!F970</f>
        <v>1</v>
      </c>
      <c r="G970" s="3">
        <f>정규화데이터!G970</f>
        <v>41363.636363636302</v>
      </c>
      <c r="H970" s="3">
        <f>정규화데이터!H970</f>
        <v>45499.999999999935</v>
      </c>
      <c r="I970" s="3">
        <f>정규화데이터!I970</f>
        <v>45500</v>
      </c>
      <c r="J970" s="3">
        <f>정규화데이터!J970</f>
        <v>41363.636363636302</v>
      </c>
      <c r="K970" s="25">
        <f>정규화데이터!K970</f>
        <v>30748</v>
      </c>
      <c r="L970" s="25">
        <f>정규화데이터!L970</f>
        <v>30748</v>
      </c>
      <c r="M970" s="21">
        <f t="shared" si="30"/>
        <v>10615.636363636302</v>
      </c>
      <c r="N970" s="52">
        <f t="shared" si="31"/>
        <v>0.25664175824175711</v>
      </c>
    </row>
    <row r="971" spans="1:14" x14ac:dyDescent="0.3">
      <c r="A971" t="str">
        <f>정규화데이터!A971</f>
        <v>리씽크</v>
      </c>
      <c r="B971">
        <f>정규화데이터!B971</f>
        <v>2.0260205080821601E+18</v>
      </c>
      <c r="C971" t="str">
        <f>정규화데이터!C971</f>
        <v xml:space="preserve">워커힐 본갈비 3+1 최초❤️5만원대! 총1.2kg✨호텔특제 양념갈비 8인분 (✨1인분 7,375원꼴! / [300g,2인분] x 총 4팩  / ✨초이스등급 본갈비 / ❣️워커힐 </v>
      </c>
      <c r="D971">
        <f>정규화데이터!D971</f>
        <v>143790</v>
      </c>
      <c r="E971" s="16" t="str">
        <f>정규화데이터!E971</f>
        <v>SKU001</v>
      </c>
      <c r="F971" s="3">
        <f>정규화데이터!F971</f>
        <v>1</v>
      </c>
      <c r="G971" s="3">
        <f>정규화데이터!G971</f>
        <v>41363.636363636302</v>
      </c>
      <c r="H971" s="3">
        <f>정규화데이터!H971</f>
        <v>45499.999999999935</v>
      </c>
      <c r="I971" s="3">
        <f>정규화데이터!I971</f>
        <v>45500</v>
      </c>
      <c r="J971" s="3">
        <f>정규화데이터!J971</f>
        <v>41363.636363636302</v>
      </c>
      <c r="K971" s="25">
        <f>정규화데이터!K971</f>
        <v>30748</v>
      </c>
      <c r="L971" s="25">
        <f>정규화데이터!L971</f>
        <v>30748</v>
      </c>
      <c r="M971" s="21">
        <f t="shared" si="30"/>
        <v>10615.636363636302</v>
      </c>
      <c r="N971" s="52">
        <f t="shared" si="31"/>
        <v>0.25664175824175711</v>
      </c>
    </row>
    <row r="972" spans="1:14" x14ac:dyDescent="0.3">
      <c r="A972" t="str">
        <f>정규화데이터!A972</f>
        <v>리씽크</v>
      </c>
      <c r="B972">
        <f>정규화데이터!B972</f>
        <v>2.0260205080858801E+18</v>
      </c>
      <c r="C972" t="str">
        <f>정규화데이터!C972</f>
        <v xml:space="preserve">워커힐 본갈비 3+1 최초❤️5만원대! 총1.2kg✨호텔특제 양념갈비 8인분 (✨1인분 7,375원꼴! / [300g,2인분] x 총 4팩  / ✨초이스등급 본갈비 / ❣️워커힐 </v>
      </c>
      <c r="D972">
        <f>정규화데이터!D972</f>
        <v>143790</v>
      </c>
      <c r="E972" s="16" t="str">
        <f>정규화데이터!E972</f>
        <v>SKU001</v>
      </c>
      <c r="F972" s="3">
        <f>정규화데이터!F972</f>
        <v>1</v>
      </c>
      <c r="G972" s="3">
        <f>정규화데이터!G972</f>
        <v>41363.636363636302</v>
      </c>
      <c r="H972" s="3">
        <f>정규화데이터!H972</f>
        <v>45499.999999999935</v>
      </c>
      <c r="I972" s="3">
        <f>정규화데이터!I972</f>
        <v>45500</v>
      </c>
      <c r="J972" s="3">
        <f>정규화데이터!J972</f>
        <v>41363.636363636302</v>
      </c>
      <c r="K972" s="25">
        <f>정규화데이터!K972</f>
        <v>30748</v>
      </c>
      <c r="L972" s="25">
        <f>정규화데이터!L972</f>
        <v>30748</v>
      </c>
      <c r="M972" s="21">
        <f t="shared" si="30"/>
        <v>10615.636363636302</v>
      </c>
      <c r="N972" s="52">
        <f t="shared" si="31"/>
        <v>0.25664175824175711</v>
      </c>
    </row>
    <row r="973" spans="1:14" x14ac:dyDescent="0.3">
      <c r="A973" t="str">
        <f>정규화데이터!A973</f>
        <v>리씽크</v>
      </c>
      <c r="B973">
        <f>정규화데이터!B973</f>
        <v>2.0260205080038899E+18</v>
      </c>
      <c r="C973" t="str">
        <f>정규화데이터!C973</f>
        <v xml:space="preserve">워커힐 본갈비 3+1 최초❤️5만원대! 총1.2kg✨호텔특제 양념갈비 8인분 (✨1인분 7,375원꼴! / [300g,2인분] x 총 4팩  / ✨초이스등급 본갈비 / ❣️워커힐 </v>
      </c>
      <c r="D973">
        <f>정규화데이터!D973</f>
        <v>143790</v>
      </c>
      <c r="E973" s="16" t="str">
        <f>정규화데이터!E973</f>
        <v>SKU001</v>
      </c>
      <c r="F973" s="3">
        <f>정규화데이터!F973</f>
        <v>1</v>
      </c>
      <c r="G973" s="3">
        <f>정규화데이터!G973</f>
        <v>41363.636363636302</v>
      </c>
      <c r="H973" s="3">
        <f>정규화데이터!H973</f>
        <v>45499.999999999935</v>
      </c>
      <c r="I973" s="3">
        <f>정규화데이터!I973</f>
        <v>45500</v>
      </c>
      <c r="J973" s="3">
        <f>정규화데이터!J973</f>
        <v>41363.636363636302</v>
      </c>
      <c r="K973" s="25">
        <f>정규화데이터!K973</f>
        <v>30748</v>
      </c>
      <c r="L973" s="25">
        <f>정규화데이터!L973</f>
        <v>30748</v>
      </c>
      <c r="M973" s="21">
        <f t="shared" si="30"/>
        <v>10615.636363636302</v>
      </c>
      <c r="N973" s="52">
        <f t="shared" si="31"/>
        <v>0.25664175824175711</v>
      </c>
    </row>
    <row r="974" spans="1:14" x14ac:dyDescent="0.3">
      <c r="A974" t="str">
        <f>정규화데이터!A974</f>
        <v>리씽크</v>
      </c>
      <c r="B974">
        <f>정규화데이터!B974</f>
        <v>2.02602050808482E+18</v>
      </c>
      <c r="C974" t="str">
        <f>정규화데이터!C974</f>
        <v xml:space="preserve">워커힐 본갈비 3+1 최초❤️5만원대! 총1.2kg✨호텔특제 양념갈비 8인분 (✨1인분 7,375원꼴! / [300g,2인분] x 총 4팩  / ✨초이스등급 본갈비 / ❣️워커힐 </v>
      </c>
      <c r="D974">
        <f>정규화데이터!D974</f>
        <v>143790</v>
      </c>
      <c r="E974" s="16" t="str">
        <f>정규화데이터!E974</f>
        <v>SKU001</v>
      </c>
      <c r="F974" s="3">
        <f>정규화데이터!F974</f>
        <v>1</v>
      </c>
      <c r="G974" s="3">
        <f>정규화데이터!G974</f>
        <v>41363.636363636302</v>
      </c>
      <c r="H974" s="3">
        <f>정규화데이터!H974</f>
        <v>45499.999999999935</v>
      </c>
      <c r="I974" s="3">
        <f>정규화데이터!I974</f>
        <v>45500</v>
      </c>
      <c r="J974" s="3">
        <f>정규화데이터!J974</f>
        <v>41363.636363636302</v>
      </c>
      <c r="K974" s="25">
        <f>정규화데이터!K974</f>
        <v>30748</v>
      </c>
      <c r="L974" s="25">
        <f>정규화데이터!L974</f>
        <v>30748</v>
      </c>
      <c r="M974" s="21">
        <f t="shared" si="30"/>
        <v>10615.636363636302</v>
      </c>
      <c r="N974" s="52">
        <f t="shared" si="31"/>
        <v>0.25664175824175711</v>
      </c>
    </row>
    <row r="975" spans="1:14" x14ac:dyDescent="0.3">
      <c r="A975" t="str">
        <f>정규화데이터!A975</f>
        <v>리씽크</v>
      </c>
      <c r="B975">
        <f>정규화데이터!B975</f>
        <v>2.0260205075952E+18</v>
      </c>
      <c r="C975" t="str">
        <f>정규화데이터!C975</f>
        <v xml:space="preserve">워커힐 본갈비 3+1 최초❤️5만원대! 총1.2kg✨호텔특제 양념갈비 8인분 (✨1인분 7,375원꼴! / [300g,2인분] x 총 4팩  / ✨초이스등급 본갈비 / ❣️워커힐 </v>
      </c>
      <c r="D975">
        <f>정규화데이터!D975</f>
        <v>143790</v>
      </c>
      <c r="E975" s="16" t="str">
        <f>정규화데이터!E975</f>
        <v>SKU001</v>
      </c>
      <c r="F975" s="3">
        <f>정규화데이터!F975</f>
        <v>1</v>
      </c>
      <c r="G975" s="3">
        <f>정규화데이터!G975</f>
        <v>41363.636363636302</v>
      </c>
      <c r="H975" s="3">
        <f>정규화데이터!H975</f>
        <v>45499.999999999935</v>
      </c>
      <c r="I975" s="3">
        <f>정규화데이터!I975</f>
        <v>45500</v>
      </c>
      <c r="J975" s="3">
        <f>정규화데이터!J975</f>
        <v>41363.636363636302</v>
      </c>
      <c r="K975" s="25">
        <f>정규화데이터!K975</f>
        <v>30748</v>
      </c>
      <c r="L975" s="25">
        <f>정규화데이터!L975</f>
        <v>30748</v>
      </c>
      <c r="M975" s="21">
        <f t="shared" si="30"/>
        <v>10615.636363636302</v>
      </c>
      <c r="N975" s="52">
        <f t="shared" si="31"/>
        <v>0.25664175824175711</v>
      </c>
    </row>
    <row r="976" spans="1:14" x14ac:dyDescent="0.3">
      <c r="A976" t="str">
        <f>정규화데이터!A976</f>
        <v>리씽크</v>
      </c>
      <c r="B976">
        <f>정규화데이터!B976</f>
        <v>2.0260205080814899E+18</v>
      </c>
      <c r="C976" t="str">
        <f>정규화데이터!C976</f>
        <v xml:space="preserve">워커힐 본갈비 3+1 최초❤️5만원대! 총1.2kg✨호텔특제 양념갈비 8인분 (✨1인분 7,375원꼴! / [300g,2인분] x 총 4팩  / ✨초이스등급 본갈비 / ❣️워커힐 </v>
      </c>
      <c r="D976">
        <f>정규화데이터!D976</f>
        <v>143790</v>
      </c>
      <c r="E976" s="16" t="str">
        <f>정규화데이터!E976</f>
        <v>SKU001</v>
      </c>
      <c r="F976" s="3">
        <f>정규화데이터!F976</f>
        <v>1</v>
      </c>
      <c r="G976" s="3">
        <f>정규화데이터!G976</f>
        <v>41363.636363636302</v>
      </c>
      <c r="H976" s="3">
        <f>정규화데이터!H976</f>
        <v>45499.999999999935</v>
      </c>
      <c r="I976" s="3">
        <f>정규화데이터!I976</f>
        <v>45500</v>
      </c>
      <c r="J976" s="3">
        <f>정규화데이터!J976</f>
        <v>41363.636363636302</v>
      </c>
      <c r="K976" s="25">
        <f>정규화데이터!K976</f>
        <v>30748</v>
      </c>
      <c r="L976" s="25">
        <f>정규화데이터!L976</f>
        <v>30748</v>
      </c>
      <c r="M976" s="21">
        <f t="shared" si="30"/>
        <v>10615.636363636302</v>
      </c>
      <c r="N976" s="52">
        <f t="shared" si="31"/>
        <v>0.25664175824175711</v>
      </c>
    </row>
    <row r="977" spans="1:14" x14ac:dyDescent="0.3">
      <c r="A977" t="str">
        <f>정규화데이터!A977</f>
        <v>리씽크</v>
      </c>
      <c r="B977">
        <f>정규화데이터!B977</f>
        <v>2.02602050807247E+18</v>
      </c>
      <c r="C977" t="str">
        <f>정규화데이터!C977</f>
        <v xml:space="preserve">워커힐 본갈비 3+1 최초❤️5만원대! 총1.2kg✨호텔특제 양념갈비 8인분 (✨1인분 7,375원꼴! / [300g,2인분] x 총 4팩  / ✨초이스등급 본갈비 / ❣️워커힐 </v>
      </c>
      <c r="D977">
        <f>정규화데이터!D977</f>
        <v>143790</v>
      </c>
      <c r="E977" s="16" t="str">
        <f>정규화데이터!E977</f>
        <v>SKU001</v>
      </c>
      <c r="F977" s="3">
        <f>정규화데이터!F977</f>
        <v>1</v>
      </c>
      <c r="G977" s="3">
        <f>정규화데이터!G977</f>
        <v>41363.636363636302</v>
      </c>
      <c r="H977" s="3">
        <f>정규화데이터!H977</f>
        <v>45499.999999999935</v>
      </c>
      <c r="I977" s="3">
        <f>정규화데이터!I977</f>
        <v>45500</v>
      </c>
      <c r="J977" s="3">
        <f>정규화데이터!J977</f>
        <v>41363.636363636302</v>
      </c>
      <c r="K977" s="25">
        <f>정규화데이터!K977</f>
        <v>30748</v>
      </c>
      <c r="L977" s="25">
        <f>정규화데이터!L977</f>
        <v>30748</v>
      </c>
      <c r="M977" s="21">
        <f t="shared" si="30"/>
        <v>10615.636363636302</v>
      </c>
      <c r="N977" s="52">
        <f t="shared" si="31"/>
        <v>0.25664175824175711</v>
      </c>
    </row>
    <row r="978" spans="1:14" x14ac:dyDescent="0.3">
      <c r="A978" t="str">
        <f>정규화데이터!A978</f>
        <v>리씽크</v>
      </c>
      <c r="B978">
        <f>정규화데이터!B978</f>
        <v>2.02602050805293E+18</v>
      </c>
      <c r="C978" t="str">
        <f>정규화데이터!C978</f>
        <v xml:space="preserve">워커힐 본갈비 3+1 최초❤️5만원대! 총1.2kg✨호텔특제 양념갈비 8인분 (✨1인분 7,375원꼴! / [300g,2인분] x 총 4팩  / ✨초이스등급 본갈비 / ❣️워커힐 </v>
      </c>
      <c r="D978">
        <f>정규화데이터!D978</f>
        <v>143790</v>
      </c>
      <c r="E978" s="16" t="str">
        <f>정규화데이터!E978</f>
        <v>SKU001</v>
      </c>
      <c r="F978" s="3">
        <f>정규화데이터!F978</f>
        <v>1</v>
      </c>
      <c r="G978" s="3">
        <f>정규화데이터!G978</f>
        <v>41363.636363636302</v>
      </c>
      <c r="H978" s="3">
        <f>정규화데이터!H978</f>
        <v>45499.999999999935</v>
      </c>
      <c r="I978" s="3">
        <f>정규화데이터!I978</f>
        <v>45500</v>
      </c>
      <c r="J978" s="3">
        <f>정규화데이터!J978</f>
        <v>41363.636363636302</v>
      </c>
      <c r="K978" s="25">
        <f>정규화데이터!K978</f>
        <v>30748</v>
      </c>
      <c r="L978" s="25">
        <f>정규화데이터!L978</f>
        <v>30748</v>
      </c>
      <c r="M978" s="21">
        <f t="shared" si="30"/>
        <v>10615.636363636302</v>
      </c>
      <c r="N978" s="52">
        <f t="shared" si="31"/>
        <v>0.25664175824175711</v>
      </c>
    </row>
    <row r="979" spans="1:14" x14ac:dyDescent="0.3">
      <c r="A979" t="str">
        <f>정규화데이터!A979</f>
        <v>리씽크</v>
      </c>
      <c r="B979">
        <f>정규화데이터!B979</f>
        <v>2.0260205080437801E+18</v>
      </c>
      <c r="C979" t="str">
        <f>정규화데이터!C979</f>
        <v xml:space="preserve">워커힐 본갈비 3+1 최초❤️5만원대! 총1.2kg✨호텔특제 양념갈비 8인분 (✨1인분 7,375원꼴! / [300g,2인분] x 총 4팩  / ✨초이스등급 본갈비 / ❣️워커힐 </v>
      </c>
      <c r="D979">
        <f>정규화데이터!D979</f>
        <v>143790</v>
      </c>
      <c r="E979" s="16" t="str">
        <f>정규화데이터!E979</f>
        <v>SKU001</v>
      </c>
      <c r="F979" s="3">
        <f>정규화데이터!F979</f>
        <v>1</v>
      </c>
      <c r="G979" s="3">
        <f>정규화데이터!G979</f>
        <v>41363.636363636302</v>
      </c>
      <c r="H979" s="3">
        <f>정규화데이터!H979</f>
        <v>45499.999999999935</v>
      </c>
      <c r="I979" s="3">
        <f>정규화데이터!I979</f>
        <v>45500</v>
      </c>
      <c r="J979" s="3">
        <f>정규화데이터!J979</f>
        <v>41363.636363636302</v>
      </c>
      <c r="K979" s="25">
        <f>정규화데이터!K979</f>
        <v>30748</v>
      </c>
      <c r="L979" s="25">
        <f>정규화데이터!L979</f>
        <v>30748</v>
      </c>
      <c r="M979" s="21">
        <f t="shared" si="30"/>
        <v>10615.636363636302</v>
      </c>
      <c r="N979" s="52">
        <f t="shared" si="31"/>
        <v>0.25664175824175711</v>
      </c>
    </row>
    <row r="980" spans="1:14" x14ac:dyDescent="0.3">
      <c r="A980" t="str">
        <f>정규화데이터!A980</f>
        <v>리씽크</v>
      </c>
      <c r="B980">
        <f>정규화데이터!B980</f>
        <v>2.02602050803357E+18</v>
      </c>
      <c r="C980" t="str">
        <f>정규화데이터!C980</f>
        <v xml:space="preserve">워커힐 본갈비 3+1 최초❤️5만원대! 총1.2kg✨호텔특제 양념갈비 8인분 (✨1인분 7,375원꼴! / [300g,2인분] x 총 4팩  / ✨초이스등급 본갈비 / ❣️워커힐 </v>
      </c>
      <c r="D980">
        <f>정규화데이터!D980</f>
        <v>143790</v>
      </c>
      <c r="E980" s="16" t="str">
        <f>정규화데이터!E980</f>
        <v>SKU001</v>
      </c>
      <c r="F980" s="3">
        <f>정규화데이터!F980</f>
        <v>1</v>
      </c>
      <c r="G980" s="3">
        <f>정규화데이터!G980</f>
        <v>41363.636363636302</v>
      </c>
      <c r="H980" s="3">
        <f>정규화데이터!H980</f>
        <v>45499.999999999935</v>
      </c>
      <c r="I980" s="3">
        <f>정규화데이터!I980</f>
        <v>45500</v>
      </c>
      <c r="J980" s="3">
        <f>정규화데이터!J980</f>
        <v>41363.636363636302</v>
      </c>
      <c r="K980" s="25">
        <f>정규화데이터!K980</f>
        <v>30748</v>
      </c>
      <c r="L980" s="25">
        <f>정규화데이터!L980</f>
        <v>30748</v>
      </c>
      <c r="M980" s="21">
        <f t="shared" si="30"/>
        <v>10615.636363636302</v>
      </c>
      <c r="N980" s="52">
        <f t="shared" si="31"/>
        <v>0.25664175824175711</v>
      </c>
    </row>
    <row r="981" spans="1:14" x14ac:dyDescent="0.3">
      <c r="A981" t="str">
        <f>정규화데이터!A981</f>
        <v>리씽크</v>
      </c>
      <c r="B981">
        <f>정규화데이터!B981</f>
        <v>2.0260205080325601E+18</v>
      </c>
      <c r="C981" t="str">
        <f>정규화데이터!C981</f>
        <v xml:space="preserve">워커힐 본갈비 3+1 최초❤️5만원대! 총1.2kg✨호텔특제 양념갈비 8인분 (✨1인분 7,375원꼴! / [300g,2인분] x 총 4팩  / ✨초이스등급 본갈비 / ❣️워커힐 </v>
      </c>
      <c r="D981">
        <f>정규화데이터!D981</f>
        <v>143790</v>
      </c>
      <c r="E981" s="16" t="str">
        <f>정규화데이터!E981</f>
        <v>SKU001</v>
      </c>
      <c r="F981" s="3">
        <f>정규화데이터!F981</f>
        <v>1</v>
      </c>
      <c r="G981" s="3">
        <f>정규화데이터!G981</f>
        <v>41363.636363636302</v>
      </c>
      <c r="H981" s="3">
        <f>정규화데이터!H981</f>
        <v>45499.999999999935</v>
      </c>
      <c r="I981" s="3">
        <f>정규화데이터!I981</f>
        <v>45500</v>
      </c>
      <c r="J981" s="3">
        <f>정규화데이터!J981</f>
        <v>41363.636363636302</v>
      </c>
      <c r="K981" s="25">
        <f>정규화데이터!K981</f>
        <v>30748</v>
      </c>
      <c r="L981" s="25">
        <f>정규화데이터!L981</f>
        <v>30748</v>
      </c>
      <c r="M981" s="21">
        <f t="shared" si="30"/>
        <v>10615.636363636302</v>
      </c>
      <c r="N981" s="52">
        <f t="shared" si="31"/>
        <v>0.25664175824175711</v>
      </c>
    </row>
    <row r="982" spans="1:14" x14ac:dyDescent="0.3">
      <c r="A982" t="str">
        <f>정규화데이터!A982</f>
        <v>리씽크</v>
      </c>
      <c r="B982">
        <f>정규화데이터!B982</f>
        <v>2.0260205080509599E+18</v>
      </c>
      <c r="C982" t="str">
        <f>정규화데이터!C982</f>
        <v xml:space="preserve">워커힐 본갈비 3+1 최초❤️5만원대! 총1.2kg✨호텔특제 양념갈비 8인분 (✨1인분 7,375원꼴! / [300g,2인분] x 총 4팩  / ✨초이스등급 본갈비 / ❣️워커힐 </v>
      </c>
      <c r="D982">
        <f>정규화데이터!D982</f>
        <v>143790</v>
      </c>
      <c r="E982" s="16" t="str">
        <f>정규화데이터!E982</f>
        <v>SKU001</v>
      </c>
      <c r="F982" s="3">
        <f>정규화데이터!F982</f>
        <v>1</v>
      </c>
      <c r="G982" s="3">
        <f>정규화데이터!G982</f>
        <v>41363.636363636302</v>
      </c>
      <c r="H982" s="3">
        <f>정규화데이터!H982</f>
        <v>45499.999999999935</v>
      </c>
      <c r="I982" s="3">
        <f>정규화데이터!I982</f>
        <v>45500</v>
      </c>
      <c r="J982" s="3">
        <f>정규화데이터!J982</f>
        <v>41363.636363636302</v>
      </c>
      <c r="K982" s="25">
        <f>정규화데이터!K982</f>
        <v>30748</v>
      </c>
      <c r="L982" s="25">
        <f>정규화데이터!L982</f>
        <v>30748</v>
      </c>
      <c r="M982" s="21">
        <f t="shared" si="30"/>
        <v>10615.636363636302</v>
      </c>
      <c r="N982" s="52">
        <f t="shared" si="31"/>
        <v>0.25664175824175711</v>
      </c>
    </row>
    <row r="983" spans="1:14" x14ac:dyDescent="0.3">
      <c r="A983" t="str">
        <f>정규화데이터!A983</f>
        <v>리씽크</v>
      </c>
      <c r="B983">
        <f>정규화데이터!B983</f>
        <v>2.02602050759391E+18</v>
      </c>
      <c r="C983" t="str">
        <f>정규화데이터!C983</f>
        <v xml:space="preserve">워커힐 본갈비 3+1 최초❤️5만원대! 총1.2kg✨호텔특제 양념갈비 8인분 (✨1인분 7,375원꼴! / [300g,2인분] x 총 4팩  / ✨초이스등급 본갈비 / ❣️워커힐 </v>
      </c>
      <c r="D983">
        <f>정규화데이터!D983</f>
        <v>143790</v>
      </c>
      <c r="E983" s="16" t="str">
        <f>정규화데이터!E983</f>
        <v>SKU001</v>
      </c>
      <c r="F983" s="3">
        <f>정규화데이터!F983</f>
        <v>1</v>
      </c>
      <c r="G983" s="3">
        <f>정규화데이터!G983</f>
        <v>41363.636363636302</v>
      </c>
      <c r="H983" s="3">
        <f>정규화데이터!H983</f>
        <v>45499.999999999935</v>
      </c>
      <c r="I983" s="3">
        <f>정규화데이터!I983</f>
        <v>45500</v>
      </c>
      <c r="J983" s="3">
        <f>정규화데이터!J983</f>
        <v>41363.636363636302</v>
      </c>
      <c r="K983" s="25">
        <f>정규화데이터!K983</f>
        <v>30748</v>
      </c>
      <c r="L983" s="25">
        <f>정규화데이터!L983</f>
        <v>30748</v>
      </c>
      <c r="M983" s="21">
        <f t="shared" si="30"/>
        <v>10615.636363636302</v>
      </c>
      <c r="N983" s="52">
        <f t="shared" si="31"/>
        <v>0.25664175824175711</v>
      </c>
    </row>
    <row r="984" spans="1:14" x14ac:dyDescent="0.3">
      <c r="A984" t="str">
        <f>정규화데이터!A984</f>
        <v>리씽크</v>
      </c>
      <c r="B984">
        <f>정규화데이터!B984</f>
        <v>2.02602050805121E+18</v>
      </c>
      <c r="C984" t="str">
        <f>정규화데이터!C984</f>
        <v xml:space="preserve">워커힐 본갈비 3+1 최초❤️5만원대! 총1.2kg✨호텔특제 양념갈비 8인분 (✨1인분 7,375원꼴! / [300g,2인분] x 총 4팩  / ✨초이스등급 본갈비 / ❣️워커힐 </v>
      </c>
      <c r="D984">
        <f>정규화데이터!D984</f>
        <v>143790</v>
      </c>
      <c r="E984" s="16" t="str">
        <f>정규화데이터!E984</f>
        <v>SKU001</v>
      </c>
      <c r="F984" s="3">
        <f>정규화데이터!F984</f>
        <v>2</v>
      </c>
      <c r="G984" s="3">
        <f>정규화데이터!G984</f>
        <v>41363.636363636353</v>
      </c>
      <c r="H984" s="3">
        <f>정규화데이터!H984</f>
        <v>91000</v>
      </c>
      <c r="I984" s="3">
        <f>정규화데이터!I984</f>
        <v>91000</v>
      </c>
      <c r="J984" s="3">
        <f>정규화데이터!J984</f>
        <v>82727.272727272706</v>
      </c>
      <c r="K984" s="25">
        <f>정규화데이터!K984</f>
        <v>30748</v>
      </c>
      <c r="L984" s="25">
        <f>정규화데이터!L984</f>
        <v>61496</v>
      </c>
      <c r="M984" s="21">
        <f t="shared" si="30"/>
        <v>21231.272727272706</v>
      </c>
      <c r="N984" s="52">
        <f t="shared" si="31"/>
        <v>0.25664175824175806</v>
      </c>
    </row>
    <row r="985" spans="1:14" x14ac:dyDescent="0.3">
      <c r="A985" t="str">
        <f>정규화데이터!A985</f>
        <v>리씽크</v>
      </c>
      <c r="B985">
        <f>정규화데이터!B985</f>
        <v>2.02602050804273E+18</v>
      </c>
      <c r="C985" t="str">
        <f>정규화데이터!C985</f>
        <v xml:space="preserve">워커힐 본갈비 3+1 최초❤️5만원대! 총1.2kg✨호텔특제 양념갈비 8인분 (✨1인분 7,375원꼴! / [300g,2인분] x 총 4팩  / ✨초이스등급 본갈비 / ❣️워커힐 </v>
      </c>
      <c r="D985">
        <f>정규화데이터!D985</f>
        <v>143790</v>
      </c>
      <c r="E985" s="16" t="str">
        <f>정규화데이터!E985</f>
        <v>SKU001</v>
      </c>
      <c r="F985" s="3">
        <f>정규화데이터!F985</f>
        <v>1</v>
      </c>
      <c r="G985" s="3">
        <f>정규화데이터!G985</f>
        <v>41363.636363636302</v>
      </c>
      <c r="H985" s="3">
        <f>정규화데이터!H985</f>
        <v>45499.999999999935</v>
      </c>
      <c r="I985" s="3">
        <f>정규화데이터!I985</f>
        <v>45500</v>
      </c>
      <c r="J985" s="3">
        <f>정규화데이터!J985</f>
        <v>41363.636363636302</v>
      </c>
      <c r="K985" s="25">
        <f>정규화데이터!K985</f>
        <v>30748</v>
      </c>
      <c r="L985" s="25">
        <f>정규화데이터!L985</f>
        <v>30748</v>
      </c>
      <c r="M985" s="21">
        <f t="shared" si="30"/>
        <v>10615.636363636302</v>
      </c>
      <c r="N985" s="52">
        <f t="shared" si="31"/>
        <v>0.25664175824175711</v>
      </c>
    </row>
    <row r="986" spans="1:14" x14ac:dyDescent="0.3">
      <c r="A986" t="str">
        <f>정규화데이터!A986</f>
        <v>리씽크</v>
      </c>
      <c r="B986">
        <f>정규화데이터!B986</f>
        <v>2.0260205080136599E+18</v>
      </c>
      <c r="C986" t="str">
        <f>정규화데이터!C986</f>
        <v xml:space="preserve">워커힐 본갈비 3+1 최초❤️5만원대! 총1.2kg✨호텔특제 양념갈비 8인분 (✨1인분 7,375원꼴! / [300g,2인분] x 총 4팩  / ✨초이스등급 본갈비 / ❣️워커힐 </v>
      </c>
      <c r="D986">
        <f>정규화데이터!D986</f>
        <v>143790</v>
      </c>
      <c r="E986" s="16" t="str">
        <f>정규화데이터!E986</f>
        <v>SKU001</v>
      </c>
      <c r="F986" s="3">
        <f>정규화데이터!F986</f>
        <v>1</v>
      </c>
      <c r="G986" s="3">
        <f>정규화데이터!G986</f>
        <v>41363.636363636302</v>
      </c>
      <c r="H986" s="3">
        <f>정규화데이터!H986</f>
        <v>45499.999999999935</v>
      </c>
      <c r="I986" s="3">
        <f>정규화데이터!I986</f>
        <v>45500</v>
      </c>
      <c r="J986" s="3">
        <f>정규화데이터!J986</f>
        <v>41363.636363636302</v>
      </c>
      <c r="K986" s="25">
        <f>정규화데이터!K986</f>
        <v>30748</v>
      </c>
      <c r="L986" s="25">
        <f>정규화데이터!L986</f>
        <v>30748</v>
      </c>
      <c r="M986" s="21">
        <f t="shared" si="30"/>
        <v>10615.636363636302</v>
      </c>
      <c r="N986" s="52">
        <f t="shared" si="31"/>
        <v>0.25664175824175711</v>
      </c>
    </row>
    <row r="987" spans="1:14" x14ac:dyDescent="0.3">
      <c r="A987" t="str">
        <f>정규화데이터!A987</f>
        <v>리씽크</v>
      </c>
      <c r="B987">
        <f>정규화데이터!B987</f>
        <v>2.0260205075619599E+18</v>
      </c>
      <c r="C987" t="str">
        <f>정규화데이터!C987</f>
        <v xml:space="preserve">워커힐 본갈비 3+1 최초❤️5만원대! 총1.2kg✨호텔특제 양념갈비 8인분 (✨1인분 7,375원꼴! / [300g,2인분] x 총 4팩  / ✨초이스등급 본갈비 / ❣️워커힐 </v>
      </c>
      <c r="D987">
        <f>정규화데이터!D987</f>
        <v>143790</v>
      </c>
      <c r="E987" s="16" t="str">
        <f>정규화데이터!E987</f>
        <v>SKU001</v>
      </c>
      <c r="F987" s="3">
        <f>정규화데이터!F987</f>
        <v>1</v>
      </c>
      <c r="G987" s="3">
        <f>정규화데이터!G987</f>
        <v>41363.636363636302</v>
      </c>
      <c r="H987" s="3">
        <f>정규화데이터!H987</f>
        <v>45499.999999999935</v>
      </c>
      <c r="I987" s="3">
        <f>정규화데이터!I987</f>
        <v>45500</v>
      </c>
      <c r="J987" s="3">
        <f>정규화데이터!J987</f>
        <v>41363.636363636302</v>
      </c>
      <c r="K987" s="25">
        <f>정규화데이터!K987</f>
        <v>30748</v>
      </c>
      <c r="L987" s="25">
        <f>정규화데이터!L987</f>
        <v>30748</v>
      </c>
      <c r="M987" s="21">
        <f t="shared" si="30"/>
        <v>10615.636363636302</v>
      </c>
      <c r="N987" s="52">
        <f t="shared" si="31"/>
        <v>0.25664175824175711</v>
      </c>
    </row>
    <row r="988" spans="1:14" x14ac:dyDescent="0.3">
      <c r="A988" t="str">
        <f>정규화데이터!A988</f>
        <v>리씽크</v>
      </c>
      <c r="B988">
        <f>정규화데이터!B988</f>
        <v>2.02602050802594E+18</v>
      </c>
      <c r="C988" t="str">
        <f>정규화데이터!C988</f>
        <v xml:space="preserve">워커힐 본갈비 3+1 최초❤️5만원대! 총1.2kg✨호텔특제 양념갈비 8인분 (✨1인분 7,375원꼴! / [300g,2인분] x 총 4팩  / ✨초이스등급 본갈비 / ❣️워커힐 </v>
      </c>
      <c r="D988">
        <f>정규화데이터!D988</f>
        <v>143790</v>
      </c>
      <c r="E988" s="16" t="str">
        <f>정규화데이터!E988</f>
        <v>SKU001</v>
      </c>
      <c r="F988" s="3">
        <f>정규화데이터!F988</f>
        <v>1</v>
      </c>
      <c r="G988" s="3">
        <f>정규화데이터!G988</f>
        <v>41363.636363636302</v>
      </c>
      <c r="H988" s="3">
        <f>정규화데이터!H988</f>
        <v>45499.999999999935</v>
      </c>
      <c r="I988" s="3">
        <f>정규화데이터!I988</f>
        <v>45500</v>
      </c>
      <c r="J988" s="3">
        <f>정규화데이터!J988</f>
        <v>41363.636363636302</v>
      </c>
      <c r="K988" s="25">
        <f>정규화데이터!K988</f>
        <v>30748</v>
      </c>
      <c r="L988" s="25">
        <f>정규화데이터!L988</f>
        <v>30748</v>
      </c>
      <c r="M988" s="21">
        <f t="shared" si="30"/>
        <v>10615.636363636302</v>
      </c>
      <c r="N988" s="52">
        <f t="shared" si="31"/>
        <v>0.25664175824175711</v>
      </c>
    </row>
    <row r="989" spans="1:14" x14ac:dyDescent="0.3">
      <c r="A989" t="str">
        <f>정규화데이터!A989</f>
        <v>리씽크</v>
      </c>
      <c r="B989">
        <f>정규화데이터!B989</f>
        <v>2.0260205080005499E+18</v>
      </c>
      <c r="C989" t="str">
        <f>정규화데이터!C989</f>
        <v xml:space="preserve">워커힐 본갈비 3+1 최초❤️5만원대! 총1.2kg✨호텔특제 양념갈비 8인분 (✨1인분 7,375원꼴! / [300g,2인분] x 총 4팩  / ✨초이스등급 본갈비 / ❣️워커힐 </v>
      </c>
      <c r="D989">
        <f>정규화데이터!D989</f>
        <v>143790</v>
      </c>
      <c r="E989" s="16" t="str">
        <f>정규화데이터!E989</f>
        <v>SKU001</v>
      </c>
      <c r="F989" s="3">
        <f>정규화데이터!F989</f>
        <v>1</v>
      </c>
      <c r="G989" s="3">
        <f>정규화데이터!G989</f>
        <v>41363.636363636302</v>
      </c>
      <c r="H989" s="3">
        <f>정규화데이터!H989</f>
        <v>45499.999999999935</v>
      </c>
      <c r="I989" s="3">
        <f>정규화데이터!I989</f>
        <v>45500</v>
      </c>
      <c r="J989" s="3">
        <f>정규화데이터!J989</f>
        <v>41363.636363636302</v>
      </c>
      <c r="K989" s="25">
        <f>정규화데이터!K989</f>
        <v>30748</v>
      </c>
      <c r="L989" s="25">
        <f>정규화데이터!L989</f>
        <v>30748</v>
      </c>
      <c r="M989" s="21">
        <f t="shared" si="30"/>
        <v>10615.636363636302</v>
      </c>
      <c r="N989" s="52">
        <f t="shared" si="31"/>
        <v>0.25664175824175711</v>
      </c>
    </row>
    <row r="990" spans="1:14" x14ac:dyDescent="0.3">
      <c r="A990" t="str">
        <f>정규화데이터!A990</f>
        <v>리씽크</v>
      </c>
      <c r="B990">
        <f>정규화데이터!B990</f>
        <v>2.0260205080255099E+18</v>
      </c>
      <c r="C990" t="str">
        <f>정규화데이터!C990</f>
        <v xml:space="preserve">워커힐 본갈비 3+1 최초❤️5만원대! 총1.2kg✨호텔특제 양념갈비 8인분 (✨1인분 7,375원꼴! / [300g,2인분] x 총 4팩  / ✨초이스등급 본갈비 / ❣️워커힐 </v>
      </c>
      <c r="D990">
        <f>정규화데이터!D990</f>
        <v>143790</v>
      </c>
      <c r="E990" s="16" t="str">
        <f>정규화데이터!E990</f>
        <v>SKU001</v>
      </c>
      <c r="F990" s="3">
        <f>정규화데이터!F990</f>
        <v>1</v>
      </c>
      <c r="G990" s="3">
        <f>정규화데이터!G990</f>
        <v>41363.636363636302</v>
      </c>
      <c r="H990" s="3">
        <f>정규화데이터!H990</f>
        <v>45499.999999999935</v>
      </c>
      <c r="I990" s="3">
        <f>정규화데이터!I990</f>
        <v>45500</v>
      </c>
      <c r="J990" s="3">
        <f>정규화데이터!J990</f>
        <v>41363.636363636302</v>
      </c>
      <c r="K990" s="25">
        <f>정규화데이터!K990</f>
        <v>30748</v>
      </c>
      <c r="L990" s="25">
        <f>정규화데이터!L990</f>
        <v>30748</v>
      </c>
      <c r="M990" s="21">
        <f t="shared" si="30"/>
        <v>10615.636363636302</v>
      </c>
      <c r="N990" s="52">
        <f t="shared" si="31"/>
        <v>0.25664175824175711</v>
      </c>
    </row>
    <row r="991" spans="1:14" x14ac:dyDescent="0.3">
      <c r="A991" t="str">
        <f>정규화데이터!A991</f>
        <v>리씽크</v>
      </c>
      <c r="B991">
        <f>정규화데이터!B991</f>
        <v>2.0260205080119601E+18</v>
      </c>
      <c r="C991" t="str">
        <f>정규화데이터!C991</f>
        <v xml:space="preserve">워커힐 본갈비 3+1 최초❤️5만원대! 총1.2kg✨호텔특제 양념갈비 8인분 (✨1인분 7,375원꼴! / [300g,2인분] x 총 4팩  / ✨초이스등급 본갈비 / ❣️워커힐 </v>
      </c>
      <c r="D991">
        <f>정규화데이터!D991</f>
        <v>143790</v>
      </c>
      <c r="E991" s="16" t="str">
        <f>정규화데이터!E991</f>
        <v>SKU001</v>
      </c>
      <c r="F991" s="3">
        <f>정규화데이터!F991</f>
        <v>1</v>
      </c>
      <c r="G991" s="3">
        <f>정규화데이터!G991</f>
        <v>41363.636363636302</v>
      </c>
      <c r="H991" s="3">
        <f>정규화데이터!H991</f>
        <v>45499.999999999935</v>
      </c>
      <c r="I991" s="3">
        <f>정규화데이터!I991</f>
        <v>45500</v>
      </c>
      <c r="J991" s="3">
        <f>정규화데이터!J991</f>
        <v>41363.636363636302</v>
      </c>
      <c r="K991" s="25">
        <f>정규화데이터!K991</f>
        <v>30748</v>
      </c>
      <c r="L991" s="25">
        <f>정규화데이터!L991</f>
        <v>30748</v>
      </c>
      <c r="M991" s="21">
        <f t="shared" si="30"/>
        <v>10615.636363636302</v>
      </c>
      <c r="N991" s="52">
        <f t="shared" si="31"/>
        <v>0.25664175824175711</v>
      </c>
    </row>
    <row r="992" spans="1:14" x14ac:dyDescent="0.3">
      <c r="A992" t="str">
        <f>정규화데이터!A992</f>
        <v>리씽크</v>
      </c>
      <c r="B992">
        <f>정규화데이터!B992</f>
        <v>2.02602050801263E+18</v>
      </c>
      <c r="C992" t="str">
        <f>정규화데이터!C992</f>
        <v xml:space="preserve">워커힐 본갈비 3+1 최초❤️5만원대! 총1.2kg✨호텔특제 양념갈비 8인분 (✨1인분 7,375원꼴! / [300g,2인분] x 총 4팩  / ✨초이스등급 본갈비 / ❣️워커힐 </v>
      </c>
      <c r="D992">
        <f>정규화데이터!D992</f>
        <v>143790</v>
      </c>
      <c r="E992" s="16" t="str">
        <f>정규화데이터!E992</f>
        <v>SKU001</v>
      </c>
      <c r="F992" s="3">
        <f>정규화데이터!F992</f>
        <v>1</v>
      </c>
      <c r="G992" s="3">
        <f>정규화데이터!G992</f>
        <v>41363.636363636302</v>
      </c>
      <c r="H992" s="3">
        <f>정규화데이터!H992</f>
        <v>45499.999999999935</v>
      </c>
      <c r="I992" s="3">
        <f>정규화데이터!I992</f>
        <v>45500</v>
      </c>
      <c r="J992" s="3">
        <f>정규화데이터!J992</f>
        <v>41363.636363636302</v>
      </c>
      <c r="K992" s="25">
        <f>정규화데이터!K992</f>
        <v>30748</v>
      </c>
      <c r="L992" s="25">
        <f>정규화데이터!L992</f>
        <v>30748</v>
      </c>
      <c r="M992" s="21">
        <f t="shared" si="30"/>
        <v>10615.636363636302</v>
      </c>
      <c r="N992" s="52">
        <f t="shared" si="31"/>
        <v>0.25664175824175711</v>
      </c>
    </row>
    <row r="993" spans="1:14" x14ac:dyDescent="0.3">
      <c r="A993" t="str">
        <f>정규화데이터!A993</f>
        <v>리씽크</v>
      </c>
      <c r="B993">
        <f>정규화데이터!B993</f>
        <v>2.0260205075728E+18</v>
      </c>
      <c r="C993" t="str">
        <f>정규화데이터!C993</f>
        <v xml:space="preserve">워커힐 본갈비 3+1 최초❤️5만원대! 총1.2kg✨호텔특제 양념갈비 8인분 (✨1인분 7,375원꼴! / [300g,2인분] x 총 4팩  / ✨초이스등급 본갈비 / ❣️워커힐 </v>
      </c>
      <c r="D993">
        <f>정규화데이터!D993</f>
        <v>143790</v>
      </c>
      <c r="E993" s="16" t="str">
        <f>정규화데이터!E993</f>
        <v>SKU001</v>
      </c>
      <c r="F993" s="3">
        <f>정규화데이터!F993</f>
        <v>1</v>
      </c>
      <c r="G993" s="3">
        <f>정규화데이터!G993</f>
        <v>41363.636363636302</v>
      </c>
      <c r="H993" s="3">
        <f>정규화데이터!H993</f>
        <v>45499.999999999935</v>
      </c>
      <c r="I993" s="3">
        <f>정규화데이터!I993</f>
        <v>45500</v>
      </c>
      <c r="J993" s="3">
        <f>정규화데이터!J993</f>
        <v>41363.636363636302</v>
      </c>
      <c r="K993" s="25">
        <f>정규화데이터!K993</f>
        <v>30748</v>
      </c>
      <c r="L993" s="25">
        <f>정규화데이터!L993</f>
        <v>30748</v>
      </c>
      <c r="M993" s="21">
        <f t="shared" si="30"/>
        <v>10615.636363636302</v>
      </c>
      <c r="N993" s="52">
        <f t="shared" si="31"/>
        <v>0.25664175824175711</v>
      </c>
    </row>
    <row r="994" spans="1:14" x14ac:dyDescent="0.3">
      <c r="A994" t="str">
        <f>정규화데이터!A994</f>
        <v>리씽크</v>
      </c>
      <c r="B994">
        <f>정규화데이터!B994</f>
        <v>2.02602050801231E+18</v>
      </c>
      <c r="C994" t="str">
        <f>정규화데이터!C994</f>
        <v xml:space="preserve">워커힐 본갈비 3+1 최초❤️5만원대! 총1.2kg✨호텔특제 양념갈비 8인분 (✨1인분 7,375원꼴! / [300g,2인분] x 총 4팩  / ✨초이스등급 본갈비 / ❣️워커힐 </v>
      </c>
      <c r="D994">
        <f>정규화데이터!D994</f>
        <v>143790</v>
      </c>
      <c r="E994" s="16" t="str">
        <f>정규화데이터!E994</f>
        <v>SKU001</v>
      </c>
      <c r="F994" s="3">
        <f>정규화데이터!F994</f>
        <v>1</v>
      </c>
      <c r="G994" s="3">
        <f>정규화데이터!G994</f>
        <v>41363.636363636302</v>
      </c>
      <c r="H994" s="3">
        <f>정규화데이터!H994</f>
        <v>45499.999999999935</v>
      </c>
      <c r="I994" s="3">
        <f>정규화데이터!I994</f>
        <v>45500</v>
      </c>
      <c r="J994" s="3">
        <f>정규화데이터!J994</f>
        <v>41363.636363636302</v>
      </c>
      <c r="K994" s="25">
        <f>정규화데이터!K994</f>
        <v>30748</v>
      </c>
      <c r="L994" s="25">
        <f>정규화데이터!L994</f>
        <v>30748</v>
      </c>
      <c r="M994" s="21">
        <f t="shared" si="30"/>
        <v>10615.636363636302</v>
      </c>
      <c r="N994" s="52">
        <f t="shared" si="31"/>
        <v>0.25664175824175711</v>
      </c>
    </row>
    <row r="995" spans="1:14" x14ac:dyDescent="0.3">
      <c r="A995" t="str">
        <f>정규화데이터!A995</f>
        <v>리씽크</v>
      </c>
      <c r="B995">
        <f>정규화데이터!B995</f>
        <v>2.0260205080028401E+18</v>
      </c>
      <c r="C995" t="str">
        <f>정규화데이터!C995</f>
        <v xml:space="preserve">워커힐 본갈비 3+1 최초❤️5만원대! 총1.2kg✨호텔특제 양념갈비 8인분 (✨1인분 7,375원꼴! / [300g,2인분] x 총 4팩  / ✨초이스등급 본갈비 / ❣️워커힐 </v>
      </c>
      <c r="D995">
        <f>정규화데이터!D995</f>
        <v>143790</v>
      </c>
      <c r="E995" s="16" t="str">
        <f>정규화데이터!E995</f>
        <v>SKU001</v>
      </c>
      <c r="F995" s="3">
        <f>정규화데이터!F995</f>
        <v>1</v>
      </c>
      <c r="G995" s="3">
        <f>정규화데이터!G995</f>
        <v>41363.636363636302</v>
      </c>
      <c r="H995" s="3">
        <f>정규화데이터!H995</f>
        <v>45499.999999999935</v>
      </c>
      <c r="I995" s="3">
        <f>정규화데이터!I995</f>
        <v>45500</v>
      </c>
      <c r="J995" s="3">
        <f>정규화데이터!J995</f>
        <v>41363.636363636302</v>
      </c>
      <c r="K995" s="25">
        <f>정규화데이터!K995</f>
        <v>30748</v>
      </c>
      <c r="L995" s="25">
        <f>정규화데이터!L995</f>
        <v>30748</v>
      </c>
      <c r="M995" s="21">
        <f t="shared" si="30"/>
        <v>10615.636363636302</v>
      </c>
      <c r="N995" s="52">
        <f t="shared" si="31"/>
        <v>0.25664175824175711</v>
      </c>
    </row>
    <row r="996" spans="1:14" x14ac:dyDescent="0.3">
      <c r="A996" t="str">
        <f>정규화데이터!A996</f>
        <v>리씽크</v>
      </c>
      <c r="B996">
        <f>정규화데이터!B996</f>
        <v>2.02602050759584E+18</v>
      </c>
      <c r="C996" t="str">
        <f>정규화데이터!C996</f>
        <v xml:space="preserve">워커힐 본갈비 3+1 최초❤️5만원대! 총1.2kg✨호텔특제 양념갈비 8인분 (✨1인분 7,375원꼴! / [300g,2인분] x 총 4팩  / ✨초이스등급 본갈비 / ❣️워커힐 </v>
      </c>
      <c r="D996">
        <f>정규화데이터!D996</f>
        <v>143790</v>
      </c>
      <c r="E996" s="16" t="str">
        <f>정규화데이터!E996</f>
        <v>SKU001</v>
      </c>
      <c r="F996" s="3">
        <f>정규화데이터!F996</f>
        <v>1</v>
      </c>
      <c r="G996" s="3">
        <f>정규화데이터!G996</f>
        <v>41363.636363636302</v>
      </c>
      <c r="H996" s="3">
        <f>정규화데이터!H996</f>
        <v>45499.999999999935</v>
      </c>
      <c r="I996" s="3">
        <f>정규화데이터!I996</f>
        <v>45500</v>
      </c>
      <c r="J996" s="3">
        <f>정규화데이터!J996</f>
        <v>41363.636363636302</v>
      </c>
      <c r="K996" s="25">
        <f>정규화데이터!K996</f>
        <v>30748</v>
      </c>
      <c r="L996" s="25">
        <f>정규화데이터!L996</f>
        <v>30748</v>
      </c>
      <c r="M996" s="21">
        <f t="shared" si="30"/>
        <v>10615.636363636302</v>
      </c>
      <c r="N996" s="52">
        <f t="shared" si="31"/>
        <v>0.25664175824175711</v>
      </c>
    </row>
    <row r="997" spans="1:14" x14ac:dyDescent="0.3">
      <c r="A997" t="str">
        <f>정규화데이터!A997</f>
        <v>리씽크</v>
      </c>
      <c r="B997">
        <f>정규화데이터!B997</f>
        <v>2.0260205080057001E+18</v>
      </c>
      <c r="C997" t="str">
        <f>정규화데이터!C997</f>
        <v xml:space="preserve">워커힐 본갈비 3+1 최초❤️5만원대! 총1.2kg✨호텔특제 양념갈비 8인분 (✨1인분 7,375원꼴! / [300g,2인분] x 총 4팩  / ✨초이스등급 본갈비 / ❣️워커힐 </v>
      </c>
      <c r="D997">
        <f>정규화데이터!D997</f>
        <v>143790</v>
      </c>
      <c r="E997" s="16" t="str">
        <f>정규화데이터!E997</f>
        <v>SKU001</v>
      </c>
      <c r="F997" s="3">
        <f>정규화데이터!F997</f>
        <v>1</v>
      </c>
      <c r="G997" s="3">
        <f>정규화데이터!G997</f>
        <v>41363.636363636302</v>
      </c>
      <c r="H997" s="3">
        <f>정규화데이터!H997</f>
        <v>45499.999999999935</v>
      </c>
      <c r="I997" s="3">
        <f>정규화데이터!I997</f>
        <v>45500</v>
      </c>
      <c r="J997" s="3">
        <f>정규화데이터!J997</f>
        <v>41363.636363636302</v>
      </c>
      <c r="K997" s="25">
        <f>정규화데이터!K997</f>
        <v>30748</v>
      </c>
      <c r="L997" s="25">
        <f>정규화데이터!L997</f>
        <v>30748</v>
      </c>
      <c r="M997" s="21">
        <f t="shared" si="30"/>
        <v>10615.636363636302</v>
      </c>
      <c r="N997" s="52">
        <f t="shared" si="31"/>
        <v>0.25664175824175711</v>
      </c>
    </row>
    <row r="998" spans="1:14" x14ac:dyDescent="0.3">
      <c r="A998" t="str">
        <f>정규화데이터!A998</f>
        <v>리씽크</v>
      </c>
      <c r="B998">
        <f>정규화데이터!B998</f>
        <v>2.02602050757519E+18</v>
      </c>
      <c r="C998" t="str">
        <f>정규화데이터!C998</f>
        <v xml:space="preserve">워커힐 본갈비 3+1 최초❤️5만원대! 총1.2kg✨호텔특제 양념갈비 8인분 (✨1인분 7,375원꼴! / [300g,2인분] x 총 4팩  / ✨초이스등급 본갈비 / ❣️워커힐 </v>
      </c>
      <c r="D998">
        <f>정규화데이터!D998</f>
        <v>143790</v>
      </c>
      <c r="E998" s="16" t="str">
        <f>정규화데이터!E998</f>
        <v>SKU001</v>
      </c>
      <c r="F998" s="3">
        <f>정규화데이터!F998</f>
        <v>1</v>
      </c>
      <c r="G998" s="3">
        <f>정규화데이터!G998</f>
        <v>41363.636363636302</v>
      </c>
      <c r="H998" s="3">
        <f>정규화데이터!H998</f>
        <v>45499.999999999935</v>
      </c>
      <c r="I998" s="3">
        <f>정규화데이터!I998</f>
        <v>45500</v>
      </c>
      <c r="J998" s="3">
        <f>정규화데이터!J998</f>
        <v>41363.636363636302</v>
      </c>
      <c r="K998" s="25">
        <f>정규화데이터!K998</f>
        <v>30748</v>
      </c>
      <c r="L998" s="25">
        <f>정규화데이터!L998</f>
        <v>30748</v>
      </c>
      <c r="M998" s="21">
        <f t="shared" si="30"/>
        <v>10615.636363636302</v>
      </c>
      <c r="N998" s="52">
        <f t="shared" si="31"/>
        <v>0.25664175824175711</v>
      </c>
    </row>
    <row r="999" spans="1:14" x14ac:dyDescent="0.3">
      <c r="A999" t="str">
        <f>정규화데이터!A999</f>
        <v>리씽크</v>
      </c>
      <c r="B999">
        <f>정규화데이터!B999</f>
        <v>2.0260205080053901E+18</v>
      </c>
      <c r="C999" t="str">
        <f>정규화데이터!C999</f>
        <v xml:space="preserve">워커힐 본갈비 3+1 최초❤️5만원대! 총1.2kg✨호텔특제 양념갈비 8인분 (✨1인분 7,375원꼴! / [300g,2인분] x 총 4팩  / ✨초이스등급 본갈비 / ❣️워커힐 </v>
      </c>
      <c r="D999">
        <f>정규화데이터!D999</f>
        <v>143790</v>
      </c>
      <c r="E999" s="16" t="str">
        <f>정규화데이터!E999</f>
        <v>SKU001</v>
      </c>
      <c r="F999" s="3">
        <f>정규화데이터!F999</f>
        <v>1</v>
      </c>
      <c r="G999" s="3">
        <f>정규화데이터!G999</f>
        <v>41363.636363636302</v>
      </c>
      <c r="H999" s="3">
        <f>정규화데이터!H999</f>
        <v>45499.999999999935</v>
      </c>
      <c r="I999" s="3">
        <f>정규화데이터!I999</f>
        <v>45500</v>
      </c>
      <c r="J999" s="3">
        <f>정규화데이터!J999</f>
        <v>41363.636363636302</v>
      </c>
      <c r="K999" s="25">
        <f>정규화데이터!K999</f>
        <v>30748</v>
      </c>
      <c r="L999" s="25">
        <f>정규화데이터!L999</f>
        <v>30748</v>
      </c>
      <c r="M999" s="21">
        <f t="shared" si="30"/>
        <v>10615.636363636302</v>
      </c>
      <c r="N999" s="52">
        <f t="shared" si="31"/>
        <v>0.25664175824175711</v>
      </c>
    </row>
    <row r="1000" spans="1:14" x14ac:dyDescent="0.3">
      <c r="A1000" t="str">
        <f>정규화데이터!A1000</f>
        <v>리씽크</v>
      </c>
      <c r="B1000">
        <f>정규화데이터!B1000</f>
        <v>2.02602050759005E+18</v>
      </c>
      <c r="C1000" t="str">
        <f>정규화데이터!C1000</f>
        <v xml:space="preserve">워커힐 본갈비 3+1 최초❤️5만원대! 총1.2kg✨호텔특제 양념갈비 8인분 (✨1인분 7,375원꼴! / [300g,2인분] x 총 4팩  / ✨초이스등급 본갈비 / ❣️워커힐 </v>
      </c>
      <c r="D1000">
        <f>정규화데이터!D1000</f>
        <v>143790</v>
      </c>
      <c r="E1000" s="16" t="str">
        <f>정규화데이터!E1000</f>
        <v>SKU001</v>
      </c>
      <c r="F1000" s="3">
        <f>정규화데이터!F1000</f>
        <v>1</v>
      </c>
      <c r="G1000" s="3">
        <f>정규화데이터!G1000</f>
        <v>41363.636363636302</v>
      </c>
      <c r="H1000" s="3">
        <f>정규화데이터!H1000</f>
        <v>45499.999999999935</v>
      </c>
      <c r="I1000" s="3">
        <f>정규화데이터!I1000</f>
        <v>45500</v>
      </c>
      <c r="J1000" s="3">
        <f>정규화데이터!J1000</f>
        <v>41363.636363636302</v>
      </c>
      <c r="K1000" s="25">
        <f>정규화데이터!K1000</f>
        <v>30748</v>
      </c>
      <c r="L1000" s="25">
        <f>정규화데이터!L1000</f>
        <v>30748</v>
      </c>
      <c r="M1000" s="21">
        <f t="shared" si="30"/>
        <v>10615.636363636302</v>
      </c>
      <c r="N1000" s="52">
        <f t="shared" si="31"/>
        <v>0.25664175824175711</v>
      </c>
    </row>
    <row r="1001" spans="1:14" x14ac:dyDescent="0.3">
      <c r="A1001" t="str">
        <f>정규화데이터!A1001</f>
        <v>리씽크</v>
      </c>
      <c r="B1001">
        <f>정규화데이터!B1001</f>
        <v>2.0260205075738099E+18</v>
      </c>
      <c r="C1001" t="str">
        <f>정규화데이터!C1001</f>
        <v xml:space="preserve">워커힐 본갈비 3+1 최초❤️5만원대! 총1.2kg✨호텔특제 양념갈비 8인분 (✨1인분 7,375원꼴! / [300g,2인분] x 총 4팩  / ✨초이스등급 본갈비 / ❣️워커힐 </v>
      </c>
      <c r="D1001">
        <f>정규화데이터!D1001</f>
        <v>143790</v>
      </c>
      <c r="E1001" s="16" t="str">
        <f>정규화데이터!E1001</f>
        <v>SKU001</v>
      </c>
      <c r="F1001" s="3">
        <f>정규화데이터!F1001</f>
        <v>1</v>
      </c>
      <c r="G1001" s="3">
        <f>정규화데이터!G1001</f>
        <v>41363.636363636302</v>
      </c>
      <c r="H1001" s="3">
        <f>정규화데이터!H1001</f>
        <v>45499.999999999935</v>
      </c>
      <c r="I1001" s="3">
        <f>정규화데이터!I1001</f>
        <v>45500</v>
      </c>
      <c r="J1001" s="3">
        <f>정규화데이터!J1001</f>
        <v>41363.636363636302</v>
      </c>
      <c r="K1001" s="25">
        <f>정규화데이터!K1001</f>
        <v>30748</v>
      </c>
      <c r="L1001" s="25">
        <f>정규화데이터!L1001</f>
        <v>30748</v>
      </c>
      <c r="M1001" s="21">
        <f t="shared" si="30"/>
        <v>10615.636363636302</v>
      </c>
      <c r="N1001" s="52">
        <f t="shared" si="31"/>
        <v>0.25664175824175711</v>
      </c>
    </row>
    <row r="1002" spans="1:14" x14ac:dyDescent="0.3">
      <c r="A1002" t="str">
        <f>정규화데이터!A1002</f>
        <v>리씽크</v>
      </c>
      <c r="B1002">
        <f>정규화데이터!B1002</f>
        <v>2.0260205080035599E+18</v>
      </c>
      <c r="C1002" t="str">
        <f>정규화데이터!C1002</f>
        <v xml:space="preserve">워커힐 본갈비 3+1 최초❤️5만원대! 총1.2kg✨호텔특제 양념갈비 8인분 (✨1인분 7,375원꼴! / [300g,2인분] x 총 4팩  / ✨초이스등급 본갈비 / ❣️워커힐 </v>
      </c>
      <c r="D1002">
        <f>정규화데이터!D1002</f>
        <v>143790</v>
      </c>
      <c r="E1002" s="16" t="str">
        <f>정규화데이터!E1002</f>
        <v>SKU001</v>
      </c>
      <c r="F1002" s="3">
        <f>정규화데이터!F1002</f>
        <v>1</v>
      </c>
      <c r="G1002" s="3">
        <f>정규화데이터!G1002</f>
        <v>41363.636363636302</v>
      </c>
      <c r="H1002" s="3">
        <f>정규화데이터!H1002</f>
        <v>45499.999999999935</v>
      </c>
      <c r="I1002" s="3">
        <f>정규화데이터!I1002</f>
        <v>45500</v>
      </c>
      <c r="J1002" s="3">
        <f>정규화데이터!J1002</f>
        <v>41363.636363636302</v>
      </c>
      <c r="K1002" s="25">
        <f>정규화데이터!K1002</f>
        <v>30748</v>
      </c>
      <c r="L1002" s="25">
        <f>정규화데이터!L1002</f>
        <v>30748</v>
      </c>
      <c r="M1002" s="21">
        <f t="shared" si="30"/>
        <v>10615.636363636302</v>
      </c>
      <c r="N1002" s="52">
        <f t="shared" si="31"/>
        <v>0.25664175824175711</v>
      </c>
    </row>
    <row r="1003" spans="1:14" x14ac:dyDescent="0.3">
      <c r="A1003" t="str">
        <f>정규화데이터!A1003</f>
        <v>리씽크</v>
      </c>
      <c r="B1003">
        <f>정규화데이터!B1003</f>
        <v>2.0260205075910001E+18</v>
      </c>
      <c r="C1003" t="str">
        <f>정규화데이터!C1003</f>
        <v xml:space="preserve">워커힐 본갈비 3+1 최초❤️5만원대! 총1.2kg✨호텔특제 양념갈비 8인분 (✨1인분 7,375원꼴! / [300g,2인분] x 총 4팩  / ✨초이스등급 본갈비 / ❣️워커힐 </v>
      </c>
      <c r="D1003">
        <f>정규화데이터!D1003</f>
        <v>143790</v>
      </c>
      <c r="E1003" s="16" t="str">
        <f>정규화데이터!E1003</f>
        <v>SKU001</v>
      </c>
      <c r="F1003" s="3">
        <f>정규화데이터!F1003</f>
        <v>1</v>
      </c>
      <c r="G1003" s="3">
        <f>정규화데이터!G1003</f>
        <v>41363.636363636302</v>
      </c>
      <c r="H1003" s="3">
        <f>정규화데이터!H1003</f>
        <v>45499.999999999935</v>
      </c>
      <c r="I1003" s="3">
        <f>정규화데이터!I1003</f>
        <v>45500</v>
      </c>
      <c r="J1003" s="3">
        <f>정규화데이터!J1003</f>
        <v>41363.636363636302</v>
      </c>
      <c r="K1003" s="25">
        <f>정규화데이터!K1003</f>
        <v>30748</v>
      </c>
      <c r="L1003" s="25">
        <f>정규화데이터!L1003</f>
        <v>30748</v>
      </c>
      <c r="M1003" s="21">
        <f t="shared" si="30"/>
        <v>10615.636363636302</v>
      </c>
      <c r="N1003" s="52">
        <f t="shared" si="31"/>
        <v>0.25664175824175711</v>
      </c>
    </row>
    <row r="1004" spans="1:14" x14ac:dyDescent="0.3">
      <c r="A1004" t="str">
        <f>정규화데이터!A1004</f>
        <v>리씽크</v>
      </c>
      <c r="B1004">
        <f>정규화데이터!B1004</f>
        <v>2.02602050759598E+18</v>
      </c>
      <c r="C1004" t="str">
        <f>정규화데이터!C1004</f>
        <v xml:space="preserve">워커힐 본갈비 3+1 최초❤️5만원대! 총1.2kg✨호텔특제 양념갈비 8인분 (✨1인분 7,375원꼴! / [300g,2인분] x 총 4팩  / ✨초이스등급 본갈비 / ❣️워커힐 </v>
      </c>
      <c r="D1004">
        <f>정규화데이터!D1004</f>
        <v>143790</v>
      </c>
      <c r="E1004" s="16" t="str">
        <f>정규화데이터!E1004</f>
        <v>SKU001</v>
      </c>
      <c r="F1004" s="3">
        <f>정규화데이터!F1004</f>
        <v>1</v>
      </c>
      <c r="G1004" s="3">
        <f>정규화데이터!G1004</f>
        <v>41363.636363636302</v>
      </c>
      <c r="H1004" s="3">
        <f>정규화데이터!H1004</f>
        <v>45499.999999999935</v>
      </c>
      <c r="I1004" s="3">
        <f>정규화데이터!I1004</f>
        <v>45500</v>
      </c>
      <c r="J1004" s="3">
        <f>정규화데이터!J1004</f>
        <v>41363.636363636302</v>
      </c>
      <c r="K1004" s="25">
        <f>정규화데이터!K1004</f>
        <v>30748</v>
      </c>
      <c r="L1004" s="25">
        <f>정규화데이터!L1004</f>
        <v>30748</v>
      </c>
      <c r="M1004" s="21">
        <f t="shared" si="30"/>
        <v>10615.636363636302</v>
      </c>
      <c r="N1004" s="52">
        <f t="shared" si="31"/>
        <v>0.25664175824175711</v>
      </c>
    </row>
    <row r="1005" spans="1:14" x14ac:dyDescent="0.3">
      <c r="A1005" t="str">
        <f>정규화데이터!A1005</f>
        <v>리씽크</v>
      </c>
      <c r="B1005">
        <f>정규화데이터!B1005</f>
        <v>2.0260205075814899E+18</v>
      </c>
      <c r="C1005" t="str">
        <f>정규화데이터!C1005</f>
        <v xml:space="preserve">워커힐 본갈비 3+1 최초❤️5만원대! 총1.2kg✨호텔특제 양념갈비 8인분 (✨1인분 7,375원꼴! / [300g,2인분] x 총 4팩  / ✨초이스등급 본갈비 / ❣️워커힐 </v>
      </c>
      <c r="D1005">
        <f>정규화데이터!D1005</f>
        <v>143790</v>
      </c>
      <c r="E1005" s="16" t="str">
        <f>정규화데이터!E1005</f>
        <v>SKU001</v>
      </c>
      <c r="F1005" s="3">
        <f>정규화데이터!F1005</f>
        <v>1</v>
      </c>
      <c r="G1005" s="3">
        <f>정규화데이터!G1005</f>
        <v>41363.636363636302</v>
      </c>
      <c r="H1005" s="3">
        <f>정규화데이터!H1005</f>
        <v>45499.999999999935</v>
      </c>
      <c r="I1005" s="3">
        <f>정규화데이터!I1005</f>
        <v>45500</v>
      </c>
      <c r="J1005" s="3">
        <f>정규화데이터!J1005</f>
        <v>41363.636363636302</v>
      </c>
      <c r="K1005" s="25">
        <f>정규화데이터!K1005</f>
        <v>30748</v>
      </c>
      <c r="L1005" s="25">
        <f>정규화데이터!L1005</f>
        <v>30748</v>
      </c>
      <c r="M1005" s="21">
        <f t="shared" si="30"/>
        <v>10615.636363636302</v>
      </c>
      <c r="N1005" s="52">
        <f t="shared" si="31"/>
        <v>0.25664175824175711</v>
      </c>
    </row>
    <row r="1006" spans="1:14" x14ac:dyDescent="0.3">
      <c r="A1006" t="str">
        <f>정규화데이터!A1006</f>
        <v>리씽크</v>
      </c>
      <c r="B1006">
        <f>정규화데이터!B1006</f>
        <v>2.0260205075848E+18</v>
      </c>
      <c r="C1006" t="str">
        <f>정규화데이터!C1006</f>
        <v xml:space="preserve">워커힐 본갈비 3+1 최초❤️5만원대! 총1.2kg✨호텔특제 양념갈비 8인분 (✨1인분 7,375원꼴! / [300g,2인분] x 총 4팩  / ✨초이스등급 본갈비 / ❣️워커힐 </v>
      </c>
      <c r="D1006">
        <f>정규화데이터!D1006</f>
        <v>143790</v>
      </c>
      <c r="E1006" s="16" t="str">
        <f>정규화데이터!E1006</f>
        <v>SKU001</v>
      </c>
      <c r="F1006" s="3">
        <f>정규화데이터!F1006</f>
        <v>1</v>
      </c>
      <c r="G1006" s="3">
        <f>정규화데이터!G1006</f>
        <v>41363.636363636302</v>
      </c>
      <c r="H1006" s="3">
        <f>정규화데이터!H1006</f>
        <v>45499.999999999935</v>
      </c>
      <c r="I1006" s="3">
        <f>정규화데이터!I1006</f>
        <v>45500</v>
      </c>
      <c r="J1006" s="3">
        <f>정규화데이터!J1006</f>
        <v>41363.636363636302</v>
      </c>
      <c r="K1006" s="25">
        <f>정규화데이터!K1006</f>
        <v>30748</v>
      </c>
      <c r="L1006" s="25">
        <f>정규화데이터!L1006</f>
        <v>30748</v>
      </c>
      <c r="M1006" s="21">
        <f t="shared" si="30"/>
        <v>10615.636363636302</v>
      </c>
      <c r="N1006" s="52">
        <f t="shared" si="31"/>
        <v>0.25664175824175711</v>
      </c>
    </row>
    <row r="1007" spans="1:14" x14ac:dyDescent="0.3">
      <c r="A1007" t="str">
        <f>정규화데이터!A1007</f>
        <v>리씽크</v>
      </c>
      <c r="B1007">
        <f>정규화데이터!B1007</f>
        <v>2.0260205075729001E+18</v>
      </c>
      <c r="C1007" t="str">
        <f>정규화데이터!C1007</f>
        <v xml:space="preserve">워커힐 본갈비 3+1 최초❤️5만원대! 총1.2kg✨호텔특제 양념갈비 8인분 (✨1인분 7,375원꼴! / [300g,2인분] x 총 4팩  / ✨초이스등급 본갈비 / ❣️워커힐 </v>
      </c>
      <c r="D1007">
        <f>정규화데이터!D1007</f>
        <v>143790</v>
      </c>
      <c r="E1007" s="16" t="str">
        <f>정규화데이터!E1007</f>
        <v>SKU001</v>
      </c>
      <c r="F1007" s="3">
        <f>정규화데이터!F1007</f>
        <v>1</v>
      </c>
      <c r="G1007" s="3">
        <f>정규화데이터!G1007</f>
        <v>41363.636363636302</v>
      </c>
      <c r="H1007" s="3">
        <f>정규화데이터!H1007</f>
        <v>45499.999999999935</v>
      </c>
      <c r="I1007" s="3">
        <f>정규화데이터!I1007</f>
        <v>45500</v>
      </c>
      <c r="J1007" s="3">
        <f>정규화데이터!J1007</f>
        <v>41363.636363636302</v>
      </c>
      <c r="K1007" s="25">
        <f>정규화데이터!K1007</f>
        <v>30748</v>
      </c>
      <c r="L1007" s="25">
        <f>정규화데이터!L1007</f>
        <v>30748</v>
      </c>
      <c r="M1007" s="21">
        <f t="shared" si="30"/>
        <v>10615.636363636302</v>
      </c>
      <c r="N1007" s="52">
        <f t="shared" si="31"/>
        <v>0.25664175824175711</v>
      </c>
    </row>
    <row r="1008" spans="1:14" x14ac:dyDescent="0.3">
      <c r="A1008" t="str">
        <f>정규화데이터!A1008</f>
        <v>리씽크</v>
      </c>
      <c r="B1008">
        <f>정규화데이터!B1008</f>
        <v>2.02602050758032E+18</v>
      </c>
      <c r="C1008" t="str">
        <f>정규화데이터!C1008</f>
        <v xml:space="preserve">워커힐 본갈비 3+1 최초❤️5만원대! 총1.2kg✨호텔특제 양념갈비 8인분 (✨1인분 7,375원꼴! / [300g,2인분] x 총 4팩  / ✨초이스등급 본갈비 / ❣️워커힐 </v>
      </c>
      <c r="D1008">
        <f>정규화데이터!D1008</f>
        <v>143790</v>
      </c>
      <c r="E1008" s="16" t="str">
        <f>정규화데이터!E1008</f>
        <v>SKU001</v>
      </c>
      <c r="F1008" s="3">
        <f>정규화데이터!F1008</f>
        <v>1</v>
      </c>
      <c r="G1008" s="3">
        <f>정규화데이터!G1008</f>
        <v>41363.636363636302</v>
      </c>
      <c r="H1008" s="3">
        <f>정규화데이터!H1008</f>
        <v>45499.999999999935</v>
      </c>
      <c r="I1008" s="3">
        <f>정규화데이터!I1008</f>
        <v>45500</v>
      </c>
      <c r="J1008" s="3">
        <f>정규화데이터!J1008</f>
        <v>41363.636363636302</v>
      </c>
      <c r="K1008" s="25">
        <f>정규화데이터!K1008</f>
        <v>30748</v>
      </c>
      <c r="L1008" s="25">
        <f>정규화데이터!L1008</f>
        <v>30748</v>
      </c>
      <c r="M1008" s="21">
        <f t="shared" si="30"/>
        <v>10615.636363636302</v>
      </c>
      <c r="N1008" s="52">
        <f t="shared" si="31"/>
        <v>0.25664175824175711</v>
      </c>
    </row>
    <row r="1009" spans="1:14" x14ac:dyDescent="0.3">
      <c r="A1009" t="str">
        <f>정규화데이터!A1009</f>
        <v>리씽크</v>
      </c>
      <c r="B1009">
        <f>정규화데이터!B1009</f>
        <v>2.0260205075856E+18</v>
      </c>
      <c r="C1009" t="str">
        <f>정규화데이터!C1009</f>
        <v xml:space="preserve">워커힐 본갈비 3+1 최초❤️5만원대! 총1.2kg✨호텔특제 양념갈비 8인분 (✨1인분 7,375원꼴! / [300g,2인분] x 총 4팩  / ✨초이스등급 본갈비 / ❣️워커힐 </v>
      </c>
      <c r="D1009">
        <f>정규화데이터!D1009</f>
        <v>143790</v>
      </c>
      <c r="E1009" s="16" t="str">
        <f>정규화데이터!E1009</f>
        <v>SKU001</v>
      </c>
      <c r="F1009" s="3">
        <f>정규화데이터!F1009</f>
        <v>1</v>
      </c>
      <c r="G1009" s="3">
        <f>정규화데이터!G1009</f>
        <v>41363.636363636302</v>
      </c>
      <c r="H1009" s="3">
        <f>정규화데이터!H1009</f>
        <v>45499.999999999935</v>
      </c>
      <c r="I1009" s="3">
        <f>정규화데이터!I1009</f>
        <v>45500</v>
      </c>
      <c r="J1009" s="3">
        <f>정규화데이터!J1009</f>
        <v>41363.636363636302</v>
      </c>
      <c r="K1009" s="25">
        <f>정규화데이터!K1009</f>
        <v>30748</v>
      </c>
      <c r="L1009" s="25">
        <f>정규화데이터!L1009</f>
        <v>30748</v>
      </c>
      <c r="M1009" s="21">
        <f t="shared" si="30"/>
        <v>10615.636363636302</v>
      </c>
      <c r="N1009" s="52">
        <f t="shared" si="31"/>
        <v>0.25664175824175711</v>
      </c>
    </row>
    <row r="1010" spans="1:14" x14ac:dyDescent="0.3">
      <c r="A1010" t="str">
        <f>정규화데이터!A1010</f>
        <v>리씽크</v>
      </c>
      <c r="B1010">
        <f>정규화데이터!B1010</f>
        <v>2.0260205075712499E+18</v>
      </c>
      <c r="C1010" t="str">
        <f>정규화데이터!C1010</f>
        <v xml:space="preserve">워커힐 본갈비 3+1 최초❤️5만원대! 총1.2kg✨호텔특제 양념갈비 8인분 (✨1인분 7,375원꼴! / [300g,2인분] x 총 4팩  / ✨초이스등급 본갈비 / ❣️워커힐 </v>
      </c>
      <c r="D1010">
        <f>정규화데이터!D1010</f>
        <v>143790</v>
      </c>
      <c r="E1010" s="16" t="str">
        <f>정규화데이터!E1010</f>
        <v>SKU001</v>
      </c>
      <c r="F1010" s="3">
        <f>정규화데이터!F1010</f>
        <v>2</v>
      </c>
      <c r="G1010" s="3">
        <f>정규화데이터!G1010</f>
        <v>41363.636363636353</v>
      </c>
      <c r="H1010" s="3">
        <f>정규화데이터!H1010</f>
        <v>91000</v>
      </c>
      <c r="I1010" s="3">
        <f>정규화데이터!I1010</f>
        <v>91000</v>
      </c>
      <c r="J1010" s="3">
        <f>정규화데이터!J1010</f>
        <v>82727.272727272706</v>
      </c>
      <c r="K1010" s="25">
        <f>정규화데이터!K1010</f>
        <v>30748</v>
      </c>
      <c r="L1010" s="25">
        <f>정규화데이터!L1010</f>
        <v>61496</v>
      </c>
      <c r="M1010" s="21">
        <f t="shared" si="30"/>
        <v>21231.272727272706</v>
      </c>
      <c r="N1010" s="52">
        <f t="shared" si="31"/>
        <v>0.25664175824175806</v>
      </c>
    </row>
    <row r="1011" spans="1:14" x14ac:dyDescent="0.3">
      <c r="A1011" t="str">
        <f>정규화데이터!A1011</f>
        <v>리씽크</v>
      </c>
      <c r="B1011">
        <f>정규화데이터!B1011</f>
        <v>2.0260205075755E+18</v>
      </c>
      <c r="C1011" t="str">
        <f>정규화데이터!C1011</f>
        <v xml:space="preserve">워커힐 본갈비 3+1 최초❤️5만원대! 총1.2kg✨호텔특제 양념갈비 8인분 (✨1인분 7,375원꼴! / [300g,2인분] x 총 4팩  / ✨초이스등급 본갈비 / ❣️워커힐 </v>
      </c>
      <c r="D1011">
        <f>정규화데이터!D1011</f>
        <v>143790</v>
      </c>
      <c r="E1011" s="16" t="str">
        <f>정규화데이터!E1011</f>
        <v>SKU001</v>
      </c>
      <c r="F1011" s="3">
        <f>정규화데이터!F1011</f>
        <v>1</v>
      </c>
      <c r="G1011" s="3">
        <f>정규화데이터!G1011</f>
        <v>41363.636363636302</v>
      </c>
      <c r="H1011" s="3">
        <f>정규화데이터!H1011</f>
        <v>45499.999999999935</v>
      </c>
      <c r="I1011" s="3">
        <f>정규화데이터!I1011</f>
        <v>45500</v>
      </c>
      <c r="J1011" s="3">
        <f>정규화데이터!J1011</f>
        <v>41363.636363636302</v>
      </c>
      <c r="K1011" s="25">
        <f>정규화데이터!K1011</f>
        <v>30748</v>
      </c>
      <c r="L1011" s="25">
        <f>정규화데이터!L1011</f>
        <v>30748</v>
      </c>
      <c r="M1011" s="21">
        <f t="shared" si="30"/>
        <v>10615.636363636302</v>
      </c>
      <c r="N1011" s="52">
        <f t="shared" si="31"/>
        <v>0.25664175824175711</v>
      </c>
    </row>
    <row r="1012" spans="1:14" x14ac:dyDescent="0.3">
      <c r="A1012" t="str">
        <f>정규화데이터!A1012</f>
        <v>리씽크</v>
      </c>
      <c r="B1012">
        <f>정규화데이터!B1012</f>
        <v>2.02602050759135E+18</v>
      </c>
      <c r="C1012" t="str">
        <f>정규화데이터!C1012</f>
        <v xml:space="preserve">워커힐 본갈비 3+1 최초❤️5만원대! 총1.2kg✨호텔특제 양념갈비 8인분 (✨1인분 7,375원꼴! / [300g,2인분] x 총 4팩  / ✨초이스등급 본갈비 / ❣️워커힐 </v>
      </c>
      <c r="D1012">
        <f>정규화데이터!D1012</f>
        <v>143790</v>
      </c>
      <c r="E1012" s="16" t="str">
        <f>정규화데이터!E1012</f>
        <v>SKU001</v>
      </c>
      <c r="F1012" s="3">
        <f>정규화데이터!F1012</f>
        <v>1</v>
      </c>
      <c r="G1012" s="3">
        <f>정규화데이터!G1012</f>
        <v>41363.636363636302</v>
      </c>
      <c r="H1012" s="3">
        <f>정규화데이터!H1012</f>
        <v>45499.999999999935</v>
      </c>
      <c r="I1012" s="3">
        <f>정규화데이터!I1012</f>
        <v>45500</v>
      </c>
      <c r="J1012" s="3">
        <f>정규화데이터!J1012</f>
        <v>41363.636363636302</v>
      </c>
      <c r="K1012" s="25">
        <f>정규화데이터!K1012</f>
        <v>30748</v>
      </c>
      <c r="L1012" s="25">
        <f>정규화데이터!L1012</f>
        <v>30748</v>
      </c>
      <c r="M1012" s="21">
        <f t="shared" si="30"/>
        <v>10615.636363636302</v>
      </c>
      <c r="N1012" s="52">
        <f t="shared" si="31"/>
        <v>0.25664175824175711</v>
      </c>
    </row>
    <row r="1013" spans="1:14" x14ac:dyDescent="0.3">
      <c r="A1013" t="str">
        <f>정규화데이터!A1013</f>
        <v>리씽크</v>
      </c>
      <c r="B1013">
        <f>정규화데이터!B1013</f>
        <v>2.02602050756174E+18</v>
      </c>
      <c r="C1013" t="str">
        <f>정규화데이터!C1013</f>
        <v xml:space="preserve">워커힐 본갈비 3+1 최초❤️5만원대! 총1.2kg✨호텔특제 양념갈비 8인분 (✨1인분 7,375원꼴! / [300g,2인분] x 총 4팩  / ✨초이스등급 본갈비 / ❣️워커힐 </v>
      </c>
      <c r="D1013">
        <f>정규화데이터!D1013</f>
        <v>143790</v>
      </c>
      <c r="E1013" s="16" t="str">
        <f>정규화데이터!E1013</f>
        <v>SKU001</v>
      </c>
      <c r="F1013" s="3">
        <f>정규화데이터!F1013</f>
        <v>2</v>
      </c>
      <c r="G1013" s="3">
        <f>정규화데이터!G1013</f>
        <v>41363.636363636353</v>
      </c>
      <c r="H1013" s="3">
        <f>정규화데이터!H1013</f>
        <v>91000</v>
      </c>
      <c r="I1013" s="3">
        <f>정규화데이터!I1013</f>
        <v>91000</v>
      </c>
      <c r="J1013" s="3">
        <f>정규화데이터!J1013</f>
        <v>82727.272727272706</v>
      </c>
      <c r="K1013" s="25">
        <f>정규화데이터!K1013</f>
        <v>30748</v>
      </c>
      <c r="L1013" s="25">
        <f>정규화데이터!L1013</f>
        <v>61496</v>
      </c>
      <c r="M1013" s="21">
        <f t="shared" si="30"/>
        <v>21231.272727272706</v>
      </c>
      <c r="N1013" s="52">
        <f t="shared" si="31"/>
        <v>0.25664175824175806</v>
      </c>
    </row>
    <row r="1014" spans="1:14" x14ac:dyDescent="0.3">
      <c r="A1014" t="str">
        <f>정규화데이터!A1014</f>
        <v>리씽크</v>
      </c>
      <c r="B1014">
        <f>정규화데이터!B1014</f>
        <v>2.02602050758461E+18</v>
      </c>
      <c r="C1014" t="str">
        <f>정규화데이터!C1014</f>
        <v xml:space="preserve">워커힐 본갈비 3+1 최초❤️5만원대! 총1.2kg✨호텔특제 양념갈비 8인분 (✨1인분 7,375원꼴! / [300g,2인분] x 총 4팩  / ✨초이스등급 본갈비 / ❣️워커힐 </v>
      </c>
      <c r="D1014">
        <f>정규화데이터!D1014</f>
        <v>143790</v>
      </c>
      <c r="E1014" s="16" t="str">
        <f>정규화데이터!E1014</f>
        <v>SKU001</v>
      </c>
      <c r="F1014" s="3">
        <f>정규화데이터!F1014</f>
        <v>1</v>
      </c>
      <c r="G1014" s="3">
        <f>정규화데이터!G1014</f>
        <v>41363.636363636302</v>
      </c>
      <c r="H1014" s="3">
        <f>정규화데이터!H1014</f>
        <v>45499.999999999935</v>
      </c>
      <c r="I1014" s="3">
        <f>정규화데이터!I1014</f>
        <v>45500</v>
      </c>
      <c r="J1014" s="3">
        <f>정규화데이터!J1014</f>
        <v>41363.636363636302</v>
      </c>
      <c r="K1014" s="25">
        <f>정규화데이터!K1014</f>
        <v>30748</v>
      </c>
      <c r="L1014" s="25">
        <f>정규화데이터!L1014</f>
        <v>30748</v>
      </c>
      <c r="M1014" s="21">
        <f t="shared" si="30"/>
        <v>10615.636363636302</v>
      </c>
      <c r="N1014" s="52">
        <f t="shared" si="31"/>
        <v>0.25664175824175711</v>
      </c>
    </row>
    <row r="1015" spans="1:14" x14ac:dyDescent="0.3">
      <c r="A1015" t="str">
        <f>정규화데이터!A1015</f>
        <v>리씽크</v>
      </c>
      <c r="B1015">
        <f>정규화데이터!B1015</f>
        <v>2.0260205075730099E+18</v>
      </c>
      <c r="C1015" t="str">
        <f>정규화데이터!C1015</f>
        <v xml:space="preserve">워커힐 본갈비 3+1 최초❤️5만원대! 총1.2kg✨호텔특제 양념갈비 8인분 (✨1인분 7,375원꼴! / [300g,2인분] x 총 4팩  / ✨초이스등급 본갈비 / ❣️워커힐 </v>
      </c>
      <c r="D1015">
        <f>정규화데이터!D1015</f>
        <v>143790</v>
      </c>
      <c r="E1015" s="16" t="str">
        <f>정규화데이터!E1015</f>
        <v>SKU001</v>
      </c>
      <c r="F1015" s="3">
        <f>정규화데이터!F1015</f>
        <v>1</v>
      </c>
      <c r="G1015" s="3">
        <f>정규화데이터!G1015</f>
        <v>41363.636363636302</v>
      </c>
      <c r="H1015" s="3">
        <f>정규화데이터!H1015</f>
        <v>45499.999999999935</v>
      </c>
      <c r="I1015" s="3">
        <f>정규화데이터!I1015</f>
        <v>45500</v>
      </c>
      <c r="J1015" s="3">
        <f>정규화데이터!J1015</f>
        <v>41363.636363636302</v>
      </c>
      <c r="K1015" s="25">
        <f>정규화데이터!K1015</f>
        <v>30748</v>
      </c>
      <c r="L1015" s="25">
        <f>정규화데이터!L1015</f>
        <v>30748</v>
      </c>
      <c r="M1015" s="21">
        <f t="shared" si="30"/>
        <v>10615.636363636302</v>
      </c>
      <c r="N1015" s="52">
        <f t="shared" si="31"/>
        <v>0.25664175824175711</v>
      </c>
    </row>
    <row r="1016" spans="1:14" x14ac:dyDescent="0.3">
      <c r="A1016" t="str">
        <f>정규화데이터!A1016</f>
        <v>리씽크</v>
      </c>
      <c r="B1016">
        <f>정규화데이터!B1016</f>
        <v>2.02602050759039E+18</v>
      </c>
      <c r="C1016" t="str">
        <f>정규화데이터!C1016</f>
        <v xml:space="preserve">워커힐 본갈비 3+1 최초❤️5만원대! 총1.2kg✨호텔특제 양념갈비 8인분 (✨1인분 7,375원꼴! / [300g,2인분] x 총 4팩  / ✨초이스등급 본갈비 / ❣️워커힐 </v>
      </c>
      <c r="D1016">
        <f>정규화데이터!D1016</f>
        <v>143790</v>
      </c>
      <c r="E1016" s="16" t="str">
        <f>정규화데이터!E1016</f>
        <v>SKU001</v>
      </c>
      <c r="F1016" s="3">
        <f>정규화데이터!F1016</f>
        <v>1</v>
      </c>
      <c r="G1016" s="3">
        <f>정규화데이터!G1016</f>
        <v>41363.636363636302</v>
      </c>
      <c r="H1016" s="3">
        <f>정규화데이터!H1016</f>
        <v>45499.999999999935</v>
      </c>
      <c r="I1016" s="3">
        <f>정규화데이터!I1016</f>
        <v>45500</v>
      </c>
      <c r="J1016" s="3">
        <f>정규화데이터!J1016</f>
        <v>41363.636363636302</v>
      </c>
      <c r="K1016" s="25">
        <f>정규화데이터!K1016</f>
        <v>30748</v>
      </c>
      <c r="L1016" s="25">
        <f>정규화데이터!L1016</f>
        <v>30748</v>
      </c>
      <c r="M1016" s="21">
        <f t="shared" si="30"/>
        <v>10615.636363636302</v>
      </c>
      <c r="N1016" s="52">
        <f t="shared" si="31"/>
        <v>0.25664175824175711</v>
      </c>
    </row>
    <row r="1017" spans="1:14" x14ac:dyDescent="0.3">
      <c r="A1017" t="str">
        <f>정규화데이터!A1017</f>
        <v>리씽크</v>
      </c>
      <c r="B1017">
        <f>정규화데이터!B1017</f>
        <v>2.0260205075718001E+18</v>
      </c>
      <c r="C1017" t="str">
        <f>정규화데이터!C1017</f>
        <v xml:space="preserve">워커힐 본갈비 3+1 최초❤️5만원대! 총1.2kg✨호텔특제 양념갈비 8인분 (✨1인분 7,375원꼴! / [300g,2인분] x 총 4팩  / ✨초이스등급 본갈비 / ❣️워커힐 </v>
      </c>
      <c r="D1017">
        <f>정규화데이터!D1017</f>
        <v>143790</v>
      </c>
      <c r="E1017" s="16" t="str">
        <f>정규화데이터!E1017</f>
        <v>SKU001</v>
      </c>
      <c r="F1017" s="3">
        <f>정규화데이터!F1017</f>
        <v>1</v>
      </c>
      <c r="G1017" s="3">
        <f>정규화데이터!G1017</f>
        <v>41363.636363636302</v>
      </c>
      <c r="H1017" s="3">
        <f>정규화데이터!H1017</f>
        <v>45499.999999999935</v>
      </c>
      <c r="I1017" s="3">
        <f>정규화데이터!I1017</f>
        <v>45500</v>
      </c>
      <c r="J1017" s="3">
        <f>정규화데이터!J1017</f>
        <v>41363.636363636302</v>
      </c>
      <c r="K1017" s="25">
        <f>정규화데이터!K1017</f>
        <v>30748</v>
      </c>
      <c r="L1017" s="25">
        <f>정규화데이터!L1017</f>
        <v>30748</v>
      </c>
      <c r="M1017" s="21">
        <f t="shared" si="30"/>
        <v>10615.636363636302</v>
      </c>
      <c r="N1017" s="52">
        <f t="shared" si="31"/>
        <v>0.25664175824175711</v>
      </c>
    </row>
    <row r="1018" spans="1:14" x14ac:dyDescent="0.3">
      <c r="A1018" t="str">
        <f>정규화데이터!A1018</f>
        <v>리씽크</v>
      </c>
      <c r="B1018">
        <f>정규화데이터!B1018</f>
        <v>2.0260205075754801E+18</v>
      </c>
      <c r="C1018" t="str">
        <f>정규화데이터!C1018</f>
        <v xml:space="preserve">워커힐 본갈비 3+1 최초❤️5만원대! 총1.2kg✨호텔특제 양념갈비 8인분 (✨1인분 7,375원꼴! / [300g,2인분] x 총 4팩  / ✨초이스등급 본갈비 / ❣️워커힐 </v>
      </c>
      <c r="D1018">
        <f>정규화데이터!D1018</f>
        <v>143790</v>
      </c>
      <c r="E1018" s="16" t="str">
        <f>정규화데이터!E1018</f>
        <v>SKU001</v>
      </c>
      <c r="F1018" s="3">
        <f>정규화데이터!F1018</f>
        <v>1</v>
      </c>
      <c r="G1018" s="3">
        <f>정규화데이터!G1018</f>
        <v>41363.636363636302</v>
      </c>
      <c r="H1018" s="3">
        <f>정규화데이터!H1018</f>
        <v>45499.999999999935</v>
      </c>
      <c r="I1018" s="3">
        <f>정규화데이터!I1018</f>
        <v>45500</v>
      </c>
      <c r="J1018" s="3">
        <f>정규화데이터!J1018</f>
        <v>41363.636363636302</v>
      </c>
      <c r="K1018" s="25">
        <f>정규화데이터!K1018</f>
        <v>30748</v>
      </c>
      <c r="L1018" s="25">
        <f>정규화데이터!L1018</f>
        <v>30748</v>
      </c>
      <c r="M1018" s="21">
        <f t="shared" si="30"/>
        <v>10615.636363636302</v>
      </c>
      <c r="N1018" s="52">
        <f t="shared" si="31"/>
        <v>0.25664175824175711</v>
      </c>
    </row>
    <row r="1019" spans="1:14" x14ac:dyDescent="0.3">
      <c r="A1019" t="str">
        <f>정규화데이터!A1019</f>
        <v>리씽크</v>
      </c>
      <c r="B1019">
        <f>정규화데이터!B1019</f>
        <v>2.0260205075726999E+18</v>
      </c>
      <c r="C1019" t="str">
        <f>정규화데이터!C1019</f>
        <v xml:space="preserve">워커힐 본갈비 3+1 최초❤️5만원대! 총1.2kg✨호텔특제 양념갈비 8인분 (✨1인분 7,375원꼴! / [300g,2인분] x 총 4팩  / ✨초이스등급 본갈비 / ❣️워커힐 </v>
      </c>
      <c r="D1019">
        <f>정규화데이터!D1019</f>
        <v>143790</v>
      </c>
      <c r="E1019" s="16" t="str">
        <f>정규화데이터!E1019</f>
        <v>SKU001</v>
      </c>
      <c r="F1019" s="3">
        <f>정규화데이터!F1019</f>
        <v>2</v>
      </c>
      <c r="G1019" s="3">
        <f>정규화데이터!G1019</f>
        <v>41363.636363636353</v>
      </c>
      <c r="H1019" s="3">
        <f>정규화데이터!H1019</f>
        <v>91000</v>
      </c>
      <c r="I1019" s="3">
        <f>정규화데이터!I1019</f>
        <v>91000</v>
      </c>
      <c r="J1019" s="3">
        <f>정규화데이터!J1019</f>
        <v>82727.272727272706</v>
      </c>
      <c r="K1019" s="25">
        <f>정규화데이터!K1019</f>
        <v>30748</v>
      </c>
      <c r="L1019" s="25">
        <f>정규화데이터!L1019</f>
        <v>61496</v>
      </c>
      <c r="M1019" s="21">
        <f t="shared" si="30"/>
        <v>21231.272727272706</v>
      </c>
      <c r="N1019" s="52">
        <f t="shared" si="31"/>
        <v>0.25664175824175806</v>
      </c>
    </row>
    <row r="1020" spans="1:14" x14ac:dyDescent="0.3">
      <c r="A1020" t="str">
        <f>정규화데이터!A1020</f>
        <v>리씽크</v>
      </c>
      <c r="B1020">
        <f>정규화데이터!B1020</f>
        <v>2.02602050756099E+18</v>
      </c>
      <c r="C1020" t="str">
        <f>정규화데이터!C1020</f>
        <v xml:space="preserve">워커힐 본갈비 3+1 최초❤️5만원대! 총1.2kg✨호텔특제 양념갈비 8인분 (✨1인분 7,375원꼴! / [300g,2인분] x 총 4팩  / ✨초이스등급 본갈비 / ❣️워커힐 </v>
      </c>
      <c r="D1020">
        <f>정규화데이터!D1020</f>
        <v>143790</v>
      </c>
      <c r="E1020" s="16" t="str">
        <f>정규화데이터!E1020</f>
        <v>SKU001</v>
      </c>
      <c r="F1020" s="3">
        <f>정규화데이터!F1020</f>
        <v>2</v>
      </c>
      <c r="G1020" s="3">
        <f>정규화데이터!G1020</f>
        <v>41363.636363636353</v>
      </c>
      <c r="H1020" s="3">
        <f>정규화데이터!H1020</f>
        <v>91000</v>
      </c>
      <c r="I1020" s="3">
        <f>정규화데이터!I1020</f>
        <v>91000</v>
      </c>
      <c r="J1020" s="3">
        <f>정규화데이터!J1020</f>
        <v>82727.272727272706</v>
      </c>
      <c r="K1020" s="25">
        <f>정규화데이터!K1020</f>
        <v>30748</v>
      </c>
      <c r="L1020" s="25">
        <f>정규화데이터!L1020</f>
        <v>61496</v>
      </c>
      <c r="M1020" s="21">
        <f t="shared" si="30"/>
        <v>21231.272727272706</v>
      </c>
      <c r="N1020" s="52">
        <f t="shared" si="31"/>
        <v>0.25664175824175806</v>
      </c>
    </row>
    <row r="1021" spans="1:14" x14ac:dyDescent="0.3">
      <c r="A1021" t="str">
        <f>정규화데이터!A1021</f>
        <v>리씽크</v>
      </c>
      <c r="B1021">
        <f>정규화데이터!B1021</f>
        <v>2.02602050757472E+18</v>
      </c>
      <c r="C1021" t="str">
        <f>정규화데이터!C1021</f>
        <v xml:space="preserve">워커힐 본갈비 3+1 최초❤️5만원대! 총1.2kg✨호텔특제 양념갈비 8인분 (✨1인분 7,375원꼴! / [300g,2인분] x 총 4팩  / ✨초이스등급 본갈비 / ❣️워커힐 </v>
      </c>
      <c r="D1021">
        <f>정규화데이터!D1021</f>
        <v>143790</v>
      </c>
      <c r="E1021" s="16" t="str">
        <f>정규화데이터!E1021</f>
        <v>SKU001</v>
      </c>
      <c r="F1021" s="3">
        <f>정규화데이터!F1021</f>
        <v>1</v>
      </c>
      <c r="G1021" s="3">
        <f>정규화데이터!G1021</f>
        <v>41363.636363636302</v>
      </c>
      <c r="H1021" s="3">
        <f>정규화데이터!H1021</f>
        <v>45499.999999999935</v>
      </c>
      <c r="I1021" s="3">
        <f>정규화데이터!I1021</f>
        <v>45500</v>
      </c>
      <c r="J1021" s="3">
        <f>정규화데이터!J1021</f>
        <v>41363.636363636302</v>
      </c>
      <c r="K1021" s="25">
        <f>정규화데이터!K1021</f>
        <v>30748</v>
      </c>
      <c r="L1021" s="25">
        <f>정규화데이터!L1021</f>
        <v>30748</v>
      </c>
      <c r="M1021" s="21">
        <f t="shared" si="30"/>
        <v>10615.636363636302</v>
      </c>
      <c r="N1021" s="52">
        <f t="shared" si="31"/>
        <v>0.25664175824175711</v>
      </c>
    </row>
    <row r="1022" spans="1:14" x14ac:dyDescent="0.3">
      <c r="A1022" t="str">
        <f>정규화데이터!A1022</f>
        <v>리씽크</v>
      </c>
      <c r="B1022">
        <f>정규화데이터!B1022</f>
        <v>2.0260205075434601E+18</v>
      </c>
      <c r="C1022" t="str">
        <f>정규화데이터!C1022</f>
        <v xml:space="preserve">워커힐 본갈비 3+1 최초❤️5만원대! 총1.2kg✨호텔특제 양념갈비 8인분 (✨1인분 7,375원꼴! / [300g,2인분] x 총 4팩  / ✨초이스등급 본갈비 / ❣️워커힐 </v>
      </c>
      <c r="D1022">
        <f>정규화데이터!D1022</f>
        <v>143790</v>
      </c>
      <c r="E1022" s="16" t="str">
        <f>정규화데이터!E1022</f>
        <v>SKU001</v>
      </c>
      <c r="F1022" s="3">
        <f>정규화데이터!F1022</f>
        <v>1</v>
      </c>
      <c r="G1022" s="3">
        <f>정규화데이터!G1022</f>
        <v>41363.636363636302</v>
      </c>
      <c r="H1022" s="3">
        <f>정규화데이터!H1022</f>
        <v>45499.999999999935</v>
      </c>
      <c r="I1022" s="3">
        <f>정규화데이터!I1022</f>
        <v>45500</v>
      </c>
      <c r="J1022" s="3">
        <f>정규화데이터!J1022</f>
        <v>41363.636363636302</v>
      </c>
      <c r="K1022" s="25">
        <f>정규화데이터!K1022</f>
        <v>30748</v>
      </c>
      <c r="L1022" s="25">
        <f>정규화데이터!L1022</f>
        <v>30748</v>
      </c>
      <c r="M1022" s="21">
        <f t="shared" si="30"/>
        <v>10615.636363636302</v>
      </c>
      <c r="N1022" s="52">
        <f t="shared" si="31"/>
        <v>0.25664175824175711</v>
      </c>
    </row>
    <row r="1023" spans="1:14" x14ac:dyDescent="0.3">
      <c r="A1023" t="str">
        <f>정규화데이터!A1023</f>
        <v>리씽크</v>
      </c>
      <c r="B1023">
        <f>정규화데이터!B1023</f>
        <v>2.0260205075836301E+18</v>
      </c>
      <c r="C1023" t="str">
        <f>정규화데이터!C1023</f>
        <v xml:space="preserve">워커힐 본갈비 3+1 최초❤️5만원대! 총1.2kg✨호텔특제 양념갈비 8인분 (✨1인분 7,375원꼴! / [300g,2인분] x 총 4팩  / ✨초이스등급 본갈비 / ❣️워커힐 </v>
      </c>
      <c r="D1023">
        <f>정규화데이터!D1023</f>
        <v>143790</v>
      </c>
      <c r="E1023" s="16" t="str">
        <f>정규화데이터!E1023</f>
        <v>SKU001</v>
      </c>
      <c r="F1023" s="3">
        <f>정규화데이터!F1023</f>
        <v>1</v>
      </c>
      <c r="G1023" s="3">
        <f>정규화데이터!G1023</f>
        <v>41363.636363636302</v>
      </c>
      <c r="H1023" s="3">
        <f>정규화데이터!H1023</f>
        <v>45499.999999999935</v>
      </c>
      <c r="I1023" s="3">
        <f>정규화데이터!I1023</f>
        <v>45500</v>
      </c>
      <c r="J1023" s="3">
        <f>정규화데이터!J1023</f>
        <v>41363.636363636302</v>
      </c>
      <c r="K1023" s="25">
        <f>정규화데이터!K1023</f>
        <v>30748</v>
      </c>
      <c r="L1023" s="25">
        <f>정규화데이터!L1023</f>
        <v>30748</v>
      </c>
      <c r="M1023" s="21">
        <f t="shared" si="30"/>
        <v>10615.636363636302</v>
      </c>
      <c r="N1023" s="52">
        <f t="shared" si="31"/>
        <v>0.25664175824175711</v>
      </c>
    </row>
    <row r="1024" spans="1:14" x14ac:dyDescent="0.3">
      <c r="A1024" t="str">
        <f>정규화데이터!A1024</f>
        <v>리씽크</v>
      </c>
      <c r="B1024">
        <f>정규화데이터!B1024</f>
        <v>2.0260205075533399E+18</v>
      </c>
      <c r="C1024" t="str">
        <f>정규화데이터!C1024</f>
        <v xml:space="preserve">워커힐 본갈비 3+1 최초❤️5만원대! 총1.2kg✨호텔특제 양념갈비 8인분 (✨1인분 7,375원꼴! / [300g,2인분] x 총 4팩  / ✨초이스등급 본갈비 / ❣️워커힐 </v>
      </c>
      <c r="D1024">
        <f>정규화데이터!D1024</f>
        <v>143790</v>
      </c>
      <c r="E1024" s="16" t="str">
        <f>정규화데이터!E1024</f>
        <v>SKU001</v>
      </c>
      <c r="F1024" s="3">
        <f>정규화데이터!F1024</f>
        <v>1</v>
      </c>
      <c r="G1024" s="3">
        <f>정규화데이터!G1024</f>
        <v>41363.636363636302</v>
      </c>
      <c r="H1024" s="3">
        <f>정규화데이터!H1024</f>
        <v>45499.999999999935</v>
      </c>
      <c r="I1024" s="3">
        <f>정규화데이터!I1024</f>
        <v>45500</v>
      </c>
      <c r="J1024" s="3">
        <f>정규화데이터!J1024</f>
        <v>41363.636363636302</v>
      </c>
      <c r="K1024" s="25">
        <f>정규화데이터!K1024</f>
        <v>30748</v>
      </c>
      <c r="L1024" s="25">
        <f>정규화데이터!L1024</f>
        <v>30748</v>
      </c>
      <c r="M1024" s="21">
        <f t="shared" si="30"/>
        <v>10615.636363636302</v>
      </c>
      <c r="N1024" s="52">
        <f t="shared" si="31"/>
        <v>0.25664175824175711</v>
      </c>
    </row>
    <row r="1025" spans="1:14" x14ac:dyDescent="0.3">
      <c r="A1025" t="str">
        <f>정규화데이터!A1025</f>
        <v>리씽크</v>
      </c>
      <c r="B1025">
        <f>정규화데이터!B1025</f>
        <v>2.02602050757283E+18</v>
      </c>
      <c r="C1025" t="str">
        <f>정규화데이터!C1025</f>
        <v xml:space="preserve">워커힐 본갈비 3+1 최초❤️5만원대! 총1.2kg✨호텔특제 양념갈비 8인분 (✨1인분 7,375원꼴! / [300g,2인분] x 총 4팩  / ✨초이스등급 본갈비 / ❣️워커힐 </v>
      </c>
      <c r="D1025">
        <f>정규화데이터!D1025</f>
        <v>143790</v>
      </c>
      <c r="E1025" s="16" t="str">
        <f>정규화데이터!E1025</f>
        <v>SKU001</v>
      </c>
      <c r="F1025" s="3">
        <f>정규화데이터!F1025</f>
        <v>1</v>
      </c>
      <c r="G1025" s="3">
        <f>정규화데이터!G1025</f>
        <v>41363.636363636302</v>
      </c>
      <c r="H1025" s="3">
        <f>정규화데이터!H1025</f>
        <v>45499.999999999935</v>
      </c>
      <c r="I1025" s="3">
        <f>정규화데이터!I1025</f>
        <v>45500</v>
      </c>
      <c r="J1025" s="3">
        <f>정규화데이터!J1025</f>
        <v>41363.636363636302</v>
      </c>
      <c r="K1025" s="25">
        <f>정규화데이터!K1025</f>
        <v>30748</v>
      </c>
      <c r="L1025" s="25">
        <f>정규화데이터!L1025</f>
        <v>30748</v>
      </c>
      <c r="M1025" s="21">
        <f t="shared" si="30"/>
        <v>10615.636363636302</v>
      </c>
      <c r="N1025" s="52">
        <f t="shared" si="31"/>
        <v>0.25664175824175711</v>
      </c>
    </row>
    <row r="1026" spans="1:14" x14ac:dyDescent="0.3">
      <c r="A1026" t="str">
        <f>정규화데이터!A1026</f>
        <v>리씽크</v>
      </c>
      <c r="B1026">
        <f>정규화데이터!B1026</f>
        <v>2.0260205075816801E+18</v>
      </c>
      <c r="C1026" t="str">
        <f>정규화데이터!C1026</f>
        <v xml:space="preserve">워커힐 본갈비 3+1 최초❤️5만원대! 총1.2kg✨호텔특제 양념갈비 8인분 (✨1인분 7,375원꼴! / [300g,2인분] x 총 4팩  / ✨초이스등급 본갈비 / ❣️워커힐 </v>
      </c>
      <c r="D1026">
        <f>정규화데이터!D1026</f>
        <v>143790</v>
      </c>
      <c r="E1026" s="16" t="str">
        <f>정규화데이터!E1026</f>
        <v>SKU001</v>
      </c>
      <c r="F1026" s="3">
        <f>정규화데이터!F1026</f>
        <v>1</v>
      </c>
      <c r="G1026" s="3">
        <f>정규화데이터!G1026</f>
        <v>41363.636363636302</v>
      </c>
      <c r="H1026" s="3">
        <f>정규화데이터!H1026</f>
        <v>45499.999999999935</v>
      </c>
      <c r="I1026" s="3">
        <f>정규화데이터!I1026</f>
        <v>45500</v>
      </c>
      <c r="J1026" s="3">
        <f>정규화데이터!J1026</f>
        <v>41363.636363636302</v>
      </c>
      <c r="K1026" s="25">
        <f>정규화데이터!K1026</f>
        <v>30748</v>
      </c>
      <c r="L1026" s="25">
        <f>정규화데이터!L1026</f>
        <v>30748</v>
      </c>
      <c r="M1026" s="21">
        <f t="shared" si="30"/>
        <v>10615.636363636302</v>
      </c>
      <c r="N1026" s="52">
        <f t="shared" si="31"/>
        <v>0.25664175824175711</v>
      </c>
    </row>
    <row r="1027" spans="1:14" x14ac:dyDescent="0.3">
      <c r="A1027" t="str">
        <f>정규화데이터!A1027</f>
        <v>리씽크</v>
      </c>
      <c r="B1027">
        <f>정규화데이터!B1027</f>
        <v>2.0260205075549701E+18</v>
      </c>
      <c r="C1027" t="str">
        <f>정규화데이터!C1027</f>
        <v xml:space="preserve">워커힐 본갈비 3+1 최초❤️5만원대! 총1.2kg✨호텔특제 양념갈비 8인분 (✨1인분 7,375원꼴! / [300g,2인분] x 총 4팩  / ✨초이스등급 본갈비 / ❣️워커힐 </v>
      </c>
      <c r="D1027">
        <f>정규화데이터!D1027</f>
        <v>143790</v>
      </c>
      <c r="E1027" s="16" t="str">
        <f>정규화데이터!E1027</f>
        <v>SKU001</v>
      </c>
      <c r="F1027" s="3">
        <f>정규화데이터!F1027</f>
        <v>1</v>
      </c>
      <c r="G1027" s="3">
        <f>정규화데이터!G1027</f>
        <v>41363.636363636302</v>
      </c>
      <c r="H1027" s="3">
        <f>정규화데이터!H1027</f>
        <v>45499.999999999935</v>
      </c>
      <c r="I1027" s="3">
        <f>정규화데이터!I1027</f>
        <v>45500</v>
      </c>
      <c r="J1027" s="3">
        <f>정규화데이터!J1027</f>
        <v>41363.636363636302</v>
      </c>
      <c r="K1027" s="25">
        <f>정규화데이터!K1027</f>
        <v>30748</v>
      </c>
      <c r="L1027" s="25">
        <f>정규화데이터!L1027</f>
        <v>30748</v>
      </c>
      <c r="M1027" s="21">
        <f t="shared" ref="M1027:M1090" si="32">J1027-L1027</f>
        <v>10615.636363636302</v>
      </c>
      <c r="N1027" s="52">
        <f t="shared" ref="N1027:N1090" si="33">IF(J1027=0,0,M1027/J1027)</f>
        <v>0.25664175824175711</v>
      </c>
    </row>
    <row r="1028" spans="1:14" x14ac:dyDescent="0.3">
      <c r="A1028" t="str">
        <f>정규화데이터!A1028</f>
        <v>리씽크</v>
      </c>
      <c r="B1028">
        <f>정규화데이터!B1028</f>
        <v>2.0260205075636401E+18</v>
      </c>
      <c r="C1028" t="str">
        <f>정규화데이터!C1028</f>
        <v xml:space="preserve">워커힐 본갈비 3+1 최초❤️5만원대! 총1.2kg✨호텔특제 양념갈비 8인분 (✨1인분 7,375원꼴! / [300g,2인분] x 총 4팩  / ✨초이스등급 본갈비 / ❣️워커힐 </v>
      </c>
      <c r="D1028">
        <f>정규화데이터!D1028</f>
        <v>143790</v>
      </c>
      <c r="E1028" s="16" t="str">
        <f>정규화데이터!E1028</f>
        <v>SKU001</v>
      </c>
      <c r="F1028" s="3">
        <f>정규화데이터!F1028</f>
        <v>1</v>
      </c>
      <c r="G1028" s="3">
        <f>정규화데이터!G1028</f>
        <v>41363.636363636302</v>
      </c>
      <c r="H1028" s="3">
        <f>정규화데이터!H1028</f>
        <v>45499.999999999935</v>
      </c>
      <c r="I1028" s="3">
        <f>정규화데이터!I1028</f>
        <v>45500</v>
      </c>
      <c r="J1028" s="3">
        <f>정규화데이터!J1028</f>
        <v>41363.636363636302</v>
      </c>
      <c r="K1028" s="25">
        <f>정규화데이터!K1028</f>
        <v>30748</v>
      </c>
      <c r="L1028" s="25">
        <f>정규화데이터!L1028</f>
        <v>30748</v>
      </c>
      <c r="M1028" s="21">
        <f t="shared" si="32"/>
        <v>10615.636363636302</v>
      </c>
      <c r="N1028" s="52">
        <f t="shared" si="33"/>
        <v>0.25664175824175711</v>
      </c>
    </row>
    <row r="1029" spans="1:14" x14ac:dyDescent="0.3">
      <c r="A1029" t="str">
        <f>정규화데이터!A1029</f>
        <v>리씽크</v>
      </c>
      <c r="B1029">
        <f>정규화데이터!B1029</f>
        <v>2.02602050756433E+18</v>
      </c>
      <c r="C1029" t="str">
        <f>정규화데이터!C1029</f>
        <v xml:space="preserve">워커힐 본갈비 3+1 최초❤️5만원대! 총1.2kg✨호텔특제 양념갈비 8인분 (✨1인분 7,375원꼴! / [300g,2인분] x 총 4팩  / ✨초이스등급 본갈비 / ❣️워커힐 </v>
      </c>
      <c r="D1029">
        <f>정규화데이터!D1029</f>
        <v>143790</v>
      </c>
      <c r="E1029" s="16" t="str">
        <f>정규화데이터!E1029</f>
        <v>SKU001</v>
      </c>
      <c r="F1029" s="3">
        <f>정규화데이터!F1029</f>
        <v>1</v>
      </c>
      <c r="G1029" s="3">
        <f>정규화데이터!G1029</f>
        <v>41363.636363636302</v>
      </c>
      <c r="H1029" s="3">
        <f>정규화데이터!H1029</f>
        <v>45499.999999999935</v>
      </c>
      <c r="I1029" s="3">
        <f>정규화데이터!I1029</f>
        <v>45500</v>
      </c>
      <c r="J1029" s="3">
        <f>정규화데이터!J1029</f>
        <v>41363.636363636302</v>
      </c>
      <c r="K1029" s="25">
        <f>정규화데이터!K1029</f>
        <v>30748</v>
      </c>
      <c r="L1029" s="25">
        <f>정규화데이터!L1029</f>
        <v>30748</v>
      </c>
      <c r="M1029" s="21">
        <f t="shared" si="32"/>
        <v>10615.636363636302</v>
      </c>
      <c r="N1029" s="52">
        <f t="shared" si="33"/>
        <v>0.25664175824175711</v>
      </c>
    </row>
    <row r="1030" spans="1:14" x14ac:dyDescent="0.3">
      <c r="A1030" t="str">
        <f>정규화데이터!A1030</f>
        <v>리씽크</v>
      </c>
      <c r="B1030">
        <f>정규화데이터!B1030</f>
        <v>2.0260205075626099E+18</v>
      </c>
      <c r="C1030" t="str">
        <f>정규화데이터!C1030</f>
        <v xml:space="preserve">워커힐 본갈비 3+1 최초❤️5만원대! 총1.2kg✨호텔특제 양념갈비 8인분 (✨1인분 7,375원꼴! / [300g,2인분] x 총 4팩  / ✨초이스등급 본갈비 / ❣️워커힐 </v>
      </c>
      <c r="D1030">
        <f>정규화데이터!D1030</f>
        <v>143790</v>
      </c>
      <c r="E1030" s="16" t="str">
        <f>정규화데이터!E1030</f>
        <v>SKU001</v>
      </c>
      <c r="F1030" s="3">
        <f>정규화데이터!F1030</f>
        <v>1</v>
      </c>
      <c r="G1030" s="3">
        <f>정규화데이터!G1030</f>
        <v>41363.636363636302</v>
      </c>
      <c r="H1030" s="3">
        <f>정규화데이터!H1030</f>
        <v>45499.999999999935</v>
      </c>
      <c r="I1030" s="3">
        <f>정규화데이터!I1030</f>
        <v>45500</v>
      </c>
      <c r="J1030" s="3">
        <f>정규화데이터!J1030</f>
        <v>41363.636363636302</v>
      </c>
      <c r="K1030" s="25">
        <f>정규화데이터!K1030</f>
        <v>30748</v>
      </c>
      <c r="L1030" s="25">
        <f>정규화데이터!L1030</f>
        <v>30748</v>
      </c>
      <c r="M1030" s="21">
        <f t="shared" si="32"/>
        <v>10615.636363636302</v>
      </c>
      <c r="N1030" s="52">
        <f t="shared" si="33"/>
        <v>0.25664175824175711</v>
      </c>
    </row>
    <row r="1031" spans="1:14" x14ac:dyDescent="0.3">
      <c r="A1031" t="str">
        <f>정규화데이터!A1031</f>
        <v>리씽크</v>
      </c>
      <c r="B1031">
        <f>정규화데이터!B1031</f>
        <v>2.02602050757437E+18</v>
      </c>
      <c r="C1031" t="str">
        <f>정규화데이터!C1031</f>
        <v xml:space="preserve">워커힐 본갈비 3+1 최초❤️5만원대! 총1.2kg✨호텔특제 양념갈비 8인분 (✨1인분 7,375원꼴! / [300g,2인분] x 총 4팩  / ✨초이스등급 본갈비 / ❣️워커힐 </v>
      </c>
      <c r="D1031">
        <f>정규화데이터!D1031</f>
        <v>143790</v>
      </c>
      <c r="E1031" s="16" t="str">
        <f>정규화데이터!E1031</f>
        <v>SKU001</v>
      </c>
      <c r="F1031" s="3">
        <f>정규화데이터!F1031</f>
        <v>2</v>
      </c>
      <c r="G1031" s="3">
        <f>정규화데이터!G1031</f>
        <v>41363.636363636353</v>
      </c>
      <c r="H1031" s="3">
        <f>정규화데이터!H1031</f>
        <v>91000</v>
      </c>
      <c r="I1031" s="3">
        <f>정규화데이터!I1031</f>
        <v>91000</v>
      </c>
      <c r="J1031" s="3">
        <f>정규화데이터!J1031</f>
        <v>82727.272727272706</v>
      </c>
      <c r="K1031" s="25">
        <f>정규화데이터!K1031</f>
        <v>30748</v>
      </c>
      <c r="L1031" s="25">
        <f>정규화데이터!L1031</f>
        <v>61496</v>
      </c>
      <c r="M1031" s="21">
        <f t="shared" si="32"/>
        <v>21231.272727272706</v>
      </c>
      <c r="N1031" s="52">
        <f t="shared" si="33"/>
        <v>0.25664175824175806</v>
      </c>
    </row>
    <row r="1032" spans="1:14" x14ac:dyDescent="0.3">
      <c r="A1032" t="str">
        <f>정규화데이터!A1032</f>
        <v>리씽크</v>
      </c>
      <c r="B1032">
        <f>정규화데이터!B1032</f>
        <v>2.0260205075616399E+18</v>
      </c>
      <c r="C1032" t="str">
        <f>정규화데이터!C1032</f>
        <v xml:space="preserve">워커힐 본갈비 3+1 최초❤️5만원대! 총1.2kg✨호텔특제 양념갈비 8인분 (✨1인분 7,375원꼴! / [300g,2인분] x 총 4팩  / ✨초이스등급 본갈비 / ❣️워커힐 </v>
      </c>
      <c r="D1032">
        <f>정규화데이터!D1032</f>
        <v>143790</v>
      </c>
      <c r="E1032" s="16" t="str">
        <f>정규화데이터!E1032</f>
        <v>SKU001</v>
      </c>
      <c r="F1032" s="3">
        <f>정규화데이터!F1032</f>
        <v>1</v>
      </c>
      <c r="G1032" s="3">
        <f>정규화데이터!G1032</f>
        <v>41363.636363636302</v>
      </c>
      <c r="H1032" s="3">
        <f>정규화데이터!H1032</f>
        <v>45499.999999999935</v>
      </c>
      <c r="I1032" s="3">
        <f>정규화데이터!I1032</f>
        <v>45500</v>
      </c>
      <c r="J1032" s="3">
        <f>정규화데이터!J1032</f>
        <v>41363.636363636302</v>
      </c>
      <c r="K1032" s="25">
        <f>정규화데이터!K1032</f>
        <v>30748</v>
      </c>
      <c r="L1032" s="25">
        <f>정규화데이터!L1032</f>
        <v>30748</v>
      </c>
      <c r="M1032" s="21">
        <f t="shared" si="32"/>
        <v>10615.636363636302</v>
      </c>
      <c r="N1032" s="52">
        <f t="shared" si="33"/>
        <v>0.25664175824175711</v>
      </c>
    </row>
    <row r="1033" spans="1:14" x14ac:dyDescent="0.3">
      <c r="A1033" t="str">
        <f>정규화데이터!A1033</f>
        <v>리씽크</v>
      </c>
      <c r="B1033">
        <f>정규화데이터!B1033</f>
        <v>2.0260205075559199E+18</v>
      </c>
      <c r="C1033" t="str">
        <f>정규화데이터!C1033</f>
        <v xml:space="preserve">워커힐 본갈비 3+1 최초❤️5만원대! 총1.2kg✨호텔특제 양념갈비 8인분 (✨1인분 7,375원꼴! / [300g,2인분] x 총 4팩  / ✨초이스등급 본갈비 / ❣️워커힐 </v>
      </c>
      <c r="D1033">
        <f>정규화데이터!D1033</f>
        <v>143790</v>
      </c>
      <c r="E1033" s="16" t="str">
        <f>정규화데이터!E1033</f>
        <v>SKU001</v>
      </c>
      <c r="F1033" s="3">
        <f>정규화데이터!F1033</f>
        <v>1</v>
      </c>
      <c r="G1033" s="3">
        <f>정규화데이터!G1033</f>
        <v>41363.636363636302</v>
      </c>
      <c r="H1033" s="3">
        <f>정규화데이터!H1033</f>
        <v>45499.999999999935</v>
      </c>
      <c r="I1033" s="3">
        <f>정규화데이터!I1033</f>
        <v>45500</v>
      </c>
      <c r="J1033" s="3">
        <f>정규화데이터!J1033</f>
        <v>41363.636363636302</v>
      </c>
      <c r="K1033" s="25">
        <f>정규화데이터!K1033</f>
        <v>30748</v>
      </c>
      <c r="L1033" s="25">
        <f>정규화데이터!L1033</f>
        <v>30748</v>
      </c>
      <c r="M1033" s="21">
        <f t="shared" si="32"/>
        <v>10615.636363636302</v>
      </c>
      <c r="N1033" s="52">
        <f t="shared" si="33"/>
        <v>0.25664175824175711</v>
      </c>
    </row>
    <row r="1034" spans="1:14" x14ac:dyDescent="0.3">
      <c r="A1034" t="str">
        <f>정규화데이터!A1034</f>
        <v>리씽크</v>
      </c>
      <c r="B1034">
        <f>정규화데이터!B1034</f>
        <v>2.02602050757123E+18</v>
      </c>
      <c r="C1034" t="str">
        <f>정규화데이터!C1034</f>
        <v xml:space="preserve">워커힐 본갈비 3+1 최초❤️5만원대! 총1.2kg✨호텔특제 양념갈비 8인분 (✨1인분 7,375원꼴! / [300g,2인분] x 총 4팩  / ✨초이스등급 본갈비 / ❣️워커힐 </v>
      </c>
      <c r="D1034">
        <f>정규화데이터!D1034</f>
        <v>143790</v>
      </c>
      <c r="E1034" s="16" t="str">
        <f>정규화데이터!E1034</f>
        <v>SKU001</v>
      </c>
      <c r="F1034" s="3">
        <f>정규화데이터!F1034</f>
        <v>1</v>
      </c>
      <c r="G1034" s="3">
        <f>정규화데이터!G1034</f>
        <v>41363.636363636302</v>
      </c>
      <c r="H1034" s="3">
        <f>정규화데이터!H1034</f>
        <v>45499.999999999935</v>
      </c>
      <c r="I1034" s="3">
        <f>정규화데이터!I1034</f>
        <v>45500</v>
      </c>
      <c r="J1034" s="3">
        <f>정규화데이터!J1034</f>
        <v>41363.636363636302</v>
      </c>
      <c r="K1034" s="25">
        <f>정규화데이터!K1034</f>
        <v>30748</v>
      </c>
      <c r="L1034" s="25">
        <f>정규화데이터!L1034</f>
        <v>30748</v>
      </c>
      <c r="M1034" s="21">
        <f t="shared" si="32"/>
        <v>10615.636363636302</v>
      </c>
      <c r="N1034" s="52">
        <f t="shared" si="33"/>
        <v>0.25664175824175711</v>
      </c>
    </row>
    <row r="1035" spans="1:14" x14ac:dyDescent="0.3">
      <c r="A1035" t="str">
        <f>정규화데이터!A1035</f>
        <v>리씽크</v>
      </c>
      <c r="B1035">
        <f>정규화데이터!B1035</f>
        <v>2.02602050756355E+18</v>
      </c>
      <c r="C1035" t="str">
        <f>정규화데이터!C1035</f>
        <v xml:space="preserve">워커힐 본갈비 3+1 최초❤️5만원대! 총1.2kg✨호텔특제 양념갈비 8인분 (✨1인분 7,375원꼴! / [300g,2인분] x 총 4팩  / ✨초이스등급 본갈비 / ❣️워커힐 </v>
      </c>
      <c r="D1035">
        <f>정규화데이터!D1035</f>
        <v>143790</v>
      </c>
      <c r="E1035" s="16" t="str">
        <f>정규화데이터!E1035</f>
        <v>SKU001</v>
      </c>
      <c r="F1035" s="3">
        <f>정규화데이터!F1035</f>
        <v>1</v>
      </c>
      <c r="G1035" s="3">
        <f>정규화데이터!G1035</f>
        <v>41363.636363636302</v>
      </c>
      <c r="H1035" s="3">
        <f>정규화데이터!H1035</f>
        <v>45499.999999999935</v>
      </c>
      <c r="I1035" s="3">
        <f>정규화데이터!I1035</f>
        <v>45500</v>
      </c>
      <c r="J1035" s="3">
        <f>정규화데이터!J1035</f>
        <v>41363.636363636302</v>
      </c>
      <c r="K1035" s="25">
        <f>정규화데이터!K1035</f>
        <v>30748</v>
      </c>
      <c r="L1035" s="25">
        <f>정규화데이터!L1035</f>
        <v>30748</v>
      </c>
      <c r="M1035" s="21">
        <f t="shared" si="32"/>
        <v>10615.636363636302</v>
      </c>
      <c r="N1035" s="52">
        <f t="shared" si="33"/>
        <v>0.25664175824175711</v>
      </c>
    </row>
    <row r="1036" spans="1:14" x14ac:dyDescent="0.3">
      <c r="A1036" t="str">
        <f>정규화데이터!A1036</f>
        <v>리씽크</v>
      </c>
      <c r="B1036">
        <f>정규화데이터!B1036</f>
        <v>2.0260205075546701E+18</v>
      </c>
      <c r="C1036" t="str">
        <f>정규화데이터!C1036</f>
        <v xml:space="preserve">워커힐 본갈비 3+1 최초❤️5만원대! 총1.2kg✨호텔특제 양념갈비 8인분 (✨1인분 7,375원꼴! / [300g,2인분] x 총 4팩  / ✨초이스등급 본갈비 / ❣️워커힐 </v>
      </c>
      <c r="D1036">
        <f>정규화데이터!D1036</f>
        <v>143790</v>
      </c>
      <c r="E1036" s="16" t="str">
        <f>정규화데이터!E1036</f>
        <v>SKU001</v>
      </c>
      <c r="F1036" s="3">
        <f>정규화데이터!F1036</f>
        <v>1</v>
      </c>
      <c r="G1036" s="3">
        <f>정규화데이터!G1036</f>
        <v>41363.636363636302</v>
      </c>
      <c r="H1036" s="3">
        <f>정규화데이터!H1036</f>
        <v>45499.999999999935</v>
      </c>
      <c r="I1036" s="3">
        <f>정규화데이터!I1036</f>
        <v>45500</v>
      </c>
      <c r="J1036" s="3">
        <f>정규화데이터!J1036</f>
        <v>41363.636363636302</v>
      </c>
      <c r="K1036" s="25">
        <f>정규화데이터!K1036</f>
        <v>30748</v>
      </c>
      <c r="L1036" s="25">
        <f>정규화데이터!L1036</f>
        <v>30748</v>
      </c>
      <c r="M1036" s="21">
        <f t="shared" si="32"/>
        <v>10615.636363636302</v>
      </c>
      <c r="N1036" s="52">
        <f t="shared" si="33"/>
        <v>0.25664175824175711</v>
      </c>
    </row>
    <row r="1037" spans="1:14" x14ac:dyDescent="0.3">
      <c r="A1037" t="str">
        <f>정규화데이터!A1037</f>
        <v>리씽크</v>
      </c>
      <c r="B1037">
        <f>정규화데이터!B1037</f>
        <v>2.0260205075626199E+18</v>
      </c>
      <c r="C1037" t="str">
        <f>정규화데이터!C1037</f>
        <v xml:space="preserve">워커힐 본갈비 3+1 최초❤️5만원대! 총1.2kg✨호텔특제 양념갈비 8인분 (✨1인분 7,375원꼴! / [300g,2인분] x 총 4팩  / ✨초이스등급 본갈비 / ❣️워커힐 </v>
      </c>
      <c r="D1037">
        <f>정규화데이터!D1037</f>
        <v>143790</v>
      </c>
      <c r="E1037" s="16" t="str">
        <f>정규화데이터!E1037</f>
        <v>SKU001</v>
      </c>
      <c r="F1037" s="3">
        <f>정규화데이터!F1037</f>
        <v>1</v>
      </c>
      <c r="G1037" s="3">
        <f>정규화데이터!G1037</f>
        <v>41363.636363636302</v>
      </c>
      <c r="H1037" s="3">
        <f>정규화데이터!H1037</f>
        <v>45499.999999999935</v>
      </c>
      <c r="I1037" s="3">
        <f>정규화데이터!I1037</f>
        <v>45500</v>
      </c>
      <c r="J1037" s="3">
        <f>정규화데이터!J1037</f>
        <v>41363.636363636302</v>
      </c>
      <c r="K1037" s="25">
        <f>정규화데이터!K1037</f>
        <v>30748</v>
      </c>
      <c r="L1037" s="25">
        <f>정규화데이터!L1037</f>
        <v>30748</v>
      </c>
      <c r="M1037" s="21">
        <f t="shared" si="32"/>
        <v>10615.636363636302</v>
      </c>
      <c r="N1037" s="52">
        <f t="shared" si="33"/>
        <v>0.25664175824175711</v>
      </c>
    </row>
    <row r="1038" spans="1:14" x14ac:dyDescent="0.3">
      <c r="A1038" t="str">
        <f>정규화데이터!A1038</f>
        <v>리씽크</v>
      </c>
      <c r="B1038">
        <f>정규화데이터!B1038</f>
        <v>2.02602050755297E+18</v>
      </c>
      <c r="C1038" t="str">
        <f>정규화데이터!C1038</f>
        <v xml:space="preserve">워커힐 본갈비 3+1 최초❤️5만원대! 총1.2kg✨호텔특제 양념갈비 8인분 (✨1인분 7,375원꼴! / [300g,2인분] x 총 4팩  / ✨초이스등급 본갈비 / ❣️워커힐 </v>
      </c>
      <c r="D1038">
        <f>정규화데이터!D1038</f>
        <v>143790</v>
      </c>
      <c r="E1038" s="16" t="str">
        <f>정규화데이터!E1038</f>
        <v>SKU001</v>
      </c>
      <c r="F1038" s="3">
        <f>정규화데이터!F1038</f>
        <v>2</v>
      </c>
      <c r="G1038" s="3">
        <f>정규화데이터!G1038</f>
        <v>41363.636363636353</v>
      </c>
      <c r="H1038" s="3">
        <f>정규화데이터!H1038</f>
        <v>91000</v>
      </c>
      <c r="I1038" s="3">
        <f>정규화데이터!I1038</f>
        <v>91000</v>
      </c>
      <c r="J1038" s="3">
        <f>정규화데이터!J1038</f>
        <v>82727.272727272706</v>
      </c>
      <c r="K1038" s="25">
        <f>정규화데이터!K1038</f>
        <v>30748</v>
      </c>
      <c r="L1038" s="25">
        <f>정규화데이터!L1038</f>
        <v>61496</v>
      </c>
      <c r="M1038" s="21">
        <f t="shared" si="32"/>
        <v>21231.272727272706</v>
      </c>
      <c r="N1038" s="52">
        <f t="shared" si="33"/>
        <v>0.25664175824175806</v>
      </c>
    </row>
    <row r="1039" spans="1:14" x14ac:dyDescent="0.3">
      <c r="A1039" t="str">
        <f>정규화데이터!A1039</f>
        <v>리씽크</v>
      </c>
      <c r="B1039">
        <f>정규화데이터!B1039</f>
        <v>2.0260205075556201E+18</v>
      </c>
      <c r="C1039" t="str">
        <f>정규화데이터!C1039</f>
        <v xml:space="preserve">워커힐 본갈비 3+1 최초❤️5만원대! 총1.2kg✨호텔특제 양념갈비 8인분 (✨1인분 7,375원꼴! / [300g,2인분] x 총 4팩  / ✨초이스등급 본갈비 / ❣️워커힐 </v>
      </c>
      <c r="D1039">
        <f>정규화데이터!D1039</f>
        <v>143790</v>
      </c>
      <c r="E1039" s="16" t="str">
        <f>정규화데이터!E1039</f>
        <v>SKU001</v>
      </c>
      <c r="F1039" s="3">
        <f>정규화데이터!F1039</f>
        <v>4</v>
      </c>
      <c r="G1039" s="3">
        <f>정규화데이터!G1039</f>
        <v>41363.636363636251</v>
      </c>
      <c r="H1039" s="3">
        <f>정규화데이터!H1039</f>
        <v>181999.99999999956</v>
      </c>
      <c r="I1039" s="3">
        <f>정규화데이터!I1039</f>
        <v>182000</v>
      </c>
      <c r="J1039" s="3">
        <f>정규화데이터!J1039</f>
        <v>165454.545454545</v>
      </c>
      <c r="K1039" s="25">
        <f>정규화데이터!K1039</f>
        <v>30748</v>
      </c>
      <c r="L1039" s="25">
        <f>정규화데이터!L1039</f>
        <v>122992</v>
      </c>
      <c r="M1039" s="21">
        <f t="shared" si="32"/>
        <v>42462.545454545005</v>
      </c>
      <c r="N1039" s="52">
        <f t="shared" si="33"/>
        <v>0.25664175824175622</v>
      </c>
    </row>
    <row r="1040" spans="1:14" x14ac:dyDescent="0.3">
      <c r="A1040" t="str">
        <f>정규화데이터!A1040</f>
        <v>리씽크</v>
      </c>
      <c r="B1040">
        <f>정규화데이터!B1040</f>
        <v>2.0260205075624399E+18</v>
      </c>
      <c r="C1040" t="str">
        <f>정규화데이터!C1040</f>
        <v xml:space="preserve">워커힐 본갈비 3+1 최초❤️5만원대! 총1.2kg✨호텔특제 양념갈비 8인분 (✨1인분 7,375원꼴! / [300g,2인분] x 총 4팩  / ✨초이스등급 본갈비 / ❣️워커힐 </v>
      </c>
      <c r="D1040">
        <f>정규화데이터!D1040</f>
        <v>143790</v>
      </c>
      <c r="E1040" s="16" t="str">
        <f>정규화데이터!E1040</f>
        <v>SKU001</v>
      </c>
      <c r="F1040" s="3">
        <f>정규화데이터!F1040</f>
        <v>3</v>
      </c>
      <c r="G1040" s="3">
        <f>정규화데이터!G1040</f>
        <v>41363.636363636331</v>
      </c>
      <c r="H1040" s="3">
        <f>정규화데이터!H1040</f>
        <v>136499.99999999991</v>
      </c>
      <c r="I1040" s="3">
        <f>정규화데이터!I1040</f>
        <v>136500</v>
      </c>
      <c r="J1040" s="3">
        <f>정규화데이터!J1040</f>
        <v>124090.909090909</v>
      </c>
      <c r="K1040" s="25">
        <f>정규화데이터!K1040</f>
        <v>30748</v>
      </c>
      <c r="L1040" s="25">
        <f>정규화데이터!L1040</f>
        <v>92244</v>
      </c>
      <c r="M1040" s="21">
        <f t="shared" si="32"/>
        <v>31846.909090909001</v>
      </c>
      <c r="N1040" s="52">
        <f t="shared" si="33"/>
        <v>0.25664175824175772</v>
      </c>
    </row>
    <row r="1041" spans="1:14" x14ac:dyDescent="0.3">
      <c r="A1041" t="str">
        <f>정규화데이터!A1041</f>
        <v>리씽크</v>
      </c>
      <c r="B1041">
        <f>정규화데이터!B1041</f>
        <v>2.02602050756339E+18</v>
      </c>
      <c r="C1041" t="str">
        <f>정규화데이터!C1041</f>
        <v xml:space="preserve">워커힐 본갈비 3+1 최초❤️5만원대! 총1.2kg✨호텔특제 양념갈비 8인분 (✨1인분 7,375원꼴! / [300g,2인분] x 총 4팩  / ✨초이스등급 본갈비 / ❣️워커힐 </v>
      </c>
      <c r="D1041">
        <f>정규화데이터!D1041</f>
        <v>143790</v>
      </c>
      <c r="E1041" s="16" t="str">
        <f>정규화데이터!E1041</f>
        <v>SKU001</v>
      </c>
      <c r="F1041" s="3">
        <f>정규화데이터!F1041</f>
        <v>1</v>
      </c>
      <c r="G1041" s="3">
        <f>정규화데이터!G1041</f>
        <v>41363.636363636302</v>
      </c>
      <c r="H1041" s="3">
        <f>정규화데이터!H1041</f>
        <v>45499.999999999935</v>
      </c>
      <c r="I1041" s="3">
        <f>정규화데이터!I1041</f>
        <v>45500</v>
      </c>
      <c r="J1041" s="3">
        <f>정규화데이터!J1041</f>
        <v>41363.636363636302</v>
      </c>
      <c r="K1041" s="25">
        <f>정규화데이터!K1041</f>
        <v>30748</v>
      </c>
      <c r="L1041" s="25">
        <f>정규화데이터!L1041</f>
        <v>30748</v>
      </c>
      <c r="M1041" s="21">
        <f t="shared" si="32"/>
        <v>10615.636363636302</v>
      </c>
      <c r="N1041" s="52">
        <f t="shared" si="33"/>
        <v>0.25664175824175711</v>
      </c>
    </row>
    <row r="1042" spans="1:14" x14ac:dyDescent="0.3">
      <c r="A1042" t="str">
        <f>정규화데이터!A1042</f>
        <v>리씽크</v>
      </c>
      <c r="B1042">
        <f>정규화데이터!B1042</f>
        <v>2.02602050756192E+18</v>
      </c>
      <c r="C1042" t="str">
        <f>정규화데이터!C1042</f>
        <v xml:space="preserve">워커힐 본갈비 3+1 최초❤️5만원대! 총1.2kg✨호텔특제 양념갈비 8인분 (✨1인분 7,375원꼴! / [300g,2인분] x 총 4팩  / ✨초이스등급 본갈비 / ❣️워커힐 </v>
      </c>
      <c r="D1042">
        <f>정규화데이터!D1042</f>
        <v>143790</v>
      </c>
      <c r="E1042" s="16" t="str">
        <f>정규화데이터!E1042</f>
        <v>SKU001</v>
      </c>
      <c r="F1042" s="3">
        <f>정규화데이터!F1042</f>
        <v>1</v>
      </c>
      <c r="G1042" s="3">
        <f>정규화데이터!G1042</f>
        <v>41363.636363636302</v>
      </c>
      <c r="H1042" s="3">
        <f>정규화데이터!H1042</f>
        <v>45499.999999999935</v>
      </c>
      <c r="I1042" s="3">
        <f>정규화데이터!I1042</f>
        <v>45500</v>
      </c>
      <c r="J1042" s="3">
        <f>정규화데이터!J1042</f>
        <v>41363.636363636302</v>
      </c>
      <c r="K1042" s="25">
        <f>정규화데이터!K1042</f>
        <v>30748</v>
      </c>
      <c r="L1042" s="25">
        <f>정규화데이터!L1042</f>
        <v>30748</v>
      </c>
      <c r="M1042" s="21">
        <f t="shared" si="32"/>
        <v>10615.636363636302</v>
      </c>
      <c r="N1042" s="52">
        <f t="shared" si="33"/>
        <v>0.25664175824175711</v>
      </c>
    </row>
    <row r="1043" spans="1:14" x14ac:dyDescent="0.3">
      <c r="A1043" t="str">
        <f>정규화데이터!A1043</f>
        <v>리씽크</v>
      </c>
      <c r="B1043">
        <f>정규화데이터!B1043</f>
        <v>2.0260205075522501E+18</v>
      </c>
      <c r="C1043" t="str">
        <f>정규화데이터!C1043</f>
        <v xml:space="preserve">워커힐 본갈비 3+1 최초❤️5만원대! 총1.2kg✨호텔특제 양념갈비 8인분 (✨1인분 7,375원꼴! / [300g,2인분] x 총 4팩  / ✨초이스등급 본갈비 / ❣️워커힐 </v>
      </c>
      <c r="D1043">
        <f>정규화데이터!D1043</f>
        <v>143790</v>
      </c>
      <c r="E1043" s="16" t="str">
        <f>정규화데이터!E1043</f>
        <v>SKU001</v>
      </c>
      <c r="F1043" s="3">
        <f>정규화데이터!F1043</f>
        <v>1</v>
      </c>
      <c r="G1043" s="3">
        <f>정규화데이터!G1043</f>
        <v>41363.636363636302</v>
      </c>
      <c r="H1043" s="3">
        <f>정규화데이터!H1043</f>
        <v>45499.999999999935</v>
      </c>
      <c r="I1043" s="3">
        <f>정규화데이터!I1043</f>
        <v>45500</v>
      </c>
      <c r="J1043" s="3">
        <f>정규화데이터!J1043</f>
        <v>41363.636363636302</v>
      </c>
      <c r="K1043" s="25">
        <f>정규화데이터!K1043</f>
        <v>30748</v>
      </c>
      <c r="L1043" s="25">
        <f>정규화데이터!L1043</f>
        <v>30748</v>
      </c>
      <c r="M1043" s="21">
        <f t="shared" si="32"/>
        <v>10615.636363636302</v>
      </c>
      <c r="N1043" s="52">
        <f t="shared" si="33"/>
        <v>0.25664175824175711</v>
      </c>
    </row>
    <row r="1044" spans="1:14" x14ac:dyDescent="0.3">
      <c r="A1044" t="str">
        <f>정규화데이터!A1044</f>
        <v>리씽크</v>
      </c>
      <c r="B1044">
        <f>정규화데이터!B1044</f>
        <v>2.02602050754302E+18</v>
      </c>
      <c r="C1044" t="str">
        <f>정규화데이터!C1044</f>
        <v xml:space="preserve">워커힐 본갈비 3+1 최초❤️5만원대! 총1.2kg✨호텔특제 양념갈비 8인분 (✨1인분 7,375원꼴! / [300g,2인분] x 총 4팩  / ✨초이스등급 본갈비 / ❣️워커힐 </v>
      </c>
      <c r="D1044">
        <f>정규화데이터!D1044</f>
        <v>143790</v>
      </c>
      <c r="E1044" s="16" t="str">
        <f>정규화데이터!E1044</f>
        <v>SKU001</v>
      </c>
      <c r="F1044" s="3">
        <f>정규화데이터!F1044</f>
        <v>1</v>
      </c>
      <c r="G1044" s="3">
        <f>정규화데이터!G1044</f>
        <v>41363.636363636302</v>
      </c>
      <c r="H1044" s="3">
        <f>정규화데이터!H1044</f>
        <v>45499.999999999935</v>
      </c>
      <c r="I1044" s="3">
        <f>정규화데이터!I1044</f>
        <v>45500</v>
      </c>
      <c r="J1044" s="3">
        <f>정규화데이터!J1044</f>
        <v>41363.636363636302</v>
      </c>
      <c r="K1044" s="25">
        <f>정규화데이터!K1044</f>
        <v>30748</v>
      </c>
      <c r="L1044" s="25">
        <f>정규화데이터!L1044</f>
        <v>30748</v>
      </c>
      <c r="M1044" s="21">
        <f t="shared" si="32"/>
        <v>10615.636363636302</v>
      </c>
      <c r="N1044" s="52">
        <f t="shared" si="33"/>
        <v>0.25664175824175711</v>
      </c>
    </row>
    <row r="1045" spans="1:14" x14ac:dyDescent="0.3">
      <c r="A1045" t="str">
        <f>정규화데이터!A1045</f>
        <v>리씽크</v>
      </c>
      <c r="B1045">
        <f>정규화데이터!B1045</f>
        <v>2.0260205075541901E+18</v>
      </c>
      <c r="C1045" t="str">
        <f>정규화데이터!C1045</f>
        <v xml:space="preserve">워커힐 본갈비 3+1 최초❤️5만원대! 총1.2kg✨호텔특제 양념갈비 8인분 (✨1인분 7,375원꼴! / [300g,2인분] x 총 4팩  / ✨초이스등급 본갈비 / ❣️워커힐 </v>
      </c>
      <c r="D1045">
        <f>정규화데이터!D1045</f>
        <v>143790</v>
      </c>
      <c r="E1045" s="16" t="str">
        <f>정규화데이터!E1045</f>
        <v>SKU001</v>
      </c>
      <c r="F1045" s="3">
        <f>정규화데이터!F1045</f>
        <v>1</v>
      </c>
      <c r="G1045" s="3">
        <f>정규화데이터!G1045</f>
        <v>41363.636363636302</v>
      </c>
      <c r="H1045" s="3">
        <f>정규화데이터!H1045</f>
        <v>45499.999999999935</v>
      </c>
      <c r="I1045" s="3">
        <f>정규화데이터!I1045</f>
        <v>45500</v>
      </c>
      <c r="J1045" s="3">
        <f>정규화데이터!J1045</f>
        <v>41363.636363636302</v>
      </c>
      <c r="K1045" s="25">
        <f>정규화데이터!K1045</f>
        <v>30748</v>
      </c>
      <c r="L1045" s="25">
        <f>정규화데이터!L1045</f>
        <v>30748</v>
      </c>
      <c r="M1045" s="21">
        <f t="shared" si="32"/>
        <v>10615.636363636302</v>
      </c>
      <c r="N1045" s="52">
        <f t="shared" si="33"/>
        <v>0.25664175824175711</v>
      </c>
    </row>
    <row r="1046" spans="1:14" x14ac:dyDescent="0.3">
      <c r="A1046" t="str">
        <f>정규화데이터!A1046</f>
        <v>리씽크</v>
      </c>
      <c r="B1046">
        <f>정규화데이터!B1046</f>
        <v>2.0260205075630999E+18</v>
      </c>
      <c r="C1046" t="str">
        <f>정규화데이터!C1046</f>
        <v xml:space="preserve">워커힐 본갈비 3+1 최초❤️5만원대! 총1.2kg✨호텔특제 양념갈비 8인분 (✨1인분 7,375원꼴! / [300g,2인분] x 총 4팩  / ✨초이스등급 본갈비 / ❣️워커힐 </v>
      </c>
      <c r="D1046">
        <f>정규화데이터!D1046</f>
        <v>143790</v>
      </c>
      <c r="E1046" s="16" t="str">
        <f>정규화데이터!E1046</f>
        <v>SKU001</v>
      </c>
      <c r="F1046" s="3">
        <f>정규화데이터!F1046</f>
        <v>1</v>
      </c>
      <c r="G1046" s="3">
        <f>정규화데이터!G1046</f>
        <v>41363.636363636302</v>
      </c>
      <c r="H1046" s="3">
        <f>정규화데이터!H1046</f>
        <v>45499.999999999935</v>
      </c>
      <c r="I1046" s="3">
        <f>정규화데이터!I1046</f>
        <v>45500</v>
      </c>
      <c r="J1046" s="3">
        <f>정규화데이터!J1046</f>
        <v>41363.636363636302</v>
      </c>
      <c r="K1046" s="25">
        <f>정규화데이터!K1046</f>
        <v>30748</v>
      </c>
      <c r="L1046" s="25">
        <f>정규화데이터!L1046</f>
        <v>30748</v>
      </c>
      <c r="M1046" s="21">
        <f t="shared" si="32"/>
        <v>10615.636363636302</v>
      </c>
      <c r="N1046" s="52">
        <f t="shared" si="33"/>
        <v>0.25664175824175711</v>
      </c>
    </row>
    <row r="1047" spans="1:14" x14ac:dyDescent="0.3">
      <c r="A1047" t="str">
        <f>정규화데이터!A1047</f>
        <v>리씽크</v>
      </c>
      <c r="B1047">
        <f>정규화데이터!B1047</f>
        <v>2.02602050755311E+18</v>
      </c>
      <c r="C1047" t="str">
        <f>정규화데이터!C1047</f>
        <v xml:space="preserve">워커힐 본갈비 3+1 최초❤️5만원대! 총1.2kg✨호텔특제 양념갈비 8인분 (✨1인분 7,375원꼴! / [300g,2인분] x 총 4팩  / ✨초이스등급 본갈비 / ❣️워커힐 </v>
      </c>
      <c r="D1047">
        <f>정규화데이터!D1047</f>
        <v>143790</v>
      </c>
      <c r="E1047" s="16" t="str">
        <f>정규화데이터!E1047</f>
        <v>SKU001</v>
      </c>
      <c r="F1047" s="3">
        <f>정규화데이터!F1047</f>
        <v>1</v>
      </c>
      <c r="G1047" s="3">
        <f>정규화데이터!G1047</f>
        <v>41363.636363636302</v>
      </c>
      <c r="H1047" s="3">
        <f>정규화데이터!H1047</f>
        <v>45499.999999999935</v>
      </c>
      <c r="I1047" s="3">
        <f>정규화데이터!I1047</f>
        <v>45500</v>
      </c>
      <c r="J1047" s="3">
        <f>정규화데이터!J1047</f>
        <v>41363.636363636302</v>
      </c>
      <c r="K1047" s="25">
        <f>정규화데이터!K1047</f>
        <v>30748</v>
      </c>
      <c r="L1047" s="25">
        <f>정규화데이터!L1047</f>
        <v>30748</v>
      </c>
      <c r="M1047" s="21">
        <f t="shared" si="32"/>
        <v>10615.636363636302</v>
      </c>
      <c r="N1047" s="52">
        <f t="shared" si="33"/>
        <v>0.25664175824175711</v>
      </c>
    </row>
    <row r="1048" spans="1:14" x14ac:dyDescent="0.3">
      <c r="A1048" t="str">
        <f>정규화데이터!A1048</f>
        <v>리씽크</v>
      </c>
      <c r="B1048">
        <f>정규화데이터!B1048</f>
        <v>2.0260205075451899E+18</v>
      </c>
      <c r="C1048" t="str">
        <f>정규화데이터!C1048</f>
        <v xml:space="preserve">워커힐 본갈비 3+1 최초❤️5만원대! 총1.2kg✨호텔특제 양념갈비 8인분 (✨1인분 7,375원꼴! / [300g,2인분] x 총 4팩  / ✨초이스등급 본갈비 / ❣️워커힐 </v>
      </c>
      <c r="D1048">
        <f>정규화데이터!D1048</f>
        <v>143790</v>
      </c>
      <c r="E1048" s="16" t="str">
        <f>정규화데이터!E1048</f>
        <v>SKU001</v>
      </c>
      <c r="F1048" s="3">
        <f>정규화데이터!F1048</f>
        <v>1</v>
      </c>
      <c r="G1048" s="3">
        <f>정규화데이터!G1048</f>
        <v>41363.636363636302</v>
      </c>
      <c r="H1048" s="3">
        <f>정규화데이터!H1048</f>
        <v>45499.999999999935</v>
      </c>
      <c r="I1048" s="3">
        <f>정규화데이터!I1048</f>
        <v>45500</v>
      </c>
      <c r="J1048" s="3">
        <f>정규화데이터!J1048</f>
        <v>41363.636363636302</v>
      </c>
      <c r="K1048" s="25">
        <f>정규화데이터!K1048</f>
        <v>30748</v>
      </c>
      <c r="L1048" s="25">
        <f>정규화데이터!L1048</f>
        <v>30748</v>
      </c>
      <c r="M1048" s="21">
        <f t="shared" si="32"/>
        <v>10615.636363636302</v>
      </c>
      <c r="N1048" s="52">
        <f t="shared" si="33"/>
        <v>0.25664175824175711</v>
      </c>
    </row>
    <row r="1049" spans="1:14" x14ac:dyDescent="0.3">
      <c r="A1049" t="str">
        <f>정규화데이터!A1049</f>
        <v>리씽크</v>
      </c>
      <c r="B1049">
        <f>정규화데이터!B1049</f>
        <v>2.02602050755535E+18</v>
      </c>
      <c r="C1049" t="str">
        <f>정규화데이터!C1049</f>
        <v xml:space="preserve">워커힐 본갈비 3+1 최초❤️5만원대! 총1.2kg✨호텔특제 양념갈비 8인분 (✨1인분 7,375원꼴! / [300g,2인분] x 총 4팩  / ✨초이스등급 본갈비 / ❣️워커힐 </v>
      </c>
      <c r="D1049">
        <f>정규화데이터!D1049</f>
        <v>143790</v>
      </c>
      <c r="E1049" s="16" t="str">
        <f>정규화데이터!E1049</f>
        <v>SKU001</v>
      </c>
      <c r="F1049" s="3">
        <f>정규화데이터!F1049</f>
        <v>2</v>
      </c>
      <c r="G1049" s="3">
        <f>정규화데이터!G1049</f>
        <v>41363.636363636353</v>
      </c>
      <c r="H1049" s="3">
        <f>정규화데이터!H1049</f>
        <v>91000</v>
      </c>
      <c r="I1049" s="3">
        <f>정규화데이터!I1049</f>
        <v>91000</v>
      </c>
      <c r="J1049" s="3">
        <f>정규화데이터!J1049</f>
        <v>82727.272727272706</v>
      </c>
      <c r="K1049" s="25">
        <f>정규화데이터!K1049</f>
        <v>30748</v>
      </c>
      <c r="L1049" s="25">
        <f>정규화데이터!L1049</f>
        <v>61496</v>
      </c>
      <c r="M1049" s="21">
        <f t="shared" si="32"/>
        <v>21231.272727272706</v>
      </c>
      <c r="N1049" s="52">
        <f t="shared" si="33"/>
        <v>0.25664175824175806</v>
      </c>
    </row>
    <row r="1050" spans="1:14" x14ac:dyDescent="0.3">
      <c r="A1050" t="str">
        <f>정규화데이터!A1050</f>
        <v>리씽크</v>
      </c>
      <c r="B1050">
        <f>정규화데이터!B1050</f>
        <v>2.0260205075420301E+18</v>
      </c>
      <c r="C1050" t="str">
        <f>정규화데이터!C1050</f>
        <v xml:space="preserve">워커힐 본갈비 3+1 최초❤️5만원대! 총1.2kg✨호텔특제 양념갈비 8인분 (✨1인분 7,375원꼴! / [300g,2인분] x 총 4팩  / ✨초이스등급 본갈비 / ❣️워커힐 </v>
      </c>
      <c r="D1050">
        <f>정규화데이터!D1050</f>
        <v>143790</v>
      </c>
      <c r="E1050" s="16" t="str">
        <f>정규화데이터!E1050</f>
        <v>SKU001</v>
      </c>
      <c r="F1050" s="3">
        <f>정규화데이터!F1050</f>
        <v>1</v>
      </c>
      <c r="G1050" s="3">
        <f>정규화데이터!G1050</f>
        <v>41363.636363636302</v>
      </c>
      <c r="H1050" s="3">
        <f>정규화데이터!H1050</f>
        <v>45499.999999999935</v>
      </c>
      <c r="I1050" s="3">
        <f>정규화데이터!I1050</f>
        <v>45500</v>
      </c>
      <c r="J1050" s="3">
        <f>정규화데이터!J1050</f>
        <v>41363.636363636302</v>
      </c>
      <c r="K1050" s="25">
        <f>정규화데이터!K1050</f>
        <v>30748</v>
      </c>
      <c r="L1050" s="25">
        <f>정규화데이터!L1050</f>
        <v>30748</v>
      </c>
      <c r="M1050" s="21">
        <f t="shared" si="32"/>
        <v>10615.636363636302</v>
      </c>
      <c r="N1050" s="52">
        <f t="shared" si="33"/>
        <v>0.25664175824175711</v>
      </c>
    </row>
    <row r="1051" spans="1:14" x14ac:dyDescent="0.3">
      <c r="A1051" t="str">
        <f>정규화데이터!A1051</f>
        <v>리씽크</v>
      </c>
      <c r="B1051">
        <f>정규화데이터!B1051</f>
        <v>2.02602050755038E+18</v>
      </c>
      <c r="C1051" t="str">
        <f>정규화데이터!C1051</f>
        <v xml:space="preserve">워커힐 본갈비 3+1 최초❤️5만원대! 총1.2kg✨호텔특제 양념갈비 8인분 (✨1인분 7,375원꼴! / [300g,2인분] x 총 4팩  / ✨초이스등급 본갈비 / ❣️워커힐 </v>
      </c>
      <c r="D1051">
        <f>정규화데이터!D1051</f>
        <v>143790</v>
      </c>
      <c r="E1051" s="16" t="str">
        <f>정규화데이터!E1051</f>
        <v>SKU001</v>
      </c>
      <c r="F1051" s="3">
        <f>정규화데이터!F1051</f>
        <v>1</v>
      </c>
      <c r="G1051" s="3">
        <f>정규화데이터!G1051</f>
        <v>41363.636363636302</v>
      </c>
      <c r="H1051" s="3">
        <f>정규화데이터!H1051</f>
        <v>45499.999999999935</v>
      </c>
      <c r="I1051" s="3">
        <f>정규화데이터!I1051</f>
        <v>45500</v>
      </c>
      <c r="J1051" s="3">
        <f>정규화데이터!J1051</f>
        <v>41363.636363636302</v>
      </c>
      <c r="K1051" s="25">
        <f>정규화데이터!K1051</f>
        <v>30748</v>
      </c>
      <c r="L1051" s="25">
        <f>정규화데이터!L1051</f>
        <v>30748</v>
      </c>
      <c r="M1051" s="21">
        <f t="shared" si="32"/>
        <v>10615.636363636302</v>
      </c>
      <c r="N1051" s="52">
        <f t="shared" si="33"/>
        <v>0.25664175824175711</v>
      </c>
    </row>
    <row r="1052" spans="1:14" x14ac:dyDescent="0.3">
      <c r="A1052" t="str">
        <f>정규화데이터!A1052</f>
        <v>리씽크</v>
      </c>
      <c r="B1052">
        <f>정규화데이터!B1052</f>
        <v>2.02602050754528E+18</v>
      </c>
      <c r="C1052" t="str">
        <f>정규화데이터!C1052</f>
        <v xml:space="preserve">워커힐 본갈비 3+1 최초❤️5만원대! 총1.2kg✨호텔특제 양념갈비 8인분 (✨1인분 7,375원꼴! / [300g,2인분] x 총 4팩  / ✨초이스등급 본갈비 / ❣️워커힐 </v>
      </c>
      <c r="D1052">
        <f>정규화데이터!D1052</f>
        <v>143790</v>
      </c>
      <c r="E1052" s="16" t="str">
        <f>정규화데이터!E1052</f>
        <v>SKU001</v>
      </c>
      <c r="F1052" s="3">
        <f>정규화데이터!F1052</f>
        <v>1</v>
      </c>
      <c r="G1052" s="3">
        <f>정규화데이터!G1052</f>
        <v>41363.636363636302</v>
      </c>
      <c r="H1052" s="3">
        <f>정규화데이터!H1052</f>
        <v>45499.999999999935</v>
      </c>
      <c r="I1052" s="3">
        <f>정규화데이터!I1052</f>
        <v>45500</v>
      </c>
      <c r="J1052" s="3">
        <f>정규화데이터!J1052</f>
        <v>41363.636363636302</v>
      </c>
      <c r="K1052" s="25">
        <f>정규화데이터!K1052</f>
        <v>30748</v>
      </c>
      <c r="L1052" s="25">
        <f>정규화데이터!L1052</f>
        <v>30748</v>
      </c>
      <c r="M1052" s="21">
        <f t="shared" si="32"/>
        <v>10615.636363636302</v>
      </c>
      <c r="N1052" s="52">
        <f t="shared" si="33"/>
        <v>0.25664175824175711</v>
      </c>
    </row>
    <row r="1053" spans="1:14" x14ac:dyDescent="0.3">
      <c r="A1053" t="str">
        <f>정규화데이터!A1053</f>
        <v>리씽크</v>
      </c>
      <c r="B1053">
        <f>정규화데이터!B1053</f>
        <v>2.0260205075422001E+18</v>
      </c>
      <c r="C1053" t="str">
        <f>정규화데이터!C1053</f>
        <v xml:space="preserve">워커힐 본갈비 3+1 최초❤️5만원대! 총1.2kg✨호텔특제 양념갈비 8인분 (✨1인분 7,375원꼴! / [300g,2인분] x 총 4팩  / ✨초이스등급 본갈비 / ❣️워커힐 </v>
      </c>
      <c r="D1053">
        <f>정규화데이터!D1053</f>
        <v>143790</v>
      </c>
      <c r="E1053" s="16" t="str">
        <f>정규화데이터!E1053</f>
        <v>SKU001</v>
      </c>
      <c r="F1053" s="3">
        <f>정규화데이터!F1053</f>
        <v>1</v>
      </c>
      <c r="G1053" s="3">
        <f>정규화데이터!G1053</f>
        <v>41363.636363636302</v>
      </c>
      <c r="H1053" s="3">
        <f>정규화데이터!H1053</f>
        <v>45499.999999999935</v>
      </c>
      <c r="I1053" s="3">
        <f>정규화데이터!I1053</f>
        <v>45500</v>
      </c>
      <c r="J1053" s="3">
        <f>정규화데이터!J1053</f>
        <v>41363.636363636302</v>
      </c>
      <c r="K1053" s="25">
        <f>정규화데이터!K1053</f>
        <v>30748</v>
      </c>
      <c r="L1053" s="25">
        <f>정규화데이터!L1053</f>
        <v>30748</v>
      </c>
      <c r="M1053" s="21">
        <f t="shared" si="32"/>
        <v>10615.636363636302</v>
      </c>
      <c r="N1053" s="52">
        <f t="shared" si="33"/>
        <v>0.25664175824175711</v>
      </c>
    </row>
    <row r="1054" spans="1:14" x14ac:dyDescent="0.3">
      <c r="A1054" t="str">
        <f>정규화데이터!A1054</f>
        <v>리씽크</v>
      </c>
      <c r="B1054">
        <f>정규화데이터!B1054</f>
        <v>2.02602050754016E+18</v>
      </c>
      <c r="C1054" t="str">
        <f>정규화데이터!C1054</f>
        <v xml:space="preserve">워커힐 본갈비 3+1 최초❤️5만원대! 총1.2kg✨호텔특제 양념갈비 8인분 (✨1인분 7,375원꼴! / [300g,2인분] x 총 4팩  / ✨초이스등급 본갈비 / ❣️워커힐 </v>
      </c>
      <c r="D1054">
        <f>정규화데이터!D1054</f>
        <v>143790</v>
      </c>
      <c r="E1054" s="16" t="str">
        <f>정규화데이터!E1054</f>
        <v>SKU001</v>
      </c>
      <c r="F1054" s="3">
        <f>정규화데이터!F1054</f>
        <v>1</v>
      </c>
      <c r="G1054" s="3">
        <f>정규화데이터!G1054</f>
        <v>41363.636363636302</v>
      </c>
      <c r="H1054" s="3">
        <f>정규화데이터!H1054</f>
        <v>45499.999999999935</v>
      </c>
      <c r="I1054" s="3">
        <f>정규화데이터!I1054</f>
        <v>45500</v>
      </c>
      <c r="J1054" s="3">
        <f>정규화데이터!J1054</f>
        <v>41363.636363636302</v>
      </c>
      <c r="K1054" s="25">
        <f>정규화데이터!K1054</f>
        <v>30748</v>
      </c>
      <c r="L1054" s="25">
        <f>정규화데이터!L1054</f>
        <v>30748</v>
      </c>
      <c r="M1054" s="21">
        <f t="shared" si="32"/>
        <v>10615.636363636302</v>
      </c>
      <c r="N1054" s="52">
        <f t="shared" si="33"/>
        <v>0.25664175824175711</v>
      </c>
    </row>
    <row r="1055" spans="1:14" x14ac:dyDescent="0.3">
      <c r="A1055" t="str">
        <f>정규화데이터!A1055</f>
        <v>리씽크</v>
      </c>
      <c r="B1055">
        <f>정규화데이터!B1055</f>
        <v>2.02602050754159E+18</v>
      </c>
      <c r="C1055" t="str">
        <f>정규화데이터!C1055</f>
        <v xml:space="preserve">워커힐 본갈비 3+1 최초❤️5만원대! 총1.2kg✨호텔특제 양념갈비 8인분 (✨1인분 7,375원꼴! / [300g,2인분] x 총 4팩  / ✨초이스등급 본갈비 / ❣️워커힐 </v>
      </c>
      <c r="D1055">
        <f>정규화데이터!D1055</f>
        <v>143790</v>
      </c>
      <c r="E1055" s="16" t="str">
        <f>정규화데이터!E1055</f>
        <v>SKU001</v>
      </c>
      <c r="F1055" s="3">
        <f>정규화데이터!F1055</f>
        <v>1</v>
      </c>
      <c r="G1055" s="3">
        <f>정규화데이터!G1055</f>
        <v>41363.636363636302</v>
      </c>
      <c r="H1055" s="3">
        <f>정규화데이터!H1055</f>
        <v>45499.999999999935</v>
      </c>
      <c r="I1055" s="3">
        <f>정규화데이터!I1055</f>
        <v>45500</v>
      </c>
      <c r="J1055" s="3">
        <f>정규화데이터!J1055</f>
        <v>41363.636363636302</v>
      </c>
      <c r="K1055" s="25">
        <f>정규화데이터!K1055</f>
        <v>30748</v>
      </c>
      <c r="L1055" s="25">
        <f>정규화데이터!L1055</f>
        <v>30748</v>
      </c>
      <c r="M1055" s="21">
        <f t="shared" si="32"/>
        <v>10615.636363636302</v>
      </c>
      <c r="N1055" s="52">
        <f t="shared" si="33"/>
        <v>0.25664175824175711</v>
      </c>
    </row>
    <row r="1056" spans="1:14" x14ac:dyDescent="0.3">
      <c r="A1056" t="str">
        <f>정규화데이터!A1056</f>
        <v>리씽크</v>
      </c>
      <c r="B1056">
        <f>정규화데이터!B1056</f>
        <v>2.0260205074431401E+18</v>
      </c>
      <c r="C1056" t="str">
        <f>정규화데이터!C1056</f>
        <v xml:space="preserve">워커힐 본갈비 3+1 최초❤️5만원대! 총1.2kg✨호텔특제 양념갈비 8인분 (✨1인분 7,375원꼴! / [300g,2인분] x 총 4팩  / ✨초이스등급 본갈비 / ❣️워커힐 </v>
      </c>
      <c r="D1056">
        <f>정규화데이터!D1056</f>
        <v>143790</v>
      </c>
      <c r="E1056" s="16" t="str">
        <f>정규화데이터!E1056</f>
        <v>SKU001</v>
      </c>
      <c r="F1056" s="3">
        <f>정규화데이터!F1056</f>
        <v>1</v>
      </c>
      <c r="G1056" s="3">
        <f>정규화데이터!G1056</f>
        <v>41363.636363636302</v>
      </c>
      <c r="H1056" s="3">
        <f>정규화데이터!H1056</f>
        <v>45499.999999999935</v>
      </c>
      <c r="I1056" s="3">
        <f>정규화데이터!I1056</f>
        <v>45500</v>
      </c>
      <c r="J1056" s="3">
        <f>정규화데이터!J1056</f>
        <v>41363.636363636302</v>
      </c>
      <c r="K1056" s="25">
        <f>정규화데이터!K1056</f>
        <v>30748</v>
      </c>
      <c r="L1056" s="25">
        <f>정규화데이터!L1056</f>
        <v>30748</v>
      </c>
      <c r="M1056" s="21">
        <f t="shared" si="32"/>
        <v>10615.636363636302</v>
      </c>
      <c r="N1056" s="52">
        <f t="shared" si="33"/>
        <v>0.25664175824175711</v>
      </c>
    </row>
    <row r="1057" spans="1:14" x14ac:dyDescent="0.3">
      <c r="A1057" t="str">
        <f>정규화데이터!A1057</f>
        <v>리씽크</v>
      </c>
      <c r="B1057">
        <f>정규화데이터!B1057</f>
        <v>2.02602050740414E+18</v>
      </c>
      <c r="C1057" t="str">
        <f>정규화데이터!C1057</f>
        <v xml:space="preserve">워커힐 본갈비 3+1 최초❤️5만원대! 총1.2kg✨호텔특제 양념갈비 8인분 (✨1인분 7,375원꼴! / [300g,2인분] x 총 4팩  / ✨초이스등급 본갈비 / ❣️워커힐 </v>
      </c>
      <c r="D1057">
        <f>정규화데이터!D1057</f>
        <v>143790</v>
      </c>
      <c r="E1057" s="16" t="str">
        <f>정규화데이터!E1057</f>
        <v>SKU001</v>
      </c>
      <c r="F1057" s="3">
        <f>정규화데이터!F1057</f>
        <v>1</v>
      </c>
      <c r="G1057" s="3">
        <f>정규화데이터!G1057</f>
        <v>41363.636363636302</v>
      </c>
      <c r="H1057" s="3">
        <f>정규화데이터!H1057</f>
        <v>45499.999999999935</v>
      </c>
      <c r="I1057" s="3">
        <f>정규화데이터!I1057</f>
        <v>45500</v>
      </c>
      <c r="J1057" s="3">
        <f>정규화데이터!J1057</f>
        <v>41363.636363636302</v>
      </c>
      <c r="K1057" s="25">
        <f>정규화데이터!K1057</f>
        <v>30748</v>
      </c>
      <c r="L1057" s="25">
        <f>정규화데이터!L1057</f>
        <v>30748</v>
      </c>
      <c r="M1057" s="21">
        <f t="shared" si="32"/>
        <v>10615.636363636302</v>
      </c>
      <c r="N1057" s="52">
        <f t="shared" si="33"/>
        <v>0.25664175824175711</v>
      </c>
    </row>
    <row r="1058" spans="1:14" x14ac:dyDescent="0.3">
      <c r="A1058" t="str">
        <f>정규화데이터!A1058</f>
        <v>리씽크</v>
      </c>
      <c r="B1058">
        <f>정규화데이터!B1058</f>
        <v>2.0260205072802199E+18</v>
      </c>
      <c r="C1058" t="str">
        <f>정규화데이터!C1058</f>
        <v xml:space="preserve">워커힐 본갈비 3+1 최초❤️5만원대! 총1.2kg✨호텔특제 양념갈비 8인분 (✨1인분 7,375원꼴! / [300g,2인분] x 총 4팩  / ✨초이스등급 본갈비 / ❣️워커힐 </v>
      </c>
      <c r="D1058">
        <f>정규화데이터!D1058</f>
        <v>143790</v>
      </c>
      <c r="E1058" s="16" t="str">
        <f>정규화데이터!E1058</f>
        <v>SKU001</v>
      </c>
      <c r="F1058" s="3">
        <f>정규화데이터!F1058</f>
        <v>1</v>
      </c>
      <c r="G1058" s="3">
        <f>정규화데이터!G1058</f>
        <v>41363.636363636302</v>
      </c>
      <c r="H1058" s="3">
        <f>정규화데이터!H1058</f>
        <v>45499.999999999935</v>
      </c>
      <c r="I1058" s="3">
        <f>정규화데이터!I1058</f>
        <v>45500</v>
      </c>
      <c r="J1058" s="3">
        <f>정규화데이터!J1058</f>
        <v>41363.636363636302</v>
      </c>
      <c r="K1058" s="25">
        <f>정규화데이터!K1058</f>
        <v>30748</v>
      </c>
      <c r="L1058" s="25">
        <f>정규화데이터!L1058</f>
        <v>30748</v>
      </c>
      <c r="M1058" s="21">
        <f t="shared" si="32"/>
        <v>10615.636363636302</v>
      </c>
      <c r="N1058" s="52">
        <f t="shared" si="33"/>
        <v>0.25664175824175711</v>
      </c>
    </row>
    <row r="1059" spans="1:14" x14ac:dyDescent="0.3">
      <c r="A1059" t="str">
        <f>정규화데이터!A1059</f>
        <v>리씽크</v>
      </c>
      <c r="B1059">
        <f>정규화데이터!B1059</f>
        <v>2.02602050723347E+18</v>
      </c>
      <c r="C1059" t="str">
        <f>정규화데이터!C1059</f>
        <v xml:space="preserve">워커힐 본갈비 3+1 최초❤️5만원대! 총1.2kg✨호텔특제 양념갈비 8인분 (✨1인분 7,375원꼴! / [300g,2인분] x 총 4팩  / ✨초이스등급 본갈비 / ❣️워커힐 </v>
      </c>
      <c r="D1059">
        <f>정규화데이터!D1059</f>
        <v>143790</v>
      </c>
      <c r="E1059" s="16" t="str">
        <f>정규화데이터!E1059</f>
        <v>SKU001</v>
      </c>
      <c r="F1059" s="3">
        <f>정규화데이터!F1059</f>
        <v>1</v>
      </c>
      <c r="G1059" s="3">
        <f>정규화데이터!G1059</f>
        <v>41363.636363636302</v>
      </c>
      <c r="H1059" s="3">
        <f>정규화데이터!H1059</f>
        <v>45499.999999999935</v>
      </c>
      <c r="I1059" s="3">
        <f>정규화데이터!I1059</f>
        <v>45500</v>
      </c>
      <c r="J1059" s="3">
        <f>정규화데이터!J1059</f>
        <v>41363.636363636302</v>
      </c>
      <c r="K1059" s="25">
        <f>정규화데이터!K1059</f>
        <v>30748</v>
      </c>
      <c r="L1059" s="25">
        <f>정규화데이터!L1059</f>
        <v>30748</v>
      </c>
      <c r="M1059" s="21">
        <f t="shared" si="32"/>
        <v>10615.636363636302</v>
      </c>
      <c r="N1059" s="52">
        <f t="shared" si="33"/>
        <v>0.25664175824175711</v>
      </c>
    </row>
    <row r="1060" spans="1:14" x14ac:dyDescent="0.3">
      <c r="A1060" t="str">
        <f>정규화데이터!A1060</f>
        <v>리씽크</v>
      </c>
      <c r="B1060">
        <f>정규화데이터!B1060</f>
        <v>2.0260205072136E+18</v>
      </c>
      <c r="C1060" t="str">
        <f>정규화데이터!C1060</f>
        <v xml:space="preserve">워커힐 본갈비 3+1 최초❤️5만원대! 총1.2kg✨호텔특제 양념갈비 8인분 (✨1인분 7,375원꼴! / [300g,2인분] x 총 4팩  / ✨초이스등급 본갈비 / ❣️워커힐 </v>
      </c>
      <c r="D1060">
        <f>정규화데이터!D1060</f>
        <v>143790</v>
      </c>
      <c r="E1060" s="16" t="str">
        <f>정규화데이터!E1060</f>
        <v>SKU001</v>
      </c>
      <c r="F1060" s="3">
        <f>정규화데이터!F1060</f>
        <v>1</v>
      </c>
      <c r="G1060" s="3">
        <f>정규화데이터!G1060</f>
        <v>41363.636363636302</v>
      </c>
      <c r="H1060" s="3">
        <f>정규화데이터!H1060</f>
        <v>45499.999999999935</v>
      </c>
      <c r="I1060" s="3">
        <f>정규화데이터!I1060</f>
        <v>45500</v>
      </c>
      <c r="J1060" s="3">
        <f>정규화데이터!J1060</f>
        <v>41363.636363636302</v>
      </c>
      <c r="K1060" s="25">
        <f>정규화데이터!K1060</f>
        <v>30748</v>
      </c>
      <c r="L1060" s="25">
        <f>정규화데이터!L1060</f>
        <v>30748</v>
      </c>
      <c r="M1060" s="21">
        <f t="shared" si="32"/>
        <v>10615.636363636302</v>
      </c>
      <c r="N1060" s="52">
        <f t="shared" si="33"/>
        <v>0.25664175824175711</v>
      </c>
    </row>
    <row r="1061" spans="1:14" x14ac:dyDescent="0.3">
      <c r="A1061" t="str">
        <f>정규화데이터!A1061</f>
        <v>리씽크</v>
      </c>
      <c r="B1061">
        <f>정규화데이터!B1061</f>
        <v>2.02602050720286E+18</v>
      </c>
      <c r="C1061" t="str">
        <f>정규화데이터!C1061</f>
        <v xml:space="preserve">워커힐 본갈비 3+1 최초❤️5만원대! 총1.2kg✨호텔특제 양념갈비 8인분 (✨1인분 7,375원꼴! / [300g,2인분] x 총 4팩  / ✨초이스등급 본갈비 / ❣️워커힐 </v>
      </c>
      <c r="D1061">
        <f>정규화데이터!D1061</f>
        <v>143790</v>
      </c>
      <c r="E1061" s="16" t="str">
        <f>정규화데이터!E1061</f>
        <v>SKU001</v>
      </c>
      <c r="F1061" s="3">
        <f>정규화데이터!F1061</f>
        <v>1</v>
      </c>
      <c r="G1061" s="3">
        <f>정규화데이터!G1061</f>
        <v>41363.636363636302</v>
      </c>
      <c r="H1061" s="3">
        <f>정규화데이터!H1061</f>
        <v>45499.999999999935</v>
      </c>
      <c r="I1061" s="3">
        <f>정규화데이터!I1061</f>
        <v>45500</v>
      </c>
      <c r="J1061" s="3">
        <f>정규화데이터!J1061</f>
        <v>41363.636363636302</v>
      </c>
      <c r="K1061" s="25">
        <f>정규화데이터!K1061</f>
        <v>30748</v>
      </c>
      <c r="L1061" s="25">
        <f>정규화데이터!L1061</f>
        <v>30748</v>
      </c>
      <c r="M1061" s="21">
        <f t="shared" si="32"/>
        <v>10615.636363636302</v>
      </c>
      <c r="N1061" s="52">
        <f t="shared" si="33"/>
        <v>0.25664175824175711</v>
      </c>
    </row>
    <row r="1062" spans="1:14" x14ac:dyDescent="0.3">
      <c r="A1062" t="str">
        <f>정규화데이터!A1062</f>
        <v>리씽크</v>
      </c>
      <c r="B1062">
        <f>정규화데이터!B1062</f>
        <v>2.0260205072022001E+18</v>
      </c>
      <c r="C1062" t="str">
        <f>정규화데이터!C1062</f>
        <v xml:space="preserve">워커힐 본갈비 3+1 최초❤️5만원대! 총1.2kg✨호텔특제 양념갈비 8인분 (✨1인분 7,375원꼴! / [300g,2인분] x 총 4팩  / ✨초이스등급 본갈비 / ❣️워커힐 </v>
      </c>
      <c r="D1062">
        <f>정규화데이터!D1062</f>
        <v>143790</v>
      </c>
      <c r="E1062" s="16" t="str">
        <f>정규화데이터!E1062</f>
        <v>SKU001</v>
      </c>
      <c r="F1062" s="3">
        <f>정규화데이터!F1062</f>
        <v>1</v>
      </c>
      <c r="G1062" s="3">
        <f>정규화데이터!G1062</f>
        <v>41363.636363636302</v>
      </c>
      <c r="H1062" s="3">
        <f>정규화데이터!H1062</f>
        <v>45499.999999999935</v>
      </c>
      <c r="I1062" s="3">
        <f>정규화데이터!I1062</f>
        <v>45500</v>
      </c>
      <c r="J1062" s="3">
        <f>정규화데이터!J1062</f>
        <v>41363.636363636302</v>
      </c>
      <c r="K1062" s="25">
        <f>정규화데이터!K1062</f>
        <v>30748</v>
      </c>
      <c r="L1062" s="25">
        <f>정규화데이터!L1062</f>
        <v>30748</v>
      </c>
      <c r="M1062" s="21">
        <f t="shared" si="32"/>
        <v>10615.636363636302</v>
      </c>
      <c r="N1062" s="52">
        <f t="shared" si="33"/>
        <v>0.25664175824175711</v>
      </c>
    </row>
    <row r="1063" spans="1:14" x14ac:dyDescent="0.3">
      <c r="A1063" t="str">
        <f>정규화데이터!A1063</f>
        <v>리씽크</v>
      </c>
      <c r="B1063">
        <f>정규화데이터!B1063</f>
        <v>2.0260205071842099E+18</v>
      </c>
      <c r="C1063" t="str">
        <f>정규화데이터!C1063</f>
        <v xml:space="preserve">워커힐 본갈비 3+1 최초❤️5만원대! 총1.2kg✨호텔특제 양념갈비 8인분 (✨1인분 7,375원꼴! / [300g,2인분] x 총 4팩  / ✨초이스등급 본갈비 / ❣️워커힐 </v>
      </c>
      <c r="D1063">
        <f>정규화데이터!D1063</f>
        <v>143790</v>
      </c>
      <c r="E1063" s="16" t="str">
        <f>정규화데이터!E1063</f>
        <v>SKU001</v>
      </c>
      <c r="F1063" s="3">
        <f>정규화데이터!F1063</f>
        <v>1</v>
      </c>
      <c r="G1063" s="3">
        <f>정규화데이터!G1063</f>
        <v>41363.636363636302</v>
      </c>
      <c r="H1063" s="3">
        <f>정규화데이터!H1063</f>
        <v>45499.999999999935</v>
      </c>
      <c r="I1063" s="3">
        <f>정규화데이터!I1063</f>
        <v>45500</v>
      </c>
      <c r="J1063" s="3">
        <f>정규화데이터!J1063</f>
        <v>41363.636363636302</v>
      </c>
      <c r="K1063" s="25">
        <f>정규화데이터!K1063</f>
        <v>30748</v>
      </c>
      <c r="L1063" s="25">
        <f>정규화데이터!L1063</f>
        <v>30748</v>
      </c>
      <c r="M1063" s="21">
        <f t="shared" si="32"/>
        <v>10615.636363636302</v>
      </c>
      <c r="N1063" s="52">
        <f t="shared" si="33"/>
        <v>0.25664175824175711</v>
      </c>
    </row>
    <row r="1064" spans="1:14" x14ac:dyDescent="0.3">
      <c r="A1064" t="str">
        <f>정규화데이터!A1064</f>
        <v>리씽크</v>
      </c>
      <c r="B1064">
        <f>정규화데이터!B1064</f>
        <v>2.0260205071725299E+18</v>
      </c>
      <c r="C1064" t="str">
        <f>정규화데이터!C1064</f>
        <v xml:space="preserve">워커힐 본갈비 3+1 최초❤️5만원대! 총1.2kg✨호텔특제 양념갈비 8인분 (✨1인분 7,375원꼴! / [300g,2인분] x 총 4팩  / ✨초이스등급 본갈비 / ❣️워커힐 </v>
      </c>
      <c r="D1064">
        <f>정규화데이터!D1064</f>
        <v>143790</v>
      </c>
      <c r="E1064" s="16" t="str">
        <f>정규화데이터!E1064</f>
        <v>SKU001</v>
      </c>
      <c r="F1064" s="3">
        <f>정규화데이터!F1064</f>
        <v>1</v>
      </c>
      <c r="G1064" s="3">
        <f>정규화데이터!G1064</f>
        <v>41363.636363636302</v>
      </c>
      <c r="H1064" s="3">
        <f>정규화데이터!H1064</f>
        <v>45499.999999999935</v>
      </c>
      <c r="I1064" s="3">
        <f>정규화데이터!I1064</f>
        <v>45500</v>
      </c>
      <c r="J1064" s="3">
        <f>정규화데이터!J1064</f>
        <v>41363.636363636302</v>
      </c>
      <c r="K1064" s="25">
        <f>정규화데이터!K1064</f>
        <v>30748</v>
      </c>
      <c r="L1064" s="25">
        <f>정규화데이터!L1064</f>
        <v>30748</v>
      </c>
      <c r="M1064" s="21">
        <f t="shared" si="32"/>
        <v>10615.636363636302</v>
      </c>
      <c r="N1064" s="52">
        <f t="shared" si="33"/>
        <v>0.25664175824175711</v>
      </c>
    </row>
    <row r="1065" spans="1:14" x14ac:dyDescent="0.3">
      <c r="A1065" t="str">
        <f>정규화데이터!A1065</f>
        <v>리씽크</v>
      </c>
      <c r="B1065">
        <f>정규화데이터!B1065</f>
        <v>2.0260205071656901E+18</v>
      </c>
      <c r="C1065" t="str">
        <f>정규화데이터!C1065</f>
        <v xml:space="preserve">워커힐 본갈비 3+1 최초❤️5만원대! 총1.2kg✨호텔특제 양념갈비 8인분 (✨1인분 7,375원꼴! / [300g,2인분] x 총 4팩  / ✨초이스등급 본갈비 / ❣️워커힐 </v>
      </c>
      <c r="D1065">
        <f>정규화데이터!D1065</f>
        <v>143790</v>
      </c>
      <c r="E1065" s="16" t="str">
        <f>정규화데이터!E1065</f>
        <v>SKU001</v>
      </c>
      <c r="F1065" s="3">
        <f>정규화데이터!F1065</f>
        <v>1</v>
      </c>
      <c r="G1065" s="3">
        <f>정규화데이터!G1065</f>
        <v>41363.636363636302</v>
      </c>
      <c r="H1065" s="3">
        <f>정규화데이터!H1065</f>
        <v>45499.999999999935</v>
      </c>
      <c r="I1065" s="3">
        <f>정규화데이터!I1065</f>
        <v>45500</v>
      </c>
      <c r="J1065" s="3">
        <f>정규화데이터!J1065</f>
        <v>41363.636363636302</v>
      </c>
      <c r="K1065" s="25">
        <f>정규화데이터!K1065</f>
        <v>30748</v>
      </c>
      <c r="L1065" s="25">
        <f>정규화데이터!L1065</f>
        <v>30748</v>
      </c>
      <c r="M1065" s="21">
        <f t="shared" si="32"/>
        <v>10615.636363636302</v>
      </c>
      <c r="N1065" s="52">
        <f t="shared" si="33"/>
        <v>0.25664175824175711</v>
      </c>
    </row>
    <row r="1066" spans="1:14" x14ac:dyDescent="0.3">
      <c r="A1066" t="str">
        <f>정규화데이터!A1066</f>
        <v>리씽크</v>
      </c>
      <c r="B1066">
        <f>정규화데이터!B1066</f>
        <v>2.02602050715567E+18</v>
      </c>
      <c r="C1066" t="str">
        <f>정규화데이터!C1066</f>
        <v xml:space="preserve">워커힐 본갈비 3+1 최초❤️5만원대! 총1.2kg✨호텔특제 양념갈비 8인분 (✨1인분 7,375원꼴! / [300g,2인분] x 총 4팩  / ✨초이스등급 본갈비 / ❣️워커힐 </v>
      </c>
      <c r="D1066">
        <f>정규화데이터!D1066</f>
        <v>143790</v>
      </c>
      <c r="E1066" s="16" t="str">
        <f>정규화데이터!E1066</f>
        <v>SKU001</v>
      </c>
      <c r="F1066" s="3">
        <f>정규화데이터!F1066</f>
        <v>2</v>
      </c>
      <c r="G1066" s="3">
        <f>정규화데이터!G1066</f>
        <v>41363.636363636353</v>
      </c>
      <c r="H1066" s="3">
        <f>정규화데이터!H1066</f>
        <v>91000</v>
      </c>
      <c r="I1066" s="3">
        <f>정규화데이터!I1066</f>
        <v>91000</v>
      </c>
      <c r="J1066" s="3">
        <f>정규화데이터!J1066</f>
        <v>82727.272727272706</v>
      </c>
      <c r="K1066" s="25">
        <f>정규화데이터!K1066</f>
        <v>30748</v>
      </c>
      <c r="L1066" s="25">
        <f>정규화데이터!L1066</f>
        <v>61496</v>
      </c>
      <c r="M1066" s="21">
        <f t="shared" si="32"/>
        <v>21231.272727272706</v>
      </c>
      <c r="N1066" s="52">
        <f t="shared" si="33"/>
        <v>0.25664175824175806</v>
      </c>
    </row>
    <row r="1067" spans="1:14" x14ac:dyDescent="0.3">
      <c r="A1067" t="str">
        <f>정규화데이터!A1067</f>
        <v>리씽크</v>
      </c>
      <c r="B1067">
        <f>정규화데이터!B1067</f>
        <v>2.0260205065123899E+18</v>
      </c>
      <c r="C1067" t="str">
        <f>정규화데이터!C1067</f>
        <v xml:space="preserve">워커힐 본갈비 3+1 최초❤️5만원대! 총1.2kg✨호텔특제 양념갈비 8인분 (✨1인분 7,375원꼴! / [300g,2인분] x 총 4팩  / ✨초이스등급 본갈비 / ❣️워커힐 </v>
      </c>
      <c r="D1067">
        <f>정규화데이터!D1067</f>
        <v>143790</v>
      </c>
      <c r="E1067" s="16" t="str">
        <f>정규화데이터!E1067</f>
        <v>SKU001</v>
      </c>
      <c r="F1067" s="3">
        <f>정규화데이터!F1067</f>
        <v>1</v>
      </c>
      <c r="G1067" s="3">
        <f>정규화데이터!G1067</f>
        <v>41363.636363636302</v>
      </c>
      <c r="H1067" s="3">
        <f>정규화데이터!H1067</f>
        <v>45499.999999999935</v>
      </c>
      <c r="I1067" s="3">
        <f>정규화데이터!I1067</f>
        <v>45500</v>
      </c>
      <c r="J1067" s="3">
        <f>정규화데이터!J1067</f>
        <v>41363.636363636302</v>
      </c>
      <c r="K1067" s="25">
        <f>정규화데이터!K1067</f>
        <v>30748</v>
      </c>
      <c r="L1067" s="25">
        <f>정규화데이터!L1067</f>
        <v>30748</v>
      </c>
      <c r="M1067" s="21">
        <f t="shared" si="32"/>
        <v>10615.636363636302</v>
      </c>
      <c r="N1067" s="52">
        <f t="shared" si="33"/>
        <v>0.25664175824175711</v>
      </c>
    </row>
    <row r="1068" spans="1:14" x14ac:dyDescent="0.3">
      <c r="A1068" t="str">
        <f>정규화데이터!A1068</f>
        <v>리씽크</v>
      </c>
      <c r="B1068">
        <f>정규화데이터!B1068</f>
        <v>2.02602050712496E+18</v>
      </c>
      <c r="C1068" t="str">
        <f>정규화데이터!C1068</f>
        <v xml:space="preserve">워커힐 본갈비 3+1 최초❤️5만원대! 총1.2kg✨호텔특제 양념갈비 8인분 (✨1인분 7,375원꼴! / [300g,2인분] x 총 4팩  / ✨초이스등급 본갈비 / ❣️워커힐 </v>
      </c>
      <c r="D1068">
        <f>정규화데이터!D1068</f>
        <v>143790</v>
      </c>
      <c r="E1068" s="16" t="str">
        <f>정규화데이터!E1068</f>
        <v>SKU001</v>
      </c>
      <c r="F1068" s="3">
        <f>정규화데이터!F1068</f>
        <v>1</v>
      </c>
      <c r="G1068" s="3">
        <f>정규화데이터!G1068</f>
        <v>41363.636363636302</v>
      </c>
      <c r="H1068" s="3">
        <f>정규화데이터!H1068</f>
        <v>45499.999999999935</v>
      </c>
      <c r="I1068" s="3">
        <f>정규화데이터!I1068</f>
        <v>45500</v>
      </c>
      <c r="J1068" s="3">
        <f>정규화데이터!J1068</f>
        <v>41363.636363636302</v>
      </c>
      <c r="K1068" s="25">
        <f>정규화데이터!K1068</f>
        <v>30748</v>
      </c>
      <c r="L1068" s="25">
        <f>정규화데이터!L1068</f>
        <v>30748</v>
      </c>
      <c r="M1068" s="21">
        <f t="shared" si="32"/>
        <v>10615.636363636302</v>
      </c>
      <c r="N1068" s="52">
        <f t="shared" si="33"/>
        <v>0.25664175824175711</v>
      </c>
    </row>
    <row r="1069" spans="1:14" x14ac:dyDescent="0.3">
      <c r="A1069" t="str">
        <f>정규화데이터!A1069</f>
        <v>리씽크</v>
      </c>
      <c r="B1069">
        <f>정규화데이터!B1069</f>
        <v>2.0260205071102999E+18</v>
      </c>
      <c r="C1069" t="str">
        <f>정규화데이터!C1069</f>
        <v xml:space="preserve">워커힐 본갈비 3+1 최초❤️5만원대! 총1.2kg✨호텔특제 양념갈비 8인분 (✨1인분 7,375원꼴! / [300g,2인분] x 총 4팩  / ✨초이스등급 본갈비 / ❣️워커힐 </v>
      </c>
      <c r="D1069">
        <f>정규화데이터!D1069</f>
        <v>143790</v>
      </c>
      <c r="E1069" s="16" t="str">
        <f>정규화데이터!E1069</f>
        <v>SKU001</v>
      </c>
      <c r="F1069" s="3">
        <f>정규화데이터!F1069</f>
        <v>2</v>
      </c>
      <c r="G1069" s="3">
        <f>정규화데이터!G1069</f>
        <v>41363.636363636353</v>
      </c>
      <c r="H1069" s="3">
        <f>정규화데이터!H1069</f>
        <v>91000</v>
      </c>
      <c r="I1069" s="3">
        <f>정규화데이터!I1069</f>
        <v>91000</v>
      </c>
      <c r="J1069" s="3">
        <f>정규화데이터!J1069</f>
        <v>82727.272727272706</v>
      </c>
      <c r="K1069" s="25">
        <f>정규화데이터!K1069</f>
        <v>30748</v>
      </c>
      <c r="L1069" s="25">
        <f>정규화데이터!L1069</f>
        <v>61496</v>
      </c>
      <c r="M1069" s="21">
        <f t="shared" si="32"/>
        <v>21231.272727272706</v>
      </c>
      <c r="N1069" s="52">
        <f t="shared" si="33"/>
        <v>0.25664175824175806</v>
      </c>
    </row>
    <row r="1070" spans="1:14" x14ac:dyDescent="0.3">
      <c r="A1070" t="str">
        <f>정규화데이터!A1070</f>
        <v>리씽크</v>
      </c>
      <c r="B1070">
        <f>정규화데이터!B1070</f>
        <v>2.0260205071043999E+18</v>
      </c>
      <c r="C1070" t="str">
        <f>정규화데이터!C1070</f>
        <v xml:space="preserve">워커힐 본갈비 3+1 최초❤️5만원대! 총1.2kg✨호텔특제 양념갈비 8인분 (✨1인분 7,375원꼴! / [300g,2인분] x 총 4팩  / ✨초이스등급 본갈비 / ❣️워커힐 </v>
      </c>
      <c r="D1070">
        <f>정규화데이터!D1070</f>
        <v>143790</v>
      </c>
      <c r="E1070" s="16" t="str">
        <f>정규화데이터!E1070</f>
        <v>SKU001</v>
      </c>
      <c r="F1070" s="3">
        <f>정규화데이터!F1070</f>
        <v>1</v>
      </c>
      <c r="G1070" s="3">
        <f>정규화데이터!G1070</f>
        <v>41363.636363636302</v>
      </c>
      <c r="H1070" s="3">
        <f>정규화데이터!H1070</f>
        <v>45499.999999999935</v>
      </c>
      <c r="I1070" s="3">
        <f>정규화데이터!I1070</f>
        <v>45500</v>
      </c>
      <c r="J1070" s="3">
        <f>정규화데이터!J1070</f>
        <v>41363.636363636302</v>
      </c>
      <c r="K1070" s="25">
        <f>정규화데이터!K1070</f>
        <v>30748</v>
      </c>
      <c r="L1070" s="25">
        <f>정규화데이터!L1070</f>
        <v>30748</v>
      </c>
      <c r="M1070" s="21">
        <f t="shared" si="32"/>
        <v>10615.636363636302</v>
      </c>
      <c r="N1070" s="52">
        <f t="shared" si="33"/>
        <v>0.25664175824175711</v>
      </c>
    </row>
    <row r="1071" spans="1:14" x14ac:dyDescent="0.3">
      <c r="A1071" t="str">
        <f>정규화데이터!A1071</f>
        <v>리씽크</v>
      </c>
      <c r="B1071">
        <f>정규화데이터!B1071</f>
        <v>2.02602050707395E+18</v>
      </c>
      <c r="C1071" t="str">
        <f>정규화데이터!C1071</f>
        <v xml:space="preserve">워커힐 본갈비 3+1 최초❤️5만원대! 총1.2kg✨호텔특제 양념갈비 8인분 (✨1인분 7,375원꼴! / [300g,2인분] x 총 4팩  / ✨초이스등급 본갈비 / ❣️워커힐 </v>
      </c>
      <c r="D1071">
        <f>정규화데이터!D1071</f>
        <v>143790</v>
      </c>
      <c r="E1071" s="16" t="str">
        <f>정규화데이터!E1071</f>
        <v>SKU001</v>
      </c>
      <c r="F1071" s="3">
        <f>정규화데이터!F1071</f>
        <v>4</v>
      </c>
      <c r="G1071" s="3">
        <f>정규화데이터!G1071</f>
        <v>41363.636363636251</v>
      </c>
      <c r="H1071" s="3">
        <f>정규화데이터!H1071</f>
        <v>181999.99999999956</v>
      </c>
      <c r="I1071" s="3">
        <f>정규화데이터!I1071</f>
        <v>182000</v>
      </c>
      <c r="J1071" s="3">
        <f>정규화데이터!J1071</f>
        <v>165454.545454545</v>
      </c>
      <c r="K1071" s="25">
        <f>정규화데이터!K1071</f>
        <v>30748</v>
      </c>
      <c r="L1071" s="25">
        <f>정규화데이터!L1071</f>
        <v>122992</v>
      </c>
      <c r="M1071" s="21">
        <f t="shared" si="32"/>
        <v>42462.545454545005</v>
      </c>
      <c r="N1071" s="52">
        <f t="shared" si="33"/>
        <v>0.25664175824175622</v>
      </c>
    </row>
    <row r="1072" spans="1:14" x14ac:dyDescent="0.3">
      <c r="A1072" t="str">
        <f>정규화데이터!A1072</f>
        <v>리씽크</v>
      </c>
      <c r="B1072">
        <f>정규화데이터!B1072</f>
        <v>2.0260205070643699E+18</v>
      </c>
      <c r="C1072" t="str">
        <f>정규화데이터!C1072</f>
        <v xml:space="preserve">워커힐 본갈비 3+1 최초❤️5만원대! 총1.2kg✨호텔특제 양념갈비 8인분 (✨1인분 7,375원꼴! / [300g,2인분] x 총 4팩  / ✨초이스등급 본갈비 / ❣️워커힐 </v>
      </c>
      <c r="D1072">
        <f>정규화데이터!D1072</f>
        <v>143790</v>
      </c>
      <c r="E1072" s="16" t="str">
        <f>정규화데이터!E1072</f>
        <v>SKU001</v>
      </c>
      <c r="F1072" s="3">
        <f>정규화데이터!F1072</f>
        <v>1</v>
      </c>
      <c r="G1072" s="3">
        <f>정규화데이터!G1072</f>
        <v>41363.636363636302</v>
      </c>
      <c r="H1072" s="3">
        <f>정규화데이터!H1072</f>
        <v>45499.999999999935</v>
      </c>
      <c r="I1072" s="3">
        <f>정규화데이터!I1072</f>
        <v>45500</v>
      </c>
      <c r="J1072" s="3">
        <f>정규화데이터!J1072</f>
        <v>41363.636363636302</v>
      </c>
      <c r="K1072" s="25">
        <f>정규화데이터!K1072</f>
        <v>30748</v>
      </c>
      <c r="L1072" s="25">
        <f>정규화데이터!L1072</f>
        <v>30748</v>
      </c>
      <c r="M1072" s="21">
        <f t="shared" si="32"/>
        <v>10615.636363636302</v>
      </c>
      <c r="N1072" s="52">
        <f t="shared" si="33"/>
        <v>0.25664175824175711</v>
      </c>
    </row>
    <row r="1073" spans="1:14" x14ac:dyDescent="0.3">
      <c r="A1073" t="str">
        <f>정규화데이터!A1073</f>
        <v>리씽크</v>
      </c>
      <c r="B1073">
        <f>정규화데이터!B1073</f>
        <v>2.02602050704543E+18</v>
      </c>
      <c r="C1073" t="str">
        <f>정규화데이터!C1073</f>
        <v xml:space="preserve">워커힐 본갈비 3+1 최초❤️5만원대! 총1.2kg✨호텔특제 양념갈비 8인분 (✨1인분 7,375원꼴! / [300g,2인분] x 총 4팩  / ✨초이스등급 본갈비 / ❣️워커힐 </v>
      </c>
      <c r="D1073">
        <f>정규화데이터!D1073</f>
        <v>143790</v>
      </c>
      <c r="E1073" s="16" t="str">
        <f>정규화데이터!E1073</f>
        <v>SKU001</v>
      </c>
      <c r="F1073" s="3">
        <f>정규화데이터!F1073</f>
        <v>1</v>
      </c>
      <c r="G1073" s="3">
        <f>정규화데이터!G1073</f>
        <v>41363.636363636302</v>
      </c>
      <c r="H1073" s="3">
        <f>정규화데이터!H1073</f>
        <v>45499.999999999935</v>
      </c>
      <c r="I1073" s="3">
        <f>정규화데이터!I1073</f>
        <v>45500</v>
      </c>
      <c r="J1073" s="3">
        <f>정규화데이터!J1073</f>
        <v>41363.636363636302</v>
      </c>
      <c r="K1073" s="25">
        <f>정규화데이터!K1073</f>
        <v>30748</v>
      </c>
      <c r="L1073" s="25">
        <f>정규화데이터!L1073</f>
        <v>30748</v>
      </c>
      <c r="M1073" s="21">
        <f t="shared" si="32"/>
        <v>10615.636363636302</v>
      </c>
      <c r="N1073" s="52">
        <f t="shared" si="33"/>
        <v>0.25664175824175711</v>
      </c>
    </row>
    <row r="1074" spans="1:14" x14ac:dyDescent="0.3">
      <c r="A1074" t="str">
        <f>정규화데이터!A1074</f>
        <v>리씽크</v>
      </c>
      <c r="B1074">
        <f>정규화데이터!B1074</f>
        <v>2.0260205070533E+18</v>
      </c>
      <c r="C1074" t="str">
        <f>정규화데이터!C1074</f>
        <v xml:space="preserve">워커힐 본갈비 3+1 최초❤️5만원대! 총1.2kg✨호텔특제 양념갈비 8인분 (✨1인분 7,375원꼴! / [300g,2인분] x 총 4팩  / ✨초이스등급 본갈비 / ❣️워커힐 </v>
      </c>
      <c r="D1074">
        <f>정규화데이터!D1074</f>
        <v>143790</v>
      </c>
      <c r="E1074" s="16" t="str">
        <f>정규화데이터!E1074</f>
        <v>SKU001</v>
      </c>
      <c r="F1074" s="3">
        <f>정규화데이터!F1074</f>
        <v>1</v>
      </c>
      <c r="G1074" s="3">
        <f>정규화데이터!G1074</f>
        <v>41363.636363636302</v>
      </c>
      <c r="H1074" s="3">
        <f>정규화데이터!H1074</f>
        <v>45499.999999999935</v>
      </c>
      <c r="I1074" s="3">
        <f>정규화데이터!I1074</f>
        <v>45500</v>
      </c>
      <c r="J1074" s="3">
        <f>정규화데이터!J1074</f>
        <v>41363.636363636302</v>
      </c>
      <c r="K1074" s="25">
        <f>정규화데이터!K1074</f>
        <v>30748</v>
      </c>
      <c r="L1074" s="25">
        <f>정규화데이터!L1074</f>
        <v>30748</v>
      </c>
      <c r="M1074" s="21">
        <f t="shared" si="32"/>
        <v>10615.636363636302</v>
      </c>
      <c r="N1074" s="52">
        <f t="shared" si="33"/>
        <v>0.25664175824175711</v>
      </c>
    </row>
    <row r="1075" spans="1:14" x14ac:dyDescent="0.3">
      <c r="A1075" t="str">
        <f>정규화데이터!A1075</f>
        <v>리씽크</v>
      </c>
      <c r="B1075">
        <f>정규화데이터!B1075</f>
        <v>2.02602050703264E+18</v>
      </c>
      <c r="C1075" t="str">
        <f>정규화데이터!C1075</f>
        <v xml:space="preserve">워커힐 본갈비 3+1 최초❤️5만원대! 총1.2kg✨호텔특제 양념갈비 8인분 (✨1인분 7,375원꼴! / [300g,2인분] x 총 4팩  / ✨초이스등급 본갈비 / ❣️워커힐 </v>
      </c>
      <c r="D1075">
        <f>정규화데이터!D1075</f>
        <v>143790</v>
      </c>
      <c r="E1075" s="16" t="str">
        <f>정규화데이터!E1075</f>
        <v>SKU001</v>
      </c>
      <c r="F1075" s="3">
        <f>정규화데이터!F1075</f>
        <v>1</v>
      </c>
      <c r="G1075" s="3">
        <f>정규화데이터!G1075</f>
        <v>41363.636363636302</v>
      </c>
      <c r="H1075" s="3">
        <f>정규화데이터!H1075</f>
        <v>45499.999999999935</v>
      </c>
      <c r="I1075" s="3">
        <f>정규화데이터!I1075</f>
        <v>45500</v>
      </c>
      <c r="J1075" s="3">
        <f>정규화데이터!J1075</f>
        <v>41363.636363636302</v>
      </c>
      <c r="K1075" s="25">
        <f>정규화데이터!K1075</f>
        <v>30748</v>
      </c>
      <c r="L1075" s="25">
        <f>정규화데이터!L1075</f>
        <v>30748</v>
      </c>
      <c r="M1075" s="21">
        <f t="shared" si="32"/>
        <v>10615.636363636302</v>
      </c>
      <c r="N1075" s="52">
        <f t="shared" si="33"/>
        <v>0.25664175824175711</v>
      </c>
    </row>
    <row r="1076" spans="1:14" x14ac:dyDescent="0.3">
      <c r="A1076" t="str">
        <f>정규화데이터!A1076</f>
        <v>리씽크</v>
      </c>
      <c r="B1076">
        <f>정규화데이터!B1076</f>
        <v>2.0260205070247199E+18</v>
      </c>
      <c r="C1076" t="str">
        <f>정규화데이터!C1076</f>
        <v xml:space="preserve">워커힐 본갈비 3+1 최초❤️5만원대! 총1.2kg✨호텔특제 양념갈비 8인분 (✨1인분 7,375원꼴! / [300g,2인분] x 총 4팩  / ✨초이스등급 본갈비 / ❣️워커힐 </v>
      </c>
      <c r="D1076">
        <f>정규화데이터!D1076</f>
        <v>143790</v>
      </c>
      <c r="E1076" s="16" t="str">
        <f>정규화데이터!E1076</f>
        <v>SKU001</v>
      </c>
      <c r="F1076" s="3">
        <f>정규화데이터!F1076</f>
        <v>1</v>
      </c>
      <c r="G1076" s="3">
        <f>정규화데이터!G1076</f>
        <v>41363.636363636302</v>
      </c>
      <c r="H1076" s="3">
        <f>정규화데이터!H1076</f>
        <v>45499.999999999935</v>
      </c>
      <c r="I1076" s="3">
        <f>정규화데이터!I1076</f>
        <v>45500</v>
      </c>
      <c r="J1076" s="3">
        <f>정규화데이터!J1076</f>
        <v>41363.636363636302</v>
      </c>
      <c r="K1076" s="25">
        <f>정규화데이터!K1076</f>
        <v>30748</v>
      </c>
      <c r="L1076" s="25">
        <f>정규화데이터!L1076</f>
        <v>30748</v>
      </c>
      <c r="M1076" s="21">
        <f t="shared" si="32"/>
        <v>10615.636363636302</v>
      </c>
      <c r="N1076" s="52">
        <f t="shared" si="33"/>
        <v>0.25664175824175711</v>
      </c>
    </row>
    <row r="1077" spans="1:14" x14ac:dyDescent="0.3">
      <c r="A1077" t="str">
        <f>정규화데이터!A1077</f>
        <v>리씽크</v>
      </c>
      <c r="B1077">
        <f>정규화데이터!B1077</f>
        <v>2.0260205065809999E+18</v>
      </c>
      <c r="C1077" t="str">
        <f>정규화데이터!C1077</f>
        <v xml:space="preserve">워커힐 본갈비 3+1 최초❤️5만원대! 총1.2kg✨호텔특제 양념갈비 8인분 (✨1인분 7,375원꼴! / [300g,2인분] x 총 4팩  / ✨초이스등급 본갈비 / ❣️워커힐 </v>
      </c>
      <c r="D1077">
        <f>정규화데이터!D1077</f>
        <v>143790</v>
      </c>
      <c r="E1077" s="16" t="str">
        <f>정규화데이터!E1077</f>
        <v>SKU001</v>
      </c>
      <c r="F1077" s="3">
        <f>정규화데이터!F1077</f>
        <v>1</v>
      </c>
      <c r="G1077" s="3">
        <f>정규화데이터!G1077</f>
        <v>41363.636363636302</v>
      </c>
      <c r="H1077" s="3">
        <f>정규화데이터!H1077</f>
        <v>45499.999999999935</v>
      </c>
      <c r="I1077" s="3">
        <f>정규화데이터!I1077</f>
        <v>45500</v>
      </c>
      <c r="J1077" s="3">
        <f>정규화데이터!J1077</f>
        <v>41363.636363636302</v>
      </c>
      <c r="K1077" s="25">
        <f>정규화데이터!K1077</f>
        <v>30748</v>
      </c>
      <c r="L1077" s="25">
        <f>정규화데이터!L1077</f>
        <v>30748</v>
      </c>
      <c r="M1077" s="21">
        <f t="shared" si="32"/>
        <v>10615.636363636302</v>
      </c>
      <c r="N1077" s="52">
        <f t="shared" si="33"/>
        <v>0.25664175824175711</v>
      </c>
    </row>
    <row r="1078" spans="1:14" x14ac:dyDescent="0.3">
      <c r="A1078" t="str">
        <f>정규화데이터!A1078</f>
        <v>리씽크</v>
      </c>
      <c r="B1078">
        <f>정규화데이터!B1078</f>
        <v>2.02602050657472E+18</v>
      </c>
      <c r="C1078" t="str">
        <f>정규화데이터!C1078</f>
        <v xml:space="preserve">워커힐 본갈비 3+1 최초❤️5만원대! 총1.2kg✨호텔특제 양념갈비 8인분 (✨1인분 7,375원꼴! / [300g,2인분] x 총 4팩  / ✨초이스등급 본갈비 / ❣️워커힐 </v>
      </c>
      <c r="D1078">
        <f>정규화데이터!D1078</f>
        <v>143790</v>
      </c>
      <c r="E1078" s="16" t="str">
        <f>정규화데이터!E1078</f>
        <v>SKU001</v>
      </c>
      <c r="F1078" s="3">
        <f>정규화데이터!F1078</f>
        <v>1</v>
      </c>
      <c r="G1078" s="3">
        <f>정규화데이터!G1078</f>
        <v>41363.636363636302</v>
      </c>
      <c r="H1078" s="3">
        <f>정규화데이터!H1078</f>
        <v>45499.999999999935</v>
      </c>
      <c r="I1078" s="3">
        <f>정규화데이터!I1078</f>
        <v>45500</v>
      </c>
      <c r="J1078" s="3">
        <f>정규화데이터!J1078</f>
        <v>41363.636363636302</v>
      </c>
      <c r="K1078" s="25">
        <f>정규화데이터!K1078</f>
        <v>30748</v>
      </c>
      <c r="L1078" s="25">
        <f>정규화데이터!L1078</f>
        <v>30748</v>
      </c>
      <c r="M1078" s="21">
        <f t="shared" si="32"/>
        <v>10615.636363636302</v>
      </c>
      <c r="N1078" s="52">
        <f t="shared" si="33"/>
        <v>0.25664175824175711</v>
      </c>
    </row>
    <row r="1079" spans="1:14" x14ac:dyDescent="0.3">
      <c r="A1079" t="str">
        <f>정규화데이터!A1079</f>
        <v>리씽크</v>
      </c>
      <c r="B1079">
        <f>정규화데이터!B1079</f>
        <v>2.0260205065653901E+18</v>
      </c>
      <c r="C1079" t="str">
        <f>정규화데이터!C1079</f>
        <v xml:space="preserve">워커힐 본갈비 3+1 최초❤️5만원대! 총1.2kg✨호텔특제 양념갈비 8인분 (✨1인분 7,375원꼴! / [300g,2인분] x 총 4팩  / ✨초이스등급 본갈비 / ❣️워커힐 </v>
      </c>
      <c r="D1079">
        <f>정규화데이터!D1079</f>
        <v>143790</v>
      </c>
      <c r="E1079" s="16" t="str">
        <f>정규화데이터!E1079</f>
        <v>SKU001</v>
      </c>
      <c r="F1079" s="3">
        <f>정규화데이터!F1079</f>
        <v>1</v>
      </c>
      <c r="G1079" s="3">
        <f>정규화데이터!G1079</f>
        <v>41363.636363636302</v>
      </c>
      <c r="H1079" s="3">
        <f>정규화데이터!H1079</f>
        <v>45499.999999999935</v>
      </c>
      <c r="I1079" s="3">
        <f>정규화데이터!I1079</f>
        <v>45500</v>
      </c>
      <c r="J1079" s="3">
        <f>정규화데이터!J1079</f>
        <v>41363.636363636302</v>
      </c>
      <c r="K1079" s="25">
        <f>정규화데이터!K1079</f>
        <v>30748</v>
      </c>
      <c r="L1079" s="25">
        <f>정규화데이터!L1079</f>
        <v>30748</v>
      </c>
      <c r="M1079" s="21">
        <f t="shared" si="32"/>
        <v>10615.636363636302</v>
      </c>
      <c r="N1079" s="52">
        <f t="shared" si="33"/>
        <v>0.25664175824175711</v>
      </c>
    </row>
    <row r="1080" spans="1:14" x14ac:dyDescent="0.3">
      <c r="A1080" t="str">
        <f>정규화데이터!A1080</f>
        <v>리씽크</v>
      </c>
      <c r="B1080">
        <f>정규화데이터!B1080</f>
        <v>2.02602050657533E+18</v>
      </c>
      <c r="C1080" t="str">
        <f>정규화데이터!C1080</f>
        <v xml:space="preserve">워커힐 본갈비 3+1 최초❤️5만원대! 총1.2kg✨호텔특제 양념갈비 8인분 (✨1인분 7,375원꼴! / [300g,2인분] x 총 4팩  / ✨초이스등급 본갈비 / ❣️워커힐 </v>
      </c>
      <c r="D1080">
        <f>정규화데이터!D1080</f>
        <v>143790</v>
      </c>
      <c r="E1080" s="16" t="str">
        <f>정규화데이터!E1080</f>
        <v>SKU001</v>
      </c>
      <c r="F1080" s="3">
        <f>정규화데이터!F1080</f>
        <v>1</v>
      </c>
      <c r="G1080" s="3">
        <f>정규화데이터!G1080</f>
        <v>41363.636363636302</v>
      </c>
      <c r="H1080" s="3">
        <f>정규화데이터!H1080</f>
        <v>45499.999999999935</v>
      </c>
      <c r="I1080" s="3">
        <f>정규화데이터!I1080</f>
        <v>45500</v>
      </c>
      <c r="J1080" s="3">
        <f>정규화데이터!J1080</f>
        <v>41363.636363636302</v>
      </c>
      <c r="K1080" s="25">
        <f>정규화데이터!K1080</f>
        <v>30748</v>
      </c>
      <c r="L1080" s="25">
        <f>정규화데이터!L1080</f>
        <v>30748</v>
      </c>
      <c r="M1080" s="21">
        <f t="shared" si="32"/>
        <v>10615.636363636302</v>
      </c>
      <c r="N1080" s="52">
        <f t="shared" si="33"/>
        <v>0.25664175824175711</v>
      </c>
    </row>
    <row r="1081" spans="1:14" x14ac:dyDescent="0.3">
      <c r="A1081" t="str">
        <f>정규화데이터!A1081</f>
        <v>리씽크</v>
      </c>
      <c r="B1081">
        <f>정규화데이터!B1081</f>
        <v>2.02602050651059E+18</v>
      </c>
      <c r="C1081" t="str">
        <f>정규화데이터!C1081</f>
        <v xml:space="preserve">워커힐 본갈비 3+1 최초❤️5만원대! 총1.2kg✨호텔특제 양념갈비 8인분 (✨1인분 7,375원꼴! / [300g,2인분] x 총 4팩  / ✨초이스등급 본갈비 / ❣️워커힐 </v>
      </c>
      <c r="D1081">
        <f>정규화데이터!D1081</f>
        <v>143790</v>
      </c>
      <c r="E1081" s="16" t="str">
        <f>정규화데이터!E1081</f>
        <v>SKU001</v>
      </c>
      <c r="F1081" s="3">
        <f>정규화데이터!F1081</f>
        <v>1</v>
      </c>
      <c r="G1081" s="3">
        <f>정규화데이터!G1081</f>
        <v>41363.636363636302</v>
      </c>
      <c r="H1081" s="3">
        <f>정규화데이터!H1081</f>
        <v>45499.999999999935</v>
      </c>
      <c r="I1081" s="3">
        <f>정규화데이터!I1081</f>
        <v>45500</v>
      </c>
      <c r="J1081" s="3">
        <f>정규화데이터!J1081</f>
        <v>41363.636363636302</v>
      </c>
      <c r="K1081" s="25">
        <f>정규화데이터!K1081</f>
        <v>30748</v>
      </c>
      <c r="L1081" s="25">
        <f>정규화데이터!L1081</f>
        <v>30748</v>
      </c>
      <c r="M1081" s="21">
        <f t="shared" si="32"/>
        <v>10615.636363636302</v>
      </c>
      <c r="N1081" s="52">
        <f t="shared" si="33"/>
        <v>0.25664175824175711</v>
      </c>
    </row>
    <row r="1082" spans="1:14" x14ac:dyDescent="0.3">
      <c r="A1082" t="str">
        <f>정규화데이터!A1082</f>
        <v>리씽크</v>
      </c>
      <c r="B1082">
        <f>정규화데이터!B1082</f>
        <v>2.0260205065440599E+18</v>
      </c>
      <c r="C1082" t="str">
        <f>정규화데이터!C1082</f>
        <v xml:space="preserve">워커힐 본갈비 3+1 최초❤️5만원대! 총1.2kg✨호텔특제 양념갈비 8인분 (✨1인분 7,375원꼴! / [300g,2인분] x 총 4팩  / ✨초이스등급 본갈비 / ❣️워커힐 </v>
      </c>
      <c r="D1082">
        <f>정규화데이터!D1082</f>
        <v>143790</v>
      </c>
      <c r="E1082" s="16" t="str">
        <f>정규화데이터!E1082</f>
        <v>SKU001</v>
      </c>
      <c r="F1082" s="3">
        <f>정규화데이터!F1082</f>
        <v>2</v>
      </c>
      <c r="G1082" s="3">
        <f>정규화데이터!G1082</f>
        <v>41363.636363636353</v>
      </c>
      <c r="H1082" s="3">
        <f>정규화데이터!H1082</f>
        <v>91000</v>
      </c>
      <c r="I1082" s="3">
        <f>정규화데이터!I1082</f>
        <v>91000</v>
      </c>
      <c r="J1082" s="3">
        <f>정규화데이터!J1082</f>
        <v>82727.272727272706</v>
      </c>
      <c r="K1082" s="25">
        <f>정규화데이터!K1082</f>
        <v>30748</v>
      </c>
      <c r="L1082" s="25">
        <f>정규화데이터!L1082</f>
        <v>61496</v>
      </c>
      <c r="M1082" s="21">
        <f t="shared" si="32"/>
        <v>21231.272727272706</v>
      </c>
      <c r="N1082" s="52">
        <f t="shared" si="33"/>
        <v>0.25664175824175806</v>
      </c>
    </row>
    <row r="1083" spans="1:14" x14ac:dyDescent="0.3">
      <c r="A1083" t="str">
        <f>정규화데이터!A1083</f>
        <v>리씽크</v>
      </c>
      <c r="B1083">
        <f>정규화데이터!B1083</f>
        <v>2.02602050653072E+18</v>
      </c>
      <c r="C1083" t="str">
        <f>정규화데이터!C1083</f>
        <v xml:space="preserve">워커힐 본갈비 3+1 최초❤️5만원대! 총1.2kg✨호텔특제 양념갈비 8인분 (✨1인분 7,375원꼴! / [300g,2인분] x 총 4팩  / ✨초이스등급 본갈비 / ❣️워커힐 </v>
      </c>
      <c r="D1083">
        <f>정규화데이터!D1083</f>
        <v>143790</v>
      </c>
      <c r="E1083" s="16" t="str">
        <f>정규화데이터!E1083</f>
        <v>SKU001</v>
      </c>
      <c r="F1083" s="3">
        <f>정규화데이터!F1083</f>
        <v>1</v>
      </c>
      <c r="G1083" s="3">
        <f>정규화데이터!G1083</f>
        <v>41363.636363636302</v>
      </c>
      <c r="H1083" s="3">
        <f>정규화데이터!H1083</f>
        <v>45499.999999999935</v>
      </c>
      <c r="I1083" s="3">
        <f>정규화데이터!I1083</f>
        <v>45500</v>
      </c>
      <c r="J1083" s="3">
        <f>정규화데이터!J1083</f>
        <v>41363.636363636302</v>
      </c>
      <c r="K1083" s="25">
        <f>정규화데이터!K1083</f>
        <v>30748</v>
      </c>
      <c r="L1083" s="25">
        <f>정규화데이터!L1083</f>
        <v>30748</v>
      </c>
      <c r="M1083" s="21">
        <f t="shared" si="32"/>
        <v>10615.636363636302</v>
      </c>
      <c r="N1083" s="52">
        <f t="shared" si="33"/>
        <v>0.25664175824175711</v>
      </c>
    </row>
    <row r="1084" spans="1:14" x14ac:dyDescent="0.3">
      <c r="A1084" t="str">
        <f>정규화데이터!A1084</f>
        <v>리씽크</v>
      </c>
      <c r="B1084">
        <f>정규화데이터!B1084</f>
        <v>2.02602050653523E+18</v>
      </c>
      <c r="C1084" t="str">
        <f>정규화데이터!C1084</f>
        <v xml:space="preserve">워커힐 본갈비 3+1 최초❤️5만원대! 총1.2kg✨호텔특제 양념갈비 8인분 (✨1인분 7,375원꼴! / [300g,2인분] x 총 4팩  / ✨초이스등급 본갈비 / ❣️워커힐 </v>
      </c>
      <c r="D1084">
        <f>정규화데이터!D1084</f>
        <v>143790</v>
      </c>
      <c r="E1084" s="16" t="str">
        <f>정규화데이터!E1084</f>
        <v>SKU001</v>
      </c>
      <c r="F1084" s="3">
        <f>정규화데이터!F1084</f>
        <v>1</v>
      </c>
      <c r="G1084" s="3">
        <f>정규화데이터!G1084</f>
        <v>41363.636363636302</v>
      </c>
      <c r="H1084" s="3">
        <f>정규화데이터!H1084</f>
        <v>45499.999999999935</v>
      </c>
      <c r="I1084" s="3">
        <f>정규화데이터!I1084</f>
        <v>45500</v>
      </c>
      <c r="J1084" s="3">
        <f>정규화데이터!J1084</f>
        <v>41363.636363636302</v>
      </c>
      <c r="K1084" s="25">
        <f>정규화데이터!K1084</f>
        <v>30748</v>
      </c>
      <c r="L1084" s="25">
        <f>정규화데이터!L1084</f>
        <v>30748</v>
      </c>
      <c r="M1084" s="21">
        <f t="shared" si="32"/>
        <v>10615.636363636302</v>
      </c>
      <c r="N1084" s="52">
        <f t="shared" si="33"/>
        <v>0.25664175824175711</v>
      </c>
    </row>
    <row r="1085" spans="1:14" x14ac:dyDescent="0.3">
      <c r="A1085" t="str">
        <f>정규화데이터!A1085</f>
        <v>리씽크</v>
      </c>
      <c r="B1085">
        <f>정규화데이터!B1085</f>
        <v>2.0260205065255401E+18</v>
      </c>
      <c r="C1085" t="str">
        <f>정규화데이터!C1085</f>
        <v xml:space="preserve">워커힐 본갈비 3+1 최초❤️5만원대! 총1.2kg✨호텔특제 양념갈비 8인분 (✨1인분 7,375원꼴! / [300g,2인분] x 총 4팩  / ✨초이스등급 본갈비 / ❣️워커힐 </v>
      </c>
      <c r="D1085">
        <f>정규화데이터!D1085</f>
        <v>143790</v>
      </c>
      <c r="E1085" s="16" t="str">
        <f>정규화데이터!E1085</f>
        <v>SKU001</v>
      </c>
      <c r="F1085" s="3">
        <f>정규화데이터!F1085</f>
        <v>1</v>
      </c>
      <c r="G1085" s="3">
        <f>정규화데이터!G1085</f>
        <v>41363.636363636302</v>
      </c>
      <c r="H1085" s="3">
        <f>정규화데이터!H1085</f>
        <v>45499.999999999935</v>
      </c>
      <c r="I1085" s="3">
        <f>정규화데이터!I1085</f>
        <v>45500</v>
      </c>
      <c r="J1085" s="3">
        <f>정규화데이터!J1085</f>
        <v>41363.636363636302</v>
      </c>
      <c r="K1085" s="25">
        <f>정규화데이터!K1085</f>
        <v>30748</v>
      </c>
      <c r="L1085" s="25">
        <f>정규화데이터!L1085</f>
        <v>30748</v>
      </c>
      <c r="M1085" s="21">
        <f t="shared" si="32"/>
        <v>10615.636363636302</v>
      </c>
      <c r="N1085" s="52">
        <f t="shared" si="33"/>
        <v>0.25664175824175711</v>
      </c>
    </row>
    <row r="1086" spans="1:14" x14ac:dyDescent="0.3">
      <c r="A1086" t="str">
        <f>정규화데이터!A1086</f>
        <v>리씽크</v>
      </c>
      <c r="B1086">
        <f>정규화데이터!B1086</f>
        <v>2.0260205065217101E+18</v>
      </c>
      <c r="C1086" t="str">
        <f>정규화데이터!C1086</f>
        <v xml:space="preserve">워커힐 본갈비 3+1 최초❤️5만원대! 총1.2kg✨호텔특제 양념갈비 8인분 (✨1인분 7,375원꼴! / [300g,2인분] x 총 4팩  / ✨초이스등급 본갈비 / ❣️워커힐 </v>
      </c>
      <c r="D1086">
        <f>정규화데이터!D1086</f>
        <v>143790</v>
      </c>
      <c r="E1086" s="16" t="str">
        <f>정규화데이터!E1086</f>
        <v>SKU001</v>
      </c>
      <c r="F1086" s="3">
        <f>정규화데이터!F1086</f>
        <v>1</v>
      </c>
      <c r="G1086" s="3">
        <f>정규화데이터!G1086</f>
        <v>41363.636363636302</v>
      </c>
      <c r="H1086" s="3">
        <f>정규화데이터!H1086</f>
        <v>45499.999999999935</v>
      </c>
      <c r="I1086" s="3">
        <f>정규화데이터!I1086</f>
        <v>45500</v>
      </c>
      <c r="J1086" s="3">
        <f>정규화데이터!J1086</f>
        <v>41363.636363636302</v>
      </c>
      <c r="K1086" s="25">
        <f>정규화데이터!K1086</f>
        <v>30748</v>
      </c>
      <c r="L1086" s="25">
        <f>정규화데이터!L1086</f>
        <v>30748</v>
      </c>
      <c r="M1086" s="21">
        <f t="shared" si="32"/>
        <v>10615.636363636302</v>
      </c>
      <c r="N1086" s="52">
        <f t="shared" si="33"/>
        <v>0.25664175824175711</v>
      </c>
    </row>
    <row r="1087" spans="1:14" x14ac:dyDescent="0.3">
      <c r="A1087" t="str">
        <f>정규화데이터!A1087</f>
        <v>리씽크</v>
      </c>
      <c r="B1087">
        <f>정규화데이터!B1087</f>
        <v>2.0260205065125801E+18</v>
      </c>
      <c r="C1087" t="str">
        <f>정규화데이터!C1087</f>
        <v xml:space="preserve">워커힐 본갈비 3+1 최초❤️5만원대! 총1.2kg✨호텔특제 양념갈비 8인분 (✨1인분 7,375원꼴! / [300g,2인분] x 총 4팩  / ✨초이스등급 본갈비 / ❣️워커힐 </v>
      </c>
      <c r="D1087">
        <f>정규화데이터!D1087</f>
        <v>143790</v>
      </c>
      <c r="E1087" s="16" t="str">
        <f>정규화데이터!E1087</f>
        <v>SKU001</v>
      </c>
      <c r="F1087" s="3">
        <f>정규화데이터!F1087</f>
        <v>1</v>
      </c>
      <c r="G1087" s="3">
        <f>정규화데이터!G1087</f>
        <v>41363.636363636302</v>
      </c>
      <c r="H1087" s="3">
        <f>정규화데이터!H1087</f>
        <v>45499.999999999935</v>
      </c>
      <c r="I1087" s="3">
        <f>정규화데이터!I1087</f>
        <v>45500</v>
      </c>
      <c r="J1087" s="3">
        <f>정규화데이터!J1087</f>
        <v>41363.636363636302</v>
      </c>
      <c r="K1087" s="25">
        <f>정규화데이터!K1087</f>
        <v>30748</v>
      </c>
      <c r="L1087" s="25">
        <f>정규화데이터!L1087</f>
        <v>30748</v>
      </c>
      <c r="M1087" s="21">
        <f t="shared" si="32"/>
        <v>10615.636363636302</v>
      </c>
      <c r="N1087" s="52">
        <f t="shared" si="33"/>
        <v>0.25664175824175711</v>
      </c>
    </row>
    <row r="1088" spans="1:14" x14ac:dyDescent="0.3">
      <c r="A1088" t="str">
        <f>정규화데이터!A1088</f>
        <v>리씽크</v>
      </c>
      <c r="B1088">
        <f>정규화데이터!B1088</f>
        <v>2.02602050651442E+18</v>
      </c>
      <c r="C1088" t="str">
        <f>정규화데이터!C1088</f>
        <v xml:space="preserve">워커힐 본갈비 3+1 최초❤️5만원대! 총1.2kg✨호텔특제 양념갈비 8인분 (✨1인분 7,375원꼴! / [300g,2인분] x 총 4팩  / ✨초이스등급 본갈비 / ❣️워커힐 </v>
      </c>
      <c r="D1088">
        <f>정규화데이터!D1088</f>
        <v>143790</v>
      </c>
      <c r="E1088" s="16" t="str">
        <f>정규화데이터!E1088</f>
        <v>SKU001</v>
      </c>
      <c r="F1088" s="3">
        <f>정규화데이터!F1088</f>
        <v>1</v>
      </c>
      <c r="G1088" s="3">
        <f>정규화데이터!G1088</f>
        <v>41363.636363636302</v>
      </c>
      <c r="H1088" s="3">
        <f>정규화데이터!H1088</f>
        <v>45499.999999999935</v>
      </c>
      <c r="I1088" s="3">
        <f>정규화데이터!I1088</f>
        <v>45500</v>
      </c>
      <c r="J1088" s="3">
        <f>정규화데이터!J1088</f>
        <v>41363.636363636302</v>
      </c>
      <c r="K1088" s="25">
        <f>정규화데이터!K1088</f>
        <v>30748</v>
      </c>
      <c r="L1088" s="25">
        <f>정규화데이터!L1088</f>
        <v>30748</v>
      </c>
      <c r="M1088" s="21">
        <f t="shared" si="32"/>
        <v>10615.636363636302</v>
      </c>
      <c r="N1088" s="52">
        <f t="shared" si="33"/>
        <v>0.25664175824175711</v>
      </c>
    </row>
    <row r="1089" spans="1:14" x14ac:dyDescent="0.3">
      <c r="A1089" t="str">
        <f>정규화데이터!A1089</f>
        <v>리씽크</v>
      </c>
      <c r="B1089">
        <f>정규화데이터!B1089</f>
        <v>2.02602050651344E+18</v>
      </c>
      <c r="C1089" t="str">
        <f>정규화데이터!C1089</f>
        <v xml:space="preserve">워커힐 본갈비 3+1 최초❤️5만원대! 총1.2kg✨호텔특제 양념갈비 8인분 (✨1인분 7,375원꼴! / [300g,2인분] x 총 4팩  / ✨초이스등급 본갈비 / ❣️워커힐 </v>
      </c>
      <c r="D1089">
        <f>정규화데이터!D1089</f>
        <v>143790</v>
      </c>
      <c r="E1089" s="16" t="str">
        <f>정규화데이터!E1089</f>
        <v>SKU001</v>
      </c>
      <c r="F1089" s="3">
        <f>정규화데이터!F1089</f>
        <v>2</v>
      </c>
      <c r="G1089" s="3">
        <f>정규화데이터!G1089</f>
        <v>41363.636363636353</v>
      </c>
      <c r="H1089" s="3">
        <f>정규화데이터!H1089</f>
        <v>91000</v>
      </c>
      <c r="I1089" s="3">
        <f>정규화데이터!I1089</f>
        <v>91000</v>
      </c>
      <c r="J1089" s="3">
        <f>정규화데이터!J1089</f>
        <v>82727.272727272706</v>
      </c>
      <c r="K1089" s="25">
        <f>정규화데이터!K1089</f>
        <v>30748</v>
      </c>
      <c r="L1089" s="25">
        <f>정규화데이터!L1089</f>
        <v>61496</v>
      </c>
      <c r="M1089" s="21">
        <f t="shared" si="32"/>
        <v>21231.272727272706</v>
      </c>
      <c r="N1089" s="52">
        <f t="shared" si="33"/>
        <v>0.25664175824175806</v>
      </c>
    </row>
    <row r="1090" spans="1:14" x14ac:dyDescent="0.3">
      <c r="A1090" t="str">
        <f>정규화데이터!A1090</f>
        <v>리씽크</v>
      </c>
      <c r="B1090">
        <f>정규화데이터!B1090</f>
        <v>2.0260205064835599E+18</v>
      </c>
      <c r="C1090" t="str">
        <f>정규화데이터!C1090</f>
        <v xml:space="preserve">워커힐 본갈비 3+1 최초❤️5만원대! 총1.2kg✨호텔특제 양념갈비 8인분 (✨1인분 7,375원꼴! / [300g,2인분] x 총 4팩  / ✨초이스등급 본갈비 / ❣️워커힐 </v>
      </c>
      <c r="D1090">
        <f>정규화데이터!D1090</f>
        <v>143790</v>
      </c>
      <c r="E1090" s="16" t="str">
        <f>정규화데이터!E1090</f>
        <v>SKU001</v>
      </c>
      <c r="F1090" s="3">
        <f>정규화데이터!F1090</f>
        <v>1</v>
      </c>
      <c r="G1090" s="3">
        <f>정규화데이터!G1090</f>
        <v>41363.636363636302</v>
      </c>
      <c r="H1090" s="3">
        <f>정규화데이터!H1090</f>
        <v>45499.999999999935</v>
      </c>
      <c r="I1090" s="3">
        <f>정규화데이터!I1090</f>
        <v>45500</v>
      </c>
      <c r="J1090" s="3">
        <f>정규화데이터!J1090</f>
        <v>41363.636363636302</v>
      </c>
      <c r="K1090" s="25">
        <f>정규화데이터!K1090</f>
        <v>30748</v>
      </c>
      <c r="L1090" s="25">
        <f>정규화데이터!L1090</f>
        <v>30748</v>
      </c>
      <c r="M1090" s="21">
        <f t="shared" si="32"/>
        <v>10615.636363636302</v>
      </c>
      <c r="N1090" s="52">
        <f t="shared" si="33"/>
        <v>0.25664175824175711</v>
      </c>
    </row>
    <row r="1091" spans="1:14" x14ac:dyDescent="0.3">
      <c r="A1091" t="str">
        <f>정규화데이터!A1091</f>
        <v>리씽크</v>
      </c>
      <c r="B1091">
        <f>정규화데이터!B1091</f>
        <v>2.02602050650403E+18</v>
      </c>
      <c r="C1091" t="str">
        <f>정규화데이터!C1091</f>
        <v xml:space="preserve">워커힐 본갈비 3+1 최초❤️5만원대! 총1.2kg✨호텔특제 양념갈비 8인분 (✨1인분 7,375원꼴! / [300g,2인분] x 총 4팩  / ✨초이스등급 본갈비 / ❣️워커힐 </v>
      </c>
      <c r="D1091">
        <f>정규화데이터!D1091</f>
        <v>143790</v>
      </c>
      <c r="E1091" s="16" t="str">
        <f>정규화데이터!E1091</f>
        <v>SKU001</v>
      </c>
      <c r="F1091" s="3">
        <f>정규화데이터!F1091</f>
        <v>1</v>
      </c>
      <c r="G1091" s="3">
        <f>정규화데이터!G1091</f>
        <v>41363.636363636302</v>
      </c>
      <c r="H1091" s="3">
        <f>정규화데이터!H1091</f>
        <v>45499.999999999935</v>
      </c>
      <c r="I1091" s="3">
        <f>정규화데이터!I1091</f>
        <v>45500</v>
      </c>
      <c r="J1091" s="3">
        <f>정규화데이터!J1091</f>
        <v>41363.636363636302</v>
      </c>
      <c r="K1091" s="25">
        <f>정규화데이터!K1091</f>
        <v>30748</v>
      </c>
      <c r="L1091" s="25">
        <f>정규화데이터!L1091</f>
        <v>30748</v>
      </c>
      <c r="M1091" s="21">
        <f t="shared" ref="M1091:M1154" si="34">J1091-L1091</f>
        <v>10615.636363636302</v>
      </c>
      <c r="N1091" s="52">
        <f t="shared" ref="N1091:N1154" si="35">IF(J1091=0,0,M1091/J1091)</f>
        <v>0.25664175824175711</v>
      </c>
    </row>
    <row r="1092" spans="1:14" x14ac:dyDescent="0.3">
      <c r="A1092" t="str">
        <f>정규화데이터!A1092</f>
        <v>리씽크</v>
      </c>
      <c r="B1092">
        <f>정규화데이터!B1092</f>
        <v>2.0260205065010701E+18</v>
      </c>
      <c r="C1092" t="str">
        <f>정규화데이터!C1092</f>
        <v xml:space="preserve">워커힐 본갈비 3+1 최초❤️5만원대! 총1.2kg✨호텔특제 양념갈비 8인분 (✨1인분 7,375원꼴! / [300g,2인분] x 총 4팩  / ✨초이스등급 본갈비 / ❣️워커힐 </v>
      </c>
      <c r="D1092">
        <f>정규화데이터!D1092</f>
        <v>143790</v>
      </c>
      <c r="E1092" s="16" t="str">
        <f>정규화데이터!E1092</f>
        <v>SKU001</v>
      </c>
      <c r="F1092" s="3">
        <f>정규화데이터!F1092</f>
        <v>1</v>
      </c>
      <c r="G1092" s="3">
        <f>정규화데이터!G1092</f>
        <v>41363.636363636302</v>
      </c>
      <c r="H1092" s="3">
        <f>정규화데이터!H1092</f>
        <v>45499.999999999935</v>
      </c>
      <c r="I1092" s="3">
        <f>정규화데이터!I1092</f>
        <v>45500</v>
      </c>
      <c r="J1092" s="3">
        <f>정규화데이터!J1092</f>
        <v>41363.636363636302</v>
      </c>
      <c r="K1092" s="25">
        <f>정규화데이터!K1092</f>
        <v>30748</v>
      </c>
      <c r="L1092" s="25">
        <f>정규화데이터!L1092</f>
        <v>30748</v>
      </c>
      <c r="M1092" s="21">
        <f t="shared" si="34"/>
        <v>10615.636363636302</v>
      </c>
      <c r="N1092" s="52">
        <f t="shared" si="35"/>
        <v>0.25664175824175711</v>
      </c>
    </row>
    <row r="1093" spans="1:14" x14ac:dyDescent="0.3">
      <c r="A1093" t="str">
        <f>정규화데이터!A1093</f>
        <v>리씽크</v>
      </c>
      <c r="B1093">
        <f>정규화데이터!B1093</f>
        <v>2.02602050645469E+18</v>
      </c>
      <c r="C1093" t="str">
        <f>정규화데이터!C1093</f>
        <v xml:space="preserve">워커힐 본갈비 3+1 최초❤️5만원대! 총1.2kg✨호텔특제 양념갈비 8인분 (✨1인분 7,375원꼴! / [300g,2인분] x 총 4팩  / ✨초이스등급 본갈비 / ❣️워커힐 </v>
      </c>
      <c r="D1093">
        <f>정규화데이터!D1093</f>
        <v>143790</v>
      </c>
      <c r="E1093" s="16" t="str">
        <f>정규화데이터!E1093</f>
        <v>SKU001</v>
      </c>
      <c r="F1093" s="3">
        <f>정규화데이터!F1093</f>
        <v>1</v>
      </c>
      <c r="G1093" s="3">
        <f>정규화데이터!G1093</f>
        <v>41363.636363636302</v>
      </c>
      <c r="H1093" s="3">
        <f>정규화데이터!H1093</f>
        <v>45499.999999999935</v>
      </c>
      <c r="I1093" s="3">
        <f>정규화데이터!I1093</f>
        <v>45500</v>
      </c>
      <c r="J1093" s="3">
        <f>정규화데이터!J1093</f>
        <v>41363.636363636302</v>
      </c>
      <c r="K1093" s="25">
        <f>정규화데이터!K1093</f>
        <v>30748</v>
      </c>
      <c r="L1093" s="25">
        <f>정규화데이터!L1093</f>
        <v>30748</v>
      </c>
      <c r="M1093" s="21">
        <f t="shared" si="34"/>
        <v>10615.636363636302</v>
      </c>
      <c r="N1093" s="52">
        <f t="shared" si="35"/>
        <v>0.25664175824175711</v>
      </c>
    </row>
    <row r="1094" spans="1:14" x14ac:dyDescent="0.3">
      <c r="A1094" t="str">
        <f>정규화데이터!A1094</f>
        <v>리씽크</v>
      </c>
      <c r="B1094">
        <f>정규화데이터!B1094</f>
        <v>2.02602050649357E+18</v>
      </c>
      <c r="C1094" t="str">
        <f>정규화데이터!C1094</f>
        <v xml:space="preserve">워커힐 본갈비 3+1 최초❤️5만원대! 총1.2kg✨호텔특제 양념갈비 8인분 (✨1인분 7,375원꼴! / [300g,2인분] x 총 4팩  / ✨초이스등급 본갈비 / ❣️워커힐 </v>
      </c>
      <c r="D1094">
        <f>정규화데이터!D1094</f>
        <v>143790</v>
      </c>
      <c r="E1094" s="16" t="str">
        <f>정규화데이터!E1094</f>
        <v>SKU001</v>
      </c>
      <c r="F1094" s="3">
        <f>정규화데이터!F1094</f>
        <v>1</v>
      </c>
      <c r="G1094" s="3">
        <f>정규화데이터!G1094</f>
        <v>41363.636363636302</v>
      </c>
      <c r="H1094" s="3">
        <f>정규화데이터!H1094</f>
        <v>45499.999999999935</v>
      </c>
      <c r="I1094" s="3">
        <f>정규화데이터!I1094</f>
        <v>45500</v>
      </c>
      <c r="J1094" s="3">
        <f>정규화데이터!J1094</f>
        <v>41363.636363636302</v>
      </c>
      <c r="K1094" s="25">
        <f>정규화데이터!K1094</f>
        <v>30748</v>
      </c>
      <c r="L1094" s="25">
        <f>정규화데이터!L1094</f>
        <v>30748</v>
      </c>
      <c r="M1094" s="21">
        <f t="shared" si="34"/>
        <v>10615.636363636302</v>
      </c>
      <c r="N1094" s="52">
        <f t="shared" si="35"/>
        <v>0.25664175824175711</v>
      </c>
    </row>
    <row r="1095" spans="1:14" x14ac:dyDescent="0.3">
      <c r="A1095" t="str">
        <f>정규화데이터!A1095</f>
        <v>리씽크</v>
      </c>
      <c r="B1095">
        <f>정규화데이터!B1095</f>
        <v>2.02602050646371E+18</v>
      </c>
      <c r="C1095" t="str">
        <f>정규화데이터!C1095</f>
        <v xml:space="preserve">워커힐 본갈비 3+1 최초❤️5만원대! 총1.2kg✨호텔특제 양념갈비 8인분 (✨1인분 7,375원꼴! / [300g,2인분] x 총 4팩  / ✨초이스등급 본갈비 / ❣️워커힐 </v>
      </c>
      <c r="D1095">
        <f>정규화데이터!D1095</f>
        <v>143790</v>
      </c>
      <c r="E1095" s="16" t="str">
        <f>정규화데이터!E1095</f>
        <v>SKU001</v>
      </c>
      <c r="F1095" s="3">
        <f>정규화데이터!F1095</f>
        <v>1</v>
      </c>
      <c r="G1095" s="3">
        <f>정규화데이터!G1095</f>
        <v>41363.636363636302</v>
      </c>
      <c r="H1095" s="3">
        <f>정규화데이터!H1095</f>
        <v>45499.999999999935</v>
      </c>
      <c r="I1095" s="3">
        <f>정규화데이터!I1095</f>
        <v>45500</v>
      </c>
      <c r="J1095" s="3">
        <f>정규화데이터!J1095</f>
        <v>41363.636363636302</v>
      </c>
      <c r="K1095" s="25">
        <f>정규화데이터!K1095</f>
        <v>30748</v>
      </c>
      <c r="L1095" s="25">
        <f>정규화데이터!L1095</f>
        <v>30748</v>
      </c>
      <c r="M1095" s="21">
        <f t="shared" si="34"/>
        <v>10615.636363636302</v>
      </c>
      <c r="N1095" s="52">
        <f t="shared" si="35"/>
        <v>0.25664175824175711</v>
      </c>
    </row>
    <row r="1096" spans="1:14" x14ac:dyDescent="0.3">
      <c r="A1096" t="str">
        <f>정규화데이터!A1096</f>
        <v>리씽크</v>
      </c>
      <c r="B1096">
        <f>정규화데이터!B1096</f>
        <v>2.02602050648208E+18</v>
      </c>
      <c r="C1096" t="str">
        <f>정규화데이터!C1096</f>
        <v xml:space="preserve">워커힐 본갈비 3+1 최초❤️5만원대! 총1.2kg✨호텔특제 양념갈비 8인분 (✨1인분 7,375원꼴! / [300g,2인분] x 총 4팩  / ✨초이스등급 본갈비 / ❣️워커힐 </v>
      </c>
      <c r="D1096">
        <f>정규화데이터!D1096</f>
        <v>143790</v>
      </c>
      <c r="E1096" s="16" t="str">
        <f>정규화데이터!E1096</f>
        <v>SKU001</v>
      </c>
      <c r="F1096" s="3">
        <f>정규화데이터!F1096</f>
        <v>1</v>
      </c>
      <c r="G1096" s="3">
        <f>정규화데이터!G1096</f>
        <v>41363.636363636302</v>
      </c>
      <c r="H1096" s="3">
        <f>정규화데이터!H1096</f>
        <v>45499.999999999935</v>
      </c>
      <c r="I1096" s="3">
        <f>정규화데이터!I1096</f>
        <v>45500</v>
      </c>
      <c r="J1096" s="3">
        <f>정규화데이터!J1096</f>
        <v>41363.636363636302</v>
      </c>
      <c r="K1096" s="25">
        <f>정규화데이터!K1096</f>
        <v>30748</v>
      </c>
      <c r="L1096" s="25">
        <f>정규화데이터!L1096</f>
        <v>30748</v>
      </c>
      <c r="M1096" s="21">
        <f t="shared" si="34"/>
        <v>10615.636363636302</v>
      </c>
      <c r="N1096" s="52">
        <f t="shared" si="35"/>
        <v>0.25664175824175711</v>
      </c>
    </row>
    <row r="1097" spans="1:14" x14ac:dyDescent="0.3">
      <c r="A1097" t="str">
        <f>정규화데이터!A1097</f>
        <v>리씽크</v>
      </c>
      <c r="B1097">
        <f>정규화데이터!B1097</f>
        <v>2.0260205064959501E+18</v>
      </c>
      <c r="C1097" t="str">
        <f>정규화데이터!C1097</f>
        <v xml:space="preserve">워커힐 본갈비 3+1 최초❤️5만원대! 총1.2kg✨호텔특제 양념갈비 8인분 (✨1인분 7,375원꼴! / [300g,2인분] x 총 4팩  / ✨초이스등급 본갈비 / ❣️워커힐 </v>
      </c>
      <c r="D1097">
        <f>정규화데이터!D1097</f>
        <v>143790</v>
      </c>
      <c r="E1097" s="16" t="str">
        <f>정규화데이터!E1097</f>
        <v>SKU001</v>
      </c>
      <c r="F1097" s="3">
        <f>정규화데이터!F1097</f>
        <v>1</v>
      </c>
      <c r="G1097" s="3">
        <f>정규화데이터!G1097</f>
        <v>41363.636363636302</v>
      </c>
      <c r="H1097" s="3">
        <f>정규화데이터!H1097</f>
        <v>45499.999999999935</v>
      </c>
      <c r="I1097" s="3">
        <f>정규화데이터!I1097</f>
        <v>45500</v>
      </c>
      <c r="J1097" s="3">
        <f>정규화데이터!J1097</f>
        <v>41363.636363636302</v>
      </c>
      <c r="K1097" s="25">
        <f>정규화데이터!K1097</f>
        <v>30748</v>
      </c>
      <c r="L1097" s="25">
        <f>정규화데이터!L1097</f>
        <v>30748</v>
      </c>
      <c r="M1097" s="21">
        <f t="shared" si="34"/>
        <v>10615.636363636302</v>
      </c>
      <c r="N1097" s="52">
        <f t="shared" si="35"/>
        <v>0.25664175824175711</v>
      </c>
    </row>
    <row r="1098" spans="1:14" x14ac:dyDescent="0.3">
      <c r="A1098" t="str">
        <f>정규화데이터!A1098</f>
        <v>리씽크</v>
      </c>
      <c r="B1098">
        <f>정규화데이터!B1098</f>
        <v>2.02602050649408E+18</v>
      </c>
      <c r="C1098" t="str">
        <f>정규화데이터!C1098</f>
        <v xml:space="preserve">워커힐 본갈비 3+1 최초❤️5만원대! 총1.2kg✨호텔특제 양념갈비 8인분 (✨1인분 7,375원꼴! / [300g,2인분] x 총 4팩  / ✨초이스등급 본갈비 / ❣️워커힐 </v>
      </c>
      <c r="D1098">
        <f>정규화데이터!D1098</f>
        <v>143790</v>
      </c>
      <c r="E1098" s="16" t="str">
        <f>정규화데이터!E1098</f>
        <v>SKU001</v>
      </c>
      <c r="F1098" s="3">
        <f>정규화데이터!F1098</f>
        <v>1</v>
      </c>
      <c r="G1098" s="3">
        <f>정규화데이터!G1098</f>
        <v>41363.636363636302</v>
      </c>
      <c r="H1098" s="3">
        <f>정규화데이터!H1098</f>
        <v>45499.999999999935</v>
      </c>
      <c r="I1098" s="3">
        <f>정규화데이터!I1098</f>
        <v>45500</v>
      </c>
      <c r="J1098" s="3">
        <f>정규화데이터!J1098</f>
        <v>41363.636363636302</v>
      </c>
      <c r="K1098" s="25">
        <f>정규화데이터!K1098</f>
        <v>30748</v>
      </c>
      <c r="L1098" s="25">
        <f>정규화데이터!L1098</f>
        <v>30748</v>
      </c>
      <c r="M1098" s="21">
        <f t="shared" si="34"/>
        <v>10615.636363636302</v>
      </c>
      <c r="N1098" s="52">
        <f t="shared" si="35"/>
        <v>0.25664175824175711</v>
      </c>
    </row>
    <row r="1099" spans="1:14" x14ac:dyDescent="0.3">
      <c r="A1099" t="str">
        <f>정규화데이터!A1099</f>
        <v>리씽크</v>
      </c>
      <c r="B1099">
        <f>정규화데이터!B1099</f>
        <v>2.02602050649362E+18</v>
      </c>
      <c r="C1099" t="str">
        <f>정규화데이터!C1099</f>
        <v xml:space="preserve">워커힐 본갈비 3+1 최초❤️5만원대! 총1.2kg✨호텔특제 양념갈비 8인분 (✨1인분 7,375원꼴! / [300g,2인분] x 총 4팩  / ✨초이스등급 본갈비 / ❣️워커힐 </v>
      </c>
      <c r="D1099">
        <f>정규화데이터!D1099</f>
        <v>143790</v>
      </c>
      <c r="E1099" s="16" t="str">
        <f>정규화데이터!E1099</f>
        <v>SKU001</v>
      </c>
      <c r="F1099" s="3">
        <f>정규화데이터!F1099</f>
        <v>1</v>
      </c>
      <c r="G1099" s="3">
        <f>정규화데이터!G1099</f>
        <v>41363.636363636302</v>
      </c>
      <c r="H1099" s="3">
        <f>정규화데이터!H1099</f>
        <v>45499.999999999935</v>
      </c>
      <c r="I1099" s="3">
        <f>정규화데이터!I1099</f>
        <v>45500</v>
      </c>
      <c r="J1099" s="3">
        <f>정규화데이터!J1099</f>
        <v>41363.636363636302</v>
      </c>
      <c r="K1099" s="25">
        <f>정규화데이터!K1099</f>
        <v>30748</v>
      </c>
      <c r="L1099" s="25">
        <f>정규화데이터!L1099</f>
        <v>30748</v>
      </c>
      <c r="M1099" s="21">
        <f t="shared" si="34"/>
        <v>10615.636363636302</v>
      </c>
      <c r="N1099" s="52">
        <f t="shared" si="35"/>
        <v>0.25664175824175711</v>
      </c>
    </row>
    <row r="1100" spans="1:14" x14ac:dyDescent="0.3">
      <c r="A1100" t="str">
        <f>정규화데이터!A1100</f>
        <v>리씽크</v>
      </c>
      <c r="B1100">
        <f>정규화데이터!B1100</f>
        <v>2.02602050648493E+18</v>
      </c>
      <c r="C1100" t="str">
        <f>정규화데이터!C1100</f>
        <v xml:space="preserve">워커힐 본갈비 3+1 최초❤️5만원대! 총1.2kg✨호텔특제 양념갈비 8인분 (✨1인분 7,375원꼴! / [300g,2인분] x 총 4팩  / ✨초이스등급 본갈비 / ❣️워커힐 </v>
      </c>
      <c r="D1100">
        <f>정규화데이터!D1100</f>
        <v>143790</v>
      </c>
      <c r="E1100" s="16" t="str">
        <f>정규화데이터!E1100</f>
        <v>SKU001</v>
      </c>
      <c r="F1100" s="3">
        <f>정규화데이터!F1100</f>
        <v>1</v>
      </c>
      <c r="G1100" s="3">
        <f>정규화데이터!G1100</f>
        <v>41363.636363636302</v>
      </c>
      <c r="H1100" s="3">
        <f>정규화데이터!H1100</f>
        <v>45499.999999999935</v>
      </c>
      <c r="I1100" s="3">
        <f>정규화데이터!I1100</f>
        <v>45500</v>
      </c>
      <c r="J1100" s="3">
        <f>정규화데이터!J1100</f>
        <v>41363.636363636302</v>
      </c>
      <c r="K1100" s="25">
        <f>정규화데이터!K1100</f>
        <v>30748</v>
      </c>
      <c r="L1100" s="25">
        <f>정규화데이터!L1100</f>
        <v>30748</v>
      </c>
      <c r="M1100" s="21">
        <f t="shared" si="34"/>
        <v>10615.636363636302</v>
      </c>
      <c r="N1100" s="52">
        <f t="shared" si="35"/>
        <v>0.25664175824175711</v>
      </c>
    </row>
    <row r="1101" spans="1:14" x14ac:dyDescent="0.3">
      <c r="A1101" t="str">
        <f>정규화데이터!A1101</f>
        <v>리씽크</v>
      </c>
      <c r="B1101">
        <f>정규화데이터!B1101</f>
        <v>2.02602050647538E+18</v>
      </c>
      <c r="C1101" t="str">
        <f>정규화데이터!C1101</f>
        <v xml:space="preserve">워커힐 본갈비 3+1 최초❤️5만원대! 총1.2kg✨호텔특제 양념갈비 8인분 (✨1인분 7,375원꼴! / [300g,2인분] x 총 4팩  / ✨초이스등급 본갈비 / ❣️워커힐 </v>
      </c>
      <c r="D1101">
        <f>정규화데이터!D1101</f>
        <v>143790</v>
      </c>
      <c r="E1101" s="16" t="str">
        <f>정규화데이터!E1101</f>
        <v>SKU001</v>
      </c>
      <c r="F1101" s="3">
        <f>정규화데이터!F1101</f>
        <v>1</v>
      </c>
      <c r="G1101" s="3">
        <f>정규화데이터!G1101</f>
        <v>41363.636363636302</v>
      </c>
      <c r="H1101" s="3">
        <f>정규화데이터!H1101</f>
        <v>45499.999999999935</v>
      </c>
      <c r="I1101" s="3">
        <f>정규화데이터!I1101</f>
        <v>45500</v>
      </c>
      <c r="J1101" s="3">
        <f>정규화데이터!J1101</f>
        <v>41363.636363636302</v>
      </c>
      <c r="K1101" s="25">
        <f>정규화데이터!K1101</f>
        <v>30748</v>
      </c>
      <c r="L1101" s="25">
        <f>정규화데이터!L1101</f>
        <v>30748</v>
      </c>
      <c r="M1101" s="21">
        <f t="shared" si="34"/>
        <v>10615.636363636302</v>
      </c>
      <c r="N1101" s="52">
        <f t="shared" si="35"/>
        <v>0.25664175824175711</v>
      </c>
    </row>
    <row r="1102" spans="1:14" x14ac:dyDescent="0.3">
      <c r="A1102" t="str">
        <f>정규화데이터!A1102</f>
        <v>리씽크</v>
      </c>
      <c r="B1102">
        <f>정규화데이터!B1102</f>
        <v>2.0260205064813199E+18</v>
      </c>
      <c r="C1102" t="str">
        <f>정규화데이터!C1102</f>
        <v xml:space="preserve">워커힐 본갈비 3+1 최초❤️5만원대! 총1.2kg✨호텔특제 양념갈비 8인분 (✨1인분 7,375원꼴! / [300g,2인분] x 총 4팩  / ✨초이스등급 본갈비 / ❣️워커힐 </v>
      </c>
      <c r="D1102">
        <f>정규화데이터!D1102</f>
        <v>143790</v>
      </c>
      <c r="E1102" s="16" t="str">
        <f>정규화데이터!E1102</f>
        <v>SKU001</v>
      </c>
      <c r="F1102" s="3">
        <f>정규화데이터!F1102</f>
        <v>1</v>
      </c>
      <c r="G1102" s="3">
        <f>정규화데이터!G1102</f>
        <v>41363.636363636302</v>
      </c>
      <c r="H1102" s="3">
        <f>정규화데이터!H1102</f>
        <v>45499.999999999935</v>
      </c>
      <c r="I1102" s="3">
        <f>정규화데이터!I1102</f>
        <v>45500</v>
      </c>
      <c r="J1102" s="3">
        <f>정규화데이터!J1102</f>
        <v>41363.636363636302</v>
      </c>
      <c r="K1102" s="25">
        <f>정규화데이터!K1102</f>
        <v>30748</v>
      </c>
      <c r="L1102" s="25">
        <f>정규화데이터!L1102</f>
        <v>30748</v>
      </c>
      <c r="M1102" s="21">
        <f t="shared" si="34"/>
        <v>10615.636363636302</v>
      </c>
      <c r="N1102" s="52">
        <f t="shared" si="35"/>
        <v>0.25664175824175711</v>
      </c>
    </row>
    <row r="1103" spans="1:14" x14ac:dyDescent="0.3">
      <c r="A1103" t="str">
        <f>정규화데이터!A1103</f>
        <v>리씽크</v>
      </c>
      <c r="B1103">
        <f>정규화데이터!B1103</f>
        <v>2.0260205064650601E+18</v>
      </c>
      <c r="C1103" t="str">
        <f>정규화데이터!C1103</f>
        <v xml:space="preserve">워커힐 본갈비 3+1 최초❤️5만원대! 총1.2kg✨호텔특제 양념갈비 8인분 (✨1인분 7,375원꼴! / [300g,2인분] x 총 4팩  / ✨초이스등급 본갈비 / ❣️워커힐 </v>
      </c>
      <c r="D1103">
        <f>정규화데이터!D1103</f>
        <v>143790</v>
      </c>
      <c r="E1103" s="16" t="str">
        <f>정규화데이터!E1103</f>
        <v>SKU001</v>
      </c>
      <c r="F1103" s="3">
        <f>정규화데이터!F1103</f>
        <v>1</v>
      </c>
      <c r="G1103" s="3">
        <f>정규화데이터!G1103</f>
        <v>41363.636363636302</v>
      </c>
      <c r="H1103" s="3">
        <f>정규화데이터!H1103</f>
        <v>45499.999999999935</v>
      </c>
      <c r="I1103" s="3">
        <f>정규화데이터!I1103</f>
        <v>45500</v>
      </c>
      <c r="J1103" s="3">
        <f>정규화데이터!J1103</f>
        <v>41363.636363636302</v>
      </c>
      <c r="K1103" s="25">
        <f>정규화데이터!K1103</f>
        <v>30748</v>
      </c>
      <c r="L1103" s="25">
        <f>정규화데이터!L1103</f>
        <v>30748</v>
      </c>
      <c r="M1103" s="21">
        <f t="shared" si="34"/>
        <v>10615.636363636302</v>
      </c>
      <c r="N1103" s="52">
        <f t="shared" si="35"/>
        <v>0.25664175824175711</v>
      </c>
    </row>
    <row r="1104" spans="1:14" x14ac:dyDescent="0.3">
      <c r="A1104" t="str">
        <f>정규화데이터!A1104</f>
        <v>리씽크</v>
      </c>
      <c r="B1104">
        <f>정규화데이터!B1104</f>
        <v>2.0260205064629499E+18</v>
      </c>
      <c r="C1104" t="str">
        <f>정규화데이터!C1104</f>
        <v xml:space="preserve">워커힐 본갈비 3+1 최초❤️5만원대! 총1.2kg✨호텔특제 양념갈비 8인분 (✨1인분 7,375원꼴! / [300g,2인분] x 총 4팩  / ✨초이스등급 본갈비 / ❣️워커힐 </v>
      </c>
      <c r="D1104">
        <f>정규화데이터!D1104</f>
        <v>143790</v>
      </c>
      <c r="E1104" s="16" t="str">
        <f>정규화데이터!E1104</f>
        <v>SKU001</v>
      </c>
      <c r="F1104" s="3">
        <f>정규화데이터!F1104</f>
        <v>1</v>
      </c>
      <c r="G1104" s="3">
        <f>정규화데이터!G1104</f>
        <v>41363.636363636302</v>
      </c>
      <c r="H1104" s="3">
        <f>정규화데이터!H1104</f>
        <v>45499.999999999935</v>
      </c>
      <c r="I1104" s="3">
        <f>정규화데이터!I1104</f>
        <v>45500</v>
      </c>
      <c r="J1104" s="3">
        <f>정규화데이터!J1104</f>
        <v>41363.636363636302</v>
      </c>
      <c r="K1104" s="25">
        <f>정규화데이터!K1104</f>
        <v>30748</v>
      </c>
      <c r="L1104" s="25">
        <f>정규화데이터!L1104</f>
        <v>30748</v>
      </c>
      <c r="M1104" s="21">
        <f t="shared" si="34"/>
        <v>10615.636363636302</v>
      </c>
      <c r="N1104" s="52">
        <f t="shared" si="35"/>
        <v>0.25664175824175711</v>
      </c>
    </row>
    <row r="1105" spans="1:14" x14ac:dyDescent="0.3">
      <c r="A1105" t="str">
        <f>정규화데이터!A1105</f>
        <v>리씽크</v>
      </c>
      <c r="B1105">
        <f>정규화데이터!B1105</f>
        <v>2.0260205064739E+18</v>
      </c>
      <c r="C1105" t="str">
        <f>정규화데이터!C1105</f>
        <v xml:space="preserve">워커힐 본갈비 3+1 최초❤️5만원대! 총1.2kg✨호텔특제 양념갈비 8인분 (✨1인분 7,375원꼴! / [300g,2인분] x 총 4팩  / ✨초이스등급 본갈비 / ❣️워커힐 </v>
      </c>
      <c r="D1105">
        <f>정규화데이터!D1105</f>
        <v>143790</v>
      </c>
      <c r="E1105" s="16" t="str">
        <f>정규화데이터!E1105</f>
        <v>SKU001</v>
      </c>
      <c r="F1105" s="3">
        <f>정규화데이터!F1105</f>
        <v>1</v>
      </c>
      <c r="G1105" s="3">
        <f>정규화데이터!G1105</f>
        <v>41363.636363636302</v>
      </c>
      <c r="H1105" s="3">
        <f>정규화데이터!H1105</f>
        <v>45499.999999999935</v>
      </c>
      <c r="I1105" s="3">
        <f>정규화데이터!I1105</f>
        <v>45500</v>
      </c>
      <c r="J1105" s="3">
        <f>정규화데이터!J1105</f>
        <v>41363.636363636302</v>
      </c>
      <c r="K1105" s="25">
        <f>정규화데이터!K1105</f>
        <v>30748</v>
      </c>
      <c r="L1105" s="25">
        <f>정규화데이터!L1105</f>
        <v>30748</v>
      </c>
      <c r="M1105" s="21">
        <f t="shared" si="34"/>
        <v>10615.636363636302</v>
      </c>
      <c r="N1105" s="52">
        <f t="shared" si="35"/>
        <v>0.25664175824175711</v>
      </c>
    </row>
    <row r="1106" spans="1:14" x14ac:dyDescent="0.3">
      <c r="A1106" t="str">
        <f>정규화데이터!A1106</f>
        <v>리씽크</v>
      </c>
      <c r="B1106">
        <f>정규화데이터!B1106</f>
        <v>2.0260205064643699E+18</v>
      </c>
      <c r="C1106" t="str">
        <f>정규화데이터!C1106</f>
        <v xml:space="preserve">워커힐 본갈비 3+1 최초❤️5만원대! 총1.2kg✨호텔특제 양념갈비 8인분 (✨1인분 7,375원꼴! / [300g,2인분] x 총 4팩  / ✨초이스등급 본갈비 / ❣️워커힐 </v>
      </c>
      <c r="D1106">
        <f>정규화데이터!D1106</f>
        <v>143790</v>
      </c>
      <c r="E1106" s="16" t="str">
        <f>정규화데이터!E1106</f>
        <v>SKU001</v>
      </c>
      <c r="F1106" s="3">
        <f>정규화데이터!F1106</f>
        <v>1</v>
      </c>
      <c r="G1106" s="3">
        <f>정규화데이터!G1106</f>
        <v>41363.636363636302</v>
      </c>
      <c r="H1106" s="3">
        <f>정규화데이터!H1106</f>
        <v>45499.999999999935</v>
      </c>
      <c r="I1106" s="3">
        <f>정규화데이터!I1106</f>
        <v>45500</v>
      </c>
      <c r="J1106" s="3">
        <f>정규화데이터!J1106</f>
        <v>41363.636363636302</v>
      </c>
      <c r="K1106" s="25">
        <f>정규화데이터!K1106</f>
        <v>30748</v>
      </c>
      <c r="L1106" s="25">
        <f>정규화데이터!L1106</f>
        <v>30748</v>
      </c>
      <c r="M1106" s="21">
        <f t="shared" si="34"/>
        <v>10615.636363636302</v>
      </c>
      <c r="N1106" s="52">
        <f t="shared" si="35"/>
        <v>0.25664175824175711</v>
      </c>
    </row>
    <row r="1107" spans="1:14" x14ac:dyDescent="0.3">
      <c r="A1107" t="str">
        <f>정규화데이터!A1107</f>
        <v>리씽크</v>
      </c>
      <c r="B1107">
        <f>정규화데이터!B1107</f>
        <v>2.0260205064620001E+18</v>
      </c>
      <c r="C1107" t="str">
        <f>정규화데이터!C1107</f>
        <v xml:space="preserve">워커힐 본갈비 3+1 최초❤️5만원대! 총1.2kg✨호텔특제 양념갈비 8인분 (✨1인분 7,375원꼴! / [300g,2인분] x 총 4팩  / ✨초이스등급 본갈비 / ❣️워커힐 </v>
      </c>
      <c r="D1107">
        <f>정규화데이터!D1107</f>
        <v>143790</v>
      </c>
      <c r="E1107" s="16" t="str">
        <f>정규화데이터!E1107</f>
        <v>SKU001</v>
      </c>
      <c r="F1107" s="3">
        <f>정규화데이터!F1107</f>
        <v>1</v>
      </c>
      <c r="G1107" s="3">
        <f>정규화데이터!G1107</f>
        <v>41363.636363636302</v>
      </c>
      <c r="H1107" s="3">
        <f>정규화데이터!H1107</f>
        <v>45499.999999999935</v>
      </c>
      <c r="I1107" s="3">
        <f>정규화데이터!I1107</f>
        <v>45500</v>
      </c>
      <c r="J1107" s="3">
        <f>정규화데이터!J1107</f>
        <v>41363.636363636302</v>
      </c>
      <c r="K1107" s="25">
        <f>정규화데이터!K1107</f>
        <v>30748</v>
      </c>
      <c r="L1107" s="25">
        <f>정규화데이터!L1107</f>
        <v>30748</v>
      </c>
      <c r="M1107" s="21">
        <f t="shared" si="34"/>
        <v>10615.636363636302</v>
      </c>
      <c r="N1107" s="52">
        <f t="shared" si="35"/>
        <v>0.25664175824175711</v>
      </c>
    </row>
    <row r="1108" spans="1:14" x14ac:dyDescent="0.3">
      <c r="A1108" t="str">
        <f>정규화데이터!A1108</f>
        <v>리씽크</v>
      </c>
      <c r="B1108">
        <f>정규화데이터!B1108</f>
        <v>2.0260205064609101E+18</v>
      </c>
      <c r="C1108" t="str">
        <f>정규화데이터!C1108</f>
        <v xml:space="preserve">워커힐 본갈비 3+1 최초❤️5만원대! 총1.2kg✨호텔특제 양념갈비 8인분 (✨1인분 7,375원꼴! / [300g,2인분] x 총 4팩  / ✨초이스등급 본갈비 / ❣️워커힐 </v>
      </c>
      <c r="D1108">
        <f>정규화데이터!D1108</f>
        <v>143790</v>
      </c>
      <c r="E1108" s="16" t="str">
        <f>정규화데이터!E1108</f>
        <v>SKU001</v>
      </c>
      <c r="F1108" s="3">
        <f>정규화데이터!F1108</f>
        <v>2</v>
      </c>
      <c r="G1108" s="3">
        <f>정규화데이터!G1108</f>
        <v>41363.636363636353</v>
      </c>
      <c r="H1108" s="3">
        <f>정규화데이터!H1108</f>
        <v>91000</v>
      </c>
      <c r="I1108" s="3">
        <f>정규화데이터!I1108</f>
        <v>91000</v>
      </c>
      <c r="J1108" s="3">
        <f>정규화데이터!J1108</f>
        <v>82727.272727272706</v>
      </c>
      <c r="K1108" s="25">
        <f>정규화데이터!K1108</f>
        <v>30748</v>
      </c>
      <c r="L1108" s="25">
        <f>정규화데이터!L1108</f>
        <v>61496</v>
      </c>
      <c r="M1108" s="21">
        <f t="shared" si="34"/>
        <v>21231.272727272706</v>
      </c>
      <c r="N1108" s="52">
        <f t="shared" si="35"/>
        <v>0.25664175824175806</v>
      </c>
    </row>
    <row r="1109" spans="1:14" x14ac:dyDescent="0.3">
      <c r="A1109" t="str">
        <f>정규화데이터!A1109</f>
        <v>리씽크</v>
      </c>
      <c r="B1109">
        <f>정규화데이터!B1109</f>
        <v>2.02602050645055E+18</v>
      </c>
      <c r="C1109" t="str">
        <f>정규화데이터!C1109</f>
        <v xml:space="preserve">워커힐 본갈비 3+1 최초❤️5만원대! 총1.2kg✨호텔특제 양념갈비 8인분 (✨1인분 7,375원꼴! / [300g,2인분] x 총 4팩  / ✨초이스등급 본갈비 / ❣️워커힐 </v>
      </c>
      <c r="D1109">
        <f>정규화데이터!D1109</f>
        <v>143790</v>
      </c>
      <c r="E1109" s="16" t="str">
        <f>정규화데이터!E1109</f>
        <v>SKU001</v>
      </c>
      <c r="F1109" s="3">
        <f>정규화데이터!F1109</f>
        <v>1</v>
      </c>
      <c r="G1109" s="3">
        <f>정규화데이터!G1109</f>
        <v>41363.636363636302</v>
      </c>
      <c r="H1109" s="3">
        <f>정규화데이터!H1109</f>
        <v>45499.999999999935</v>
      </c>
      <c r="I1109" s="3">
        <f>정규화데이터!I1109</f>
        <v>45500</v>
      </c>
      <c r="J1109" s="3">
        <f>정규화데이터!J1109</f>
        <v>41363.636363636302</v>
      </c>
      <c r="K1109" s="25">
        <f>정규화데이터!K1109</f>
        <v>30748</v>
      </c>
      <c r="L1109" s="25">
        <f>정규화데이터!L1109</f>
        <v>30748</v>
      </c>
      <c r="M1109" s="21">
        <f t="shared" si="34"/>
        <v>10615.636363636302</v>
      </c>
      <c r="N1109" s="52">
        <f t="shared" si="35"/>
        <v>0.25664175824175711</v>
      </c>
    </row>
    <row r="1110" spans="1:14" x14ac:dyDescent="0.3">
      <c r="A1110" t="str">
        <f>정규화데이터!A1110</f>
        <v>리씽크</v>
      </c>
      <c r="B1110">
        <f>정규화데이터!B1110</f>
        <v>2.0260205064541299E+18</v>
      </c>
      <c r="C1110" t="str">
        <f>정규화데이터!C1110</f>
        <v xml:space="preserve">워커힐 본갈비 3+1 최초❤️5만원대! 총1.2kg✨호텔특제 양념갈비 8인분 (✨1인분 7,375원꼴! / [300g,2인분] x 총 4팩  / ✨초이스등급 본갈비 / ❣️워커힐 </v>
      </c>
      <c r="D1110">
        <f>정규화데이터!D1110</f>
        <v>143790</v>
      </c>
      <c r="E1110" s="16" t="str">
        <f>정규화데이터!E1110</f>
        <v>SKU001</v>
      </c>
      <c r="F1110" s="3">
        <f>정규화데이터!F1110</f>
        <v>1</v>
      </c>
      <c r="G1110" s="3">
        <f>정규화데이터!G1110</f>
        <v>41363.636363636302</v>
      </c>
      <c r="H1110" s="3">
        <f>정규화데이터!H1110</f>
        <v>45499.999999999935</v>
      </c>
      <c r="I1110" s="3">
        <f>정규화데이터!I1110</f>
        <v>45500</v>
      </c>
      <c r="J1110" s="3">
        <f>정규화데이터!J1110</f>
        <v>41363.636363636302</v>
      </c>
      <c r="K1110" s="25">
        <f>정규화데이터!K1110</f>
        <v>30748</v>
      </c>
      <c r="L1110" s="25">
        <f>정규화데이터!L1110</f>
        <v>30748</v>
      </c>
      <c r="M1110" s="21">
        <f t="shared" si="34"/>
        <v>10615.636363636302</v>
      </c>
      <c r="N1110" s="52">
        <f t="shared" si="35"/>
        <v>0.25664175824175711</v>
      </c>
    </row>
    <row r="1111" spans="1:14" x14ac:dyDescent="0.3">
      <c r="A1111" t="str">
        <f>정규화데이터!A1111</f>
        <v>리씽크</v>
      </c>
      <c r="B1111">
        <f>정규화데이터!B1111</f>
        <v>2.02602050640286E+18</v>
      </c>
      <c r="C1111" t="str">
        <f>정규화데이터!C1111</f>
        <v xml:space="preserve">워커힐 본갈비 3+1 최초❤️5만원대! 총1.2kg✨호텔특제 양념갈비 8인분 (✨1인분 7,375원꼴! / [300g,2인분] x 총 4팩  / ✨초이스등급 본갈비 / ❣️워커힐 </v>
      </c>
      <c r="D1111">
        <f>정규화데이터!D1111</f>
        <v>143790</v>
      </c>
      <c r="E1111" s="16" t="str">
        <f>정규화데이터!E1111</f>
        <v>SKU001</v>
      </c>
      <c r="F1111" s="3">
        <f>정규화데이터!F1111</f>
        <v>1</v>
      </c>
      <c r="G1111" s="3">
        <f>정규화데이터!G1111</f>
        <v>41363.636363636302</v>
      </c>
      <c r="H1111" s="3">
        <f>정규화데이터!H1111</f>
        <v>45499.999999999935</v>
      </c>
      <c r="I1111" s="3">
        <f>정규화데이터!I1111</f>
        <v>45500</v>
      </c>
      <c r="J1111" s="3">
        <f>정규화데이터!J1111</f>
        <v>41363.636363636302</v>
      </c>
      <c r="K1111" s="25">
        <f>정규화데이터!K1111</f>
        <v>30748</v>
      </c>
      <c r="L1111" s="25">
        <f>정규화데이터!L1111</f>
        <v>30748</v>
      </c>
      <c r="M1111" s="21">
        <f t="shared" si="34"/>
        <v>10615.636363636302</v>
      </c>
      <c r="N1111" s="52">
        <f t="shared" si="35"/>
        <v>0.25664175824175711</v>
      </c>
    </row>
    <row r="1112" spans="1:14" x14ac:dyDescent="0.3">
      <c r="A1112" t="str">
        <f>정규화데이터!A1112</f>
        <v>리씽크</v>
      </c>
      <c r="B1112">
        <f>정규화데이터!B1112</f>
        <v>2.02602050627166E+18</v>
      </c>
      <c r="C1112" t="str">
        <f>정규화데이터!C1112</f>
        <v xml:space="preserve">워커힐 본갈비 3+1 최초❤️5만원대! 총1.2kg✨호텔특제 양념갈비 8인분 (✨1인분 7,375원꼴! / [300g,2인분] x 총 4팩  / ✨초이스등급 본갈비 / ❣️워커힐 </v>
      </c>
      <c r="D1112">
        <f>정규화데이터!D1112</f>
        <v>143790</v>
      </c>
      <c r="E1112" s="16" t="str">
        <f>정규화데이터!E1112</f>
        <v>SKU001</v>
      </c>
      <c r="F1112" s="3">
        <f>정규화데이터!F1112</f>
        <v>1</v>
      </c>
      <c r="G1112" s="3">
        <f>정규화데이터!G1112</f>
        <v>41363.636363636302</v>
      </c>
      <c r="H1112" s="3">
        <f>정규화데이터!H1112</f>
        <v>45499.999999999935</v>
      </c>
      <c r="I1112" s="3">
        <f>정규화데이터!I1112</f>
        <v>45500</v>
      </c>
      <c r="J1112" s="3">
        <f>정규화데이터!J1112</f>
        <v>41363.636363636302</v>
      </c>
      <c r="K1112" s="25">
        <f>정규화데이터!K1112</f>
        <v>30748</v>
      </c>
      <c r="L1112" s="25">
        <f>정규화데이터!L1112</f>
        <v>30748</v>
      </c>
      <c r="M1112" s="21">
        <f t="shared" si="34"/>
        <v>10615.636363636302</v>
      </c>
      <c r="N1112" s="52">
        <f t="shared" si="35"/>
        <v>0.25664175824175711</v>
      </c>
    </row>
    <row r="1113" spans="1:14" x14ac:dyDescent="0.3">
      <c r="A1113" t="str">
        <f>정규화데이터!A1113</f>
        <v>리씽크</v>
      </c>
      <c r="B1113">
        <f>정규화데이터!B1113</f>
        <v>2.02602050614579E+18</v>
      </c>
      <c r="C1113" t="str">
        <f>정규화데이터!C1113</f>
        <v xml:space="preserve">워커힐 본갈비 3+1 최초❤️5만원대! 총1.2kg✨호텔특제 양념갈비 8인분 (✨1인분 7,375원꼴! / [300g,2인분] x 총 4팩  / ✨초이스등급 본갈비 / ❣️워커힐 </v>
      </c>
      <c r="D1113">
        <f>정규화데이터!D1113</f>
        <v>143790</v>
      </c>
      <c r="E1113" s="16" t="str">
        <f>정규화데이터!E1113</f>
        <v>SKU001</v>
      </c>
      <c r="F1113" s="3">
        <f>정규화데이터!F1113</f>
        <v>1</v>
      </c>
      <c r="G1113" s="3">
        <f>정규화데이터!G1113</f>
        <v>41363.636363636302</v>
      </c>
      <c r="H1113" s="3">
        <f>정규화데이터!H1113</f>
        <v>45499.999999999935</v>
      </c>
      <c r="I1113" s="3">
        <f>정규화데이터!I1113</f>
        <v>45500</v>
      </c>
      <c r="J1113" s="3">
        <f>정규화데이터!J1113</f>
        <v>41363.636363636302</v>
      </c>
      <c r="K1113" s="25">
        <f>정규화데이터!K1113</f>
        <v>30748</v>
      </c>
      <c r="L1113" s="25">
        <f>정규화데이터!L1113</f>
        <v>30748</v>
      </c>
      <c r="M1113" s="21">
        <f t="shared" si="34"/>
        <v>10615.636363636302</v>
      </c>
      <c r="N1113" s="52">
        <f t="shared" si="35"/>
        <v>0.25664175824175711</v>
      </c>
    </row>
    <row r="1114" spans="1:14" x14ac:dyDescent="0.3">
      <c r="A1114" t="str">
        <f>정규화데이터!A1114</f>
        <v>리씽크</v>
      </c>
      <c r="B1114">
        <f>정규화데이터!B1114</f>
        <v>2.0260205044730801E+18</v>
      </c>
      <c r="C1114" t="str">
        <f>정규화데이터!C1114</f>
        <v xml:space="preserve">워커힐 본갈비 3+1 최초❤️5만원대! 총1.2kg✨호텔특제 양념갈비 8인분 (✨1인분 7,375원꼴! / [300g,2인분] x 총 4팩  / ✨초이스등급 본갈비 / ❣️워커힐 </v>
      </c>
      <c r="D1114">
        <f>정규화데이터!D1114</f>
        <v>143790</v>
      </c>
      <c r="E1114" s="16" t="str">
        <f>정규화데이터!E1114</f>
        <v>SKU001</v>
      </c>
      <c r="F1114" s="3">
        <f>정규화데이터!F1114</f>
        <v>1</v>
      </c>
      <c r="G1114" s="3">
        <f>정규화데이터!G1114</f>
        <v>41363.636363636302</v>
      </c>
      <c r="H1114" s="3">
        <f>정규화데이터!H1114</f>
        <v>45499.999999999935</v>
      </c>
      <c r="I1114" s="3">
        <f>정규화데이터!I1114</f>
        <v>45500</v>
      </c>
      <c r="J1114" s="3">
        <f>정규화데이터!J1114</f>
        <v>41363.636363636302</v>
      </c>
      <c r="K1114" s="25">
        <f>정규화데이터!K1114</f>
        <v>30748</v>
      </c>
      <c r="L1114" s="25">
        <f>정규화데이터!L1114</f>
        <v>30748</v>
      </c>
      <c r="M1114" s="21">
        <f t="shared" si="34"/>
        <v>10615.636363636302</v>
      </c>
      <c r="N1114" s="52">
        <f t="shared" si="35"/>
        <v>0.25664175824175711</v>
      </c>
    </row>
    <row r="1115" spans="1:14" x14ac:dyDescent="0.3">
      <c r="A1115" t="str">
        <f>정규화데이터!A1115</f>
        <v>리씽크</v>
      </c>
      <c r="B1115">
        <f>정규화데이터!B1115</f>
        <v>2.0260205033429199E+18</v>
      </c>
      <c r="C1115" t="str">
        <f>정규화데이터!C1115</f>
        <v xml:space="preserve">워커힐 본갈비 3+1 최초❤️5만원대! 총1.2kg✨호텔특제 양념갈비 8인분 (✨1인분 7,375원꼴! / [300g,2인분] x 총 4팩  / ✨초이스등급 본갈비 / ❣️워커힐 </v>
      </c>
      <c r="D1115">
        <f>정규화데이터!D1115</f>
        <v>143790</v>
      </c>
      <c r="E1115" s="16" t="str">
        <f>정규화데이터!E1115</f>
        <v>SKU001</v>
      </c>
      <c r="F1115" s="3">
        <f>정규화데이터!F1115</f>
        <v>1</v>
      </c>
      <c r="G1115" s="3">
        <f>정규화데이터!G1115</f>
        <v>41363.636363636302</v>
      </c>
      <c r="H1115" s="3">
        <f>정규화데이터!H1115</f>
        <v>45499.999999999935</v>
      </c>
      <c r="I1115" s="3">
        <f>정규화데이터!I1115</f>
        <v>45500</v>
      </c>
      <c r="J1115" s="3">
        <f>정규화데이터!J1115</f>
        <v>41363.636363636302</v>
      </c>
      <c r="K1115" s="25">
        <f>정규화데이터!K1115</f>
        <v>30748</v>
      </c>
      <c r="L1115" s="25">
        <f>정규화데이터!L1115</f>
        <v>30748</v>
      </c>
      <c r="M1115" s="21">
        <f t="shared" si="34"/>
        <v>10615.636363636302</v>
      </c>
      <c r="N1115" s="52">
        <f t="shared" si="35"/>
        <v>0.25664175824175711</v>
      </c>
    </row>
    <row r="1116" spans="1:14" x14ac:dyDescent="0.3">
      <c r="A1116" t="str">
        <f>정규화데이터!A1116</f>
        <v>리씽크</v>
      </c>
      <c r="B1116">
        <f>정규화데이터!B1116</f>
        <v>2.0260205013356401E+18</v>
      </c>
      <c r="C1116" t="str">
        <f>정규화데이터!C1116</f>
        <v xml:space="preserve">워커힐 본갈비 3+1 최초❤️5만원대! 총1.2kg✨호텔특제 양념갈비 8인분 (✨1인분 7,375원꼴! / [300g,2인분] x 총 4팩  / ✨초이스등급 본갈비 / ❣️워커힐 </v>
      </c>
      <c r="D1116">
        <f>정규화데이터!D1116</f>
        <v>143790</v>
      </c>
      <c r="E1116" s="16" t="str">
        <f>정규화데이터!E1116</f>
        <v>SKU001</v>
      </c>
      <c r="F1116" s="3">
        <f>정규화데이터!F1116</f>
        <v>1</v>
      </c>
      <c r="G1116" s="3">
        <f>정규화데이터!G1116</f>
        <v>41363.636363636302</v>
      </c>
      <c r="H1116" s="3">
        <f>정규화데이터!H1116</f>
        <v>45499.999999999935</v>
      </c>
      <c r="I1116" s="3">
        <f>정규화데이터!I1116</f>
        <v>45500</v>
      </c>
      <c r="J1116" s="3">
        <f>정규화데이터!J1116</f>
        <v>41363.636363636302</v>
      </c>
      <c r="K1116" s="25">
        <f>정규화데이터!K1116</f>
        <v>30748</v>
      </c>
      <c r="L1116" s="25">
        <f>정규화데이터!L1116</f>
        <v>30748</v>
      </c>
      <c r="M1116" s="21">
        <f t="shared" si="34"/>
        <v>10615.636363636302</v>
      </c>
      <c r="N1116" s="52">
        <f t="shared" si="35"/>
        <v>0.25664175824175711</v>
      </c>
    </row>
    <row r="1117" spans="1:14" x14ac:dyDescent="0.3">
      <c r="A1117" t="str">
        <f>정규화데이터!A1117</f>
        <v>리씽크</v>
      </c>
      <c r="B1117">
        <f>정규화데이터!B1117</f>
        <v>2.02602050049522E+18</v>
      </c>
      <c r="C1117" t="str">
        <f>정규화데이터!C1117</f>
        <v xml:space="preserve">워커힐 본갈비 3+1 최초❤️5만원대! 총1.2kg✨호텔특제 양념갈비 8인분 (✨1인분 7,375원꼴! / [300g,2인분] x 총 4팩  / ✨초이스등급 본갈비 / ❣️워커힐 </v>
      </c>
      <c r="D1117">
        <f>정규화데이터!D1117</f>
        <v>143790</v>
      </c>
      <c r="E1117" s="16" t="str">
        <f>정규화데이터!E1117</f>
        <v>SKU001</v>
      </c>
      <c r="F1117" s="3">
        <f>정규화데이터!F1117</f>
        <v>2</v>
      </c>
      <c r="G1117" s="3">
        <f>정규화데이터!G1117</f>
        <v>41363.636363636353</v>
      </c>
      <c r="H1117" s="3">
        <f>정규화데이터!H1117</f>
        <v>91000</v>
      </c>
      <c r="I1117" s="3">
        <f>정규화데이터!I1117</f>
        <v>91000</v>
      </c>
      <c r="J1117" s="3">
        <f>정규화데이터!J1117</f>
        <v>82727.272727272706</v>
      </c>
      <c r="K1117" s="25">
        <f>정규화데이터!K1117</f>
        <v>30748</v>
      </c>
      <c r="L1117" s="25">
        <f>정규화데이터!L1117</f>
        <v>61496</v>
      </c>
      <c r="M1117" s="21">
        <f t="shared" si="34"/>
        <v>21231.272727272706</v>
      </c>
      <c r="N1117" s="52">
        <f t="shared" si="35"/>
        <v>0.25664175824175806</v>
      </c>
    </row>
    <row r="1118" spans="1:14" x14ac:dyDescent="0.3">
      <c r="A1118" t="str">
        <f>정규화데이터!A1118</f>
        <v>리씽크</v>
      </c>
      <c r="B1118">
        <f>정규화데이터!B1118</f>
        <v>2.0260205002215401E+18</v>
      </c>
      <c r="C1118" t="str">
        <f>정규화데이터!C1118</f>
        <v xml:space="preserve">워커힐 본갈비 3+1 최초❤️5만원대! 총1.2kg✨호텔특제 양념갈비 8인분 (✨1인분 7,375원꼴! / [300g,2인분] x 총 4팩  / ✨초이스등급 본갈비 / ❣️워커힐 </v>
      </c>
      <c r="D1118">
        <f>정규화데이터!D1118</f>
        <v>143790</v>
      </c>
      <c r="E1118" s="16" t="str">
        <f>정규화데이터!E1118</f>
        <v>SKU001</v>
      </c>
      <c r="F1118" s="3">
        <f>정규화데이터!F1118</f>
        <v>1</v>
      </c>
      <c r="G1118" s="3">
        <f>정규화데이터!G1118</f>
        <v>41363.636363636302</v>
      </c>
      <c r="H1118" s="3">
        <f>정규화데이터!H1118</f>
        <v>45499.999999999935</v>
      </c>
      <c r="I1118" s="3">
        <f>정규화데이터!I1118</f>
        <v>45500</v>
      </c>
      <c r="J1118" s="3">
        <f>정규화데이터!J1118</f>
        <v>41363.636363636302</v>
      </c>
      <c r="K1118" s="25">
        <f>정규화데이터!K1118</f>
        <v>30748</v>
      </c>
      <c r="L1118" s="25">
        <f>정규화데이터!L1118</f>
        <v>30748</v>
      </c>
      <c r="M1118" s="21">
        <f t="shared" si="34"/>
        <v>10615.636363636302</v>
      </c>
      <c r="N1118" s="52">
        <f t="shared" si="35"/>
        <v>0.25664175824175711</v>
      </c>
    </row>
    <row r="1119" spans="1:14" x14ac:dyDescent="0.3">
      <c r="A1119" t="str">
        <f>정규화데이터!A1119</f>
        <v>리씽크</v>
      </c>
      <c r="B1119">
        <f>정규화데이터!B1119</f>
        <v>2.0260204223818399E+18</v>
      </c>
      <c r="C1119" t="str">
        <f>정규화데이터!C1119</f>
        <v xml:space="preserve">워커힐 본갈비 3+1 최초❤️5만원대! 총1.2kg✨호텔특제 양념갈비 8인분 (✨1인분 7,375원꼴! / [300g,2인분] x 총 4팩  / ✨초이스등급 본갈비 / ❣️워커힐 </v>
      </c>
      <c r="D1119">
        <f>정규화데이터!D1119</f>
        <v>143790</v>
      </c>
      <c r="E1119" s="16" t="str">
        <f>정규화데이터!E1119</f>
        <v>SKU001</v>
      </c>
      <c r="F1119" s="3">
        <f>정규화데이터!F1119</f>
        <v>1</v>
      </c>
      <c r="G1119" s="3">
        <f>정규화데이터!G1119</f>
        <v>41363.636363636302</v>
      </c>
      <c r="H1119" s="3">
        <f>정규화데이터!H1119</f>
        <v>45499.999999999935</v>
      </c>
      <c r="I1119" s="3">
        <f>정규화데이터!I1119</f>
        <v>45500</v>
      </c>
      <c r="J1119" s="3">
        <f>정규화데이터!J1119</f>
        <v>41363.636363636302</v>
      </c>
      <c r="K1119" s="25">
        <f>정규화데이터!K1119</f>
        <v>30748</v>
      </c>
      <c r="L1119" s="25">
        <f>정규화데이터!L1119</f>
        <v>30748</v>
      </c>
      <c r="M1119" s="21">
        <f t="shared" si="34"/>
        <v>10615.636363636302</v>
      </c>
      <c r="N1119" s="52">
        <f t="shared" si="35"/>
        <v>0.25664175824175711</v>
      </c>
    </row>
    <row r="1120" spans="1:14" x14ac:dyDescent="0.3">
      <c r="A1120" t="str">
        <f>정규화데이터!A1120</f>
        <v>리씽크</v>
      </c>
      <c r="B1120">
        <f>정규화데이터!B1120</f>
        <v>2.02602042234528E+18</v>
      </c>
      <c r="C1120" t="str">
        <f>정규화데이터!C1120</f>
        <v xml:space="preserve">워커힐 본갈비 3+1 최초❤️5만원대! 총1.2kg✨호텔특제 양념갈비 8인분 (✨1인분 7,375원꼴! / [300g,2인분] x 총 4팩  / ✨초이스등급 본갈비 / ❣️워커힐 </v>
      </c>
      <c r="D1120">
        <f>정규화데이터!D1120</f>
        <v>143790</v>
      </c>
      <c r="E1120" s="16" t="str">
        <f>정규화데이터!E1120</f>
        <v>SKU001</v>
      </c>
      <c r="F1120" s="3">
        <f>정규화데이터!F1120</f>
        <v>1</v>
      </c>
      <c r="G1120" s="3">
        <f>정규화데이터!G1120</f>
        <v>41363.636363636302</v>
      </c>
      <c r="H1120" s="3">
        <f>정규화데이터!H1120</f>
        <v>45499.999999999935</v>
      </c>
      <c r="I1120" s="3">
        <f>정규화데이터!I1120</f>
        <v>45500</v>
      </c>
      <c r="J1120" s="3">
        <f>정규화데이터!J1120</f>
        <v>41363.636363636302</v>
      </c>
      <c r="K1120" s="25">
        <f>정규화데이터!K1120</f>
        <v>30748</v>
      </c>
      <c r="L1120" s="25">
        <f>정규화데이터!L1120</f>
        <v>30748</v>
      </c>
      <c r="M1120" s="21">
        <f t="shared" si="34"/>
        <v>10615.636363636302</v>
      </c>
      <c r="N1120" s="52">
        <f t="shared" si="35"/>
        <v>0.25664175824175711</v>
      </c>
    </row>
    <row r="1121" spans="1:14" x14ac:dyDescent="0.3">
      <c r="A1121" t="str">
        <f>정규화데이터!A1121</f>
        <v>리씽크</v>
      </c>
      <c r="B1121">
        <f>정규화데이터!B1121</f>
        <v>2.0260204223127199E+18</v>
      </c>
      <c r="C1121" t="str">
        <f>정규화데이터!C1121</f>
        <v xml:space="preserve">워커힐 본갈비 3+1 최초❤️5만원대! 총1.2kg✨호텔특제 양념갈비 8인분 (✨1인분 7,375원꼴! / [300g,2인분] x 총 4팩  / ✨초이스등급 본갈비 / ❣️워커힐 </v>
      </c>
      <c r="D1121">
        <f>정규화데이터!D1121</f>
        <v>143790</v>
      </c>
      <c r="E1121" s="16" t="str">
        <f>정규화데이터!E1121</f>
        <v>SKU001</v>
      </c>
      <c r="F1121" s="3">
        <f>정규화데이터!F1121</f>
        <v>1</v>
      </c>
      <c r="G1121" s="3">
        <f>정규화데이터!G1121</f>
        <v>41363.636363636302</v>
      </c>
      <c r="H1121" s="3">
        <f>정규화데이터!H1121</f>
        <v>45499.999999999935</v>
      </c>
      <c r="I1121" s="3">
        <f>정규화데이터!I1121</f>
        <v>45500</v>
      </c>
      <c r="J1121" s="3">
        <f>정규화데이터!J1121</f>
        <v>41363.636363636302</v>
      </c>
      <c r="K1121" s="25">
        <f>정규화데이터!K1121</f>
        <v>30748</v>
      </c>
      <c r="L1121" s="25">
        <f>정규화데이터!L1121</f>
        <v>30748</v>
      </c>
      <c r="M1121" s="21">
        <f t="shared" si="34"/>
        <v>10615.636363636302</v>
      </c>
      <c r="N1121" s="52">
        <f t="shared" si="35"/>
        <v>0.25664175824175711</v>
      </c>
    </row>
    <row r="1122" spans="1:14" x14ac:dyDescent="0.3">
      <c r="A1122" t="str">
        <f>정규화데이터!A1122</f>
        <v>리씽크</v>
      </c>
      <c r="B1122">
        <f>정규화데이터!B1122</f>
        <v>2.0260204222154801E+18</v>
      </c>
      <c r="C1122" t="str">
        <f>정규화데이터!C1122</f>
        <v xml:space="preserve">워커힐 본갈비 3+1 최초❤️5만원대! 총1.2kg✨호텔특제 양념갈비 8인분 (✨1인분 7,375원꼴! / [300g,2인분] x 총 4팩  / ✨초이스등급 본갈비 / ❣️워커힐 </v>
      </c>
      <c r="D1122">
        <f>정규화데이터!D1122</f>
        <v>143790</v>
      </c>
      <c r="E1122" s="16" t="str">
        <f>정규화데이터!E1122</f>
        <v>SKU001</v>
      </c>
      <c r="F1122" s="3">
        <f>정규화데이터!F1122</f>
        <v>1</v>
      </c>
      <c r="G1122" s="3">
        <f>정규화데이터!G1122</f>
        <v>41363.636363636302</v>
      </c>
      <c r="H1122" s="3">
        <f>정규화데이터!H1122</f>
        <v>45499.999999999935</v>
      </c>
      <c r="I1122" s="3">
        <f>정규화데이터!I1122</f>
        <v>45500</v>
      </c>
      <c r="J1122" s="3">
        <f>정규화데이터!J1122</f>
        <v>41363.636363636302</v>
      </c>
      <c r="K1122" s="25">
        <f>정규화데이터!K1122</f>
        <v>30748</v>
      </c>
      <c r="L1122" s="25">
        <f>정규화데이터!L1122</f>
        <v>30748</v>
      </c>
      <c r="M1122" s="21">
        <f t="shared" si="34"/>
        <v>10615.636363636302</v>
      </c>
      <c r="N1122" s="52">
        <f t="shared" si="35"/>
        <v>0.25664175824175711</v>
      </c>
    </row>
    <row r="1123" spans="1:14" x14ac:dyDescent="0.3">
      <c r="A1123" t="str">
        <f>정규화데이터!A1123</f>
        <v>리씽크</v>
      </c>
      <c r="B1123">
        <f>정규화데이터!B1123</f>
        <v>2.02602042215489E+18</v>
      </c>
      <c r="C1123" t="str">
        <f>정규화데이터!C1123</f>
        <v xml:space="preserve">워커힐 본갈비 3+1 최초❤️5만원대! 총1.2kg✨호텔특제 양념갈비 8인분 (✨1인분 7,375원꼴! / [300g,2인분] x 총 4팩  / ✨초이스등급 본갈비 / ❣️워커힐 </v>
      </c>
      <c r="D1123">
        <f>정규화데이터!D1123</f>
        <v>143790</v>
      </c>
      <c r="E1123" s="16" t="str">
        <f>정규화데이터!E1123</f>
        <v>SKU001</v>
      </c>
      <c r="F1123" s="3">
        <f>정규화데이터!F1123</f>
        <v>1</v>
      </c>
      <c r="G1123" s="3">
        <f>정규화데이터!G1123</f>
        <v>41363.636363636302</v>
      </c>
      <c r="H1123" s="3">
        <f>정규화데이터!H1123</f>
        <v>45499.999999999935</v>
      </c>
      <c r="I1123" s="3">
        <f>정규화데이터!I1123</f>
        <v>45500</v>
      </c>
      <c r="J1123" s="3">
        <f>정규화데이터!J1123</f>
        <v>41363.636363636302</v>
      </c>
      <c r="K1123" s="25">
        <f>정규화데이터!K1123</f>
        <v>30748</v>
      </c>
      <c r="L1123" s="25">
        <f>정규화데이터!L1123</f>
        <v>30748</v>
      </c>
      <c r="M1123" s="21">
        <f t="shared" si="34"/>
        <v>10615.636363636302</v>
      </c>
      <c r="N1123" s="52">
        <f t="shared" si="35"/>
        <v>0.25664175824175711</v>
      </c>
    </row>
    <row r="1124" spans="1:14" x14ac:dyDescent="0.3">
      <c r="A1124" t="str">
        <f>정규화데이터!A1124</f>
        <v>리씽크</v>
      </c>
      <c r="B1124">
        <f>정규화데이터!B1124</f>
        <v>2.0260204221301299E+18</v>
      </c>
      <c r="C1124" t="str">
        <f>정규화데이터!C1124</f>
        <v xml:space="preserve">워커힐 본갈비 3+1 최초❤️5만원대! 총1.2kg✨호텔특제 양념갈비 8인분 (✨1인분 7,375원꼴! / [300g,2인분] x 총 4팩  / ✨초이스등급 본갈비 / ❣️워커힐 </v>
      </c>
      <c r="D1124">
        <f>정규화데이터!D1124</f>
        <v>143790</v>
      </c>
      <c r="E1124" s="16" t="str">
        <f>정규화데이터!E1124</f>
        <v>SKU001</v>
      </c>
      <c r="F1124" s="3">
        <f>정규화데이터!F1124</f>
        <v>1</v>
      </c>
      <c r="G1124" s="3">
        <f>정규화데이터!G1124</f>
        <v>41363.636363636302</v>
      </c>
      <c r="H1124" s="3">
        <f>정규화데이터!H1124</f>
        <v>45499.999999999935</v>
      </c>
      <c r="I1124" s="3">
        <f>정규화데이터!I1124</f>
        <v>45500</v>
      </c>
      <c r="J1124" s="3">
        <f>정규화데이터!J1124</f>
        <v>41363.636363636302</v>
      </c>
      <c r="K1124" s="25">
        <f>정규화데이터!K1124</f>
        <v>30748</v>
      </c>
      <c r="L1124" s="25">
        <f>정규화데이터!L1124</f>
        <v>30748</v>
      </c>
      <c r="M1124" s="21">
        <f t="shared" si="34"/>
        <v>10615.636363636302</v>
      </c>
      <c r="N1124" s="52">
        <f t="shared" si="35"/>
        <v>0.25664175824175711</v>
      </c>
    </row>
    <row r="1125" spans="1:14" x14ac:dyDescent="0.3">
      <c r="A1125" t="str">
        <f>정규화데이터!A1125</f>
        <v>리씽크</v>
      </c>
      <c r="B1125">
        <f>정규화데이터!B1125</f>
        <v>2.0260204214535099E+18</v>
      </c>
      <c r="C1125" t="str">
        <f>정규화데이터!C1125</f>
        <v xml:space="preserve">워커힐 본갈비 3+1 최초❤️5만원대! 총1.2kg✨호텔특제 양념갈비 8인분 (✨1인분 7,375원꼴! / [300g,2인분] x 총 4팩  / ✨초이스등급 본갈비 / ❣️워커힐 </v>
      </c>
      <c r="D1125">
        <f>정규화데이터!D1125</f>
        <v>143790</v>
      </c>
      <c r="E1125" s="16" t="str">
        <f>정규화데이터!E1125</f>
        <v>SKU001</v>
      </c>
      <c r="F1125" s="3">
        <f>정규화데이터!F1125</f>
        <v>1</v>
      </c>
      <c r="G1125" s="3">
        <f>정규화데이터!G1125</f>
        <v>41363.636363636302</v>
      </c>
      <c r="H1125" s="3">
        <f>정규화데이터!H1125</f>
        <v>45499.999999999935</v>
      </c>
      <c r="I1125" s="3">
        <f>정규화데이터!I1125</f>
        <v>45500</v>
      </c>
      <c r="J1125" s="3">
        <f>정규화데이터!J1125</f>
        <v>41363.636363636302</v>
      </c>
      <c r="K1125" s="25">
        <f>정규화데이터!K1125</f>
        <v>30748</v>
      </c>
      <c r="L1125" s="25">
        <f>정규화데이터!L1125</f>
        <v>30748</v>
      </c>
      <c r="M1125" s="21">
        <f t="shared" si="34"/>
        <v>10615.636363636302</v>
      </c>
      <c r="N1125" s="52">
        <f t="shared" si="35"/>
        <v>0.25664175824175711</v>
      </c>
    </row>
    <row r="1126" spans="1:14" x14ac:dyDescent="0.3">
      <c r="A1126" t="str">
        <f>정규화데이터!A1126</f>
        <v>리씽크</v>
      </c>
      <c r="B1126">
        <f>정규화데이터!B1126</f>
        <v>2.0260204213138299E+18</v>
      </c>
      <c r="C1126" t="str">
        <f>정규화데이터!C1126</f>
        <v xml:space="preserve">워커힐 본갈비 3+1 최초❤️5만원대! 총1.2kg✨호텔특제 양념갈비 8인분 (✨1인분 7,375원꼴! / [300g,2인분] x 총 4팩  / ✨초이스등급 본갈비 / ❣️워커힐 </v>
      </c>
      <c r="D1126">
        <f>정규화데이터!D1126</f>
        <v>143790</v>
      </c>
      <c r="E1126" s="16" t="str">
        <f>정규화데이터!E1126</f>
        <v>SKU001</v>
      </c>
      <c r="F1126" s="3">
        <f>정규화데이터!F1126</f>
        <v>2</v>
      </c>
      <c r="G1126" s="3">
        <f>정규화데이터!G1126</f>
        <v>41363.636363636353</v>
      </c>
      <c r="H1126" s="3">
        <f>정규화데이터!H1126</f>
        <v>91000</v>
      </c>
      <c r="I1126" s="3">
        <f>정규화데이터!I1126</f>
        <v>91000</v>
      </c>
      <c r="J1126" s="3">
        <f>정규화데이터!J1126</f>
        <v>82727.272727272706</v>
      </c>
      <c r="K1126" s="25">
        <f>정규화데이터!K1126</f>
        <v>30748</v>
      </c>
      <c r="L1126" s="25">
        <f>정규화데이터!L1126</f>
        <v>61496</v>
      </c>
      <c r="M1126" s="21">
        <f t="shared" si="34"/>
        <v>21231.272727272706</v>
      </c>
      <c r="N1126" s="52">
        <f t="shared" si="35"/>
        <v>0.25664175824175806</v>
      </c>
    </row>
    <row r="1127" spans="1:14" x14ac:dyDescent="0.3">
      <c r="A1127" t="str">
        <f>정규화데이터!A1127</f>
        <v>리씽크</v>
      </c>
      <c r="B1127">
        <f>정규화데이터!B1127</f>
        <v>2.02602042127102E+18</v>
      </c>
      <c r="C1127" t="str">
        <f>정규화데이터!C1127</f>
        <v xml:space="preserve">워커힐 본갈비 3+1 최초❤️5만원대! 총1.2kg✨호텔특제 양념갈비 8인분 (✨1인분 7,375원꼴! / [300g,2인분] x 총 4팩  / ✨초이스등급 본갈비 / ❣️워커힐 </v>
      </c>
      <c r="D1127">
        <f>정규화데이터!D1127</f>
        <v>143790</v>
      </c>
      <c r="E1127" s="16" t="str">
        <f>정규화데이터!E1127</f>
        <v>SKU001</v>
      </c>
      <c r="F1127" s="3">
        <f>정규화데이터!F1127</f>
        <v>1</v>
      </c>
      <c r="G1127" s="3">
        <f>정규화데이터!G1127</f>
        <v>41363.636363636302</v>
      </c>
      <c r="H1127" s="3">
        <f>정규화데이터!H1127</f>
        <v>45499.999999999935</v>
      </c>
      <c r="I1127" s="3">
        <f>정규화데이터!I1127</f>
        <v>45500</v>
      </c>
      <c r="J1127" s="3">
        <f>정규화데이터!J1127</f>
        <v>41363.636363636302</v>
      </c>
      <c r="K1127" s="25">
        <f>정규화데이터!K1127</f>
        <v>30748</v>
      </c>
      <c r="L1127" s="25">
        <f>정규화데이터!L1127</f>
        <v>30748</v>
      </c>
      <c r="M1127" s="21">
        <f t="shared" si="34"/>
        <v>10615.636363636302</v>
      </c>
      <c r="N1127" s="52">
        <f t="shared" si="35"/>
        <v>0.25664175824175711</v>
      </c>
    </row>
    <row r="1128" spans="1:14" x14ac:dyDescent="0.3">
      <c r="A1128" t="str">
        <f>정규화데이터!A1128</f>
        <v>리씽크</v>
      </c>
      <c r="B1128">
        <f>정규화데이터!B1128</f>
        <v>2.02602042110083E+18</v>
      </c>
      <c r="C1128" t="str">
        <f>정규화데이터!C1128</f>
        <v xml:space="preserve">워커힐 본갈비 3+1 최초❤️5만원대! 총1.2kg✨호텔특제 양념갈비 8인분 (✨1인분 7,375원꼴! / [300g,2인분] x 총 4팩  / ✨초이스등급 본갈비 / ❣️워커힐 </v>
      </c>
      <c r="D1128">
        <f>정규화데이터!D1128</f>
        <v>143790</v>
      </c>
      <c r="E1128" s="16" t="str">
        <f>정규화데이터!E1128</f>
        <v>SKU001</v>
      </c>
      <c r="F1128" s="3">
        <f>정규화데이터!F1128</f>
        <v>1</v>
      </c>
      <c r="G1128" s="3">
        <f>정규화데이터!G1128</f>
        <v>41363.636363636302</v>
      </c>
      <c r="H1128" s="3">
        <f>정규화데이터!H1128</f>
        <v>45499.999999999935</v>
      </c>
      <c r="I1128" s="3">
        <f>정규화데이터!I1128</f>
        <v>45500</v>
      </c>
      <c r="J1128" s="3">
        <f>정규화데이터!J1128</f>
        <v>41363.636363636302</v>
      </c>
      <c r="K1128" s="25">
        <f>정규화데이터!K1128</f>
        <v>30748</v>
      </c>
      <c r="L1128" s="25">
        <f>정규화데이터!L1128</f>
        <v>30748</v>
      </c>
      <c r="M1128" s="21">
        <f t="shared" si="34"/>
        <v>10615.636363636302</v>
      </c>
      <c r="N1128" s="52">
        <f t="shared" si="35"/>
        <v>0.25664175824175711</v>
      </c>
    </row>
    <row r="1129" spans="1:14" x14ac:dyDescent="0.3">
      <c r="A1129" t="str">
        <f>정규화데이터!A1129</f>
        <v>리씽크</v>
      </c>
      <c r="B1129">
        <f>정규화데이터!B1129</f>
        <v>2.0260204210747599E+18</v>
      </c>
      <c r="C1129" t="str">
        <f>정규화데이터!C1129</f>
        <v xml:space="preserve">워커힐 본갈비 3+1 최초❤️5만원대! 총1.2kg✨호텔특제 양념갈비 8인분 (✨1인분 7,375원꼴! / [300g,2인분] x 총 4팩  / ✨초이스등급 본갈비 / ❣️워커힐 </v>
      </c>
      <c r="D1129">
        <f>정규화데이터!D1129</f>
        <v>143790</v>
      </c>
      <c r="E1129" s="16" t="str">
        <f>정규화데이터!E1129</f>
        <v>SKU001</v>
      </c>
      <c r="F1129" s="3">
        <f>정규화데이터!F1129</f>
        <v>1</v>
      </c>
      <c r="G1129" s="3">
        <f>정규화데이터!G1129</f>
        <v>41363.636363636302</v>
      </c>
      <c r="H1129" s="3">
        <f>정규화데이터!H1129</f>
        <v>45499.999999999935</v>
      </c>
      <c r="I1129" s="3">
        <f>정규화데이터!I1129</f>
        <v>45500</v>
      </c>
      <c r="J1129" s="3">
        <f>정규화데이터!J1129</f>
        <v>41363.636363636302</v>
      </c>
      <c r="K1129" s="25">
        <f>정규화데이터!K1129</f>
        <v>30748</v>
      </c>
      <c r="L1129" s="25">
        <f>정규화데이터!L1129</f>
        <v>30748</v>
      </c>
      <c r="M1129" s="21">
        <f t="shared" si="34"/>
        <v>10615.636363636302</v>
      </c>
      <c r="N1129" s="52">
        <f t="shared" si="35"/>
        <v>0.25664175824175711</v>
      </c>
    </row>
    <row r="1130" spans="1:14" x14ac:dyDescent="0.3">
      <c r="A1130" t="str">
        <f>정규화데이터!A1130</f>
        <v>리씽크</v>
      </c>
      <c r="B1130">
        <f>정규화데이터!B1130</f>
        <v>2.02602042052206E+18</v>
      </c>
      <c r="C1130" t="str">
        <f>정규화데이터!C1130</f>
        <v xml:space="preserve">워커힐 본갈비 3+1 최초❤️5만원대! 총1.2kg✨호텔특제 양념갈비 8인분 (✨1인분 7,375원꼴! / [300g,2인분] x 총 4팩  / ✨초이스등급 본갈비 / ❣️워커힐 </v>
      </c>
      <c r="D1130">
        <f>정규화데이터!D1130</f>
        <v>143790</v>
      </c>
      <c r="E1130" s="16" t="str">
        <f>정규화데이터!E1130</f>
        <v>SKU001</v>
      </c>
      <c r="F1130" s="3">
        <f>정규화데이터!F1130</f>
        <v>1</v>
      </c>
      <c r="G1130" s="3">
        <f>정규화데이터!G1130</f>
        <v>41363.636363636302</v>
      </c>
      <c r="H1130" s="3">
        <f>정규화데이터!H1130</f>
        <v>45499.999999999935</v>
      </c>
      <c r="I1130" s="3">
        <f>정규화데이터!I1130</f>
        <v>45500</v>
      </c>
      <c r="J1130" s="3">
        <f>정규화데이터!J1130</f>
        <v>41363.636363636302</v>
      </c>
      <c r="K1130" s="25">
        <f>정규화데이터!K1130</f>
        <v>30748</v>
      </c>
      <c r="L1130" s="25">
        <f>정규화데이터!L1130</f>
        <v>30748</v>
      </c>
      <c r="M1130" s="21">
        <f t="shared" si="34"/>
        <v>10615.636363636302</v>
      </c>
      <c r="N1130" s="52">
        <f t="shared" si="35"/>
        <v>0.25664175824175711</v>
      </c>
    </row>
    <row r="1131" spans="1:14" x14ac:dyDescent="0.3">
      <c r="A1131" t="str">
        <f>정규화데이터!A1131</f>
        <v>리씽크</v>
      </c>
      <c r="B1131">
        <f>정규화데이터!B1131</f>
        <v>2.02602042052275E+18</v>
      </c>
      <c r="C1131" t="str">
        <f>정규화데이터!C1131</f>
        <v xml:space="preserve">워커힐 본갈비 3+1 최초❤️5만원대! 총1.2kg✨호텔특제 양념갈비 8인분 (✨1인분 7,375원꼴! / [300g,2인분] x 총 4팩  / ✨초이스등급 본갈비 / ❣️워커힐 </v>
      </c>
      <c r="D1131">
        <f>정규화데이터!D1131</f>
        <v>143790</v>
      </c>
      <c r="E1131" s="16" t="str">
        <f>정규화데이터!E1131</f>
        <v>SKU001</v>
      </c>
      <c r="F1131" s="3">
        <f>정규화데이터!F1131</f>
        <v>3</v>
      </c>
      <c r="G1131" s="3">
        <f>정규화데이터!G1131</f>
        <v>41363.636363636331</v>
      </c>
      <c r="H1131" s="3">
        <f>정규화데이터!H1131</f>
        <v>136499.99999999991</v>
      </c>
      <c r="I1131" s="3">
        <f>정규화데이터!I1131</f>
        <v>136500</v>
      </c>
      <c r="J1131" s="3">
        <f>정규화데이터!J1131</f>
        <v>124090.909090909</v>
      </c>
      <c r="K1131" s="25">
        <f>정규화데이터!K1131</f>
        <v>30748</v>
      </c>
      <c r="L1131" s="25">
        <f>정규화데이터!L1131</f>
        <v>92244</v>
      </c>
      <c r="M1131" s="21">
        <f t="shared" si="34"/>
        <v>31846.909090909001</v>
      </c>
      <c r="N1131" s="52">
        <f t="shared" si="35"/>
        <v>0.25664175824175772</v>
      </c>
    </row>
    <row r="1132" spans="1:14" x14ac:dyDescent="0.3">
      <c r="A1132" t="str">
        <f>정규화데이터!A1132</f>
        <v>리씽크</v>
      </c>
      <c r="B1132">
        <f>정규화데이터!B1132</f>
        <v>2.0260204201954501E+18</v>
      </c>
      <c r="C1132" t="str">
        <f>정규화데이터!C1132</f>
        <v xml:space="preserve">워커힐 본갈비 3+1 최초❤️5만원대! 총1.2kg✨호텔특제 양념갈비 8인분 (✨1인분 7,375원꼴! / [300g,2인분] x 총 4팩  / ✨초이스등급 본갈비 / ❣️워커힐 </v>
      </c>
      <c r="D1132">
        <f>정규화데이터!D1132</f>
        <v>143790</v>
      </c>
      <c r="E1132" s="16" t="str">
        <f>정규화데이터!E1132</f>
        <v>SKU001</v>
      </c>
      <c r="F1132" s="3">
        <f>정규화데이터!F1132</f>
        <v>1</v>
      </c>
      <c r="G1132" s="3">
        <f>정규화데이터!G1132</f>
        <v>41363.636363636302</v>
      </c>
      <c r="H1132" s="3">
        <f>정규화데이터!H1132</f>
        <v>45499.999999999935</v>
      </c>
      <c r="I1132" s="3">
        <f>정규화데이터!I1132</f>
        <v>45500</v>
      </c>
      <c r="J1132" s="3">
        <f>정규화데이터!J1132</f>
        <v>41363.636363636302</v>
      </c>
      <c r="K1132" s="25">
        <f>정규화데이터!K1132</f>
        <v>30748</v>
      </c>
      <c r="L1132" s="25">
        <f>정규화데이터!L1132</f>
        <v>30748</v>
      </c>
      <c r="M1132" s="21">
        <f t="shared" si="34"/>
        <v>10615.636363636302</v>
      </c>
      <c r="N1132" s="52">
        <f t="shared" si="35"/>
        <v>0.25664175824175711</v>
      </c>
    </row>
    <row r="1133" spans="1:14" x14ac:dyDescent="0.3">
      <c r="A1133" t="str">
        <f>정규화데이터!A1133</f>
        <v>리씽크</v>
      </c>
      <c r="B1133">
        <f>정규화데이터!B1133</f>
        <v>2.0260204201428301E+18</v>
      </c>
      <c r="C1133" t="str">
        <f>정규화데이터!C1133</f>
        <v xml:space="preserve">워커힐 본갈비 3+1 최초❤️5만원대! 총1.2kg✨호텔특제 양념갈비 8인분 (✨1인분 7,375원꼴! / [300g,2인분] x 총 4팩  / ✨초이스등급 본갈비 / ❣️워커힐 </v>
      </c>
      <c r="D1133">
        <f>정규화데이터!D1133</f>
        <v>143790</v>
      </c>
      <c r="E1133" s="16" t="str">
        <f>정규화데이터!E1133</f>
        <v>SKU001</v>
      </c>
      <c r="F1133" s="3">
        <f>정규화데이터!F1133</f>
        <v>1</v>
      </c>
      <c r="G1133" s="3">
        <f>정규화데이터!G1133</f>
        <v>41363.636363636302</v>
      </c>
      <c r="H1133" s="3">
        <f>정규화데이터!H1133</f>
        <v>45499.999999999935</v>
      </c>
      <c r="I1133" s="3">
        <f>정규화데이터!I1133</f>
        <v>45500</v>
      </c>
      <c r="J1133" s="3">
        <f>정규화데이터!J1133</f>
        <v>41363.636363636302</v>
      </c>
      <c r="K1133" s="25">
        <f>정규화데이터!K1133</f>
        <v>30748</v>
      </c>
      <c r="L1133" s="25">
        <f>정규화데이터!L1133</f>
        <v>30748</v>
      </c>
      <c r="M1133" s="21">
        <f t="shared" si="34"/>
        <v>10615.636363636302</v>
      </c>
      <c r="N1133" s="52">
        <f t="shared" si="35"/>
        <v>0.25664175824175711</v>
      </c>
    </row>
    <row r="1134" spans="1:14" x14ac:dyDescent="0.3">
      <c r="A1134" t="str">
        <f>정규화데이터!A1134</f>
        <v>리씽크</v>
      </c>
      <c r="B1134">
        <f>정규화데이터!B1134</f>
        <v>2.0260205103158999E+18</v>
      </c>
      <c r="C1134" t="str">
        <f>정규화데이터!C1134</f>
        <v xml:space="preserve">워커힐 본갈비 3+1 최초❤️5만원대! 총1.2kg✨호텔특제 양념갈비 8인분 (✨1인분 7,375원꼴! / [300g,2인분] x 총 4팩  / ✨초이스등급 본갈비 / ❣️워커힐 </v>
      </c>
      <c r="D1134">
        <f>정규화데이터!D1134</f>
        <v>143790</v>
      </c>
      <c r="E1134" s="16" t="str">
        <f>정규화데이터!E1134</f>
        <v>SKU001</v>
      </c>
      <c r="F1134" s="3">
        <f>정규화데이터!F1134</f>
        <v>1</v>
      </c>
      <c r="G1134" s="3">
        <f>정규화데이터!G1134</f>
        <v>57272.727272727199</v>
      </c>
      <c r="H1134" s="3">
        <f>정규화데이터!H1134</f>
        <v>62999.999999999927</v>
      </c>
      <c r="I1134" s="3">
        <f>정규화데이터!I1134</f>
        <v>63000</v>
      </c>
      <c r="J1134" s="3">
        <f>정규화데이터!J1134</f>
        <v>57272.727272727199</v>
      </c>
      <c r="K1134" s="25">
        <f>정규화데이터!K1134</f>
        <v>30748</v>
      </c>
      <c r="L1134" s="25">
        <f>정규화데이터!L1134</f>
        <v>30748</v>
      </c>
      <c r="M1134" s="21">
        <f t="shared" si="34"/>
        <v>26524.727272727199</v>
      </c>
      <c r="N1134" s="52">
        <f t="shared" si="35"/>
        <v>0.46313015873015806</v>
      </c>
    </row>
    <row r="1135" spans="1:14" x14ac:dyDescent="0.3">
      <c r="A1135" t="str">
        <f>정규화데이터!A1135</f>
        <v>리씽크</v>
      </c>
      <c r="B1135">
        <f>정규화데이터!B1135</f>
        <v>2.02602051042271E+18</v>
      </c>
      <c r="C1135" t="str">
        <f>정규화데이터!C1135</f>
        <v xml:space="preserve">워커힐 본갈비 3+1 최초❤️5만원대! 총1.2kg✨호텔특제 양념갈비 8인분 (✨1인분 7,375원꼴! / [300g,2인분] x 총 4팩  / ✨초이스등급 본갈비 / ❣️워커힐 </v>
      </c>
      <c r="D1135">
        <f>정규화데이터!D1135</f>
        <v>143790</v>
      </c>
      <c r="E1135" s="16" t="str">
        <f>정규화데이터!E1135</f>
        <v>SKU001</v>
      </c>
      <c r="F1135" s="3">
        <f>정규화데이터!F1135</f>
        <v>1</v>
      </c>
      <c r="G1135" s="3">
        <f>정규화데이터!G1135</f>
        <v>57272.727272727199</v>
      </c>
      <c r="H1135" s="3">
        <f>정규화데이터!H1135</f>
        <v>62999.999999999927</v>
      </c>
      <c r="I1135" s="3">
        <f>정규화데이터!I1135</f>
        <v>63000</v>
      </c>
      <c r="J1135" s="3">
        <f>정규화데이터!J1135</f>
        <v>57272.727272727199</v>
      </c>
      <c r="K1135" s="25">
        <f>정규화데이터!K1135</f>
        <v>30748</v>
      </c>
      <c r="L1135" s="25">
        <f>정규화데이터!L1135</f>
        <v>30748</v>
      </c>
      <c r="M1135" s="21">
        <f t="shared" si="34"/>
        <v>26524.727272727199</v>
      </c>
      <c r="N1135" s="52">
        <f t="shared" si="35"/>
        <v>0.46313015873015806</v>
      </c>
    </row>
    <row r="1136" spans="1:14" x14ac:dyDescent="0.3">
      <c r="A1136" t="str">
        <f>정규화데이터!A1136</f>
        <v>리씽크</v>
      </c>
      <c r="B1136">
        <f>정규화데이터!B1136</f>
        <v>2.0260205103831501E+18</v>
      </c>
      <c r="C1136" t="str">
        <f>정규화데이터!C1136</f>
        <v xml:space="preserve">워커힐 본갈비 3+1 최초❤️5만원대! 총1.2kg✨호텔특제 양념갈비 8인분 (✨1인분 7,375원꼴! / [300g,2인분] x 총 4팩  / ✨초이스등급 본갈비 / ❣️워커힐 </v>
      </c>
      <c r="D1136">
        <f>정규화데이터!D1136</f>
        <v>143790</v>
      </c>
      <c r="E1136" s="16" t="str">
        <f>정규화데이터!E1136</f>
        <v>SKU001</v>
      </c>
      <c r="F1136" s="3">
        <f>정규화데이터!F1136</f>
        <v>1</v>
      </c>
      <c r="G1136" s="3">
        <f>정규화데이터!G1136</f>
        <v>57272.727272727199</v>
      </c>
      <c r="H1136" s="3">
        <f>정규화데이터!H1136</f>
        <v>62999.999999999927</v>
      </c>
      <c r="I1136" s="3">
        <f>정규화데이터!I1136</f>
        <v>63000</v>
      </c>
      <c r="J1136" s="3">
        <f>정규화데이터!J1136</f>
        <v>57272.727272727199</v>
      </c>
      <c r="K1136" s="25">
        <f>정규화데이터!K1136</f>
        <v>30748</v>
      </c>
      <c r="L1136" s="25">
        <f>정규화데이터!L1136</f>
        <v>30748</v>
      </c>
      <c r="M1136" s="21">
        <f t="shared" si="34"/>
        <v>26524.727272727199</v>
      </c>
      <c r="N1136" s="52">
        <f t="shared" si="35"/>
        <v>0.46313015873015806</v>
      </c>
    </row>
    <row r="1137" spans="1:14" x14ac:dyDescent="0.3">
      <c r="A1137" t="str">
        <f>정규화데이터!A1137</f>
        <v>리씽크</v>
      </c>
      <c r="B1137">
        <f>정규화데이터!B1137</f>
        <v>2.0260205093351199E+18</v>
      </c>
      <c r="C1137" t="str">
        <f>정규화데이터!C1137</f>
        <v xml:space="preserve">워커힐 본갈비 3+1 최초❤️5만원대! 총1.2kg✨호텔특제 양념갈비 8인분 (✨1인분 7,375원꼴! / [300g,2인분] x 총 4팩  / ✨초이스등급 본갈비 / ❣️워커힐 </v>
      </c>
      <c r="D1137">
        <f>정규화데이터!D1137</f>
        <v>143790</v>
      </c>
      <c r="E1137" s="16" t="str">
        <f>정규화데이터!E1137</f>
        <v>SKU001</v>
      </c>
      <c r="F1137" s="3">
        <f>정규화데이터!F1137</f>
        <v>1</v>
      </c>
      <c r="G1137" s="3">
        <f>정규화데이터!G1137</f>
        <v>57272.727272727199</v>
      </c>
      <c r="H1137" s="3">
        <f>정규화데이터!H1137</f>
        <v>62999.999999999927</v>
      </c>
      <c r="I1137" s="3">
        <f>정규화데이터!I1137</f>
        <v>63000</v>
      </c>
      <c r="J1137" s="3">
        <f>정규화데이터!J1137</f>
        <v>57272.727272727199</v>
      </c>
      <c r="K1137" s="25">
        <f>정규화데이터!K1137</f>
        <v>30748</v>
      </c>
      <c r="L1137" s="25">
        <f>정규화데이터!L1137</f>
        <v>30748</v>
      </c>
      <c r="M1137" s="21">
        <f t="shared" si="34"/>
        <v>26524.727272727199</v>
      </c>
      <c r="N1137" s="52">
        <f t="shared" si="35"/>
        <v>0.46313015873015806</v>
      </c>
    </row>
    <row r="1138" spans="1:14" x14ac:dyDescent="0.3">
      <c r="A1138" t="str">
        <f>정규화데이터!A1138</f>
        <v>리씽크</v>
      </c>
      <c r="B1138">
        <f>정규화데이터!B1138</f>
        <v>2.02602050909311E+18</v>
      </c>
      <c r="C1138" t="str">
        <f>정규화데이터!C1138</f>
        <v xml:space="preserve">워커힐 본갈비 3+1 최초❤️5만원대! 총1.2kg✨호텔특제 양념갈비 8인분 (✨1인분 7,375원꼴! / [300g,2인분] x 총 4팩  / ✨초이스등급 본갈비 / ❣️워커힐 </v>
      </c>
      <c r="D1138">
        <f>정규화데이터!D1138</f>
        <v>143790</v>
      </c>
      <c r="E1138" s="16" t="str">
        <f>정규화데이터!E1138</f>
        <v>SKU001</v>
      </c>
      <c r="F1138" s="3">
        <f>정규화데이터!F1138</f>
        <v>1</v>
      </c>
      <c r="G1138" s="3">
        <f>정규화데이터!G1138</f>
        <v>57272.727272727199</v>
      </c>
      <c r="H1138" s="3">
        <f>정규화데이터!H1138</f>
        <v>62999.999999999927</v>
      </c>
      <c r="I1138" s="3">
        <f>정규화데이터!I1138</f>
        <v>63000</v>
      </c>
      <c r="J1138" s="3">
        <f>정규화데이터!J1138</f>
        <v>57272.727272727199</v>
      </c>
      <c r="K1138" s="25">
        <f>정규화데이터!K1138</f>
        <v>30748</v>
      </c>
      <c r="L1138" s="25">
        <f>정규화데이터!L1138</f>
        <v>30748</v>
      </c>
      <c r="M1138" s="21">
        <f t="shared" si="34"/>
        <v>26524.727272727199</v>
      </c>
      <c r="N1138" s="52">
        <f t="shared" si="35"/>
        <v>0.46313015873015806</v>
      </c>
    </row>
    <row r="1139" spans="1:14" x14ac:dyDescent="0.3">
      <c r="A1139" t="str">
        <f>정규화데이터!A1139</f>
        <v>리씽크</v>
      </c>
      <c r="B1139">
        <f>정규화데이터!B1139</f>
        <v>2.0260205085507899E+18</v>
      </c>
      <c r="C1139" t="str">
        <f>정규화데이터!C1139</f>
        <v xml:space="preserve">워커힐 본갈비 3+1 최초❤️5만원대! 총1.2kg✨호텔특제 양념갈비 8인분 (✨1인분 7,375원꼴! / [300g,2인분] x 총 4팩  / ✨초이스등급 본갈비 / ❣️워커힐 </v>
      </c>
      <c r="D1139">
        <f>정규화데이터!D1139</f>
        <v>143790</v>
      </c>
      <c r="E1139" s="16" t="str">
        <f>정규화데이터!E1139</f>
        <v>SKU001</v>
      </c>
      <c r="F1139" s="3">
        <f>정규화데이터!F1139</f>
        <v>1</v>
      </c>
      <c r="G1139" s="3">
        <f>정규화데이터!G1139</f>
        <v>57272.727272727199</v>
      </c>
      <c r="H1139" s="3">
        <f>정규화데이터!H1139</f>
        <v>62999.999999999927</v>
      </c>
      <c r="I1139" s="3">
        <f>정규화데이터!I1139</f>
        <v>63000</v>
      </c>
      <c r="J1139" s="3">
        <f>정규화데이터!J1139</f>
        <v>57272.727272727199</v>
      </c>
      <c r="K1139" s="25">
        <f>정규화데이터!K1139</f>
        <v>30748</v>
      </c>
      <c r="L1139" s="25">
        <f>정규화데이터!L1139</f>
        <v>30748</v>
      </c>
      <c r="M1139" s="21">
        <f t="shared" si="34"/>
        <v>26524.727272727199</v>
      </c>
      <c r="N1139" s="52">
        <f t="shared" si="35"/>
        <v>0.46313015873015806</v>
      </c>
    </row>
    <row r="1140" spans="1:14" x14ac:dyDescent="0.3">
      <c r="A1140" t="str">
        <f>정규화데이터!A1140</f>
        <v>리씽크</v>
      </c>
      <c r="B1140">
        <f>정규화데이터!B1140</f>
        <v>2.0260205083521999E+18</v>
      </c>
      <c r="C1140" t="str">
        <f>정규화데이터!C1140</f>
        <v xml:space="preserve">워커힐 본갈비 3+1 최초❤️5만원대! 총1.2kg✨호텔특제 양념갈비 8인분 (✨1인분 7,375원꼴! / [300g,2인분] x 총 4팩  / ✨초이스등급 본갈비 / ❣️워커힐 </v>
      </c>
      <c r="D1140">
        <f>정규화데이터!D1140</f>
        <v>143790</v>
      </c>
      <c r="E1140" s="16" t="str">
        <f>정규화데이터!E1140</f>
        <v>SKU001</v>
      </c>
      <c r="F1140" s="3">
        <f>정규화데이터!F1140</f>
        <v>1</v>
      </c>
      <c r="G1140" s="3">
        <f>정규화데이터!G1140</f>
        <v>57272.727272727199</v>
      </c>
      <c r="H1140" s="3">
        <f>정규화데이터!H1140</f>
        <v>62999.999999999927</v>
      </c>
      <c r="I1140" s="3">
        <f>정규화데이터!I1140</f>
        <v>63000</v>
      </c>
      <c r="J1140" s="3">
        <f>정규화데이터!J1140</f>
        <v>57272.727272727199</v>
      </c>
      <c r="K1140" s="25">
        <f>정규화데이터!K1140</f>
        <v>30748</v>
      </c>
      <c r="L1140" s="25">
        <f>정규화데이터!L1140</f>
        <v>30748</v>
      </c>
      <c r="M1140" s="21">
        <f t="shared" si="34"/>
        <v>26524.727272727199</v>
      </c>
      <c r="N1140" s="52">
        <f t="shared" si="35"/>
        <v>0.46313015873015806</v>
      </c>
    </row>
    <row r="1141" spans="1:14" x14ac:dyDescent="0.3">
      <c r="A1141" t="str">
        <f>정규화데이터!A1141</f>
        <v>리씽크</v>
      </c>
      <c r="B1141">
        <f>정규화데이터!B1141</f>
        <v>2.0260205082401201E+18</v>
      </c>
      <c r="C1141" t="str">
        <f>정규화데이터!C1141</f>
        <v xml:space="preserve">워커힐 본갈비 3+1 최초❤️5만원대! 총1.2kg✨호텔특제 양념갈비 8인분 (✨1인분 7,375원꼴! / [300g,2인분] x 총 4팩  / ✨초이스등급 본갈비 / ❣️워커힐 </v>
      </c>
      <c r="D1141">
        <f>정규화데이터!D1141</f>
        <v>143790</v>
      </c>
      <c r="E1141" s="16" t="str">
        <f>정규화데이터!E1141</f>
        <v>SKU001</v>
      </c>
      <c r="F1141" s="3">
        <f>정규화데이터!F1141</f>
        <v>1</v>
      </c>
      <c r="G1141" s="3">
        <f>정규화데이터!G1141</f>
        <v>57272.727272727199</v>
      </c>
      <c r="H1141" s="3">
        <f>정규화데이터!H1141</f>
        <v>62999.999999999927</v>
      </c>
      <c r="I1141" s="3">
        <f>정규화데이터!I1141</f>
        <v>63000</v>
      </c>
      <c r="J1141" s="3">
        <f>정규화데이터!J1141</f>
        <v>57272.727272727199</v>
      </c>
      <c r="K1141" s="25">
        <f>정규화데이터!K1141</f>
        <v>30748</v>
      </c>
      <c r="L1141" s="25">
        <f>정규화데이터!L1141</f>
        <v>30748</v>
      </c>
      <c r="M1141" s="21">
        <f t="shared" si="34"/>
        <v>26524.727272727199</v>
      </c>
      <c r="N1141" s="52">
        <f t="shared" si="35"/>
        <v>0.46313015873015806</v>
      </c>
    </row>
    <row r="1142" spans="1:14" x14ac:dyDescent="0.3">
      <c r="A1142" t="str">
        <f>정규화데이터!A1142</f>
        <v>리씽크</v>
      </c>
      <c r="B1142">
        <f>정규화데이터!B1142</f>
        <v>2.0260205082256699E+18</v>
      </c>
      <c r="C1142" t="str">
        <f>정규화데이터!C1142</f>
        <v xml:space="preserve">워커힐 본갈비 3+1 최초❤️5만원대! 총1.2kg✨호텔특제 양념갈비 8인분 (✨1인분 7,375원꼴! / [300g,2인분] x 총 4팩  / ✨초이스등급 본갈비 / ❣️워커힐 </v>
      </c>
      <c r="D1142">
        <f>정규화데이터!D1142</f>
        <v>143790</v>
      </c>
      <c r="E1142" s="16" t="str">
        <f>정규화데이터!E1142</f>
        <v>SKU001</v>
      </c>
      <c r="F1142" s="3">
        <f>정규화데이터!F1142</f>
        <v>1</v>
      </c>
      <c r="G1142" s="3">
        <f>정규화데이터!G1142</f>
        <v>57272.727272727199</v>
      </c>
      <c r="H1142" s="3">
        <f>정규화데이터!H1142</f>
        <v>62999.999999999927</v>
      </c>
      <c r="I1142" s="3">
        <f>정규화데이터!I1142</f>
        <v>63000</v>
      </c>
      <c r="J1142" s="3">
        <f>정규화데이터!J1142</f>
        <v>57272.727272727199</v>
      </c>
      <c r="K1142" s="25">
        <f>정규화데이터!K1142</f>
        <v>30748</v>
      </c>
      <c r="L1142" s="25">
        <f>정규화데이터!L1142</f>
        <v>30748</v>
      </c>
      <c r="M1142" s="21">
        <f t="shared" si="34"/>
        <v>26524.727272727199</v>
      </c>
      <c r="N1142" s="52">
        <f t="shared" si="35"/>
        <v>0.46313015873015806</v>
      </c>
    </row>
    <row r="1143" spans="1:14" x14ac:dyDescent="0.3">
      <c r="A1143" t="str">
        <f>정규화데이터!A1143</f>
        <v>리씽크</v>
      </c>
      <c r="B1143">
        <f>정규화데이터!B1143</f>
        <v>2.02602050817359E+18</v>
      </c>
      <c r="C1143" t="str">
        <f>정규화데이터!C1143</f>
        <v xml:space="preserve">워커힐 본갈비 3+1 최초❤️5만원대! 총1.2kg✨호텔특제 양념갈비 8인분 (✨1인분 7,375원꼴! / [300g,2인분] x 총 4팩  / ✨초이스등급 본갈비 / ❣️워커힐 </v>
      </c>
      <c r="D1143">
        <f>정규화데이터!D1143</f>
        <v>143790</v>
      </c>
      <c r="E1143" s="16" t="str">
        <f>정규화데이터!E1143</f>
        <v>SKU001</v>
      </c>
      <c r="F1143" s="3">
        <f>정규화데이터!F1143</f>
        <v>1</v>
      </c>
      <c r="G1143" s="3">
        <f>정규화데이터!G1143</f>
        <v>57272.727272727199</v>
      </c>
      <c r="H1143" s="3">
        <f>정규화데이터!H1143</f>
        <v>62999.999999999927</v>
      </c>
      <c r="I1143" s="3">
        <f>정규화데이터!I1143</f>
        <v>63000</v>
      </c>
      <c r="J1143" s="3">
        <f>정규화데이터!J1143</f>
        <v>57272.727272727199</v>
      </c>
      <c r="K1143" s="25">
        <f>정규화데이터!K1143</f>
        <v>30748</v>
      </c>
      <c r="L1143" s="25">
        <f>정규화데이터!L1143</f>
        <v>30748</v>
      </c>
      <c r="M1143" s="21">
        <f t="shared" si="34"/>
        <v>26524.727272727199</v>
      </c>
      <c r="N1143" s="52">
        <f t="shared" si="35"/>
        <v>0.46313015873015806</v>
      </c>
    </row>
    <row r="1144" spans="1:14" x14ac:dyDescent="0.3">
      <c r="A1144" t="str">
        <f>정규화데이터!A1144</f>
        <v>리씽크</v>
      </c>
      <c r="B1144">
        <f>정규화데이터!B1144</f>
        <v>2.0260205081139E+18</v>
      </c>
      <c r="C1144" t="str">
        <f>정규화데이터!C1144</f>
        <v xml:space="preserve">워커힐 본갈비 3+1 최초❤️5만원대! 총1.2kg✨호텔특제 양념갈비 8인분 (✨1인분 7,375원꼴! / [300g,2인분] x 총 4팩  / ✨초이스등급 본갈비 / ❣️워커힐 </v>
      </c>
      <c r="D1144">
        <f>정규화데이터!D1144</f>
        <v>143790</v>
      </c>
      <c r="E1144" s="16" t="str">
        <f>정규화데이터!E1144</f>
        <v>SKU001</v>
      </c>
      <c r="F1144" s="3">
        <f>정규화데이터!F1144</f>
        <v>1</v>
      </c>
      <c r="G1144" s="3">
        <f>정규화데이터!G1144</f>
        <v>57272.727272727199</v>
      </c>
      <c r="H1144" s="3">
        <f>정규화데이터!H1144</f>
        <v>62999.999999999927</v>
      </c>
      <c r="I1144" s="3">
        <f>정규화데이터!I1144</f>
        <v>63000</v>
      </c>
      <c r="J1144" s="3">
        <f>정규화데이터!J1144</f>
        <v>57272.727272727199</v>
      </c>
      <c r="K1144" s="25">
        <f>정규화데이터!K1144</f>
        <v>30748</v>
      </c>
      <c r="L1144" s="25">
        <f>정규화데이터!L1144</f>
        <v>30748</v>
      </c>
      <c r="M1144" s="21">
        <f t="shared" si="34"/>
        <v>26524.727272727199</v>
      </c>
      <c r="N1144" s="52">
        <f t="shared" si="35"/>
        <v>0.46313015873015806</v>
      </c>
    </row>
    <row r="1145" spans="1:14" x14ac:dyDescent="0.3">
      <c r="A1145" t="str">
        <f>정규화데이터!A1145</f>
        <v>리씽크</v>
      </c>
      <c r="B1145">
        <f>정규화데이터!B1145</f>
        <v>2.0260205080738801E+18</v>
      </c>
      <c r="C1145" t="str">
        <f>정규화데이터!C1145</f>
        <v xml:space="preserve">워커힐 본갈비 3+1 최초❤️5만원대! 총1.2kg✨호텔특제 양념갈비 8인분 (✨1인분 7,375원꼴! / [300g,2인분] x 총 4팩  / ✨초이스등급 본갈비 / ❣️워커힐 </v>
      </c>
      <c r="D1145">
        <f>정규화데이터!D1145</f>
        <v>143790</v>
      </c>
      <c r="E1145" s="16" t="str">
        <f>정규화데이터!E1145</f>
        <v>SKU001</v>
      </c>
      <c r="F1145" s="3">
        <f>정규화데이터!F1145</f>
        <v>1</v>
      </c>
      <c r="G1145" s="3">
        <f>정규화데이터!G1145</f>
        <v>57272.727272727199</v>
      </c>
      <c r="H1145" s="3">
        <f>정규화데이터!H1145</f>
        <v>62999.999999999927</v>
      </c>
      <c r="I1145" s="3">
        <f>정규화데이터!I1145</f>
        <v>63000</v>
      </c>
      <c r="J1145" s="3">
        <f>정규화데이터!J1145</f>
        <v>57272.727272727199</v>
      </c>
      <c r="K1145" s="25">
        <f>정규화데이터!K1145</f>
        <v>30748</v>
      </c>
      <c r="L1145" s="25">
        <f>정규화데이터!L1145</f>
        <v>30748</v>
      </c>
      <c r="M1145" s="21">
        <f t="shared" si="34"/>
        <v>26524.727272727199</v>
      </c>
      <c r="N1145" s="52">
        <f t="shared" si="35"/>
        <v>0.46313015873015806</v>
      </c>
    </row>
    <row r="1146" spans="1:14" x14ac:dyDescent="0.3">
      <c r="A1146" t="str">
        <f>정규화데이터!A1146</f>
        <v>리씽크</v>
      </c>
      <c r="B1146">
        <f>정규화데이터!B1146</f>
        <v>2.02602050803411E+18</v>
      </c>
      <c r="C1146" t="str">
        <f>정규화데이터!C1146</f>
        <v xml:space="preserve">워커힐 본갈비 3+1 최초❤️5만원대! 총1.2kg✨호텔특제 양념갈비 8인분 (✨1인분 7,375원꼴! / [300g,2인분] x 총 4팩  / ✨초이스등급 본갈비 / ❣️워커힐 </v>
      </c>
      <c r="D1146">
        <f>정규화데이터!D1146</f>
        <v>143790</v>
      </c>
      <c r="E1146" s="16" t="str">
        <f>정규화데이터!E1146</f>
        <v>SKU001</v>
      </c>
      <c r="F1146" s="3">
        <f>정규화데이터!F1146</f>
        <v>1</v>
      </c>
      <c r="G1146" s="3">
        <f>정규화데이터!G1146</f>
        <v>57272.727272727199</v>
      </c>
      <c r="H1146" s="3">
        <f>정규화데이터!H1146</f>
        <v>62999.999999999927</v>
      </c>
      <c r="I1146" s="3">
        <f>정규화데이터!I1146</f>
        <v>63000</v>
      </c>
      <c r="J1146" s="3">
        <f>정규화데이터!J1146</f>
        <v>57272.727272727199</v>
      </c>
      <c r="K1146" s="25">
        <f>정규화데이터!K1146</f>
        <v>30748</v>
      </c>
      <c r="L1146" s="25">
        <f>정규화데이터!L1146</f>
        <v>30748</v>
      </c>
      <c r="M1146" s="21">
        <f t="shared" si="34"/>
        <v>26524.727272727199</v>
      </c>
      <c r="N1146" s="52">
        <f t="shared" si="35"/>
        <v>0.46313015873015806</v>
      </c>
    </row>
    <row r="1147" spans="1:14" x14ac:dyDescent="0.3">
      <c r="A1147" t="str">
        <f>정규화데이터!A1147</f>
        <v>리씽크</v>
      </c>
      <c r="B1147">
        <f>정규화데이터!B1147</f>
        <v>2.0260205080335401E+18</v>
      </c>
      <c r="C1147" t="str">
        <f>정규화데이터!C1147</f>
        <v xml:space="preserve">워커힐 본갈비 3+1 최초❤️5만원대! 총1.2kg✨호텔특제 양념갈비 8인분 (✨1인분 7,375원꼴! / [300g,2인분] x 총 4팩  / ✨초이스등급 본갈비 / ❣️워커힐 </v>
      </c>
      <c r="D1147">
        <f>정규화데이터!D1147</f>
        <v>143790</v>
      </c>
      <c r="E1147" s="16" t="str">
        <f>정규화데이터!E1147</f>
        <v>SKU001</v>
      </c>
      <c r="F1147" s="3">
        <f>정규화데이터!F1147</f>
        <v>1</v>
      </c>
      <c r="G1147" s="3">
        <f>정규화데이터!G1147</f>
        <v>57272.727272727199</v>
      </c>
      <c r="H1147" s="3">
        <f>정규화데이터!H1147</f>
        <v>62999.999999999927</v>
      </c>
      <c r="I1147" s="3">
        <f>정규화데이터!I1147</f>
        <v>63000</v>
      </c>
      <c r="J1147" s="3">
        <f>정규화데이터!J1147</f>
        <v>57272.727272727199</v>
      </c>
      <c r="K1147" s="25">
        <f>정규화데이터!K1147</f>
        <v>30748</v>
      </c>
      <c r="L1147" s="25">
        <f>정규화데이터!L1147</f>
        <v>30748</v>
      </c>
      <c r="M1147" s="21">
        <f t="shared" si="34"/>
        <v>26524.727272727199</v>
      </c>
      <c r="N1147" s="52">
        <f t="shared" si="35"/>
        <v>0.46313015873015806</v>
      </c>
    </row>
    <row r="1148" spans="1:14" x14ac:dyDescent="0.3">
      <c r="A1148" t="str">
        <f>정규화데이터!A1148</f>
        <v>리씽크</v>
      </c>
      <c r="B1148">
        <f>정규화데이터!B1148</f>
        <v>2.0260205080136699E+18</v>
      </c>
      <c r="C1148" t="str">
        <f>정규화데이터!C1148</f>
        <v xml:space="preserve">워커힐 본갈비 3+1 최초❤️5만원대! 총1.2kg✨호텔특제 양념갈비 8인분 (✨1인분 7,375원꼴! / [300g,2인분] x 총 4팩  / ✨초이스등급 본갈비 / ❣️워커힐 </v>
      </c>
      <c r="D1148">
        <f>정규화데이터!D1148</f>
        <v>143790</v>
      </c>
      <c r="E1148" s="16" t="str">
        <f>정규화데이터!E1148</f>
        <v>SKU001</v>
      </c>
      <c r="F1148" s="3">
        <f>정규화데이터!F1148</f>
        <v>1</v>
      </c>
      <c r="G1148" s="3">
        <f>정규화데이터!G1148</f>
        <v>57272.727272727199</v>
      </c>
      <c r="H1148" s="3">
        <f>정규화데이터!H1148</f>
        <v>62999.999999999927</v>
      </c>
      <c r="I1148" s="3">
        <f>정규화데이터!I1148</f>
        <v>63000</v>
      </c>
      <c r="J1148" s="3">
        <f>정규화데이터!J1148</f>
        <v>57272.727272727199</v>
      </c>
      <c r="K1148" s="25">
        <f>정규화데이터!K1148</f>
        <v>30748</v>
      </c>
      <c r="L1148" s="25">
        <f>정규화데이터!L1148</f>
        <v>30748</v>
      </c>
      <c r="M1148" s="21">
        <f t="shared" si="34"/>
        <v>26524.727272727199</v>
      </c>
      <c r="N1148" s="52">
        <f t="shared" si="35"/>
        <v>0.46313015873015806</v>
      </c>
    </row>
    <row r="1149" spans="1:14" x14ac:dyDescent="0.3">
      <c r="A1149" t="str">
        <f>정규화데이터!A1149</f>
        <v>리씽크</v>
      </c>
      <c r="B1149">
        <f>정규화데이터!B1149</f>
        <v>2.0260205075749801E+18</v>
      </c>
      <c r="C1149" t="str">
        <f>정규화데이터!C1149</f>
        <v xml:space="preserve">워커힐 본갈비 3+1 최초❤️5만원대! 총1.2kg✨호텔특제 양념갈비 8인분 (✨1인분 7,375원꼴! / [300g,2인분] x 총 4팩  / ✨초이스등급 본갈비 / ❣️워커힐 </v>
      </c>
      <c r="D1149">
        <f>정규화데이터!D1149</f>
        <v>143790</v>
      </c>
      <c r="E1149" s="16" t="str">
        <f>정규화데이터!E1149</f>
        <v>SKU001</v>
      </c>
      <c r="F1149" s="3">
        <f>정규화데이터!F1149</f>
        <v>1</v>
      </c>
      <c r="G1149" s="3">
        <f>정규화데이터!G1149</f>
        <v>57272.727272727199</v>
      </c>
      <c r="H1149" s="3">
        <f>정규화데이터!H1149</f>
        <v>62999.999999999927</v>
      </c>
      <c r="I1149" s="3">
        <f>정규화데이터!I1149</f>
        <v>63000</v>
      </c>
      <c r="J1149" s="3">
        <f>정규화데이터!J1149</f>
        <v>57272.727272727199</v>
      </c>
      <c r="K1149" s="25">
        <f>정규화데이터!K1149</f>
        <v>30748</v>
      </c>
      <c r="L1149" s="25">
        <f>정규화데이터!L1149</f>
        <v>30748</v>
      </c>
      <c r="M1149" s="21">
        <f t="shared" si="34"/>
        <v>26524.727272727199</v>
      </c>
      <c r="N1149" s="52">
        <f t="shared" si="35"/>
        <v>0.46313015873015806</v>
      </c>
    </row>
    <row r="1150" spans="1:14" x14ac:dyDescent="0.3">
      <c r="A1150" t="str">
        <f>정규화데이터!A1150</f>
        <v>리씽크</v>
      </c>
      <c r="B1150">
        <f>정규화데이터!B1150</f>
        <v>2.0260205075941901E+18</v>
      </c>
      <c r="C1150" t="str">
        <f>정규화데이터!C1150</f>
        <v xml:space="preserve">워커힐 본갈비 3+1 최초❤️5만원대! 총1.2kg✨호텔특제 양념갈비 8인분 (✨1인분 7,375원꼴! / [300g,2인분] x 총 4팩  / ✨초이스등급 본갈비 / ❣️워커힐 </v>
      </c>
      <c r="D1150">
        <f>정규화데이터!D1150</f>
        <v>143790</v>
      </c>
      <c r="E1150" s="16" t="str">
        <f>정규화데이터!E1150</f>
        <v>SKU001</v>
      </c>
      <c r="F1150" s="3">
        <f>정규화데이터!F1150</f>
        <v>1</v>
      </c>
      <c r="G1150" s="3">
        <f>정규화데이터!G1150</f>
        <v>57272.727272727199</v>
      </c>
      <c r="H1150" s="3">
        <f>정규화데이터!H1150</f>
        <v>62999.999999999927</v>
      </c>
      <c r="I1150" s="3">
        <f>정규화데이터!I1150</f>
        <v>63000</v>
      </c>
      <c r="J1150" s="3">
        <f>정규화데이터!J1150</f>
        <v>57272.727272727199</v>
      </c>
      <c r="K1150" s="25">
        <f>정규화데이터!K1150</f>
        <v>30748</v>
      </c>
      <c r="L1150" s="25">
        <f>정규화데이터!L1150</f>
        <v>30748</v>
      </c>
      <c r="M1150" s="21">
        <f t="shared" si="34"/>
        <v>26524.727272727199</v>
      </c>
      <c r="N1150" s="52">
        <f t="shared" si="35"/>
        <v>0.46313015873015806</v>
      </c>
    </row>
    <row r="1151" spans="1:14" x14ac:dyDescent="0.3">
      <c r="A1151" t="str">
        <f>정규화데이터!A1151</f>
        <v>리씽크</v>
      </c>
      <c r="B1151">
        <f>정규화데이터!B1151</f>
        <v>2.0260205075624499E+18</v>
      </c>
      <c r="C1151" t="str">
        <f>정규화데이터!C1151</f>
        <v xml:space="preserve">워커힐 본갈비 3+1 최초❤️5만원대! 총1.2kg✨호텔특제 양념갈비 8인분 (✨1인분 7,375원꼴! / [300g,2인분] x 총 4팩  / ✨초이스등급 본갈비 / ❣️워커힐 </v>
      </c>
      <c r="D1151">
        <f>정규화데이터!D1151</f>
        <v>143790</v>
      </c>
      <c r="E1151" s="16" t="str">
        <f>정규화데이터!E1151</f>
        <v>SKU001</v>
      </c>
      <c r="F1151" s="3">
        <f>정규화데이터!F1151</f>
        <v>1</v>
      </c>
      <c r="G1151" s="3">
        <f>정규화데이터!G1151</f>
        <v>57272.727272727199</v>
      </c>
      <c r="H1151" s="3">
        <f>정규화데이터!H1151</f>
        <v>62999.999999999927</v>
      </c>
      <c r="I1151" s="3">
        <f>정규화데이터!I1151</f>
        <v>63000</v>
      </c>
      <c r="J1151" s="3">
        <f>정규화데이터!J1151</f>
        <v>57272.727272727199</v>
      </c>
      <c r="K1151" s="25">
        <f>정규화데이터!K1151</f>
        <v>30748</v>
      </c>
      <c r="L1151" s="25">
        <f>정규화데이터!L1151</f>
        <v>30748</v>
      </c>
      <c r="M1151" s="21">
        <f t="shared" si="34"/>
        <v>26524.727272727199</v>
      </c>
      <c r="N1151" s="52">
        <f t="shared" si="35"/>
        <v>0.46313015873015806</v>
      </c>
    </row>
    <row r="1152" spans="1:14" x14ac:dyDescent="0.3">
      <c r="A1152" t="str">
        <f>정규화데이터!A1152</f>
        <v>리씽크</v>
      </c>
      <c r="B1152">
        <f>정규화데이터!B1152</f>
        <v>2.0260205075831199E+18</v>
      </c>
      <c r="C1152" t="str">
        <f>정규화데이터!C1152</f>
        <v xml:space="preserve">워커힐 본갈비 3+1 최초❤️5만원대! 총1.2kg✨호텔특제 양념갈비 8인분 (✨1인분 7,375원꼴! / [300g,2인분] x 총 4팩  / ✨초이스등급 본갈비 / ❣️워커힐 </v>
      </c>
      <c r="D1152">
        <f>정규화데이터!D1152</f>
        <v>143790</v>
      </c>
      <c r="E1152" s="16" t="str">
        <f>정규화데이터!E1152</f>
        <v>SKU001</v>
      </c>
      <c r="F1152" s="3">
        <f>정규화데이터!F1152</f>
        <v>1</v>
      </c>
      <c r="G1152" s="3">
        <f>정규화데이터!G1152</f>
        <v>57272.727272727199</v>
      </c>
      <c r="H1152" s="3">
        <f>정규화데이터!H1152</f>
        <v>62999.999999999927</v>
      </c>
      <c r="I1152" s="3">
        <f>정규화데이터!I1152</f>
        <v>63000</v>
      </c>
      <c r="J1152" s="3">
        <f>정규화데이터!J1152</f>
        <v>57272.727272727199</v>
      </c>
      <c r="K1152" s="25">
        <f>정규화데이터!K1152</f>
        <v>30748</v>
      </c>
      <c r="L1152" s="25">
        <f>정규화데이터!L1152</f>
        <v>30748</v>
      </c>
      <c r="M1152" s="21">
        <f t="shared" si="34"/>
        <v>26524.727272727199</v>
      </c>
      <c r="N1152" s="52">
        <f t="shared" si="35"/>
        <v>0.46313015873015806</v>
      </c>
    </row>
    <row r="1153" spans="1:14" x14ac:dyDescent="0.3">
      <c r="A1153" t="str">
        <f>정규화데이터!A1153</f>
        <v>리씽크</v>
      </c>
      <c r="B1153">
        <f>정규화데이터!B1153</f>
        <v>2.0260205075626701E+18</v>
      </c>
      <c r="C1153" t="str">
        <f>정규화데이터!C1153</f>
        <v xml:space="preserve">워커힐 본갈비 3+1 최초❤️5만원대! 총1.2kg✨호텔특제 양념갈비 8인분 (✨1인분 7,375원꼴! / [300g,2인분] x 총 4팩  / ✨초이스등급 본갈비 / ❣️워커힐 </v>
      </c>
      <c r="D1153">
        <f>정규화데이터!D1153</f>
        <v>143790</v>
      </c>
      <c r="E1153" s="16" t="str">
        <f>정규화데이터!E1153</f>
        <v>SKU001</v>
      </c>
      <c r="F1153" s="3">
        <f>정규화데이터!F1153</f>
        <v>1</v>
      </c>
      <c r="G1153" s="3">
        <f>정규화데이터!G1153</f>
        <v>57272.727272727199</v>
      </c>
      <c r="H1153" s="3">
        <f>정규화데이터!H1153</f>
        <v>62999.999999999927</v>
      </c>
      <c r="I1153" s="3">
        <f>정규화데이터!I1153</f>
        <v>63000</v>
      </c>
      <c r="J1153" s="3">
        <f>정규화데이터!J1153</f>
        <v>57272.727272727199</v>
      </c>
      <c r="K1153" s="25">
        <f>정규화데이터!K1153</f>
        <v>30748</v>
      </c>
      <c r="L1153" s="25">
        <f>정규화데이터!L1153</f>
        <v>30748</v>
      </c>
      <c r="M1153" s="21">
        <f t="shared" si="34"/>
        <v>26524.727272727199</v>
      </c>
      <c r="N1153" s="52">
        <f t="shared" si="35"/>
        <v>0.46313015873015806</v>
      </c>
    </row>
    <row r="1154" spans="1:14" x14ac:dyDescent="0.3">
      <c r="A1154" t="str">
        <f>정규화데이터!A1154</f>
        <v>리씽크</v>
      </c>
      <c r="B1154">
        <f>정규화데이터!B1154</f>
        <v>2.0260205074725499E+18</v>
      </c>
      <c r="C1154" t="str">
        <f>정규화데이터!C1154</f>
        <v xml:space="preserve">워커힐 본갈비 3+1 최초❤️5만원대! 총1.2kg✨호텔특제 양념갈비 8인분 (✨1인분 7,375원꼴! / [300g,2인분] x 총 4팩  / ✨초이스등급 본갈비 / ❣️워커힐 </v>
      </c>
      <c r="D1154">
        <f>정규화데이터!D1154</f>
        <v>143790</v>
      </c>
      <c r="E1154" s="16" t="str">
        <f>정규화데이터!E1154</f>
        <v>SKU001</v>
      </c>
      <c r="F1154" s="3">
        <f>정규화데이터!F1154</f>
        <v>1</v>
      </c>
      <c r="G1154" s="3">
        <f>정규화데이터!G1154</f>
        <v>57272.727272727199</v>
      </c>
      <c r="H1154" s="3">
        <f>정규화데이터!H1154</f>
        <v>62999.999999999927</v>
      </c>
      <c r="I1154" s="3">
        <f>정규화데이터!I1154</f>
        <v>63000</v>
      </c>
      <c r="J1154" s="3">
        <f>정규화데이터!J1154</f>
        <v>57272.727272727199</v>
      </c>
      <c r="K1154" s="25">
        <f>정규화데이터!K1154</f>
        <v>30748</v>
      </c>
      <c r="L1154" s="25">
        <f>정규화데이터!L1154</f>
        <v>30748</v>
      </c>
      <c r="M1154" s="21">
        <f t="shared" si="34"/>
        <v>26524.727272727199</v>
      </c>
      <c r="N1154" s="52">
        <f t="shared" si="35"/>
        <v>0.46313015873015806</v>
      </c>
    </row>
    <row r="1155" spans="1:14" x14ac:dyDescent="0.3">
      <c r="A1155" t="str">
        <f>정규화데이터!A1155</f>
        <v>리씽크</v>
      </c>
      <c r="B1155">
        <f>정규화데이터!B1155</f>
        <v>2.0260205071013E+18</v>
      </c>
      <c r="C1155" t="str">
        <f>정규화데이터!C1155</f>
        <v xml:space="preserve">워커힐 본갈비 3+1 최초❤️5만원대! 총1.2kg✨호텔특제 양념갈비 8인분 (✨1인분 7,375원꼴! / [300g,2인분] x 총 4팩  / ✨초이스등급 본갈비 / ❣️워커힐 </v>
      </c>
      <c r="D1155">
        <f>정규화데이터!D1155</f>
        <v>143790</v>
      </c>
      <c r="E1155" s="16" t="str">
        <f>정규화데이터!E1155</f>
        <v>SKU001</v>
      </c>
      <c r="F1155" s="3">
        <f>정규화데이터!F1155</f>
        <v>2</v>
      </c>
      <c r="G1155" s="3">
        <f>정규화데이터!G1155</f>
        <v>57272.727272727003</v>
      </c>
      <c r="H1155" s="3">
        <f>정규화데이터!H1155</f>
        <v>125999.99999999942</v>
      </c>
      <c r="I1155" s="3">
        <f>정규화데이터!I1155</f>
        <v>126000</v>
      </c>
      <c r="J1155" s="3">
        <f>정규화데이터!J1155</f>
        <v>114545.45454545401</v>
      </c>
      <c r="K1155" s="25">
        <f>정규화데이터!K1155</f>
        <v>30748</v>
      </c>
      <c r="L1155" s="25">
        <f>정규화데이터!L1155</f>
        <v>61496</v>
      </c>
      <c r="M1155" s="21">
        <f t="shared" ref="M1155:M1218" si="36">J1155-L1155</f>
        <v>53049.454545454006</v>
      </c>
      <c r="N1155" s="52">
        <f t="shared" ref="N1155:N1218" si="37">IF(J1155=0,0,M1155/J1155)</f>
        <v>0.46313015873015623</v>
      </c>
    </row>
    <row r="1156" spans="1:14" x14ac:dyDescent="0.3">
      <c r="A1156" t="str">
        <f>정규화데이터!A1156</f>
        <v>리씽크</v>
      </c>
      <c r="B1156">
        <f>정규화데이터!B1156</f>
        <v>2.0260205070754801E+18</v>
      </c>
      <c r="C1156" t="str">
        <f>정규화데이터!C1156</f>
        <v xml:space="preserve">워커힐 본갈비 3+1 최초❤️5만원대! 총1.2kg✨호텔특제 양념갈비 8인분 (✨1인분 7,375원꼴! / [300g,2인분] x 총 4팩  / ✨초이스등급 본갈비 / ❣️워커힐 </v>
      </c>
      <c r="D1156">
        <f>정규화데이터!D1156</f>
        <v>143790</v>
      </c>
      <c r="E1156" s="16" t="str">
        <f>정규화데이터!E1156</f>
        <v>SKU001</v>
      </c>
      <c r="F1156" s="3">
        <f>정규화데이터!F1156</f>
        <v>2</v>
      </c>
      <c r="G1156" s="3">
        <f>정규화데이터!G1156</f>
        <v>57272.727272727003</v>
      </c>
      <c r="H1156" s="3">
        <f>정규화데이터!H1156</f>
        <v>125999.99999999942</v>
      </c>
      <c r="I1156" s="3">
        <f>정규화데이터!I1156</f>
        <v>126000</v>
      </c>
      <c r="J1156" s="3">
        <f>정규화데이터!J1156</f>
        <v>114545.45454545401</v>
      </c>
      <c r="K1156" s="25">
        <f>정규화데이터!K1156</f>
        <v>30748</v>
      </c>
      <c r="L1156" s="25">
        <f>정규화데이터!L1156</f>
        <v>61496</v>
      </c>
      <c r="M1156" s="21">
        <f t="shared" si="36"/>
        <v>53049.454545454006</v>
      </c>
      <c r="N1156" s="52">
        <f t="shared" si="37"/>
        <v>0.46313015873015623</v>
      </c>
    </row>
    <row r="1157" spans="1:14" x14ac:dyDescent="0.3">
      <c r="A1157" t="str">
        <f>정규화데이터!A1157</f>
        <v>리씽크</v>
      </c>
      <c r="B1157">
        <f>정규화데이터!B1157</f>
        <v>2.02602050653391E+18</v>
      </c>
      <c r="C1157" t="str">
        <f>정규화데이터!C1157</f>
        <v xml:space="preserve">워커힐 본갈비 3+1 최초❤️5만원대! 총1.2kg✨호텔특제 양념갈비 8인분 (✨1인분 7,375원꼴! / [300g,2인분] x 총 4팩  / ✨초이스등급 본갈비 / ❣️워커힐 </v>
      </c>
      <c r="D1157">
        <f>정규화데이터!D1157</f>
        <v>143790</v>
      </c>
      <c r="E1157" s="16" t="str">
        <f>정규화데이터!E1157</f>
        <v>SKU001</v>
      </c>
      <c r="F1157" s="3">
        <f>정규화데이터!F1157</f>
        <v>1</v>
      </c>
      <c r="G1157" s="3">
        <f>정규화데이터!G1157</f>
        <v>57272.727272727199</v>
      </c>
      <c r="H1157" s="3">
        <f>정규화데이터!H1157</f>
        <v>62999.999999999927</v>
      </c>
      <c r="I1157" s="3">
        <f>정규화데이터!I1157</f>
        <v>63000</v>
      </c>
      <c r="J1157" s="3">
        <f>정규화데이터!J1157</f>
        <v>57272.727272727199</v>
      </c>
      <c r="K1157" s="25">
        <f>정규화데이터!K1157</f>
        <v>30748</v>
      </c>
      <c r="L1157" s="25">
        <f>정규화데이터!L1157</f>
        <v>30748</v>
      </c>
      <c r="M1157" s="21">
        <f t="shared" si="36"/>
        <v>26524.727272727199</v>
      </c>
      <c r="N1157" s="52">
        <f t="shared" si="37"/>
        <v>0.46313015873015806</v>
      </c>
    </row>
    <row r="1158" spans="1:14" x14ac:dyDescent="0.3">
      <c r="A1158" t="str">
        <f>정규화데이터!A1158</f>
        <v>리씽크</v>
      </c>
      <c r="B1158">
        <f>정규화데이터!B1158</f>
        <v>2.02602050649087E+18</v>
      </c>
      <c r="C1158" t="str">
        <f>정규화데이터!C1158</f>
        <v xml:space="preserve">워커힐 본갈비 3+1 최초❤️5만원대! 총1.2kg✨호텔특제 양념갈비 8인분 (✨1인분 7,375원꼴! / [300g,2인분] x 총 4팩  / ✨초이스등급 본갈비 / ❣️워커힐 </v>
      </c>
      <c r="D1158">
        <f>정규화데이터!D1158</f>
        <v>143790</v>
      </c>
      <c r="E1158" s="16" t="str">
        <f>정규화데이터!E1158</f>
        <v>SKU001</v>
      </c>
      <c r="F1158" s="3">
        <f>정규화데이터!F1158</f>
        <v>1</v>
      </c>
      <c r="G1158" s="3">
        <f>정규화데이터!G1158</f>
        <v>57272.727272727199</v>
      </c>
      <c r="H1158" s="3">
        <f>정규화데이터!H1158</f>
        <v>62999.999999999927</v>
      </c>
      <c r="I1158" s="3">
        <f>정규화데이터!I1158</f>
        <v>63000</v>
      </c>
      <c r="J1158" s="3">
        <f>정규화데이터!J1158</f>
        <v>57272.727272727199</v>
      </c>
      <c r="K1158" s="25">
        <f>정규화데이터!K1158</f>
        <v>30748</v>
      </c>
      <c r="L1158" s="25">
        <f>정규화데이터!L1158</f>
        <v>30748</v>
      </c>
      <c r="M1158" s="21">
        <f t="shared" si="36"/>
        <v>26524.727272727199</v>
      </c>
      <c r="N1158" s="52">
        <f t="shared" si="37"/>
        <v>0.46313015873015806</v>
      </c>
    </row>
    <row r="1159" spans="1:14" x14ac:dyDescent="0.3">
      <c r="A1159" t="str">
        <f>정규화데이터!A1159</f>
        <v>리씽크</v>
      </c>
      <c r="B1159">
        <f>정규화데이터!B1159</f>
        <v>2.02602050646205E+18</v>
      </c>
      <c r="C1159" t="str">
        <f>정규화데이터!C1159</f>
        <v xml:space="preserve">워커힐 본갈비 3+1 최초❤️5만원대! 총1.2kg✨호텔특제 양념갈비 8인분 (✨1인분 7,375원꼴! / [300g,2인분] x 총 4팩  / ✨초이스등급 본갈비 / ❣️워커힐 </v>
      </c>
      <c r="D1159">
        <f>정규화데이터!D1159</f>
        <v>143790</v>
      </c>
      <c r="E1159" s="16" t="str">
        <f>정규화데이터!E1159</f>
        <v>SKU001</v>
      </c>
      <c r="F1159" s="3">
        <f>정규화데이터!F1159</f>
        <v>1</v>
      </c>
      <c r="G1159" s="3">
        <f>정규화데이터!G1159</f>
        <v>57272.727272727199</v>
      </c>
      <c r="H1159" s="3">
        <f>정규화데이터!H1159</f>
        <v>62999.999999999927</v>
      </c>
      <c r="I1159" s="3">
        <f>정규화데이터!I1159</f>
        <v>63000</v>
      </c>
      <c r="J1159" s="3">
        <f>정규화데이터!J1159</f>
        <v>57272.727272727199</v>
      </c>
      <c r="K1159" s="25">
        <f>정규화데이터!K1159</f>
        <v>30748</v>
      </c>
      <c r="L1159" s="25">
        <f>정규화데이터!L1159</f>
        <v>30748</v>
      </c>
      <c r="M1159" s="21">
        <f t="shared" si="36"/>
        <v>26524.727272727199</v>
      </c>
      <c r="N1159" s="52">
        <f t="shared" si="37"/>
        <v>0.46313015873015806</v>
      </c>
    </row>
    <row r="1160" spans="1:14" x14ac:dyDescent="0.3">
      <c r="A1160" t="str">
        <f>정규화데이터!A1160</f>
        <v>리씽크</v>
      </c>
      <c r="B1160">
        <f>정규화데이터!B1160</f>
        <v>2.02602050645309E+18</v>
      </c>
      <c r="C1160" t="str">
        <f>정규화데이터!C1160</f>
        <v xml:space="preserve">워커힐 본갈비 3+1 최초❤️5만원대! 총1.2kg✨호텔특제 양념갈비 8인분 (✨1인분 7,375원꼴! / [300g,2인분] x 총 4팩  / ✨초이스등급 본갈비 / ❣️워커힐 </v>
      </c>
      <c r="D1160">
        <f>정규화데이터!D1160</f>
        <v>143790</v>
      </c>
      <c r="E1160" s="16" t="str">
        <f>정규화데이터!E1160</f>
        <v>SKU001</v>
      </c>
      <c r="F1160" s="3">
        <f>정규화데이터!F1160</f>
        <v>1</v>
      </c>
      <c r="G1160" s="3">
        <f>정규화데이터!G1160</f>
        <v>57272.727272727199</v>
      </c>
      <c r="H1160" s="3">
        <f>정규화데이터!H1160</f>
        <v>62999.999999999927</v>
      </c>
      <c r="I1160" s="3">
        <f>정규화데이터!I1160</f>
        <v>63000</v>
      </c>
      <c r="J1160" s="3">
        <f>정규화데이터!J1160</f>
        <v>57272.727272727199</v>
      </c>
      <c r="K1160" s="25">
        <f>정규화데이터!K1160</f>
        <v>30748</v>
      </c>
      <c r="L1160" s="25">
        <f>정규화데이터!L1160</f>
        <v>30748</v>
      </c>
      <c r="M1160" s="21">
        <f t="shared" si="36"/>
        <v>26524.727272727199</v>
      </c>
      <c r="N1160" s="52">
        <f t="shared" si="37"/>
        <v>0.46313015873015806</v>
      </c>
    </row>
    <row r="1161" spans="1:14" x14ac:dyDescent="0.3">
      <c r="A1161" t="str">
        <f>정규화데이터!A1161</f>
        <v>리씽크</v>
      </c>
      <c r="B1161">
        <f>정규화데이터!B1161</f>
        <v>2.0260205013435699E+18</v>
      </c>
      <c r="C1161" t="str">
        <f>정규화데이터!C1161</f>
        <v xml:space="preserve">워커힐 본갈비 3+1 최초❤️5만원대! 총1.2kg✨호텔특제 양념갈비 8인분 (✨1인분 7,375원꼴! / [300g,2인분] x 총 4팩  / ✨초이스등급 본갈비 / ❣️워커힐 </v>
      </c>
      <c r="D1161">
        <f>정규화데이터!D1161</f>
        <v>143790</v>
      </c>
      <c r="E1161" s="16" t="str">
        <f>정규화데이터!E1161</f>
        <v>SKU001</v>
      </c>
      <c r="F1161" s="3">
        <f>정규화데이터!F1161</f>
        <v>1</v>
      </c>
      <c r="G1161" s="3">
        <f>정규화데이터!G1161</f>
        <v>57272.727272727199</v>
      </c>
      <c r="H1161" s="3">
        <f>정규화데이터!H1161</f>
        <v>62999.999999999927</v>
      </c>
      <c r="I1161" s="3">
        <f>정규화데이터!I1161</f>
        <v>63000</v>
      </c>
      <c r="J1161" s="3">
        <f>정규화데이터!J1161</f>
        <v>57272.727272727199</v>
      </c>
      <c r="K1161" s="25">
        <f>정규화데이터!K1161</f>
        <v>30748</v>
      </c>
      <c r="L1161" s="25">
        <f>정규화데이터!L1161</f>
        <v>30748</v>
      </c>
      <c r="M1161" s="21">
        <f t="shared" si="36"/>
        <v>26524.727272727199</v>
      </c>
      <c r="N1161" s="52">
        <f t="shared" si="37"/>
        <v>0.46313015873015806</v>
      </c>
    </row>
    <row r="1162" spans="1:14" x14ac:dyDescent="0.3">
      <c r="A1162" t="str">
        <f>정규화데이터!A1162</f>
        <v>리씽크</v>
      </c>
      <c r="B1162">
        <f>정규화데이터!B1162</f>
        <v>2.02602050029571E+18</v>
      </c>
      <c r="C1162" t="str">
        <f>정규화데이터!C1162</f>
        <v xml:space="preserve">워커힐 본갈비 3+1 최초❤️5만원대! 총1.2kg✨호텔특제 양념갈비 8인분 (✨1인분 7,375원꼴! / [300g,2인분] x 총 4팩  / ✨초이스등급 본갈비 / ❣️워커힐 </v>
      </c>
      <c r="D1162">
        <f>정규화데이터!D1162</f>
        <v>143790</v>
      </c>
      <c r="E1162" s="16" t="str">
        <f>정규화데이터!E1162</f>
        <v>SKU001</v>
      </c>
      <c r="F1162" s="3">
        <f>정규화데이터!F1162</f>
        <v>1</v>
      </c>
      <c r="G1162" s="3">
        <f>정규화데이터!G1162</f>
        <v>57272.727272727199</v>
      </c>
      <c r="H1162" s="3">
        <f>정규화데이터!H1162</f>
        <v>62999.999999999927</v>
      </c>
      <c r="I1162" s="3">
        <f>정규화데이터!I1162</f>
        <v>63000</v>
      </c>
      <c r="J1162" s="3">
        <f>정규화데이터!J1162</f>
        <v>57272.727272727199</v>
      </c>
      <c r="K1162" s="25">
        <f>정규화데이터!K1162</f>
        <v>30748</v>
      </c>
      <c r="L1162" s="25">
        <f>정규화데이터!L1162</f>
        <v>30748</v>
      </c>
      <c r="M1162" s="21">
        <f t="shared" si="36"/>
        <v>26524.727272727199</v>
      </c>
      <c r="N1162" s="52">
        <f t="shared" si="37"/>
        <v>0.46313015873015806</v>
      </c>
    </row>
    <row r="1163" spans="1:14" x14ac:dyDescent="0.3">
      <c r="A1163" t="str">
        <f>정규화데이터!A1163</f>
        <v>리씽크</v>
      </c>
      <c r="B1163">
        <f>정규화데이터!B1163</f>
        <v>2.02602042300317E+18</v>
      </c>
      <c r="C1163" t="str">
        <f>정규화데이터!C1163</f>
        <v xml:space="preserve">워커힐 본갈비 3+1 최초❤️5만원대! 총1.2kg✨호텔특제 양념갈비 8인분 (✨1인분 7,375원꼴! / [300g,2인분] x 총 4팩  / ✨초이스등급 본갈비 / ❣️워커힐 </v>
      </c>
      <c r="D1163">
        <f>정규화데이터!D1163</f>
        <v>143790</v>
      </c>
      <c r="E1163" s="16" t="str">
        <f>정규화데이터!E1163</f>
        <v>SKU001</v>
      </c>
      <c r="F1163" s="3">
        <f>정규화데이터!F1163</f>
        <v>1</v>
      </c>
      <c r="G1163" s="3">
        <f>정규화데이터!G1163</f>
        <v>57272.727272727199</v>
      </c>
      <c r="H1163" s="3">
        <f>정규화데이터!H1163</f>
        <v>62999.999999999927</v>
      </c>
      <c r="I1163" s="3">
        <f>정규화데이터!I1163</f>
        <v>63000</v>
      </c>
      <c r="J1163" s="3">
        <f>정규화데이터!J1163</f>
        <v>57272.727272727199</v>
      </c>
      <c r="K1163" s="25">
        <f>정규화데이터!K1163</f>
        <v>30748</v>
      </c>
      <c r="L1163" s="25">
        <f>정규화데이터!L1163</f>
        <v>30748</v>
      </c>
      <c r="M1163" s="21">
        <f t="shared" si="36"/>
        <v>26524.727272727199</v>
      </c>
      <c r="N1163" s="52">
        <f t="shared" si="37"/>
        <v>0.46313015873015806</v>
      </c>
    </row>
    <row r="1164" spans="1:14" x14ac:dyDescent="0.3">
      <c r="A1164" t="str">
        <f>정규화데이터!A1164</f>
        <v>리씽크</v>
      </c>
      <c r="B1164">
        <f>정규화데이터!B1164</f>
        <v>2.0260204221906099E+18</v>
      </c>
      <c r="C1164" t="str">
        <f>정규화데이터!C1164</f>
        <v xml:space="preserve">워커힐 본갈비 3+1 최초❤️5만원대! 총1.2kg✨호텔특제 양념갈비 8인분 (✨1인분 7,375원꼴! / [300g,2인분] x 총 4팩  / ✨초이스등급 본갈비 / ❣️워커힐 </v>
      </c>
      <c r="D1164">
        <f>정규화데이터!D1164</f>
        <v>143790</v>
      </c>
      <c r="E1164" s="16" t="str">
        <f>정규화데이터!E1164</f>
        <v>SKU001</v>
      </c>
      <c r="F1164" s="3">
        <f>정규화데이터!F1164</f>
        <v>1</v>
      </c>
      <c r="G1164" s="3">
        <f>정규화데이터!G1164</f>
        <v>57272.727272727199</v>
      </c>
      <c r="H1164" s="3">
        <f>정규화데이터!H1164</f>
        <v>62999.999999999927</v>
      </c>
      <c r="I1164" s="3">
        <f>정규화데이터!I1164</f>
        <v>63000</v>
      </c>
      <c r="J1164" s="3">
        <f>정규화데이터!J1164</f>
        <v>57272.727272727199</v>
      </c>
      <c r="K1164" s="25">
        <f>정규화데이터!K1164</f>
        <v>30748</v>
      </c>
      <c r="L1164" s="25">
        <f>정규화데이터!L1164</f>
        <v>30748</v>
      </c>
      <c r="M1164" s="21">
        <f t="shared" si="36"/>
        <v>26524.727272727199</v>
      </c>
      <c r="N1164" s="52">
        <f t="shared" si="37"/>
        <v>0.46313015873015806</v>
      </c>
    </row>
    <row r="1165" spans="1:14" x14ac:dyDescent="0.3">
      <c r="A1165" t="str">
        <f>정규화데이터!A1165</f>
        <v>리씽크</v>
      </c>
      <c r="B1165">
        <f>정규화데이터!B1165</f>
        <v>2.0260205075749701E+18</v>
      </c>
      <c r="C1165" t="str">
        <f>정규화데이터!C1165</f>
        <v xml:space="preserve">워커힐 본갈비 3+1 최초❤️5만원대! 총1.2kg✨호텔특제 양념갈비 8인분 (✨1인분 7,375원꼴! / [300g,2인분] x 총 4팩  / ✨초이스등급 본갈비 / ❣️워커힐 </v>
      </c>
      <c r="D1165">
        <f>정규화데이터!D1165</f>
        <v>143790</v>
      </c>
      <c r="E1165" s="16" t="str">
        <f>정규화데이터!E1165</f>
        <v>SKU001</v>
      </c>
      <c r="F1165" s="3">
        <f>정규화데이터!F1165</f>
        <v>1</v>
      </c>
      <c r="G1165" s="3">
        <f>정규화데이터!G1165</f>
        <v>41363.636363636302</v>
      </c>
      <c r="H1165" s="3">
        <f>정규화데이터!H1165</f>
        <v>45499.999999999935</v>
      </c>
      <c r="I1165" s="3">
        <f>정규화데이터!I1165</f>
        <v>45500</v>
      </c>
      <c r="J1165" s="3">
        <f>정규화데이터!J1165</f>
        <v>41363.636363636302</v>
      </c>
      <c r="K1165" s="25">
        <f>정규화데이터!K1165</f>
        <v>30748</v>
      </c>
      <c r="L1165" s="25">
        <f>정규화데이터!L1165</f>
        <v>30748</v>
      </c>
      <c r="M1165" s="21">
        <f t="shared" si="36"/>
        <v>10615.636363636302</v>
      </c>
      <c r="N1165" s="52">
        <f t="shared" si="37"/>
        <v>0.25664175824175711</v>
      </c>
    </row>
    <row r="1166" spans="1:14" x14ac:dyDescent="0.3">
      <c r="A1166" t="str">
        <f>정규화데이터!A1166</f>
        <v>리씽크</v>
      </c>
      <c r="B1166">
        <f>정규화데이터!B1166</f>
        <v>2.0260205085247099E+18</v>
      </c>
      <c r="C1166" t="str">
        <f>정규화데이터!C1166</f>
        <v xml:space="preserve">워커힐 본갈비 3+1 최초❤️5만원대! 총1.2kg✨호텔특제 양념갈비 8인분 (✨1인분 7,375원꼴! / [300g,2인분] x 총 4팩  / ✨초이스등급 본갈비 / ❣️워커힐 </v>
      </c>
      <c r="D1166">
        <f>정규화데이터!D1166</f>
        <v>143790</v>
      </c>
      <c r="E1166" s="16" t="str">
        <f>정규화데이터!E1166</f>
        <v>SKU001</v>
      </c>
      <c r="F1166" s="3">
        <f>정규화데이터!F1166</f>
        <v>1</v>
      </c>
      <c r="G1166" s="3">
        <f>정규화데이터!G1166</f>
        <v>41363.636363636302</v>
      </c>
      <c r="H1166" s="3">
        <f>정규화데이터!H1166</f>
        <v>45499.999999999935</v>
      </c>
      <c r="I1166" s="3">
        <f>정규화데이터!I1166</f>
        <v>45500</v>
      </c>
      <c r="J1166" s="3">
        <f>정규화데이터!J1166</f>
        <v>41363.636363636302</v>
      </c>
      <c r="K1166" s="25">
        <f>정규화데이터!K1166</f>
        <v>30748</v>
      </c>
      <c r="L1166" s="25">
        <f>정규화데이터!L1166</f>
        <v>30748</v>
      </c>
      <c r="M1166" s="21">
        <f t="shared" si="36"/>
        <v>10615.636363636302</v>
      </c>
      <c r="N1166" s="52">
        <f t="shared" si="37"/>
        <v>0.25664175824175711</v>
      </c>
    </row>
    <row r="1167" spans="1:14" x14ac:dyDescent="0.3">
      <c r="A1167" t="str">
        <f>정규화데이터!A1167</f>
        <v>리씽크</v>
      </c>
      <c r="B1167">
        <f>정규화데이터!B1167</f>
        <v>2.02602051042495E+18</v>
      </c>
      <c r="C1167" t="str">
        <f>정규화데이터!C1167</f>
        <v xml:space="preserve">워커힐 본갈비 3+1 최초❤️5만원대! 총1.2kg✨호텔특제 양념갈비 8인분 (✨1인분 7,375원꼴! / [300g,2인분] x 총 4팩  / ✨초이스등급 본갈비 / ❣️워커힐 </v>
      </c>
      <c r="D1167">
        <f>정규화데이터!D1167</f>
        <v>143790</v>
      </c>
      <c r="E1167" s="16" t="str">
        <f>정규화데이터!E1167</f>
        <v>SKU001</v>
      </c>
      <c r="F1167" s="3">
        <f>정규화데이터!F1167</f>
        <v>1</v>
      </c>
      <c r="G1167" s="3">
        <f>정규화데이터!G1167</f>
        <v>41363.636363636302</v>
      </c>
      <c r="H1167" s="3">
        <f>정규화데이터!H1167</f>
        <v>45499.999999999935</v>
      </c>
      <c r="I1167" s="3">
        <f>정규화데이터!I1167</f>
        <v>45500</v>
      </c>
      <c r="J1167" s="3">
        <f>정규화데이터!J1167</f>
        <v>41363.636363636302</v>
      </c>
      <c r="K1167" s="25">
        <f>정규화데이터!K1167</f>
        <v>30748</v>
      </c>
      <c r="L1167" s="25">
        <f>정규화데이터!L1167</f>
        <v>30748</v>
      </c>
      <c r="M1167" s="21">
        <f t="shared" si="36"/>
        <v>10615.636363636302</v>
      </c>
      <c r="N1167" s="52">
        <f t="shared" si="37"/>
        <v>0.25664175824175711</v>
      </c>
    </row>
    <row r="1168" spans="1:14" x14ac:dyDescent="0.3">
      <c r="A1168" t="str">
        <f>정규화데이터!A1168</f>
        <v>리씽크</v>
      </c>
      <c r="B1168">
        <f>정규화데이터!B1168</f>
        <v>2.0260205110231501E+18</v>
      </c>
      <c r="C1168" t="str">
        <f>정규화데이터!C1168</f>
        <v xml:space="preserve">워커힐 본갈비 3+1 최초❤️5만원대! 총1.2kg✨호텔특제 양념갈비 8인분 (✨1인분 7,375원꼴! / [300g,2인분] x 총 4팩  / ✨초이스등급 본갈비 / ❣️워커힐 </v>
      </c>
      <c r="D1168">
        <f>정규화데이터!D1168</f>
        <v>143790</v>
      </c>
      <c r="E1168" s="16" t="str">
        <f>정규화데이터!E1168</f>
        <v>SKU001</v>
      </c>
      <c r="F1168" s="3">
        <f>정규화데이터!F1168</f>
        <v>2</v>
      </c>
      <c r="G1168" s="3">
        <f>정규화데이터!G1168</f>
        <v>41363.636363636353</v>
      </c>
      <c r="H1168" s="3">
        <f>정규화데이터!H1168</f>
        <v>91000</v>
      </c>
      <c r="I1168" s="3">
        <f>정규화데이터!I1168</f>
        <v>91000</v>
      </c>
      <c r="J1168" s="3">
        <f>정규화데이터!J1168</f>
        <v>82727.272727272706</v>
      </c>
      <c r="K1168" s="25">
        <f>정규화데이터!K1168</f>
        <v>30748</v>
      </c>
      <c r="L1168" s="25">
        <f>정규화데이터!L1168</f>
        <v>61496</v>
      </c>
      <c r="M1168" s="21">
        <f t="shared" si="36"/>
        <v>21231.272727272706</v>
      </c>
      <c r="N1168" s="52">
        <f t="shared" si="37"/>
        <v>0.25664175824175806</v>
      </c>
    </row>
    <row r="1169" spans="1:14" x14ac:dyDescent="0.3">
      <c r="A1169" t="str">
        <f>정규화데이터!A1169</f>
        <v>리씽크</v>
      </c>
      <c r="B1169">
        <f>정규화데이터!B1169</f>
        <v>2.02602051103107E+18</v>
      </c>
      <c r="C1169" t="str">
        <f>정규화데이터!C1169</f>
        <v xml:space="preserve">워커힐 본갈비 3+1 최초❤️5만원대! 총1.2kg✨호텔특제 양념갈비 8인분 (✨1인분 7,375원꼴! / [300g,2인분] x 총 4팩  / ✨초이스등급 본갈비 / ❣️워커힐 </v>
      </c>
      <c r="D1169">
        <f>정규화데이터!D1169</f>
        <v>143790</v>
      </c>
      <c r="E1169" s="16" t="str">
        <f>정규화데이터!E1169</f>
        <v>SKU001</v>
      </c>
      <c r="F1169" s="3">
        <f>정규화데이터!F1169</f>
        <v>1</v>
      </c>
      <c r="G1169" s="3">
        <f>정규화데이터!G1169</f>
        <v>41363.636363636302</v>
      </c>
      <c r="H1169" s="3">
        <f>정규화데이터!H1169</f>
        <v>45499.999999999935</v>
      </c>
      <c r="I1169" s="3">
        <f>정규화데이터!I1169</f>
        <v>45500</v>
      </c>
      <c r="J1169" s="3">
        <f>정규화데이터!J1169</f>
        <v>41363.636363636302</v>
      </c>
      <c r="K1169" s="25">
        <f>정규화데이터!K1169</f>
        <v>30748</v>
      </c>
      <c r="L1169" s="25">
        <f>정규화데이터!L1169</f>
        <v>30748</v>
      </c>
      <c r="M1169" s="21">
        <f t="shared" si="36"/>
        <v>10615.636363636302</v>
      </c>
      <c r="N1169" s="52">
        <f t="shared" si="37"/>
        <v>0.25664175824175711</v>
      </c>
    </row>
    <row r="1170" spans="1:14" x14ac:dyDescent="0.3">
      <c r="A1170" t="str">
        <f>정규화데이터!A1170</f>
        <v>리씽크</v>
      </c>
      <c r="B1170">
        <f>정규화데이터!B1170</f>
        <v>2.0260205111221499E+18</v>
      </c>
      <c r="C1170" t="str">
        <f>정규화데이터!C1170</f>
        <v xml:space="preserve">워커힐 본갈비 3+1 최초❤️5만원대! 총1.2kg✨호텔특제 양념갈비 8인분 (✨1인분 7,375원꼴! / [300g,2인분] x 총 4팩  / ✨초이스등급 본갈비 / ❣️워커힐 </v>
      </c>
      <c r="D1170">
        <f>정규화데이터!D1170</f>
        <v>143790</v>
      </c>
      <c r="E1170" s="16" t="str">
        <f>정규화데이터!E1170</f>
        <v>SKU001</v>
      </c>
      <c r="F1170" s="3">
        <f>정규화데이터!F1170</f>
        <v>1</v>
      </c>
      <c r="G1170" s="3">
        <f>정규화데이터!G1170</f>
        <v>41363.636363636302</v>
      </c>
      <c r="H1170" s="3">
        <f>정규화데이터!H1170</f>
        <v>45499.999999999935</v>
      </c>
      <c r="I1170" s="3">
        <f>정규화데이터!I1170</f>
        <v>45500</v>
      </c>
      <c r="J1170" s="3">
        <f>정규화데이터!J1170</f>
        <v>41363.636363636302</v>
      </c>
      <c r="K1170" s="25">
        <f>정규화데이터!K1170</f>
        <v>30748</v>
      </c>
      <c r="L1170" s="25">
        <f>정규화데이터!L1170</f>
        <v>30748</v>
      </c>
      <c r="M1170" s="21">
        <f t="shared" si="36"/>
        <v>10615.636363636302</v>
      </c>
      <c r="N1170" s="52">
        <f t="shared" si="37"/>
        <v>0.25664175824175711</v>
      </c>
    </row>
    <row r="1171" spans="1:14" x14ac:dyDescent="0.3">
      <c r="A1171" t="str">
        <f>정규화데이터!A1171</f>
        <v>리씽크</v>
      </c>
      <c r="B1171">
        <f>정규화데이터!B1171</f>
        <v>2.02602051119117E+18</v>
      </c>
      <c r="C1171" t="str">
        <f>정규화데이터!C1171</f>
        <v xml:space="preserve">워커힐 본갈비 3+1 최초❤️5만원대! 총1.2kg✨호텔특제 양념갈비 8인분 (✨1인분 7,375원꼴! / [300g,2인분] x 총 4팩  / ✨초이스등급 본갈비 / ❣️워커힐 </v>
      </c>
      <c r="D1171">
        <f>정규화데이터!D1171</f>
        <v>143790</v>
      </c>
      <c r="E1171" s="16" t="str">
        <f>정규화데이터!E1171</f>
        <v>SKU001</v>
      </c>
      <c r="F1171" s="3">
        <f>정규화데이터!F1171</f>
        <v>1</v>
      </c>
      <c r="G1171" s="3">
        <f>정규화데이터!G1171</f>
        <v>41363.636363636302</v>
      </c>
      <c r="H1171" s="3">
        <f>정규화데이터!H1171</f>
        <v>45499.999999999935</v>
      </c>
      <c r="I1171" s="3">
        <f>정규화데이터!I1171</f>
        <v>45500</v>
      </c>
      <c r="J1171" s="3">
        <f>정규화데이터!J1171</f>
        <v>41363.636363636302</v>
      </c>
      <c r="K1171" s="25">
        <f>정규화데이터!K1171</f>
        <v>30748</v>
      </c>
      <c r="L1171" s="25">
        <f>정규화데이터!L1171</f>
        <v>30748</v>
      </c>
      <c r="M1171" s="21">
        <f t="shared" si="36"/>
        <v>10615.636363636302</v>
      </c>
      <c r="N1171" s="52">
        <f t="shared" si="37"/>
        <v>0.25664175824175711</v>
      </c>
    </row>
    <row r="1172" spans="1:14" x14ac:dyDescent="0.3">
      <c r="A1172" t="str">
        <f>정규화데이터!A1172</f>
        <v>리씽크</v>
      </c>
      <c r="B1172">
        <f>정규화데이터!B1172</f>
        <v>2.0260205113413E+18</v>
      </c>
      <c r="C1172" t="str">
        <f>정규화데이터!C1172</f>
        <v xml:space="preserve">워커힐 본갈비 3+1 최초❤️5만원대! 총1.2kg✨호텔특제 양념갈비 8인분 (✨1인분 7,375원꼴! / [300g,2인분] x 총 4팩  / ✨초이스등급 본갈비 / ❣️워커힐 </v>
      </c>
      <c r="D1172">
        <f>정규화데이터!D1172</f>
        <v>143790</v>
      </c>
      <c r="E1172" s="16" t="str">
        <f>정규화데이터!E1172</f>
        <v>SKU001</v>
      </c>
      <c r="F1172" s="3">
        <f>정규화데이터!F1172</f>
        <v>1</v>
      </c>
      <c r="G1172" s="3">
        <f>정규화데이터!G1172</f>
        <v>41363.636363636302</v>
      </c>
      <c r="H1172" s="3">
        <f>정규화데이터!H1172</f>
        <v>45499.999999999935</v>
      </c>
      <c r="I1172" s="3">
        <f>정규화데이터!I1172</f>
        <v>45500</v>
      </c>
      <c r="J1172" s="3">
        <f>정규화데이터!J1172</f>
        <v>41363.636363636302</v>
      </c>
      <c r="K1172" s="25">
        <f>정규화데이터!K1172</f>
        <v>30748</v>
      </c>
      <c r="L1172" s="25">
        <f>정규화데이터!L1172</f>
        <v>30748</v>
      </c>
      <c r="M1172" s="21">
        <f t="shared" si="36"/>
        <v>10615.636363636302</v>
      </c>
      <c r="N1172" s="52">
        <f t="shared" si="37"/>
        <v>0.25664175824175711</v>
      </c>
    </row>
    <row r="1173" spans="1:14" x14ac:dyDescent="0.3">
      <c r="A1173" t="str">
        <f>정규화데이터!A1173</f>
        <v>리씽크</v>
      </c>
      <c r="B1173">
        <f>정규화데이터!B1173</f>
        <v>2.0260205113420101E+18</v>
      </c>
      <c r="C1173" t="str">
        <f>정규화데이터!C1173</f>
        <v xml:space="preserve">워커힐 본갈비 3+1 최초❤️5만원대! 총1.2kg✨호텔특제 양념갈비 8인분 (✨1인분 7,375원꼴! / [300g,2인분] x 총 4팩  / ✨초이스등급 본갈비 / ❣️워커힐 </v>
      </c>
      <c r="D1173">
        <f>정규화데이터!D1173</f>
        <v>143790</v>
      </c>
      <c r="E1173" s="16" t="str">
        <f>정규화데이터!E1173</f>
        <v>SKU001</v>
      </c>
      <c r="F1173" s="3">
        <f>정규화데이터!F1173</f>
        <v>1</v>
      </c>
      <c r="G1173" s="3">
        <f>정규화데이터!G1173</f>
        <v>41363.636363636302</v>
      </c>
      <c r="H1173" s="3">
        <f>정규화데이터!H1173</f>
        <v>45499.999999999935</v>
      </c>
      <c r="I1173" s="3">
        <f>정규화데이터!I1173</f>
        <v>45500</v>
      </c>
      <c r="J1173" s="3">
        <f>정규화데이터!J1173</f>
        <v>41363.636363636302</v>
      </c>
      <c r="K1173" s="25">
        <f>정규화데이터!K1173</f>
        <v>30748</v>
      </c>
      <c r="L1173" s="25">
        <f>정규화데이터!L1173</f>
        <v>30748</v>
      </c>
      <c r="M1173" s="21">
        <f t="shared" si="36"/>
        <v>10615.636363636302</v>
      </c>
      <c r="N1173" s="52">
        <f t="shared" si="37"/>
        <v>0.25664175824175711</v>
      </c>
    </row>
    <row r="1174" spans="1:14" x14ac:dyDescent="0.3">
      <c r="A1174" t="str">
        <f>정규화데이터!A1174</f>
        <v>리씽크</v>
      </c>
      <c r="B1174">
        <f>정규화데이터!B1174</f>
        <v>2.0260205113308301E+18</v>
      </c>
      <c r="C1174" t="str">
        <f>정규화데이터!C1174</f>
        <v xml:space="preserve">워커힐 본갈비 3+1 최초❤️5만원대! 총1.2kg✨호텔특제 양념갈비 8인분 (✨1인분 7,375원꼴! / [300g,2인분] x 총 4팩  / ✨초이스등급 본갈비 / ❣️워커힐 </v>
      </c>
      <c r="D1174">
        <f>정규화데이터!D1174</f>
        <v>143790</v>
      </c>
      <c r="E1174" s="16" t="str">
        <f>정규화데이터!E1174</f>
        <v>SKU001</v>
      </c>
      <c r="F1174" s="3">
        <f>정규화데이터!F1174</f>
        <v>1</v>
      </c>
      <c r="G1174" s="3">
        <f>정규화데이터!G1174</f>
        <v>41363.636363636302</v>
      </c>
      <c r="H1174" s="3">
        <f>정규화데이터!H1174</f>
        <v>45499.999999999935</v>
      </c>
      <c r="I1174" s="3">
        <f>정규화데이터!I1174</f>
        <v>45500</v>
      </c>
      <c r="J1174" s="3">
        <f>정규화데이터!J1174</f>
        <v>41363.636363636302</v>
      </c>
      <c r="K1174" s="25">
        <f>정규화데이터!K1174</f>
        <v>30748</v>
      </c>
      <c r="L1174" s="25">
        <f>정규화데이터!L1174</f>
        <v>30748</v>
      </c>
      <c r="M1174" s="21">
        <f t="shared" si="36"/>
        <v>10615.636363636302</v>
      </c>
      <c r="N1174" s="52">
        <f t="shared" si="37"/>
        <v>0.25664175824175711</v>
      </c>
    </row>
    <row r="1175" spans="1:14" x14ac:dyDescent="0.3">
      <c r="A1175" t="str">
        <f>정규화데이터!A1175</f>
        <v>리씽크</v>
      </c>
      <c r="B1175">
        <f>정규화데이터!B1175</f>
        <v>2.0260205114108001E+18</v>
      </c>
      <c r="C1175" t="str">
        <f>정규화데이터!C1175</f>
        <v xml:space="preserve">워커힐 본갈비 3+1 최초❤️5만원대! 총1.2kg✨호텔특제 양념갈비 8인분 (✨1인분 7,375원꼴! / [300g,2인분] x 총 4팩  / ✨초이스등급 본갈비 / ❣️워커힐 </v>
      </c>
      <c r="D1175">
        <f>정규화데이터!D1175</f>
        <v>143790</v>
      </c>
      <c r="E1175" s="16" t="str">
        <f>정규화데이터!E1175</f>
        <v>SKU001</v>
      </c>
      <c r="F1175" s="3">
        <f>정규화데이터!F1175</f>
        <v>1</v>
      </c>
      <c r="G1175" s="3">
        <f>정규화데이터!G1175</f>
        <v>41363.636363636302</v>
      </c>
      <c r="H1175" s="3">
        <f>정규화데이터!H1175</f>
        <v>45499.999999999935</v>
      </c>
      <c r="I1175" s="3">
        <f>정규화데이터!I1175</f>
        <v>45500</v>
      </c>
      <c r="J1175" s="3">
        <f>정규화데이터!J1175</f>
        <v>41363.636363636302</v>
      </c>
      <c r="K1175" s="25">
        <f>정규화데이터!K1175</f>
        <v>30748</v>
      </c>
      <c r="L1175" s="25">
        <f>정규화데이터!L1175</f>
        <v>30748</v>
      </c>
      <c r="M1175" s="21">
        <f t="shared" si="36"/>
        <v>10615.636363636302</v>
      </c>
      <c r="N1175" s="52">
        <f t="shared" si="37"/>
        <v>0.25664175824175711</v>
      </c>
    </row>
    <row r="1176" spans="1:14" x14ac:dyDescent="0.3">
      <c r="A1176" t="str">
        <f>정규화데이터!A1176</f>
        <v>리씽크</v>
      </c>
      <c r="B1176">
        <f>정규화데이터!B1176</f>
        <v>2.0260205114541499E+18</v>
      </c>
      <c r="C1176" t="str">
        <f>정규화데이터!C1176</f>
        <v xml:space="preserve">워커힐 본갈비 3+1 최초❤️5만원대! 총1.2kg✨호텔특제 양념갈비 8인분 (✨1인분 7,375원꼴! / [300g,2인분] x 총 4팩  / ✨초이스등급 본갈비 / ❣️워커힐 </v>
      </c>
      <c r="D1176">
        <f>정규화데이터!D1176</f>
        <v>143790</v>
      </c>
      <c r="E1176" s="16" t="str">
        <f>정규화데이터!E1176</f>
        <v>SKU001</v>
      </c>
      <c r="F1176" s="3">
        <f>정규화데이터!F1176</f>
        <v>1</v>
      </c>
      <c r="G1176" s="3">
        <f>정규화데이터!G1176</f>
        <v>41363.636363636302</v>
      </c>
      <c r="H1176" s="3">
        <f>정규화데이터!H1176</f>
        <v>45499.999999999935</v>
      </c>
      <c r="I1176" s="3">
        <f>정규화데이터!I1176</f>
        <v>45500</v>
      </c>
      <c r="J1176" s="3">
        <f>정규화데이터!J1176</f>
        <v>41363.636363636302</v>
      </c>
      <c r="K1176" s="25">
        <f>정규화데이터!K1176</f>
        <v>30748</v>
      </c>
      <c r="L1176" s="25">
        <f>정규화데이터!L1176</f>
        <v>30748</v>
      </c>
      <c r="M1176" s="21">
        <f t="shared" si="36"/>
        <v>10615.636363636302</v>
      </c>
      <c r="N1176" s="52">
        <f t="shared" si="37"/>
        <v>0.25664175824175711</v>
      </c>
    </row>
    <row r="1177" spans="1:14" x14ac:dyDescent="0.3">
      <c r="A1177" t="str">
        <f>정규화데이터!A1177</f>
        <v>리씽크</v>
      </c>
      <c r="B1177">
        <f>정규화데이터!B1177</f>
        <v>2.0260205114501299E+18</v>
      </c>
      <c r="C1177" t="str">
        <f>정규화데이터!C1177</f>
        <v xml:space="preserve">워커힐 본갈비 3+1 최초❤️5만원대! 총1.2kg✨호텔특제 양념갈비 8인분 (✨1인분 7,375원꼴! / [300g,2인분] x 총 4팩  / ✨초이스등급 본갈비 / ❣️워커힐 </v>
      </c>
      <c r="D1177">
        <f>정규화데이터!D1177</f>
        <v>143790</v>
      </c>
      <c r="E1177" s="16" t="str">
        <f>정규화데이터!E1177</f>
        <v>SKU001</v>
      </c>
      <c r="F1177" s="3">
        <f>정규화데이터!F1177</f>
        <v>1</v>
      </c>
      <c r="G1177" s="3">
        <f>정규화데이터!G1177</f>
        <v>41363.636363636302</v>
      </c>
      <c r="H1177" s="3">
        <f>정규화데이터!H1177</f>
        <v>45499.999999999935</v>
      </c>
      <c r="I1177" s="3">
        <f>정규화데이터!I1177</f>
        <v>45500</v>
      </c>
      <c r="J1177" s="3">
        <f>정규화데이터!J1177</f>
        <v>41363.636363636302</v>
      </c>
      <c r="K1177" s="25">
        <f>정규화데이터!K1177</f>
        <v>30748</v>
      </c>
      <c r="L1177" s="25">
        <f>정규화데이터!L1177</f>
        <v>30748</v>
      </c>
      <c r="M1177" s="21">
        <f t="shared" si="36"/>
        <v>10615.636363636302</v>
      </c>
      <c r="N1177" s="52">
        <f t="shared" si="37"/>
        <v>0.25664175824175711</v>
      </c>
    </row>
    <row r="1178" spans="1:14" x14ac:dyDescent="0.3">
      <c r="A1178" t="str">
        <f>정규화데이터!A1178</f>
        <v>리씽크</v>
      </c>
      <c r="B1178">
        <f>정규화데이터!B1178</f>
        <v>2.02602051151136E+18</v>
      </c>
      <c r="C1178" t="str">
        <f>정규화데이터!C1178</f>
        <v xml:space="preserve">워커힐 본갈비 3+1 최초❤️5만원대! 총1.2kg✨호텔특제 양념갈비 8인분 (✨1인분 7,375원꼴! / [300g,2인분] x 총 4팩  / ✨초이스등급 본갈비 / ❣️워커힐 </v>
      </c>
      <c r="D1178">
        <f>정규화데이터!D1178</f>
        <v>143790</v>
      </c>
      <c r="E1178" s="16" t="str">
        <f>정규화데이터!E1178</f>
        <v>SKU001</v>
      </c>
      <c r="F1178" s="3">
        <f>정규화데이터!F1178</f>
        <v>1</v>
      </c>
      <c r="G1178" s="3">
        <f>정규화데이터!G1178</f>
        <v>41363.636363636302</v>
      </c>
      <c r="H1178" s="3">
        <f>정규화데이터!H1178</f>
        <v>45499.999999999935</v>
      </c>
      <c r="I1178" s="3">
        <f>정규화데이터!I1178</f>
        <v>45500</v>
      </c>
      <c r="J1178" s="3">
        <f>정규화데이터!J1178</f>
        <v>41363.636363636302</v>
      </c>
      <c r="K1178" s="25">
        <f>정규화데이터!K1178</f>
        <v>30748</v>
      </c>
      <c r="L1178" s="25">
        <f>정규화데이터!L1178</f>
        <v>30748</v>
      </c>
      <c r="M1178" s="21">
        <f t="shared" si="36"/>
        <v>10615.636363636302</v>
      </c>
      <c r="N1178" s="52">
        <f t="shared" si="37"/>
        <v>0.25664175824175711</v>
      </c>
    </row>
    <row r="1179" spans="1:14" x14ac:dyDescent="0.3">
      <c r="A1179" t="str">
        <f>정규화데이터!A1179</f>
        <v>리씽크</v>
      </c>
      <c r="B1179">
        <f>정규화데이터!B1179</f>
        <v>2.02602051153118E+18</v>
      </c>
      <c r="C1179" t="str">
        <f>정규화데이터!C1179</f>
        <v xml:space="preserve">워커힐 본갈비 3+1 최초❤️5만원대! 총1.2kg✨호텔특제 양념갈비 8인분 (✨1인분 7,375원꼴! / [300g,2인분] x 총 4팩  / ✨초이스등급 본갈비 / ❣️워커힐 </v>
      </c>
      <c r="D1179">
        <f>정규화데이터!D1179</f>
        <v>143790</v>
      </c>
      <c r="E1179" s="16" t="str">
        <f>정규화데이터!E1179</f>
        <v>SKU001</v>
      </c>
      <c r="F1179" s="3">
        <f>정규화데이터!F1179</f>
        <v>1</v>
      </c>
      <c r="G1179" s="3">
        <f>정규화데이터!G1179</f>
        <v>41363.636363636302</v>
      </c>
      <c r="H1179" s="3">
        <f>정규화데이터!H1179</f>
        <v>45499.999999999935</v>
      </c>
      <c r="I1179" s="3">
        <f>정규화데이터!I1179</f>
        <v>45500</v>
      </c>
      <c r="J1179" s="3">
        <f>정규화데이터!J1179</f>
        <v>41363.636363636302</v>
      </c>
      <c r="K1179" s="25">
        <f>정규화데이터!K1179</f>
        <v>30748</v>
      </c>
      <c r="L1179" s="25">
        <f>정규화데이터!L1179</f>
        <v>30748</v>
      </c>
      <c r="M1179" s="21">
        <f t="shared" si="36"/>
        <v>10615.636363636302</v>
      </c>
      <c r="N1179" s="52">
        <f t="shared" si="37"/>
        <v>0.25664175824175711</v>
      </c>
    </row>
    <row r="1180" spans="1:14" x14ac:dyDescent="0.3">
      <c r="A1180" t="str">
        <f>정규화데이터!A1180</f>
        <v>리씽크</v>
      </c>
      <c r="B1180">
        <f>정규화데이터!B1180</f>
        <v>2.0260205115144699E+18</v>
      </c>
      <c r="C1180" t="str">
        <f>정규화데이터!C1180</f>
        <v xml:space="preserve">워커힐 본갈비 3+1 최초❤️5만원대! 총1.2kg✨호텔특제 양념갈비 8인분 (✨1인분 7,375원꼴! / [300g,2인분] x 총 4팩  / ✨초이스등급 본갈비 / ❣️워커힐 </v>
      </c>
      <c r="D1180">
        <f>정규화데이터!D1180</f>
        <v>143790</v>
      </c>
      <c r="E1180" s="16" t="str">
        <f>정규화데이터!E1180</f>
        <v>SKU001</v>
      </c>
      <c r="F1180" s="3">
        <f>정규화데이터!F1180</f>
        <v>1</v>
      </c>
      <c r="G1180" s="3">
        <f>정규화데이터!G1180</f>
        <v>41363.636363636302</v>
      </c>
      <c r="H1180" s="3">
        <f>정규화데이터!H1180</f>
        <v>45499.999999999935</v>
      </c>
      <c r="I1180" s="3">
        <f>정규화데이터!I1180</f>
        <v>45500</v>
      </c>
      <c r="J1180" s="3">
        <f>정규화데이터!J1180</f>
        <v>41363.636363636302</v>
      </c>
      <c r="K1180" s="25">
        <f>정규화데이터!K1180</f>
        <v>30748</v>
      </c>
      <c r="L1180" s="25">
        <f>정규화데이터!L1180</f>
        <v>30748</v>
      </c>
      <c r="M1180" s="21">
        <f t="shared" si="36"/>
        <v>10615.636363636302</v>
      </c>
      <c r="N1180" s="52">
        <f t="shared" si="37"/>
        <v>0.25664175824175711</v>
      </c>
    </row>
    <row r="1181" spans="1:14" x14ac:dyDescent="0.3">
      <c r="A1181" t="str">
        <f>정규화데이터!A1181</f>
        <v>리씽크</v>
      </c>
      <c r="B1181">
        <f>정규화데이터!B1181</f>
        <v>2.02602051205133E+18</v>
      </c>
      <c r="C1181" t="str">
        <f>정규화데이터!C1181</f>
        <v xml:space="preserve">워커힐 본갈비 3+1 최초❤️5만원대! 총1.2kg✨호텔특제 양념갈비 8인분 (✨1인분 7,375원꼴! / [300g,2인분] x 총 4팩  / ✨초이스등급 본갈비 / ❣️워커힐 </v>
      </c>
      <c r="D1181">
        <f>정규화데이터!D1181</f>
        <v>143790</v>
      </c>
      <c r="E1181" s="16" t="str">
        <f>정규화데이터!E1181</f>
        <v>SKU001</v>
      </c>
      <c r="F1181" s="3">
        <f>정규화데이터!F1181</f>
        <v>1</v>
      </c>
      <c r="G1181" s="3">
        <f>정규화데이터!G1181</f>
        <v>41363.636363636302</v>
      </c>
      <c r="H1181" s="3">
        <f>정규화데이터!H1181</f>
        <v>45499.999999999935</v>
      </c>
      <c r="I1181" s="3">
        <f>정규화데이터!I1181</f>
        <v>45500</v>
      </c>
      <c r="J1181" s="3">
        <f>정규화데이터!J1181</f>
        <v>41363.636363636302</v>
      </c>
      <c r="K1181" s="25">
        <f>정규화데이터!K1181</f>
        <v>30748</v>
      </c>
      <c r="L1181" s="25">
        <f>정규화데이터!L1181</f>
        <v>30748</v>
      </c>
      <c r="M1181" s="21">
        <f t="shared" si="36"/>
        <v>10615.636363636302</v>
      </c>
      <c r="N1181" s="52">
        <f t="shared" si="37"/>
        <v>0.25664175824175711</v>
      </c>
    </row>
    <row r="1182" spans="1:14" x14ac:dyDescent="0.3">
      <c r="A1182" t="str">
        <f>정규화데이터!A1182</f>
        <v>리씽크</v>
      </c>
      <c r="B1182">
        <f>정규화데이터!B1182</f>
        <v>2.0260205121250299E+18</v>
      </c>
      <c r="C1182" t="str">
        <f>정규화데이터!C1182</f>
        <v xml:space="preserve">워커힐 본갈비 3+1 최초❤️5만원대! 총1.2kg✨호텔특제 양념갈비 8인분 (✨1인분 7,375원꼴! / [300g,2인분] x 총 4팩  / ✨초이스등급 본갈비 / ❣️워커힐 </v>
      </c>
      <c r="D1182">
        <f>정규화데이터!D1182</f>
        <v>143790</v>
      </c>
      <c r="E1182" s="16" t="str">
        <f>정규화데이터!E1182</f>
        <v>SKU001</v>
      </c>
      <c r="F1182" s="3">
        <f>정규화데이터!F1182</f>
        <v>1</v>
      </c>
      <c r="G1182" s="3">
        <f>정규화데이터!G1182</f>
        <v>41363.636363636302</v>
      </c>
      <c r="H1182" s="3">
        <f>정규화데이터!H1182</f>
        <v>45499.999999999935</v>
      </c>
      <c r="I1182" s="3">
        <f>정규화데이터!I1182</f>
        <v>45500</v>
      </c>
      <c r="J1182" s="3">
        <f>정규화데이터!J1182</f>
        <v>41363.636363636302</v>
      </c>
      <c r="K1182" s="25">
        <f>정규화데이터!K1182</f>
        <v>30748</v>
      </c>
      <c r="L1182" s="25">
        <f>정규화데이터!L1182</f>
        <v>30748</v>
      </c>
      <c r="M1182" s="21">
        <f t="shared" si="36"/>
        <v>10615.636363636302</v>
      </c>
      <c r="N1182" s="52">
        <f t="shared" si="37"/>
        <v>0.25664175824175711</v>
      </c>
    </row>
    <row r="1183" spans="1:14" x14ac:dyDescent="0.3">
      <c r="A1183" t="str">
        <f>정규화데이터!A1183</f>
        <v>리씽크</v>
      </c>
      <c r="B1183">
        <f>정규화데이터!B1183</f>
        <v>2.02602051213533E+18</v>
      </c>
      <c r="C1183" t="str">
        <f>정규화데이터!C1183</f>
        <v xml:space="preserve">워커힐 본갈비 3+1 최초❤️5만원대! 총1.2kg✨호텔특제 양념갈비 8인분 (✨1인분 7,375원꼴! / [300g,2인분] x 총 4팩  / ✨초이스등급 본갈비 / ❣️워커힐 </v>
      </c>
      <c r="D1183">
        <f>정규화데이터!D1183</f>
        <v>143790</v>
      </c>
      <c r="E1183" s="16" t="str">
        <f>정규화데이터!E1183</f>
        <v>SKU001</v>
      </c>
      <c r="F1183" s="3">
        <f>정규화데이터!F1183</f>
        <v>1</v>
      </c>
      <c r="G1183" s="3">
        <f>정규화데이터!G1183</f>
        <v>41363.636363636302</v>
      </c>
      <c r="H1183" s="3">
        <f>정규화데이터!H1183</f>
        <v>45499.999999999935</v>
      </c>
      <c r="I1183" s="3">
        <f>정규화데이터!I1183</f>
        <v>45500</v>
      </c>
      <c r="J1183" s="3">
        <f>정규화데이터!J1183</f>
        <v>41363.636363636302</v>
      </c>
      <c r="K1183" s="25">
        <f>정규화데이터!K1183</f>
        <v>30748</v>
      </c>
      <c r="L1183" s="25">
        <f>정규화데이터!L1183</f>
        <v>30748</v>
      </c>
      <c r="M1183" s="21">
        <f t="shared" si="36"/>
        <v>10615.636363636302</v>
      </c>
      <c r="N1183" s="52">
        <f t="shared" si="37"/>
        <v>0.25664175824175711</v>
      </c>
    </row>
    <row r="1184" spans="1:14" x14ac:dyDescent="0.3">
      <c r="A1184" t="str">
        <f>정규화데이터!A1184</f>
        <v>리씽크</v>
      </c>
      <c r="B1184">
        <f>정규화데이터!B1184</f>
        <v>2.0260205121508401E+18</v>
      </c>
      <c r="C1184" t="str">
        <f>정규화데이터!C1184</f>
        <v xml:space="preserve">워커힐 본갈비 3+1 최초❤️5만원대! 총1.2kg✨호텔특제 양념갈비 8인분 (✨1인분 7,375원꼴! / [300g,2인분] x 총 4팩  / ✨초이스등급 본갈비 / ❣️워커힐 </v>
      </c>
      <c r="D1184">
        <f>정규화데이터!D1184</f>
        <v>143790</v>
      </c>
      <c r="E1184" s="16" t="str">
        <f>정규화데이터!E1184</f>
        <v>SKU001</v>
      </c>
      <c r="F1184" s="3">
        <f>정규화데이터!F1184</f>
        <v>1</v>
      </c>
      <c r="G1184" s="3">
        <f>정규화데이터!G1184</f>
        <v>41363.636363636302</v>
      </c>
      <c r="H1184" s="3">
        <f>정규화데이터!H1184</f>
        <v>45499.999999999935</v>
      </c>
      <c r="I1184" s="3">
        <f>정규화데이터!I1184</f>
        <v>45500</v>
      </c>
      <c r="J1184" s="3">
        <f>정규화데이터!J1184</f>
        <v>41363.636363636302</v>
      </c>
      <c r="K1184" s="25">
        <f>정규화데이터!K1184</f>
        <v>30748</v>
      </c>
      <c r="L1184" s="25">
        <f>정규화데이터!L1184</f>
        <v>30748</v>
      </c>
      <c r="M1184" s="21">
        <f t="shared" si="36"/>
        <v>10615.636363636302</v>
      </c>
      <c r="N1184" s="52">
        <f t="shared" si="37"/>
        <v>0.25664175824175711</v>
      </c>
    </row>
    <row r="1185" spans="1:14" x14ac:dyDescent="0.3">
      <c r="A1185" t="str">
        <f>정규화데이터!A1185</f>
        <v>리씽크</v>
      </c>
      <c r="B1185">
        <f>정규화데이터!B1185</f>
        <v>2.0260205121699999E+18</v>
      </c>
      <c r="C1185" t="str">
        <f>정규화데이터!C1185</f>
        <v xml:space="preserve">워커힐 본갈비 3+1 최초❤️5만원대! 총1.2kg✨호텔특제 양념갈비 8인분 (✨1인분 7,375원꼴! / [300g,2인분] x 총 4팩  / ✨초이스등급 본갈비 / ❣️워커힐 </v>
      </c>
      <c r="D1185">
        <f>정규화데이터!D1185</f>
        <v>143790</v>
      </c>
      <c r="E1185" s="16" t="str">
        <f>정규화데이터!E1185</f>
        <v>SKU001</v>
      </c>
      <c r="F1185" s="3">
        <f>정규화데이터!F1185</f>
        <v>1</v>
      </c>
      <c r="G1185" s="3">
        <f>정규화데이터!G1185</f>
        <v>41363.636363636302</v>
      </c>
      <c r="H1185" s="3">
        <f>정규화데이터!H1185</f>
        <v>45499.999999999935</v>
      </c>
      <c r="I1185" s="3">
        <f>정규화데이터!I1185</f>
        <v>45500</v>
      </c>
      <c r="J1185" s="3">
        <f>정규화데이터!J1185</f>
        <v>41363.636363636302</v>
      </c>
      <c r="K1185" s="25">
        <f>정규화데이터!K1185</f>
        <v>30748</v>
      </c>
      <c r="L1185" s="25">
        <f>정규화데이터!L1185</f>
        <v>30748</v>
      </c>
      <c r="M1185" s="21">
        <f t="shared" si="36"/>
        <v>10615.636363636302</v>
      </c>
      <c r="N1185" s="52">
        <f t="shared" si="37"/>
        <v>0.25664175824175711</v>
      </c>
    </row>
    <row r="1186" spans="1:14" x14ac:dyDescent="0.3">
      <c r="A1186" t="str">
        <f>정규화데이터!A1186</f>
        <v>리씽크</v>
      </c>
      <c r="B1186">
        <f>정규화데이터!B1186</f>
        <v>2.0260205123405599E+18</v>
      </c>
      <c r="C1186" t="str">
        <f>정규화데이터!C1186</f>
        <v xml:space="preserve">워커힐 본갈비 3+1 최초❤️5만원대! 총1.2kg✨호텔특제 양념갈비 8인분 (✨1인분 7,375원꼴! / [300g,2인분] x 총 4팩  / ✨초이스등급 본갈비 / ❣️워커힐 </v>
      </c>
      <c r="D1186">
        <f>정규화데이터!D1186</f>
        <v>143790</v>
      </c>
      <c r="E1186" s="16" t="str">
        <f>정규화데이터!E1186</f>
        <v>SKU001</v>
      </c>
      <c r="F1186" s="3">
        <f>정규화데이터!F1186</f>
        <v>1</v>
      </c>
      <c r="G1186" s="3">
        <f>정규화데이터!G1186</f>
        <v>41363.636363636302</v>
      </c>
      <c r="H1186" s="3">
        <f>정규화데이터!H1186</f>
        <v>45499.999999999935</v>
      </c>
      <c r="I1186" s="3">
        <f>정규화데이터!I1186</f>
        <v>45500</v>
      </c>
      <c r="J1186" s="3">
        <f>정규화데이터!J1186</f>
        <v>41363.636363636302</v>
      </c>
      <c r="K1186" s="25">
        <f>정규화데이터!K1186</f>
        <v>30748</v>
      </c>
      <c r="L1186" s="25">
        <f>정규화데이터!L1186</f>
        <v>30748</v>
      </c>
      <c r="M1186" s="21">
        <f t="shared" si="36"/>
        <v>10615.636363636302</v>
      </c>
      <c r="N1186" s="52">
        <f t="shared" si="37"/>
        <v>0.25664175824175711</v>
      </c>
    </row>
    <row r="1187" spans="1:14" x14ac:dyDescent="0.3">
      <c r="A1187" t="str">
        <f>정규화데이터!A1187</f>
        <v>리씽크</v>
      </c>
      <c r="B1187">
        <f>정규화데이터!B1187</f>
        <v>2.0260205124257101E+18</v>
      </c>
      <c r="C1187" t="str">
        <f>정규화데이터!C1187</f>
        <v xml:space="preserve">워커힐 본갈비 3+1 최초❤️5만원대! 총1.2kg✨호텔특제 양념갈비 8인분 (✨1인분 7,375원꼴! / [300g,2인분] x 총 4팩  / ✨초이스등급 본갈비 / ❣️워커힐 </v>
      </c>
      <c r="D1187">
        <f>정규화데이터!D1187</f>
        <v>143790</v>
      </c>
      <c r="E1187" s="16" t="str">
        <f>정규화데이터!E1187</f>
        <v>SKU001</v>
      </c>
      <c r="F1187" s="3">
        <f>정규화데이터!F1187</f>
        <v>1</v>
      </c>
      <c r="G1187" s="3">
        <f>정규화데이터!G1187</f>
        <v>41363.636363636302</v>
      </c>
      <c r="H1187" s="3">
        <f>정규화데이터!H1187</f>
        <v>45499.999999999935</v>
      </c>
      <c r="I1187" s="3">
        <f>정규화데이터!I1187</f>
        <v>45500</v>
      </c>
      <c r="J1187" s="3">
        <f>정규화데이터!J1187</f>
        <v>41363.636363636302</v>
      </c>
      <c r="K1187" s="25">
        <f>정규화데이터!K1187</f>
        <v>30748</v>
      </c>
      <c r="L1187" s="25">
        <f>정규화데이터!L1187</f>
        <v>30748</v>
      </c>
      <c r="M1187" s="21">
        <f t="shared" si="36"/>
        <v>10615.636363636302</v>
      </c>
      <c r="N1187" s="52">
        <f t="shared" si="37"/>
        <v>0.25664175824175711</v>
      </c>
    </row>
    <row r="1188" spans="1:14" x14ac:dyDescent="0.3">
      <c r="A1188" t="str">
        <f>정규화데이터!A1188</f>
        <v>리씽크</v>
      </c>
      <c r="B1188">
        <f>정규화데이터!B1188</f>
        <v>2.02602051252048E+18</v>
      </c>
      <c r="C1188" t="str">
        <f>정규화데이터!C1188</f>
        <v xml:space="preserve">워커힐 본갈비 3+1 최초❤️5만원대! 총1.2kg✨호텔특제 양념갈비 8인분 (✨1인분 7,375원꼴! / [300g,2인분] x 총 4팩  / ✨초이스등급 본갈비 / ❣️워커힐 </v>
      </c>
      <c r="D1188">
        <f>정규화데이터!D1188</f>
        <v>143790</v>
      </c>
      <c r="E1188" s="16" t="str">
        <f>정규화데이터!E1188</f>
        <v>SKU001</v>
      </c>
      <c r="F1188" s="3">
        <f>정규화데이터!F1188</f>
        <v>1</v>
      </c>
      <c r="G1188" s="3">
        <f>정규화데이터!G1188</f>
        <v>41363.636363636302</v>
      </c>
      <c r="H1188" s="3">
        <f>정규화데이터!H1188</f>
        <v>45499.999999999935</v>
      </c>
      <c r="I1188" s="3">
        <f>정규화데이터!I1188</f>
        <v>45500</v>
      </c>
      <c r="J1188" s="3">
        <f>정규화데이터!J1188</f>
        <v>41363.636363636302</v>
      </c>
      <c r="K1188" s="25">
        <f>정규화데이터!K1188</f>
        <v>30748</v>
      </c>
      <c r="L1188" s="25">
        <f>정규화데이터!L1188</f>
        <v>30748</v>
      </c>
      <c r="M1188" s="21">
        <f t="shared" si="36"/>
        <v>10615.636363636302</v>
      </c>
      <c r="N1188" s="52">
        <f t="shared" si="37"/>
        <v>0.25664175824175711</v>
      </c>
    </row>
    <row r="1189" spans="1:14" x14ac:dyDescent="0.3">
      <c r="A1189" t="str">
        <f>정규화데이터!A1189</f>
        <v>리씽크</v>
      </c>
      <c r="B1189">
        <f>정규화데이터!B1189</f>
        <v>2.02602051305389E+18</v>
      </c>
      <c r="C1189" t="str">
        <f>정규화데이터!C1189</f>
        <v xml:space="preserve">워커힐 본갈비 3+1 최초❤️5만원대! 총1.2kg✨호텔특제 양념갈비 8인분 (✨1인분 7,375원꼴! / [300g,2인분] x 총 4팩  / ✨초이스등급 본갈비 / ❣️워커힐 </v>
      </c>
      <c r="D1189">
        <f>정규화데이터!D1189</f>
        <v>143790</v>
      </c>
      <c r="E1189" s="16" t="str">
        <f>정규화데이터!E1189</f>
        <v>SKU001</v>
      </c>
      <c r="F1189" s="3">
        <f>정규화데이터!F1189</f>
        <v>3</v>
      </c>
      <c r="G1189" s="3">
        <f>정규화데이터!G1189</f>
        <v>41363.636363636331</v>
      </c>
      <c r="H1189" s="3">
        <f>정규화데이터!H1189</f>
        <v>136499.99999999991</v>
      </c>
      <c r="I1189" s="3">
        <f>정규화데이터!I1189</f>
        <v>136500</v>
      </c>
      <c r="J1189" s="3">
        <f>정규화데이터!J1189</f>
        <v>124090.909090909</v>
      </c>
      <c r="K1189" s="25">
        <f>정규화데이터!K1189</f>
        <v>30748</v>
      </c>
      <c r="L1189" s="25">
        <f>정규화데이터!L1189</f>
        <v>92244</v>
      </c>
      <c r="M1189" s="21">
        <f t="shared" si="36"/>
        <v>31846.909090909001</v>
      </c>
      <c r="N1189" s="52">
        <f t="shared" si="37"/>
        <v>0.25664175824175772</v>
      </c>
    </row>
    <row r="1190" spans="1:14" x14ac:dyDescent="0.3">
      <c r="A1190" t="str">
        <f>정규화데이터!A1190</f>
        <v>리씽크</v>
      </c>
      <c r="B1190">
        <f>정규화데이터!B1190</f>
        <v>2.02602051315279E+18</v>
      </c>
      <c r="C1190" t="str">
        <f>정규화데이터!C1190</f>
        <v xml:space="preserve">워커힐 본갈비 3+1 최초❤️5만원대! 총1.2kg✨호텔특제 양념갈비 8인분 (✨1인분 7,375원꼴! / [300g,2인분] x 총 4팩  / ✨초이스등급 본갈비 / ❣️워커힐 </v>
      </c>
      <c r="D1190">
        <f>정규화데이터!D1190</f>
        <v>143790</v>
      </c>
      <c r="E1190" s="16" t="str">
        <f>정규화데이터!E1190</f>
        <v>SKU001</v>
      </c>
      <c r="F1190" s="3">
        <f>정규화데이터!F1190</f>
        <v>1</v>
      </c>
      <c r="G1190" s="3">
        <f>정규화데이터!G1190</f>
        <v>41363.636363636302</v>
      </c>
      <c r="H1190" s="3">
        <f>정규화데이터!H1190</f>
        <v>45499.999999999935</v>
      </c>
      <c r="I1190" s="3">
        <f>정규화데이터!I1190</f>
        <v>45500</v>
      </c>
      <c r="J1190" s="3">
        <f>정규화데이터!J1190</f>
        <v>41363.636363636302</v>
      </c>
      <c r="K1190" s="25">
        <f>정규화데이터!K1190</f>
        <v>30748</v>
      </c>
      <c r="L1190" s="25">
        <f>정규화데이터!L1190</f>
        <v>30748</v>
      </c>
      <c r="M1190" s="21">
        <f t="shared" si="36"/>
        <v>10615.636363636302</v>
      </c>
      <c r="N1190" s="52">
        <f t="shared" si="37"/>
        <v>0.25664175824175711</v>
      </c>
    </row>
    <row r="1191" spans="1:14" x14ac:dyDescent="0.3">
      <c r="A1191" t="str">
        <f>정규화데이터!A1191</f>
        <v>리씽크</v>
      </c>
      <c r="B1191">
        <f>정규화데이터!B1191</f>
        <v>2.0260205132452301E+18</v>
      </c>
      <c r="C1191" t="str">
        <f>정규화데이터!C1191</f>
        <v xml:space="preserve">워커힐 본갈비 3+1 최초❤️5만원대! 총1.2kg✨호텔특제 양념갈비 8인분 (✨1인분 7,375원꼴! / [300g,2인분] x 총 4팩  / ✨초이스등급 본갈비 / ❣️워커힐 </v>
      </c>
      <c r="D1191">
        <f>정규화데이터!D1191</f>
        <v>143790</v>
      </c>
      <c r="E1191" s="16" t="str">
        <f>정규화데이터!E1191</f>
        <v>SKU001</v>
      </c>
      <c r="F1191" s="3">
        <f>정규화데이터!F1191</f>
        <v>1</v>
      </c>
      <c r="G1191" s="3">
        <f>정규화데이터!G1191</f>
        <v>41363.636363636302</v>
      </c>
      <c r="H1191" s="3">
        <f>정규화데이터!H1191</f>
        <v>45499.999999999935</v>
      </c>
      <c r="I1191" s="3">
        <f>정규화데이터!I1191</f>
        <v>45500</v>
      </c>
      <c r="J1191" s="3">
        <f>정규화데이터!J1191</f>
        <v>41363.636363636302</v>
      </c>
      <c r="K1191" s="25">
        <f>정규화데이터!K1191</f>
        <v>30748</v>
      </c>
      <c r="L1191" s="25">
        <f>정규화데이터!L1191</f>
        <v>30748</v>
      </c>
      <c r="M1191" s="21">
        <f t="shared" si="36"/>
        <v>10615.636363636302</v>
      </c>
      <c r="N1191" s="52">
        <f t="shared" si="37"/>
        <v>0.25664175824175711</v>
      </c>
    </row>
    <row r="1192" spans="1:14" x14ac:dyDescent="0.3">
      <c r="A1192" t="str">
        <f>정규화데이터!A1192</f>
        <v>리씽크</v>
      </c>
      <c r="B1192">
        <f>정규화데이터!B1192</f>
        <v>2.0260205133301399E+18</v>
      </c>
      <c r="C1192" t="str">
        <f>정규화데이터!C1192</f>
        <v xml:space="preserve">워커힐 본갈비 3+1 최초❤️5만원대! 총1.2kg✨호텔특제 양념갈비 8인분 (✨1인분 7,375원꼴! / [300g,2인분] x 총 4팩  / ✨초이스등급 본갈비 / ❣️워커힐 </v>
      </c>
      <c r="D1192">
        <f>정규화데이터!D1192</f>
        <v>143790</v>
      </c>
      <c r="E1192" s="16" t="str">
        <f>정규화데이터!E1192</f>
        <v>SKU001</v>
      </c>
      <c r="F1192" s="3">
        <f>정규화데이터!F1192</f>
        <v>1</v>
      </c>
      <c r="G1192" s="3">
        <f>정규화데이터!G1192</f>
        <v>41363.636363636302</v>
      </c>
      <c r="H1192" s="3">
        <f>정규화데이터!H1192</f>
        <v>45499.999999999935</v>
      </c>
      <c r="I1192" s="3">
        <f>정규화데이터!I1192</f>
        <v>45500</v>
      </c>
      <c r="J1192" s="3">
        <f>정규화데이터!J1192</f>
        <v>41363.636363636302</v>
      </c>
      <c r="K1192" s="25">
        <f>정규화데이터!K1192</f>
        <v>30748</v>
      </c>
      <c r="L1192" s="25">
        <f>정규화데이터!L1192</f>
        <v>30748</v>
      </c>
      <c r="M1192" s="21">
        <f t="shared" si="36"/>
        <v>10615.636363636302</v>
      </c>
      <c r="N1192" s="52">
        <f t="shared" si="37"/>
        <v>0.25664175824175711</v>
      </c>
    </row>
    <row r="1193" spans="1:14" x14ac:dyDescent="0.3">
      <c r="A1193" t="str">
        <f>정규화데이터!A1193</f>
        <v>리씽크</v>
      </c>
      <c r="B1193">
        <f>정규화데이터!B1193</f>
        <v>2.02602051338467E+18</v>
      </c>
      <c r="C1193" t="str">
        <f>정규화데이터!C1193</f>
        <v xml:space="preserve">워커힐 본갈비 3+1 최초❤️5만원대! 총1.2kg✨호텔특제 양념갈비 8인분 (✨1인분 7,375원꼴! / [300g,2인분] x 총 4팩  / ✨초이스등급 본갈비 / ❣️워커힐 </v>
      </c>
      <c r="D1193">
        <f>정규화데이터!D1193</f>
        <v>143790</v>
      </c>
      <c r="E1193" s="16" t="str">
        <f>정규화데이터!E1193</f>
        <v>SKU001</v>
      </c>
      <c r="F1193" s="3">
        <f>정규화데이터!F1193</f>
        <v>1</v>
      </c>
      <c r="G1193" s="3">
        <f>정규화데이터!G1193</f>
        <v>41363.636363636302</v>
      </c>
      <c r="H1193" s="3">
        <f>정규화데이터!H1193</f>
        <v>45499.999999999935</v>
      </c>
      <c r="I1193" s="3">
        <f>정규화데이터!I1193</f>
        <v>45500</v>
      </c>
      <c r="J1193" s="3">
        <f>정규화데이터!J1193</f>
        <v>41363.636363636302</v>
      </c>
      <c r="K1193" s="25">
        <f>정규화데이터!K1193</f>
        <v>30748</v>
      </c>
      <c r="L1193" s="25">
        <f>정규화데이터!L1193</f>
        <v>30748</v>
      </c>
      <c r="M1193" s="21">
        <f t="shared" si="36"/>
        <v>10615.636363636302</v>
      </c>
      <c r="N1193" s="52">
        <f t="shared" si="37"/>
        <v>0.25664175824175711</v>
      </c>
    </row>
    <row r="1194" spans="1:14" x14ac:dyDescent="0.3">
      <c r="A1194" t="str">
        <f>정규화데이터!A1194</f>
        <v>리씽크</v>
      </c>
      <c r="B1194">
        <f>정규화데이터!B1194</f>
        <v>2.0260205134033101E+18</v>
      </c>
      <c r="C1194" t="str">
        <f>정규화데이터!C1194</f>
        <v xml:space="preserve">워커힐 본갈비 3+1 최초❤️5만원대! 총1.2kg✨호텔특제 양념갈비 8인분 (✨1인분 7,375원꼴! / [300g,2인분] x 총 4팩  / ✨초이스등급 본갈비 / ❣️워커힐 </v>
      </c>
      <c r="D1194">
        <f>정규화데이터!D1194</f>
        <v>143790</v>
      </c>
      <c r="E1194" s="16" t="str">
        <f>정규화데이터!E1194</f>
        <v>SKU001</v>
      </c>
      <c r="F1194" s="3">
        <f>정규화데이터!F1194</f>
        <v>1</v>
      </c>
      <c r="G1194" s="3">
        <f>정규화데이터!G1194</f>
        <v>41363.636363636302</v>
      </c>
      <c r="H1194" s="3">
        <f>정규화데이터!H1194</f>
        <v>45499.999999999935</v>
      </c>
      <c r="I1194" s="3">
        <f>정규화데이터!I1194</f>
        <v>45500</v>
      </c>
      <c r="J1194" s="3">
        <f>정규화데이터!J1194</f>
        <v>41363.636363636302</v>
      </c>
      <c r="K1194" s="25">
        <f>정규화데이터!K1194</f>
        <v>30748</v>
      </c>
      <c r="L1194" s="25">
        <f>정규화데이터!L1194</f>
        <v>30748</v>
      </c>
      <c r="M1194" s="21">
        <f t="shared" si="36"/>
        <v>10615.636363636302</v>
      </c>
      <c r="N1194" s="52">
        <f t="shared" si="37"/>
        <v>0.25664175824175711</v>
      </c>
    </row>
    <row r="1195" spans="1:14" x14ac:dyDescent="0.3">
      <c r="A1195" t="str">
        <f>정규화데이터!A1195</f>
        <v>리씽크</v>
      </c>
      <c r="B1195">
        <f>정규화데이터!B1195</f>
        <v>2.02602051351168E+18</v>
      </c>
      <c r="C1195" t="str">
        <f>정규화데이터!C1195</f>
        <v xml:space="preserve">워커힐 본갈비 3+1 최초❤️5만원대! 총1.2kg✨호텔특제 양념갈비 8인분 (✨1인분 7,375원꼴! / [300g,2인분] x 총 4팩  / ✨초이스등급 본갈비 / ❣️워커힐 </v>
      </c>
      <c r="D1195">
        <f>정규화데이터!D1195</f>
        <v>143790</v>
      </c>
      <c r="E1195" s="16" t="str">
        <f>정규화데이터!E1195</f>
        <v>SKU001</v>
      </c>
      <c r="F1195" s="3">
        <f>정규화데이터!F1195</f>
        <v>1</v>
      </c>
      <c r="G1195" s="3">
        <f>정규화데이터!G1195</f>
        <v>41363.636363636302</v>
      </c>
      <c r="H1195" s="3">
        <f>정규화데이터!H1195</f>
        <v>45499.999999999935</v>
      </c>
      <c r="I1195" s="3">
        <f>정규화데이터!I1195</f>
        <v>45500</v>
      </c>
      <c r="J1195" s="3">
        <f>정규화데이터!J1195</f>
        <v>41363.636363636302</v>
      </c>
      <c r="K1195" s="25">
        <f>정규화데이터!K1195</f>
        <v>30748</v>
      </c>
      <c r="L1195" s="25">
        <f>정규화데이터!L1195</f>
        <v>30748</v>
      </c>
      <c r="M1195" s="21">
        <f t="shared" si="36"/>
        <v>10615.636363636302</v>
      </c>
      <c r="N1195" s="52">
        <f t="shared" si="37"/>
        <v>0.25664175824175711</v>
      </c>
    </row>
    <row r="1196" spans="1:14" x14ac:dyDescent="0.3">
      <c r="A1196" t="str">
        <f>정규화데이터!A1196</f>
        <v>리씽크</v>
      </c>
      <c r="B1196">
        <f>정규화데이터!B1196</f>
        <v>2.02602051353011E+18</v>
      </c>
      <c r="C1196" t="str">
        <f>정규화데이터!C1196</f>
        <v xml:space="preserve">워커힐 본갈비 3+1 최초❤️5만원대! 총1.2kg✨호텔특제 양념갈비 8인분 (✨1인분 7,375원꼴! / [300g,2인분] x 총 4팩  / ✨초이스등급 본갈비 / ❣️워커힐 </v>
      </c>
      <c r="D1196">
        <f>정규화데이터!D1196</f>
        <v>143790</v>
      </c>
      <c r="E1196" s="16" t="str">
        <f>정규화데이터!E1196</f>
        <v>SKU001</v>
      </c>
      <c r="F1196" s="3">
        <f>정규화데이터!F1196</f>
        <v>1</v>
      </c>
      <c r="G1196" s="3">
        <f>정규화데이터!G1196</f>
        <v>41363.636363636302</v>
      </c>
      <c r="H1196" s="3">
        <f>정규화데이터!H1196</f>
        <v>45499.999999999935</v>
      </c>
      <c r="I1196" s="3">
        <f>정규화데이터!I1196</f>
        <v>45500</v>
      </c>
      <c r="J1196" s="3">
        <f>정규화데이터!J1196</f>
        <v>41363.636363636302</v>
      </c>
      <c r="K1196" s="25">
        <f>정규화데이터!K1196</f>
        <v>30748</v>
      </c>
      <c r="L1196" s="25">
        <f>정규화데이터!L1196</f>
        <v>30748</v>
      </c>
      <c r="M1196" s="21">
        <f t="shared" si="36"/>
        <v>10615.636363636302</v>
      </c>
      <c r="N1196" s="52">
        <f t="shared" si="37"/>
        <v>0.25664175824175711</v>
      </c>
    </row>
    <row r="1197" spans="1:14" x14ac:dyDescent="0.3">
      <c r="A1197" t="str">
        <f>정규화데이터!A1197</f>
        <v>리씽크</v>
      </c>
      <c r="B1197">
        <f>정규화데이터!B1197</f>
        <v>2.02602051359278E+18</v>
      </c>
      <c r="C1197" t="str">
        <f>정규화데이터!C1197</f>
        <v xml:space="preserve">워커힐 본갈비 3+1 최초❤️5만원대! 총1.2kg✨호텔특제 양념갈비 8인분 (✨1인분 7,375원꼴! / [300g,2인분] x 총 4팩  / ✨초이스등급 본갈비 / ❣️워커힐 </v>
      </c>
      <c r="D1197">
        <f>정규화데이터!D1197</f>
        <v>143790</v>
      </c>
      <c r="E1197" s="16" t="str">
        <f>정규화데이터!E1197</f>
        <v>SKU001</v>
      </c>
      <c r="F1197" s="3">
        <f>정규화데이터!F1197</f>
        <v>1</v>
      </c>
      <c r="G1197" s="3">
        <f>정규화데이터!G1197</f>
        <v>41363.636363636302</v>
      </c>
      <c r="H1197" s="3">
        <f>정규화데이터!H1197</f>
        <v>45499.999999999935</v>
      </c>
      <c r="I1197" s="3">
        <f>정규화데이터!I1197</f>
        <v>45500</v>
      </c>
      <c r="J1197" s="3">
        <f>정규화데이터!J1197</f>
        <v>41363.636363636302</v>
      </c>
      <c r="K1197" s="25">
        <f>정규화데이터!K1197</f>
        <v>30748</v>
      </c>
      <c r="L1197" s="25">
        <f>정규화데이터!L1197</f>
        <v>30748</v>
      </c>
      <c r="M1197" s="21">
        <f t="shared" si="36"/>
        <v>10615.636363636302</v>
      </c>
      <c r="N1197" s="52">
        <f t="shared" si="37"/>
        <v>0.25664175824175711</v>
      </c>
    </row>
    <row r="1198" spans="1:14" x14ac:dyDescent="0.3">
      <c r="A1198" t="str">
        <f>정규화데이터!A1198</f>
        <v>리씽크</v>
      </c>
      <c r="B1198">
        <f>정규화데이터!B1198</f>
        <v>2.0260205143455099E+18</v>
      </c>
      <c r="C1198" t="str">
        <f>정규화데이터!C1198</f>
        <v xml:space="preserve">워커힐 본갈비 3+1 최초❤️5만원대! 총1.2kg✨호텔특제 양념갈비 8인분 (✨1인분 7,375원꼴! / [300g,2인분] x 총 4팩  / ✨초이스등급 본갈비 / ❣️워커힐 </v>
      </c>
      <c r="D1198">
        <f>정규화데이터!D1198</f>
        <v>143790</v>
      </c>
      <c r="E1198" s="16" t="str">
        <f>정규화데이터!E1198</f>
        <v>SKU001</v>
      </c>
      <c r="F1198" s="3">
        <f>정규화데이터!F1198</f>
        <v>1</v>
      </c>
      <c r="G1198" s="3">
        <f>정규화데이터!G1198</f>
        <v>41363.636363636302</v>
      </c>
      <c r="H1198" s="3">
        <f>정규화데이터!H1198</f>
        <v>45499.999999999935</v>
      </c>
      <c r="I1198" s="3">
        <f>정규화데이터!I1198</f>
        <v>45500</v>
      </c>
      <c r="J1198" s="3">
        <f>정규화데이터!J1198</f>
        <v>41363.636363636302</v>
      </c>
      <c r="K1198" s="25">
        <f>정규화데이터!K1198</f>
        <v>30748</v>
      </c>
      <c r="L1198" s="25">
        <f>정규화데이터!L1198</f>
        <v>30748</v>
      </c>
      <c r="M1198" s="21">
        <f t="shared" si="36"/>
        <v>10615.636363636302</v>
      </c>
      <c r="N1198" s="52">
        <f t="shared" si="37"/>
        <v>0.25664175824175711</v>
      </c>
    </row>
    <row r="1199" spans="1:14" x14ac:dyDescent="0.3">
      <c r="A1199" t="str">
        <f>정규화데이터!A1199</f>
        <v>리씽크</v>
      </c>
      <c r="B1199">
        <f>정규화데이터!B1199</f>
        <v>2.02602051447394E+18</v>
      </c>
      <c r="C1199" t="str">
        <f>정규화데이터!C1199</f>
        <v xml:space="preserve">워커힐 본갈비 3+1 최초❤️5만원대! 총1.2kg✨호텔특제 양념갈비 8인분 (✨1인분 7,375원꼴! / [300g,2인분] x 총 4팩  / ✨초이스등급 본갈비 / ❣️워커힐 </v>
      </c>
      <c r="D1199">
        <f>정규화데이터!D1199</f>
        <v>143790</v>
      </c>
      <c r="E1199" s="16" t="str">
        <f>정규화데이터!E1199</f>
        <v>SKU001</v>
      </c>
      <c r="F1199" s="3">
        <f>정규화데이터!F1199</f>
        <v>1</v>
      </c>
      <c r="G1199" s="3">
        <f>정규화데이터!G1199</f>
        <v>41363.636363636302</v>
      </c>
      <c r="H1199" s="3">
        <f>정규화데이터!H1199</f>
        <v>45499.999999999935</v>
      </c>
      <c r="I1199" s="3">
        <f>정규화데이터!I1199</f>
        <v>45500</v>
      </c>
      <c r="J1199" s="3">
        <f>정규화데이터!J1199</f>
        <v>41363.636363636302</v>
      </c>
      <c r="K1199" s="25">
        <f>정규화데이터!K1199</f>
        <v>30748</v>
      </c>
      <c r="L1199" s="25">
        <f>정규화데이터!L1199</f>
        <v>30748</v>
      </c>
      <c r="M1199" s="21">
        <f t="shared" si="36"/>
        <v>10615.636363636302</v>
      </c>
      <c r="N1199" s="52">
        <f t="shared" si="37"/>
        <v>0.25664175824175711</v>
      </c>
    </row>
    <row r="1200" spans="1:14" x14ac:dyDescent="0.3">
      <c r="A1200" t="str">
        <f>정규화데이터!A1200</f>
        <v>리씽크</v>
      </c>
      <c r="B1200">
        <f>정규화데이터!B1200</f>
        <v>2.02602051605235E+18</v>
      </c>
      <c r="C1200" t="str">
        <f>정규화데이터!C1200</f>
        <v xml:space="preserve">워커힐 본갈비 3+1 최초❤️5만원대! 총1.2kg✨호텔특제 양념갈비 8인분 (✨1인분 7,375원꼴! / [300g,2인분] x 총 4팩  / ✨초이스등급 본갈비 / ❣️워커힐 </v>
      </c>
      <c r="D1200">
        <f>정규화데이터!D1200</f>
        <v>143790</v>
      </c>
      <c r="E1200" s="16" t="str">
        <f>정규화데이터!E1200</f>
        <v>SKU001</v>
      </c>
      <c r="F1200" s="3">
        <f>정규화데이터!F1200</f>
        <v>1</v>
      </c>
      <c r="G1200" s="3">
        <f>정규화데이터!G1200</f>
        <v>41363.636363636302</v>
      </c>
      <c r="H1200" s="3">
        <f>정규화데이터!H1200</f>
        <v>45499.999999999935</v>
      </c>
      <c r="I1200" s="3">
        <f>정규화데이터!I1200</f>
        <v>45500</v>
      </c>
      <c r="J1200" s="3">
        <f>정규화데이터!J1200</f>
        <v>41363.636363636302</v>
      </c>
      <c r="K1200" s="25">
        <f>정규화데이터!K1200</f>
        <v>30748</v>
      </c>
      <c r="L1200" s="25">
        <f>정규화데이터!L1200</f>
        <v>30748</v>
      </c>
      <c r="M1200" s="21">
        <f t="shared" si="36"/>
        <v>10615.636363636302</v>
      </c>
      <c r="N1200" s="52">
        <f t="shared" si="37"/>
        <v>0.25664175824175711</v>
      </c>
    </row>
    <row r="1201" spans="1:14" x14ac:dyDescent="0.3">
      <c r="A1201" t="str">
        <f>정규화데이터!A1201</f>
        <v>리씽크</v>
      </c>
      <c r="B1201">
        <f>정규화데이터!B1201</f>
        <v>2.0260205160856699E+18</v>
      </c>
      <c r="C1201" t="str">
        <f>정규화데이터!C1201</f>
        <v xml:space="preserve">워커힐 본갈비 3+1 최초❤️5만원대! 총1.2kg✨호텔특제 양념갈비 8인분 (✨1인분 7,375원꼴! / [300g,2인분] x 총 4팩  / ✨초이스등급 본갈비 / ❣️워커힐 </v>
      </c>
      <c r="D1201">
        <f>정규화데이터!D1201</f>
        <v>143790</v>
      </c>
      <c r="E1201" s="16" t="str">
        <f>정규화데이터!E1201</f>
        <v>SKU001</v>
      </c>
      <c r="F1201" s="3">
        <f>정규화데이터!F1201</f>
        <v>1</v>
      </c>
      <c r="G1201" s="3">
        <f>정규화데이터!G1201</f>
        <v>41363.636363636302</v>
      </c>
      <c r="H1201" s="3">
        <f>정규화데이터!H1201</f>
        <v>45499.999999999935</v>
      </c>
      <c r="I1201" s="3">
        <f>정규화데이터!I1201</f>
        <v>45500</v>
      </c>
      <c r="J1201" s="3">
        <f>정규화데이터!J1201</f>
        <v>41363.636363636302</v>
      </c>
      <c r="K1201" s="25">
        <f>정규화데이터!K1201</f>
        <v>30748</v>
      </c>
      <c r="L1201" s="25">
        <f>정규화데이터!L1201</f>
        <v>30748</v>
      </c>
      <c r="M1201" s="21">
        <f t="shared" si="36"/>
        <v>10615.636363636302</v>
      </c>
      <c r="N1201" s="52">
        <f t="shared" si="37"/>
        <v>0.25664175824175711</v>
      </c>
    </row>
    <row r="1202" spans="1:14" x14ac:dyDescent="0.3">
      <c r="A1202" t="str">
        <f>정규화데이터!A1202</f>
        <v>리씽크</v>
      </c>
      <c r="B1202">
        <f>정규화데이터!B1202</f>
        <v>2.0260205160954501E+18</v>
      </c>
      <c r="C1202" t="str">
        <f>정규화데이터!C1202</f>
        <v xml:space="preserve">워커힐 본갈비 3+1 최초❤️5만원대! 총1.2kg✨호텔특제 양념갈비 8인분 (✨1인분 7,375원꼴! / [300g,2인분] x 총 4팩  / ✨초이스등급 본갈비 / ❣️워커힐 </v>
      </c>
      <c r="D1202">
        <f>정규화데이터!D1202</f>
        <v>143790</v>
      </c>
      <c r="E1202" s="16" t="str">
        <f>정규화데이터!E1202</f>
        <v>SKU001</v>
      </c>
      <c r="F1202" s="3">
        <f>정규화데이터!F1202</f>
        <v>1</v>
      </c>
      <c r="G1202" s="3">
        <f>정규화데이터!G1202</f>
        <v>41363.636363636302</v>
      </c>
      <c r="H1202" s="3">
        <f>정규화데이터!H1202</f>
        <v>45499.999999999935</v>
      </c>
      <c r="I1202" s="3">
        <f>정규화데이터!I1202</f>
        <v>45500</v>
      </c>
      <c r="J1202" s="3">
        <f>정규화데이터!J1202</f>
        <v>41363.636363636302</v>
      </c>
      <c r="K1202" s="25">
        <f>정규화데이터!K1202</f>
        <v>30748</v>
      </c>
      <c r="L1202" s="25">
        <f>정규화데이터!L1202</f>
        <v>30748</v>
      </c>
      <c r="M1202" s="21">
        <f t="shared" si="36"/>
        <v>10615.636363636302</v>
      </c>
      <c r="N1202" s="52">
        <f t="shared" si="37"/>
        <v>0.25664175824175711</v>
      </c>
    </row>
    <row r="1203" spans="1:14" x14ac:dyDescent="0.3">
      <c r="A1203" t="str">
        <f>정규화데이터!A1203</f>
        <v>리씽크</v>
      </c>
      <c r="B1203">
        <f>정규화데이터!B1203</f>
        <v>2.0260205161002501E+18</v>
      </c>
      <c r="C1203" t="str">
        <f>정규화데이터!C1203</f>
        <v xml:space="preserve">워커힐 본갈비 3+1 최초❤️5만원대! 총1.2kg✨호텔특제 양념갈비 8인분 (✨1인분 7,375원꼴! / [300g,2인분] x 총 4팩  / ✨초이스등급 본갈비 / ❣️워커힐 </v>
      </c>
      <c r="D1203">
        <f>정규화데이터!D1203</f>
        <v>143790</v>
      </c>
      <c r="E1203" s="16" t="str">
        <f>정규화데이터!E1203</f>
        <v>SKU001</v>
      </c>
      <c r="F1203" s="3">
        <f>정규화데이터!F1203</f>
        <v>1</v>
      </c>
      <c r="G1203" s="3">
        <f>정규화데이터!G1203</f>
        <v>41363.636363636302</v>
      </c>
      <c r="H1203" s="3">
        <f>정규화데이터!H1203</f>
        <v>45499.999999999935</v>
      </c>
      <c r="I1203" s="3">
        <f>정규화데이터!I1203</f>
        <v>45500</v>
      </c>
      <c r="J1203" s="3">
        <f>정규화데이터!J1203</f>
        <v>41363.636363636302</v>
      </c>
      <c r="K1203" s="25">
        <f>정규화데이터!K1203</f>
        <v>30748</v>
      </c>
      <c r="L1203" s="25">
        <f>정규화데이터!L1203</f>
        <v>30748</v>
      </c>
      <c r="M1203" s="21">
        <f t="shared" si="36"/>
        <v>10615.636363636302</v>
      </c>
      <c r="N1203" s="52">
        <f t="shared" si="37"/>
        <v>0.25664175824175711</v>
      </c>
    </row>
    <row r="1204" spans="1:14" x14ac:dyDescent="0.3">
      <c r="A1204" t="str">
        <f>정규화데이터!A1204</f>
        <v>리씽크</v>
      </c>
      <c r="B1204">
        <f>정규화데이터!B1204</f>
        <v>2.02602051610111E+18</v>
      </c>
      <c r="C1204" t="str">
        <f>정규화데이터!C1204</f>
        <v xml:space="preserve">워커힐 본갈비 3+1 최초❤️5만원대! 총1.2kg✨호텔특제 양념갈비 8인분 (✨1인분 7,375원꼴! / [300g,2인분] x 총 4팩  / ✨초이스등급 본갈비 / ❣️워커힐 </v>
      </c>
      <c r="D1204">
        <f>정규화데이터!D1204</f>
        <v>143790</v>
      </c>
      <c r="E1204" s="16" t="str">
        <f>정규화데이터!E1204</f>
        <v>SKU001</v>
      </c>
      <c r="F1204" s="3">
        <f>정규화데이터!F1204</f>
        <v>1</v>
      </c>
      <c r="G1204" s="3">
        <f>정규화데이터!G1204</f>
        <v>41363.636363636302</v>
      </c>
      <c r="H1204" s="3">
        <f>정규화데이터!H1204</f>
        <v>45499.999999999935</v>
      </c>
      <c r="I1204" s="3">
        <f>정규화데이터!I1204</f>
        <v>45500</v>
      </c>
      <c r="J1204" s="3">
        <f>정규화데이터!J1204</f>
        <v>41363.636363636302</v>
      </c>
      <c r="K1204" s="25">
        <f>정규화데이터!K1204</f>
        <v>30748</v>
      </c>
      <c r="L1204" s="25">
        <f>정규화데이터!L1204</f>
        <v>30748</v>
      </c>
      <c r="M1204" s="21">
        <f t="shared" si="36"/>
        <v>10615.636363636302</v>
      </c>
      <c r="N1204" s="52">
        <f t="shared" si="37"/>
        <v>0.25664175824175711</v>
      </c>
    </row>
    <row r="1205" spans="1:14" x14ac:dyDescent="0.3">
      <c r="A1205" t="str">
        <f>정규화데이터!A1205</f>
        <v>리씽크</v>
      </c>
      <c r="B1205">
        <f>정규화데이터!B1205</f>
        <v>2.02602051611553E+18</v>
      </c>
      <c r="C1205" t="str">
        <f>정규화데이터!C1205</f>
        <v xml:space="preserve">워커힐 본갈비 3+1 최초❤️5만원대! 총1.2kg✨호텔특제 양념갈비 8인분 (✨1인분 7,375원꼴! / [300g,2인분] x 총 4팩  / ✨초이스등급 본갈비 / ❣️워커힐 </v>
      </c>
      <c r="D1205">
        <f>정규화데이터!D1205</f>
        <v>143790</v>
      </c>
      <c r="E1205" s="16" t="str">
        <f>정규화데이터!E1205</f>
        <v>SKU001</v>
      </c>
      <c r="F1205" s="3">
        <f>정규화데이터!F1205</f>
        <v>1</v>
      </c>
      <c r="G1205" s="3">
        <f>정규화데이터!G1205</f>
        <v>41363.636363636302</v>
      </c>
      <c r="H1205" s="3">
        <f>정규화데이터!H1205</f>
        <v>45499.999999999935</v>
      </c>
      <c r="I1205" s="3">
        <f>정규화데이터!I1205</f>
        <v>45500</v>
      </c>
      <c r="J1205" s="3">
        <f>정규화데이터!J1205</f>
        <v>41363.636363636302</v>
      </c>
      <c r="K1205" s="25">
        <f>정규화데이터!K1205</f>
        <v>30748</v>
      </c>
      <c r="L1205" s="25">
        <f>정규화데이터!L1205</f>
        <v>30748</v>
      </c>
      <c r="M1205" s="21">
        <f t="shared" si="36"/>
        <v>10615.636363636302</v>
      </c>
      <c r="N1205" s="52">
        <f t="shared" si="37"/>
        <v>0.25664175824175711</v>
      </c>
    </row>
    <row r="1206" spans="1:14" x14ac:dyDescent="0.3">
      <c r="A1206" t="str">
        <f>정규화데이터!A1206</f>
        <v>리씽크</v>
      </c>
      <c r="B1206">
        <f>정규화데이터!B1206</f>
        <v>2.02602051610337E+18</v>
      </c>
      <c r="C1206" t="str">
        <f>정규화데이터!C1206</f>
        <v xml:space="preserve">워커힐 본갈비 3+1 최초❤️5만원대! 총1.2kg✨호텔특제 양념갈비 8인분 (✨1인분 7,375원꼴! / [300g,2인분] x 총 4팩  / ✨초이스등급 본갈비 / ❣️워커힐 </v>
      </c>
      <c r="D1206">
        <f>정규화데이터!D1206</f>
        <v>143790</v>
      </c>
      <c r="E1206" s="16" t="str">
        <f>정규화데이터!E1206</f>
        <v>SKU001</v>
      </c>
      <c r="F1206" s="3">
        <f>정규화데이터!F1206</f>
        <v>1</v>
      </c>
      <c r="G1206" s="3">
        <f>정규화데이터!G1206</f>
        <v>41363.636363636302</v>
      </c>
      <c r="H1206" s="3">
        <f>정규화데이터!H1206</f>
        <v>45499.999999999935</v>
      </c>
      <c r="I1206" s="3">
        <f>정규화데이터!I1206</f>
        <v>45500</v>
      </c>
      <c r="J1206" s="3">
        <f>정규화데이터!J1206</f>
        <v>41363.636363636302</v>
      </c>
      <c r="K1206" s="25">
        <f>정규화데이터!K1206</f>
        <v>30748</v>
      </c>
      <c r="L1206" s="25">
        <f>정규화데이터!L1206</f>
        <v>30748</v>
      </c>
      <c r="M1206" s="21">
        <f t="shared" si="36"/>
        <v>10615.636363636302</v>
      </c>
      <c r="N1206" s="52">
        <f t="shared" si="37"/>
        <v>0.25664175824175711</v>
      </c>
    </row>
    <row r="1207" spans="1:14" x14ac:dyDescent="0.3">
      <c r="A1207" t="str">
        <f>정규화데이터!A1207</f>
        <v>리씽크</v>
      </c>
      <c r="B1207">
        <f>정규화데이터!B1207</f>
        <v>2.0260205161303601E+18</v>
      </c>
      <c r="C1207" t="str">
        <f>정규화데이터!C1207</f>
        <v xml:space="preserve">워커힐 본갈비 3+1 최초❤️5만원대! 총1.2kg✨호텔특제 양념갈비 8인분 (✨1인분 7,375원꼴! / [300g,2인분] x 총 4팩  / ✨초이스등급 본갈비 / ❣️워커힐 </v>
      </c>
      <c r="D1207">
        <f>정규화데이터!D1207</f>
        <v>143790</v>
      </c>
      <c r="E1207" s="16" t="str">
        <f>정규화데이터!E1207</f>
        <v>SKU001</v>
      </c>
      <c r="F1207" s="3">
        <f>정규화데이터!F1207</f>
        <v>1</v>
      </c>
      <c r="G1207" s="3">
        <f>정규화데이터!G1207</f>
        <v>41363.636363636302</v>
      </c>
      <c r="H1207" s="3">
        <f>정규화데이터!H1207</f>
        <v>45499.999999999935</v>
      </c>
      <c r="I1207" s="3">
        <f>정규화데이터!I1207</f>
        <v>45500</v>
      </c>
      <c r="J1207" s="3">
        <f>정규화데이터!J1207</f>
        <v>41363.636363636302</v>
      </c>
      <c r="K1207" s="25">
        <f>정규화데이터!K1207</f>
        <v>30748</v>
      </c>
      <c r="L1207" s="25">
        <f>정규화데이터!L1207</f>
        <v>30748</v>
      </c>
      <c r="M1207" s="21">
        <f t="shared" si="36"/>
        <v>10615.636363636302</v>
      </c>
      <c r="N1207" s="52">
        <f t="shared" si="37"/>
        <v>0.25664175824175711</v>
      </c>
    </row>
    <row r="1208" spans="1:14" x14ac:dyDescent="0.3">
      <c r="A1208" t="str">
        <f>정규화데이터!A1208</f>
        <v>리씽크</v>
      </c>
      <c r="B1208">
        <f>정규화데이터!B1208</f>
        <v>2.0260205161101701E+18</v>
      </c>
      <c r="C1208" t="str">
        <f>정규화데이터!C1208</f>
        <v xml:space="preserve">워커힐 본갈비 3+1 최초❤️5만원대! 총1.2kg✨호텔특제 양념갈비 8인분 (✨1인분 7,375원꼴! / [300g,2인분] x 총 4팩  / ✨초이스등급 본갈비 / ❣️워커힐 </v>
      </c>
      <c r="D1208">
        <f>정규화데이터!D1208</f>
        <v>143790</v>
      </c>
      <c r="E1208" s="16" t="str">
        <f>정규화데이터!E1208</f>
        <v>SKU001</v>
      </c>
      <c r="F1208" s="3">
        <f>정규화데이터!F1208</f>
        <v>1</v>
      </c>
      <c r="G1208" s="3">
        <f>정규화데이터!G1208</f>
        <v>41363.636363636302</v>
      </c>
      <c r="H1208" s="3">
        <f>정규화데이터!H1208</f>
        <v>45499.999999999935</v>
      </c>
      <c r="I1208" s="3">
        <f>정규화데이터!I1208</f>
        <v>45500</v>
      </c>
      <c r="J1208" s="3">
        <f>정규화데이터!J1208</f>
        <v>41363.636363636302</v>
      </c>
      <c r="K1208" s="25">
        <f>정규화데이터!K1208</f>
        <v>30748</v>
      </c>
      <c r="L1208" s="25">
        <f>정규화데이터!L1208</f>
        <v>30748</v>
      </c>
      <c r="M1208" s="21">
        <f t="shared" si="36"/>
        <v>10615.636363636302</v>
      </c>
      <c r="N1208" s="52">
        <f t="shared" si="37"/>
        <v>0.25664175824175711</v>
      </c>
    </row>
    <row r="1209" spans="1:14" x14ac:dyDescent="0.3">
      <c r="A1209" t="str">
        <f>정규화데이터!A1209</f>
        <v>리씽크</v>
      </c>
      <c r="B1209">
        <f>정규화데이터!B1209</f>
        <v>2.0260205161245701E+18</v>
      </c>
      <c r="C1209" t="str">
        <f>정규화데이터!C1209</f>
        <v xml:space="preserve">워커힐 본갈비 3+1 최초❤️5만원대! 총1.2kg✨호텔특제 양념갈비 8인분 (✨1인분 7,375원꼴! / [300g,2인분] x 총 4팩  / ✨초이스등급 본갈비 / ❣️워커힐 </v>
      </c>
      <c r="D1209">
        <f>정규화데이터!D1209</f>
        <v>143790</v>
      </c>
      <c r="E1209" s="16" t="str">
        <f>정규화데이터!E1209</f>
        <v>SKU001</v>
      </c>
      <c r="F1209" s="3">
        <f>정규화데이터!F1209</f>
        <v>2</v>
      </c>
      <c r="G1209" s="3">
        <f>정규화데이터!G1209</f>
        <v>41363.636363636353</v>
      </c>
      <c r="H1209" s="3">
        <f>정규화데이터!H1209</f>
        <v>91000</v>
      </c>
      <c r="I1209" s="3">
        <f>정규화데이터!I1209</f>
        <v>91000</v>
      </c>
      <c r="J1209" s="3">
        <f>정규화데이터!J1209</f>
        <v>82727.272727272706</v>
      </c>
      <c r="K1209" s="25">
        <f>정규화데이터!K1209</f>
        <v>30748</v>
      </c>
      <c r="L1209" s="25">
        <f>정규화데이터!L1209</f>
        <v>61496</v>
      </c>
      <c r="M1209" s="21">
        <f t="shared" si="36"/>
        <v>21231.272727272706</v>
      </c>
      <c r="N1209" s="52">
        <f t="shared" si="37"/>
        <v>0.25664175824175806</v>
      </c>
    </row>
    <row r="1210" spans="1:14" x14ac:dyDescent="0.3">
      <c r="A1210" t="str">
        <f>정규화데이터!A1210</f>
        <v>리씽크</v>
      </c>
      <c r="B1210">
        <f>정규화데이터!B1210</f>
        <v>2.0260205161337101E+18</v>
      </c>
      <c r="C1210" t="str">
        <f>정규화데이터!C1210</f>
        <v xml:space="preserve">워커힐 본갈비 3+1 최초❤️5만원대! 총1.2kg✨호텔특제 양념갈비 8인분 (✨1인분 7,375원꼴! / [300g,2인분] x 총 4팩  / ✨초이스등급 본갈비 / ❣️워커힐 </v>
      </c>
      <c r="D1210">
        <f>정규화데이터!D1210</f>
        <v>143790</v>
      </c>
      <c r="E1210" s="16" t="str">
        <f>정규화데이터!E1210</f>
        <v>SKU001</v>
      </c>
      <c r="F1210" s="3">
        <f>정규화데이터!F1210</f>
        <v>1</v>
      </c>
      <c r="G1210" s="3">
        <f>정규화데이터!G1210</f>
        <v>41363.636363636302</v>
      </c>
      <c r="H1210" s="3">
        <f>정규화데이터!H1210</f>
        <v>45499.999999999935</v>
      </c>
      <c r="I1210" s="3">
        <f>정규화데이터!I1210</f>
        <v>45500</v>
      </c>
      <c r="J1210" s="3">
        <f>정규화데이터!J1210</f>
        <v>41363.636363636302</v>
      </c>
      <c r="K1210" s="25">
        <f>정규화데이터!K1210</f>
        <v>30748</v>
      </c>
      <c r="L1210" s="25">
        <f>정규화데이터!L1210</f>
        <v>30748</v>
      </c>
      <c r="M1210" s="21">
        <f t="shared" si="36"/>
        <v>10615.636363636302</v>
      </c>
      <c r="N1210" s="52">
        <f t="shared" si="37"/>
        <v>0.25664175824175711</v>
      </c>
    </row>
    <row r="1211" spans="1:14" x14ac:dyDescent="0.3">
      <c r="A1211" t="str">
        <f>정규화데이터!A1211</f>
        <v>리씽크</v>
      </c>
      <c r="B1211">
        <f>정규화데이터!B1211</f>
        <v>2.0260205161222999E+18</v>
      </c>
      <c r="C1211" t="str">
        <f>정규화데이터!C1211</f>
        <v xml:space="preserve">워커힐 본갈비 3+1 최초❤️5만원대! 총1.2kg✨호텔특제 양념갈비 8인분 (✨1인분 7,375원꼴! / [300g,2인분] x 총 4팩  / ✨초이스등급 본갈비 / ❣️워커힐 </v>
      </c>
      <c r="D1211">
        <f>정규화데이터!D1211</f>
        <v>143790</v>
      </c>
      <c r="E1211" s="16" t="str">
        <f>정규화데이터!E1211</f>
        <v>SKU001</v>
      </c>
      <c r="F1211" s="3">
        <f>정규화데이터!F1211</f>
        <v>1</v>
      </c>
      <c r="G1211" s="3">
        <f>정규화데이터!G1211</f>
        <v>41363.636363636302</v>
      </c>
      <c r="H1211" s="3">
        <f>정규화데이터!H1211</f>
        <v>45499.999999999935</v>
      </c>
      <c r="I1211" s="3">
        <f>정규화데이터!I1211</f>
        <v>45500</v>
      </c>
      <c r="J1211" s="3">
        <f>정규화데이터!J1211</f>
        <v>41363.636363636302</v>
      </c>
      <c r="K1211" s="25">
        <f>정규화데이터!K1211</f>
        <v>30748</v>
      </c>
      <c r="L1211" s="25">
        <f>정규화데이터!L1211</f>
        <v>30748</v>
      </c>
      <c r="M1211" s="21">
        <f t="shared" si="36"/>
        <v>10615.636363636302</v>
      </c>
      <c r="N1211" s="52">
        <f t="shared" si="37"/>
        <v>0.25664175824175711</v>
      </c>
    </row>
    <row r="1212" spans="1:14" x14ac:dyDescent="0.3">
      <c r="A1212" t="str">
        <f>정규화데이터!A1212</f>
        <v>리씽크</v>
      </c>
      <c r="B1212">
        <f>정규화데이터!B1212</f>
        <v>2.0260205161724001E+18</v>
      </c>
      <c r="C1212" t="str">
        <f>정규화데이터!C1212</f>
        <v xml:space="preserve">워커힐 본갈비 3+1 최초❤️5만원대! 총1.2kg✨호텔특제 양념갈비 8인분 (✨1인분 7,375원꼴! / [300g,2인분] x 총 4팩  / ✨초이스등급 본갈비 / ❣️워커힐 </v>
      </c>
      <c r="D1212">
        <f>정규화데이터!D1212</f>
        <v>143790</v>
      </c>
      <c r="E1212" s="16" t="str">
        <f>정규화데이터!E1212</f>
        <v>SKU001</v>
      </c>
      <c r="F1212" s="3">
        <f>정규화데이터!F1212</f>
        <v>1</v>
      </c>
      <c r="G1212" s="3">
        <f>정규화데이터!G1212</f>
        <v>41363.636363636302</v>
      </c>
      <c r="H1212" s="3">
        <f>정규화데이터!H1212</f>
        <v>45499.999999999935</v>
      </c>
      <c r="I1212" s="3">
        <f>정규화데이터!I1212</f>
        <v>45500</v>
      </c>
      <c r="J1212" s="3">
        <f>정규화데이터!J1212</f>
        <v>41363.636363636302</v>
      </c>
      <c r="K1212" s="25">
        <f>정규화데이터!K1212</f>
        <v>30748</v>
      </c>
      <c r="L1212" s="25">
        <f>정규화데이터!L1212</f>
        <v>30748</v>
      </c>
      <c r="M1212" s="21">
        <f t="shared" si="36"/>
        <v>10615.636363636302</v>
      </c>
      <c r="N1212" s="52">
        <f t="shared" si="37"/>
        <v>0.25664175824175711</v>
      </c>
    </row>
    <row r="1213" spans="1:14" x14ac:dyDescent="0.3">
      <c r="A1213" t="str">
        <f>정규화데이터!A1213</f>
        <v>리씽크</v>
      </c>
      <c r="B1213">
        <f>정규화데이터!B1213</f>
        <v>2.02602051617106E+18</v>
      </c>
      <c r="C1213" t="str">
        <f>정규화데이터!C1213</f>
        <v xml:space="preserve">워커힐 본갈비 3+1 최초❤️5만원대! 총1.2kg✨호텔특제 양념갈비 8인분 (✨1인분 7,375원꼴! / [300g,2인분] x 총 4팩  / ✨초이스등급 본갈비 / ❣️워커힐 </v>
      </c>
      <c r="D1213">
        <f>정규화데이터!D1213</f>
        <v>143790</v>
      </c>
      <c r="E1213" s="16" t="str">
        <f>정규화데이터!E1213</f>
        <v>SKU001</v>
      </c>
      <c r="F1213" s="3">
        <f>정규화데이터!F1213</f>
        <v>1</v>
      </c>
      <c r="G1213" s="3">
        <f>정규화데이터!G1213</f>
        <v>41363.636363636302</v>
      </c>
      <c r="H1213" s="3">
        <f>정규화데이터!H1213</f>
        <v>45499.999999999935</v>
      </c>
      <c r="I1213" s="3">
        <f>정규화데이터!I1213</f>
        <v>45500</v>
      </c>
      <c r="J1213" s="3">
        <f>정규화데이터!J1213</f>
        <v>41363.636363636302</v>
      </c>
      <c r="K1213" s="25">
        <f>정규화데이터!K1213</f>
        <v>30748</v>
      </c>
      <c r="L1213" s="25">
        <f>정규화데이터!L1213</f>
        <v>30748</v>
      </c>
      <c r="M1213" s="21">
        <f t="shared" si="36"/>
        <v>10615.636363636302</v>
      </c>
      <c r="N1213" s="52">
        <f t="shared" si="37"/>
        <v>0.25664175824175711</v>
      </c>
    </row>
    <row r="1214" spans="1:14" x14ac:dyDescent="0.3">
      <c r="A1214" t="str">
        <f>정규화데이터!A1214</f>
        <v>리씽크</v>
      </c>
      <c r="B1214">
        <f>정규화데이터!B1214</f>
        <v>2.0260205161659899E+18</v>
      </c>
      <c r="C1214" t="str">
        <f>정규화데이터!C1214</f>
        <v xml:space="preserve">워커힐 본갈비 3+1 최초❤️5만원대! 총1.2kg✨호텔특제 양념갈비 8인분 (✨1인분 7,375원꼴! / [300g,2인분] x 총 4팩  / ✨초이스등급 본갈비 / ❣️워커힐 </v>
      </c>
      <c r="D1214">
        <f>정규화데이터!D1214</f>
        <v>143790</v>
      </c>
      <c r="E1214" s="16" t="str">
        <f>정규화데이터!E1214</f>
        <v>SKU001</v>
      </c>
      <c r="F1214" s="3">
        <f>정규화데이터!F1214</f>
        <v>1</v>
      </c>
      <c r="G1214" s="3">
        <f>정규화데이터!G1214</f>
        <v>41363.636363636302</v>
      </c>
      <c r="H1214" s="3">
        <f>정규화데이터!H1214</f>
        <v>45499.999999999935</v>
      </c>
      <c r="I1214" s="3">
        <f>정규화데이터!I1214</f>
        <v>45500</v>
      </c>
      <c r="J1214" s="3">
        <f>정규화데이터!J1214</f>
        <v>41363.636363636302</v>
      </c>
      <c r="K1214" s="25">
        <f>정규화데이터!K1214</f>
        <v>30748</v>
      </c>
      <c r="L1214" s="25">
        <f>정규화데이터!L1214</f>
        <v>30748</v>
      </c>
      <c r="M1214" s="21">
        <f t="shared" si="36"/>
        <v>10615.636363636302</v>
      </c>
      <c r="N1214" s="52">
        <f t="shared" si="37"/>
        <v>0.25664175824175711</v>
      </c>
    </row>
    <row r="1215" spans="1:14" x14ac:dyDescent="0.3">
      <c r="A1215" t="str">
        <f>정규화데이터!A1215</f>
        <v>리씽크</v>
      </c>
      <c r="B1215">
        <f>정규화데이터!B1215</f>
        <v>2.0260205161900401E+18</v>
      </c>
      <c r="C1215" t="str">
        <f>정규화데이터!C1215</f>
        <v xml:space="preserve">워커힐 본갈비 3+1 최초❤️5만원대! 총1.2kg✨호텔특제 양념갈비 8인분 (✨1인분 7,375원꼴! / [300g,2인분] x 총 4팩  / ✨초이스등급 본갈비 / ❣️워커힐 </v>
      </c>
      <c r="D1215">
        <f>정규화데이터!D1215</f>
        <v>143790</v>
      </c>
      <c r="E1215" s="16" t="str">
        <f>정규화데이터!E1215</f>
        <v>SKU001</v>
      </c>
      <c r="F1215" s="3">
        <f>정규화데이터!F1215</f>
        <v>1</v>
      </c>
      <c r="G1215" s="3">
        <f>정규화데이터!G1215</f>
        <v>41363.636363636302</v>
      </c>
      <c r="H1215" s="3">
        <f>정규화데이터!H1215</f>
        <v>45499.999999999935</v>
      </c>
      <c r="I1215" s="3">
        <f>정규화데이터!I1215</f>
        <v>45500</v>
      </c>
      <c r="J1215" s="3">
        <f>정규화데이터!J1215</f>
        <v>41363.636363636302</v>
      </c>
      <c r="K1215" s="25">
        <f>정규화데이터!K1215</f>
        <v>30748</v>
      </c>
      <c r="L1215" s="25">
        <f>정규화데이터!L1215</f>
        <v>30748</v>
      </c>
      <c r="M1215" s="21">
        <f t="shared" si="36"/>
        <v>10615.636363636302</v>
      </c>
      <c r="N1215" s="52">
        <f t="shared" si="37"/>
        <v>0.25664175824175711</v>
      </c>
    </row>
    <row r="1216" spans="1:14" x14ac:dyDescent="0.3">
      <c r="A1216" t="str">
        <f>정규화데이터!A1216</f>
        <v>리씽크</v>
      </c>
      <c r="B1216">
        <f>정규화데이터!B1216</f>
        <v>2.0260205161604101E+18</v>
      </c>
      <c r="C1216" t="str">
        <f>정규화데이터!C1216</f>
        <v xml:space="preserve">워커힐 본갈비 3+1 최초❤️5만원대! 총1.2kg✨호텔특제 양념갈비 8인분 (✨1인분 7,375원꼴! / [300g,2인분] x 총 4팩  / ✨초이스등급 본갈비 / ❣️워커힐 </v>
      </c>
      <c r="D1216">
        <f>정규화데이터!D1216</f>
        <v>143790</v>
      </c>
      <c r="E1216" s="16" t="str">
        <f>정규화데이터!E1216</f>
        <v>SKU001</v>
      </c>
      <c r="F1216" s="3">
        <f>정규화데이터!F1216</f>
        <v>1</v>
      </c>
      <c r="G1216" s="3">
        <f>정규화데이터!G1216</f>
        <v>41363.636363636302</v>
      </c>
      <c r="H1216" s="3">
        <f>정규화데이터!H1216</f>
        <v>45499.999999999935</v>
      </c>
      <c r="I1216" s="3">
        <f>정규화데이터!I1216</f>
        <v>45500</v>
      </c>
      <c r="J1216" s="3">
        <f>정규화데이터!J1216</f>
        <v>41363.636363636302</v>
      </c>
      <c r="K1216" s="25">
        <f>정규화데이터!K1216</f>
        <v>30748</v>
      </c>
      <c r="L1216" s="25">
        <f>정규화데이터!L1216</f>
        <v>30748</v>
      </c>
      <c r="M1216" s="21">
        <f t="shared" si="36"/>
        <v>10615.636363636302</v>
      </c>
      <c r="N1216" s="52">
        <f t="shared" si="37"/>
        <v>0.25664175824175711</v>
      </c>
    </row>
    <row r="1217" spans="1:14" x14ac:dyDescent="0.3">
      <c r="A1217" t="str">
        <f>정규화데이터!A1217</f>
        <v>리씽크</v>
      </c>
      <c r="B1217">
        <f>정규화데이터!B1217</f>
        <v>2.0260205162654999E+18</v>
      </c>
      <c r="C1217" t="str">
        <f>정규화데이터!C1217</f>
        <v xml:space="preserve">워커힐 본갈비 3+1 최초❤️5만원대! 총1.2kg✨호텔특제 양념갈비 8인분 (✨1인분 7,375원꼴! / [300g,2인분] x 총 4팩  / ✨초이스등급 본갈비 / ❣️워커힐 </v>
      </c>
      <c r="D1217">
        <f>정규화데이터!D1217</f>
        <v>143790</v>
      </c>
      <c r="E1217" s="16" t="str">
        <f>정규화데이터!E1217</f>
        <v>SKU001</v>
      </c>
      <c r="F1217" s="3">
        <f>정규화데이터!F1217</f>
        <v>1</v>
      </c>
      <c r="G1217" s="3">
        <f>정규화데이터!G1217</f>
        <v>41363.636363636302</v>
      </c>
      <c r="H1217" s="3">
        <f>정규화데이터!H1217</f>
        <v>45499.999999999935</v>
      </c>
      <c r="I1217" s="3">
        <f>정규화데이터!I1217</f>
        <v>45500</v>
      </c>
      <c r="J1217" s="3">
        <f>정규화데이터!J1217</f>
        <v>41363.636363636302</v>
      </c>
      <c r="K1217" s="25">
        <f>정규화데이터!K1217</f>
        <v>30748</v>
      </c>
      <c r="L1217" s="25">
        <f>정규화데이터!L1217</f>
        <v>30748</v>
      </c>
      <c r="M1217" s="21">
        <f t="shared" si="36"/>
        <v>10615.636363636302</v>
      </c>
      <c r="N1217" s="52">
        <f t="shared" si="37"/>
        <v>0.25664175824175711</v>
      </c>
    </row>
    <row r="1218" spans="1:14" x14ac:dyDescent="0.3">
      <c r="A1218" t="str">
        <f>정규화데이터!A1218</f>
        <v>리씽크</v>
      </c>
      <c r="B1218">
        <f>정규화데이터!B1218</f>
        <v>2.0260205163101701E+18</v>
      </c>
      <c r="C1218" t="str">
        <f>정규화데이터!C1218</f>
        <v xml:space="preserve">워커힐 본갈비 3+1 최초❤️5만원대! 총1.2kg✨호텔특제 양념갈비 8인분 (✨1인분 7,375원꼴! / [300g,2인분] x 총 4팩  / ✨초이스등급 본갈비 / ❣️워커힐 </v>
      </c>
      <c r="D1218">
        <f>정규화데이터!D1218</f>
        <v>143790</v>
      </c>
      <c r="E1218" s="16" t="str">
        <f>정규화데이터!E1218</f>
        <v>SKU001</v>
      </c>
      <c r="F1218" s="3">
        <f>정규화데이터!F1218</f>
        <v>1</v>
      </c>
      <c r="G1218" s="3">
        <f>정규화데이터!G1218</f>
        <v>41363.636363636302</v>
      </c>
      <c r="H1218" s="3">
        <f>정규화데이터!H1218</f>
        <v>45499.999999999935</v>
      </c>
      <c r="I1218" s="3">
        <f>정규화데이터!I1218</f>
        <v>45500</v>
      </c>
      <c r="J1218" s="3">
        <f>정규화데이터!J1218</f>
        <v>41363.636363636302</v>
      </c>
      <c r="K1218" s="25">
        <f>정규화데이터!K1218</f>
        <v>30748</v>
      </c>
      <c r="L1218" s="25">
        <f>정규화데이터!L1218</f>
        <v>30748</v>
      </c>
      <c r="M1218" s="21">
        <f t="shared" si="36"/>
        <v>10615.636363636302</v>
      </c>
      <c r="N1218" s="52">
        <f t="shared" si="37"/>
        <v>0.25664175824175711</v>
      </c>
    </row>
    <row r="1219" spans="1:14" x14ac:dyDescent="0.3">
      <c r="A1219" t="str">
        <f>정규화데이터!A1219</f>
        <v>리씽크</v>
      </c>
      <c r="B1219">
        <f>정규화데이터!B1219</f>
        <v>2.02602051633071E+18</v>
      </c>
      <c r="C1219" t="str">
        <f>정규화데이터!C1219</f>
        <v xml:space="preserve">워커힐 본갈비 3+1 최초❤️5만원대! 총1.2kg✨호텔특제 양념갈비 8인분 (✨1인분 7,375원꼴! / [300g,2인분] x 총 4팩  / ✨초이스등급 본갈비 / ❣️워커힐 </v>
      </c>
      <c r="D1219">
        <f>정규화데이터!D1219</f>
        <v>143790</v>
      </c>
      <c r="E1219" s="16" t="str">
        <f>정규화데이터!E1219</f>
        <v>SKU001</v>
      </c>
      <c r="F1219" s="3">
        <f>정규화데이터!F1219</f>
        <v>1</v>
      </c>
      <c r="G1219" s="3">
        <f>정규화데이터!G1219</f>
        <v>41363.636363636302</v>
      </c>
      <c r="H1219" s="3">
        <f>정규화데이터!H1219</f>
        <v>45499.999999999935</v>
      </c>
      <c r="I1219" s="3">
        <f>정규화데이터!I1219</f>
        <v>45500</v>
      </c>
      <c r="J1219" s="3">
        <f>정규화데이터!J1219</f>
        <v>41363.636363636302</v>
      </c>
      <c r="K1219" s="25">
        <f>정규화데이터!K1219</f>
        <v>30748</v>
      </c>
      <c r="L1219" s="25">
        <f>정규화데이터!L1219</f>
        <v>30748</v>
      </c>
      <c r="M1219" s="21">
        <f t="shared" ref="M1219:M1282" si="38">J1219-L1219</f>
        <v>10615.636363636302</v>
      </c>
      <c r="N1219" s="52">
        <f t="shared" ref="N1219:N1282" si="39">IF(J1219=0,0,M1219/J1219)</f>
        <v>0.25664175824175711</v>
      </c>
    </row>
    <row r="1220" spans="1:14" x14ac:dyDescent="0.3">
      <c r="A1220" t="str">
        <f>정규화데이터!A1220</f>
        <v>리씽크</v>
      </c>
      <c r="B1220">
        <f>정규화데이터!B1220</f>
        <v>2.0260205163213901E+18</v>
      </c>
      <c r="C1220" t="str">
        <f>정규화데이터!C1220</f>
        <v xml:space="preserve">워커힐 본갈비 3+1 최초❤️5만원대! 총1.2kg✨호텔특제 양념갈비 8인분 (✨1인분 7,375원꼴! / [300g,2인분] x 총 4팩  / ✨초이스등급 본갈비 / ❣️워커힐 </v>
      </c>
      <c r="D1220">
        <f>정규화데이터!D1220</f>
        <v>143790</v>
      </c>
      <c r="E1220" s="16" t="str">
        <f>정규화데이터!E1220</f>
        <v>SKU001</v>
      </c>
      <c r="F1220" s="3">
        <f>정규화데이터!F1220</f>
        <v>4</v>
      </c>
      <c r="G1220" s="3">
        <f>정규화데이터!G1220</f>
        <v>41363.636363636251</v>
      </c>
      <c r="H1220" s="3">
        <f>정규화데이터!H1220</f>
        <v>181999.99999999956</v>
      </c>
      <c r="I1220" s="3">
        <f>정규화데이터!I1220</f>
        <v>182000</v>
      </c>
      <c r="J1220" s="3">
        <f>정규화데이터!J1220</f>
        <v>165454.545454545</v>
      </c>
      <c r="K1220" s="25">
        <f>정규화데이터!K1220</f>
        <v>30748</v>
      </c>
      <c r="L1220" s="25">
        <f>정규화데이터!L1220</f>
        <v>122992</v>
      </c>
      <c r="M1220" s="21">
        <f t="shared" si="38"/>
        <v>42462.545454545005</v>
      </c>
      <c r="N1220" s="52">
        <f t="shared" si="39"/>
        <v>0.25664175824175622</v>
      </c>
    </row>
    <row r="1221" spans="1:14" x14ac:dyDescent="0.3">
      <c r="A1221" t="str">
        <f>정규화데이터!A1221</f>
        <v>리씽크</v>
      </c>
      <c r="B1221">
        <f>정규화데이터!B1221</f>
        <v>2.0260205163512901E+18</v>
      </c>
      <c r="C1221" t="str">
        <f>정규화데이터!C1221</f>
        <v xml:space="preserve">워커힐 본갈비 3+1 최초❤️5만원대! 총1.2kg✨호텔특제 양념갈비 8인분 (✨1인분 7,375원꼴! / [300g,2인분] x 총 4팩  / ✨초이스등급 본갈비 / ❣️워커힐 </v>
      </c>
      <c r="D1221">
        <f>정규화데이터!D1221</f>
        <v>143790</v>
      </c>
      <c r="E1221" s="16" t="str">
        <f>정규화데이터!E1221</f>
        <v>SKU001</v>
      </c>
      <c r="F1221" s="3">
        <f>정규화데이터!F1221</f>
        <v>1</v>
      </c>
      <c r="G1221" s="3">
        <f>정규화데이터!G1221</f>
        <v>41363.636363636302</v>
      </c>
      <c r="H1221" s="3">
        <f>정규화데이터!H1221</f>
        <v>45499.999999999935</v>
      </c>
      <c r="I1221" s="3">
        <f>정규화데이터!I1221</f>
        <v>45500</v>
      </c>
      <c r="J1221" s="3">
        <f>정규화데이터!J1221</f>
        <v>41363.636363636302</v>
      </c>
      <c r="K1221" s="25">
        <f>정규화데이터!K1221</f>
        <v>30748</v>
      </c>
      <c r="L1221" s="25">
        <f>정규화데이터!L1221</f>
        <v>30748</v>
      </c>
      <c r="M1221" s="21">
        <f t="shared" si="38"/>
        <v>10615.636363636302</v>
      </c>
      <c r="N1221" s="52">
        <f t="shared" si="39"/>
        <v>0.25664175824175711</v>
      </c>
    </row>
    <row r="1222" spans="1:14" x14ac:dyDescent="0.3">
      <c r="A1222" t="str">
        <f>정규화데이터!A1222</f>
        <v>리씽크</v>
      </c>
      <c r="B1222">
        <f>정규화데이터!B1222</f>
        <v>2.0260205164018401E+18</v>
      </c>
      <c r="C1222" t="str">
        <f>정규화데이터!C1222</f>
        <v xml:space="preserve">워커힐 본갈비 3+1 최초❤️5만원대! 총1.2kg✨호텔특제 양념갈비 8인분 (✨1인분 7,375원꼴! / [300g,2인분] x 총 4팩  / ✨초이스등급 본갈비 / ❣️워커힐 </v>
      </c>
      <c r="D1222">
        <f>정규화데이터!D1222</f>
        <v>143790</v>
      </c>
      <c r="E1222" s="16" t="str">
        <f>정규화데이터!E1222</f>
        <v>SKU001</v>
      </c>
      <c r="F1222" s="3">
        <f>정규화데이터!F1222</f>
        <v>1</v>
      </c>
      <c r="G1222" s="3">
        <f>정규화데이터!G1222</f>
        <v>41363.636363636302</v>
      </c>
      <c r="H1222" s="3">
        <f>정규화데이터!H1222</f>
        <v>45499.999999999935</v>
      </c>
      <c r="I1222" s="3">
        <f>정규화데이터!I1222</f>
        <v>45500</v>
      </c>
      <c r="J1222" s="3">
        <f>정규화데이터!J1222</f>
        <v>41363.636363636302</v>
      </c>
      <c r="K1222" s="25">
        <f>정규화데이터!K1222</f>
        <v>30748</v>
      </c>
      <c r="L1222" s="25">
        <f>정규화데이터!L1222</f>
        <v>30748</v>
      </c>
      <c r="M1222" s="21">
        <f t="shared" si="38"/>
        <v>10615.636363636302</v>
      </c>
      <c r="N1222" s="52">
        <f t="shared" si="39"/>
        <v>0.25664175824175711</v>
      </c>
    </row>
    <row r="1223" spans="1:14" x14ac:dyDescent="0.3">
      <c r="A1223" t="str">
        <f>정규화데이터!A1223</f>
        <v>리씽크</v>
      </c>
      <c r="B1223">
        <f>정규화데이터!B1223</f>
        <v>2.0260205164503601E+18</v>
      </c>
      <c r="C1223" t="str">
        <f>정규화데이터!C1223</f>
        <v xml:space="preserve">워커힐 본갈비 3+1 최초❤️5만원대! 총1.2kg✨호텔특제 양념갈비 8인분 (✨1인분 7,375원꼴! / [300g,2인분] x 총 4팩  / ✨초이스등급 본갈비 / ❣️워커힐 </v>
      </c>
      <c r="D1223">
        <f>정규화데이터!D1223</f>
        <v>143790</v>
      </c>
      <c r="E1223" s="16" t="str">
        <f>정규화데이터!E1223</f>
        <v>SKU001</v>
      </c>
      <c r="F1223" s="3">
        <f>정규화데이터!F1223</f>
        <v>1</v>
      </c>
      <c r="G1223" s="3">
        <f>정규화데이터!G1223</f>
        <v>41363.636363636302</v>
      </c>
      <c r="H1223" s="3">
        <f>정규화데이터!H1223</f>
        <v>45499.999999999935</v>
      </c>
      <c r="I1223" s="3">
        <f>정규화데이터!I1223</f>
        <v>45500</v>
      </c>
      <c r="J1223" s="3">
        <f>정규화데이터!J1223</f>
        <v>41363.636363636302</v>
      </c>
      <c r="K1223" s="25">
        <f>정규화데이터!K1223</f>
        <v>30748</v>
      </c>
      <c r="L1223" s="25">
        <f>정규화데이터!L1223</f>
        <v>30748</v>
      </c>
      <c r="M1223" s="21">
        <f t="shared" si="38"/>
        <v>10615.636363636302</v>
      </c>
      <c r="N1223" s="52">
        <f t="shared" si="39"/>
        <v>0.25664175824175711</v>
      </c>
    </row>
    <row r="1224" spans="1:14" x14ac:dyDescent="0.3">
      <c r="A1224" t="str">
        <f>정규화데이터!A1224</f>
        <v>리씽크</v>
      </c>
      <c r="B1224">
        <f>정규화데이터!B1224</f>
        <v>2.0260205164937001E+18</v>
      </c>
      <c r="C1224" t="str">
        <f>정규화데이터!C1224</f>
        <v xml:space="preserve">워커힐 본갈비 3+1 최초❤️5만원대! 총1.2kg✨호텔특제 양념갈비 8인분 (✨1인분 7,375원꼴! / [300g,2인분] x 총 4팩  / ✨초이스등급 본갈비 / ❣️워커힐 </v>
      </c>
      <c r="D1224">
        <f>정규화데이터!D1224</f>
        <v>143790</v>
      </c>
      <c r="E1224" s="16" t="str">
        <f>정규화데이터!E1224</f>
        <v>SKU001</v>
      </c>
      <c r="F1224" s="3">
        <f>정규화데이터!F1224</f>
        <v>1</v>
      </c>
      <c r="G1224" s="3">
        <f>정규화데이터!G1224</f>
        <v>41363.636363636302</v>
      </c>
      <c r="H1224" s="3">
        <f>정규화데이터!H1224</f>
        <v>45499.999999999935</v>
      </c>
      <c r="I1224" s="3">
        <f>정규화데이터!I1224</f>
        <v>45500</v>
      </c>
      <c r="J1224" s="3">
        <f>정규화데이터!J1224</f>
        <v>41363.636363636302</v>
      </c>
      <c r="K1224" s="25">
        <f>정규화데이터!K1224</f>
        <v>30748</v>
      </c>
      <c r="L1224" s="25">
        <f>정규화데이터!L1224</f>
        <v>30748</v>
      </c>
      <c r="M1224" s="21">
        <f t="shared" si="38"/>
        <v>10615.636363636302</v>
      </c>
      <c r="N1224" s="52">
        <f t="shared" si="39"/>
        <v>0.25664175824175711</v>
      </c>
    </row>
    <row r="1225" spans="1:14" x14ac:dyDescent="0.3">
      <c r="A1225" t="str">
        <f>정규화데이터!A1225</f>
        <v>리씽크</v>
      </c>
      <c r="B1225">
        <f>정규화데이터!B1225</f>
        <v>2.0260205165237399E+18</v>
      </c>
      <c r="C1225" t="str">
        <f>정규화데이터!C1225</f>
        <v xml:space="preserve">워커힐 본갈비 3+1 최초❤️5만원대! 총1.2kg✨호텔특제 양념갈비 8인분 (✨1인분 7,375원꼴! / [300g,2인분] x 총 4팩  / ✨초이스등급 본갈비 / ❣️워커힐 </v>
      </c>
      <c r="D1225">
        <f>정규화데이터!D1225</f>
        <v>143790</v>
      </c>
      <c r="E1225" s="16" t="str">
        <f>정규화데이터!E1225</f>
        <v>SKU001</v>
      </c>
      <c r="F1225" s="3">
        <f>정규화데이터!F1225</f>
        <v>1</v>
      </c>
      <c r="G1225" s="3">
        <f>정규화데이터!G1225</f>
        <v>41363.636363636302</v>
      </c>
      <c r="H1225" s="3">
        <f>정규화데이터!H1225</f>
        <v>45499.999999999935</v>
      </c>
      <c r="I1225" s="3">
        <f>정규화데이터!I1225</f>
        <v>45500</v>
      </c>
      <c r="J1225" s="3">
        <f>정규화데이터!J1225</f>
        <v>41363.636363636302</v>
      </c>
      <c r="K1225" s="25">
        <f>정규화데이터!K1225</f>
        <v>30748</v>
      </c>
      <c r="L1225" s="25">
        <f>정규화데이터!L1225</f>
        <v>30748</v>
      </c>
      <c r="M1225" s="21">
        <f t="shared" si="38"/>
        <v>10615.636363636302</v>
      </c>
      <c r="N1225" s="52">
        <f t="shared" si="39"/>
        <v>0.25664175824175711</v>
      </c>
    </row>
    <row r="1226" spans="1:14" x14ac:dyDescent="0.3">
      <c r="A1226" t="str">
        <f>정규화데이터!A1226</f>
        <v>리씽크</v>
      </c>
      <c r="B1226">
        <f>정규화데이터!B1226</f>
        <v>2.0260205170315E+18</v>
      </c>
      <c r="C1226" t="str">
        <f>정규화데이터!C1226</f>
        <v xml:space="preserve">워커힐 본갈비 3+1 최초❤️5만원대! 총1.2kg✨호텔특제 양념갈비 8인분 (✨1인분 7,375원꼴! / [300g,2인분] x 총 4팩  / ✨초이스등급 본갈비 / ❣️워커힐 </v>
      </c>
      <c r="D1226">
        <f>정규화데이터!D1226</f>
        <v>143790</v>
      </c>
      <c r="E1226" s="16" t="str">
        <f>정규화데이터!E1226</f>
        <v>SKU001</v>
      </c>
      <c r="F1226" s="3">
        <f>정규화데이터!F1226</f>
        <v>1</v>
      </c>
      <c r="G1226" s="3">
        <f>정규화데이터!G1226</f>
        <v>41363.636363636302</v>
      </c>
      <c r="H1226" s="3">
        <f>정규화데이터!H1226</f>
        <v>45499.999999999935</v>
      </c>
      <c r="I1226" s="3">
        <f>정규화데이터!I1226</f>
        <v>45500</v>
      </c>
      <c r="J1226" s="3">
        <f>정규화데이터!J1226</f>
        <v>41363.636363636302</v>
      </c>
      <c r="K1226" s="25">
        <f>정규화데이터!K1226</f>
        <v>30748</v>
      </c>
      <c r="L1226" s="25">
        <f>정규화데이터!L1226</f>
        <v>30748</v>
      </c>
      <c r="M1226" s="21">
        <f t="shared" si="38"/>
        <v>10615.636363636302</v>
      </c>
      <c r="N1226" s="52">
        <f t="shared" si="39"/>
        <v>0.25664175824175711</v>
      </c>
    </row>
    <row r="1227" spans="1:14" x14ac:dyDescent="0.3">
      <c r="A1227" t="str">
        <f>정규화데이터!A1227</f>
        <v>리씽크</v>
      </c>
      <c r="B1227">
        <f>정규화데이터!B1227</f>
        <v>2.0260205170621299E+18</v>
      </c>
      <c r="C1227" t="str">
        <f>정규화데이터!C1227</f>
        <v xml:space="preserve">워커힐 본갈비 3+1 최초❤️5만원대! 총1.2kg✨호텔특제 양념갈비 8인분 (✨1인분 7,375원꼴! / [300g,2인분] x 총 4팩  / ✨초이스등급 본갈비 / ❣️워커힐 </v>
      </c>
      <c r="D1227">
        <f>정규화데이터!D1227</f>
        <v>143790</v>
      </c>
      <c r="E1227" s="16" t="str">
        <f>정규화데이터!E1227</f>
        <v>SKU001</v>
      </c>
      <c r="F1227" s="3">
        <f>정규화데이터!F1227</f>
        <v>1</v>
      </c>
      <c r="G1227" s="3">
        <f>정규화데이터!G1227</f>
        <v>41363.636363636302</v>
      </c>
      <c r="H1227" s="3">
        <f>정규화데이터!H1227</f>
        <v>45499.999999999935</v>
      </c>
      <c r="I1227" s="3">
        <f>정규화데이터!I1227</f>
        <v>45500</v>
      </c>
      <c r="J1227" s="3">
        <f>정규화데이터!J1227</f>
        <v>41363.636363636302</v>
      </c>
      <c r="K1227" s="25">
        <f>정규화데이터!K1227</f>
        <v>30748</v>
      </c>
      <c r="L1227" s="25">
        <f>정규화데이터!L1227</f>
        <v>30748</v>
      </c>
      <c r="M1227" s="21">
        <f t="shared" si="38"/>
        <v>10615.636363636302</v>
      </c>
      <c r="N1227" s="52">
        <f t="shared" si="39"/>
        <v>0.25664175824175711</v>
      </c>
    </row>
    <row r="1228" spans="1:14" x14ac:dyDescent="0.3">
      <c r="A1228" t="str">
        <f>정규화데이터!A1228</f>
        <v>리씽크</v>
      </c>
      <c r="B1228">
        <f>정규화데이터!B1228</f>
        <v>2.02602051713073E+18</v>
      </c>
      <c r="C1228" t="str">
        <f>정규화데이터!C1228</f>
        <v xml:space="preserve">워커힐 본갈비 3+1 최초❤️5만원대! 총1.2kg✨호텔특제 양념갈비 8인분 (✨1인분 7,375원꼴! / [300g,2인분] x 총 4팩  / ✨초이스등급 본갈비 / ❣️워커힐 </v>
      </c>
      <c r="D1228">
        <f>정규화데이터!D1228</f>
        <v>143790</v>
      </c>
      <c r="E1228" s="16" t="str">
        <f>정규화데이터!E1228</f>
        <v>SKU001</v>
      </c>
      <c r="F1228" s="3">
        <f>정규화데이터!F1228</f>
        <v>1</v>
      </c>
      <c r="G1228" s="3">
        <f>정규화데이터!G1228</f>
        <v>41363.636363636302</v>
      </c>
      <c r="H1228" s="3">
        <f>정규화데이터!H1228</f>
        <v>45499.999999999935</v>
      </c>
      <c r="I1228" s="3">
        <f>정규화데이터!I1228</f>
        <v>45500</v>
      </c>
      <c r="J1228" s="3">
        <f>정규화데이터!J1228</f>
        <v>41363.636363636302</v>
      </c>
      <c r="K1228" s="25">
        <f>정규화데이터!K1228</f>
        <v>30748</v>
      </c>
      <c r="L1228" s="25">
        <f>정규화데이터!L1228</f>
        <v>30748</v>
      </c>
      <c r="M1228" s="21">
        <f t="shared" si="38"/>
        <v>10615.636363636302</v>
      </c>
      <c r="N1228" s="52">
        <f t="shared" si="39"/>
        <v>0.25664175824175711</v>
      </c>
    </row>
    <row r="1229" spans="1:14" x14ac:dyDescent="0.3">
      <c r="A1229" t="str">
        <f>정규화데이터!A1229</f>
        <v>리씽크</v>
      </c>
      <c r="B1229">
        <f>정규화데이터!B1229</f>
        <v>2.02602051712446E+18</v>
      </c>
      <c r="C1229" t="str">
        <f>정규화데이터!C1229</f>
        <v xml:space="preserve">워커힐 본갈비 3+1 최초❤️5만원대! 총1.2kg✨호텔특제 양념갈비 8인분 (✨1인분 7,375원꼴! / [300g,2인분] x 총 4팩  / ✨초이스등급 본갈비 / ❣️워커힐 </v>
      </c>
      <c r="D1229">
        <f>정규화데이터!D1229</f>
        <v>143790</v>
      </c>
      <c r="E1229" s="16" t="str">
        <f>정규화데이터!E1229</f>
        <v>SKU001</v>
      </c>
      <c r="F1229" s="3">
        <f>정규화데이터!F1229</f>
        <v>1</v>
      </c>
      <c r="G1229" s="3">
        <f>정규화데이터!G1229</f>
        <v>41363.636363636302</v>
      </c>
      <c r="H1229" s="3">
        <f>정규화데이터!H1229</f>
        <v>45499.999999999935</v>
      </c>
      <c r="I1229" s="3">
        <f>정규화데이터!I1229</f>
        <v>45500</v>
      </c>
      <c r="J1229" s="3">
        <f>정규화데이터!J1229</f>
        <v>41363.636363636302</v>
      </c>
      <c r="K1229" s="25">
        <f>정규화데이터!K1229</f>
        <v>30748</v>
      </c>
      <c r="L1229" s="25">
        <f>정규화데이터!L1229</f>
        <v>30748</v>
      </c>
      <c r="M1229" s="21">
        <f t="shared" si="38"/>
        <v>10615.636363636302</v>
      </c>
      <c r="N1229" s="52">
        <f t="shared" si="39"/>
        <v>0.25664175824175711</v>
      </c>
    </row>
    <row r="1230" spans="1:14" x14ac:dyDescent="0.3">
      <c r="A1230" t="str">
        <f>정규화데이터!A1230</f>
        <v>리씽크</v>
      </c>
      <c r="B1230">
        <f>정규화데이터!B1230</f>
        <v>2.0260205172151401E+18</v>
      </c>
      <c r="C1230" t="str">
        <f>정규화데이터!C1230</f>
        <v xml:space="preserve">워커힐 본갈비 3+1 최초❤️5만원대! 총1.2kg✨호텔특제 양념갈비 8인분 (✨1인분 7,375원꼴! / [300g,2인분] x 총 4팩  / ✨초이스등급 본갈비 / ❣️워커힐 </v>
      </c>
      <c r="D1230">
        <f>정규화데이터!D1230</f>
        <v>143790</v>
      </c>
      <c r="E1230" s="16" t="str">
        <f>정규화데이터!E1230</f>
        <v>SKU001</v>
      </c>
      <c r="F1230" s="3">
        <f>정규화데이터!F1230</f>
        <v>1</v>
      </c>
      <c r="G1230" s="3">
        <f>정규화데이터!G1230</f>
        <v>41363.636363636302</v>
      </c>
      <c r="H1230" s="3">
        <f>정규화데이터!H1230</f>
        <v>45499.999999999935</v>
      </c>
      <c r="I1230" s="3">
        <f>정규화데이터!I1230</f>
        <v>45500</v>
      </c>
      <c r="J1230" s="3">
        <f>정규화데이터!J1230</f>
        <v>41363.636363636302</v>
      </c>
      <c r="K1230" s="25">
        <f>정규화데이터!K1230</f>
        <v>30748</v>
      </c>
      <c r="L1230" s="25">
        <f>정규화데이터!L1230</f>
        <v>30748</v>
      </c>
      <c r="M1230" s="21">
        <f t="shared" si="38"/>
        <v>10615.636363636302</v>
      </c>
      <c r="N1230" s="52">
        <f t="shared" si="39"/>
        <v>0.25664175824175711</v>
      </c>
    </row>
    <row r="1231" spans="1:14" x14ac:dyDescent="0.3">
      <c r="A1231" t="str">
        <f>정규화데이터!A1231</f>
        <v>리씽크</v>
      </c>
      <c r="B1231">
        <f>정규화데이터!B1231</f>
        <v>2.02602051723488E+18</v>
      </c>
      <c r="C1231" t="str">
        <f>정규화데이터!C1231</f>
        <v xml:space="preserve">워커힐 본갈비 3+1 최초❤️5만원대! 총1.2kg✨호텔특제 양념갈비 8인분 (✨1인분 7,375원꼴! / [300g,2인분] x 총 4팩  / ✨초이스등급 본갈비 / ❣️워커힐 </v>
      </c>
      <c r="D1231">
        <f>정규화데이터!D1231</f>
        <v>143790</v>
      </c>
      <c r="E1231" s="16" t="str">
        <f>정규화데이터!E1231</f>
        <v>SKU001</v>
      </c>
      <c r="F1231" s="3">
        <f>정규화데이터!F1231</f>
        <v>1</v>
      </c>
      <c r="G1231" s="3">
        <f>정규화데이터!G1231</f>
        <v>41363.636363636302</v>
      </c>
      <c r="H1231" s="3">
        <f>정규화데이터!H1231</f>
        <v>45499.999999999935</v>
      </c>
      <c r="I1231" s="3">
        <f>정규화데이터!I1231</f>
        <v>45500</v>
      </c>
      <c r="J1231" s="3">
        <f>정규화데이터!J1231</f>
        <v>41363.636363636302</v>
      </c>
      <c r="K1231" s="25">
        <f>정규화데이터!K1231</f>
        <v>30748</v>
      </c>
      <c r="L1231" s="25">
        <f>정규화데이터!L1231</f>
        <v>30748</v>
      </c>
      <c r="M1231" s="21">
        <f t="shared" si="38"/>
        <v>10615.636363636302</v>
      </c>
      <c r="N1231" s="52">
        <f t="shared" si="39"/>
        <v>0.25664175824175711</v>
      </c>
    </row>
    <row r="1232" spans="1:14" x14ac:dyDescent="0.3">
      <c r="A1232" t="str">
        <f>정규화데이터!A1232</f>
        <v>리씽크</v>
      </c>
      <c r="B1232">
        <f>정규화데이터!B1232</f>
        <v>2.0260205172907699E+18</v>
      </c>
      <c r="C1232" t="str">
        <f>정규화데이터!C1232</f>
        <v xml:space="preserve">워커힐 본갈비 3+1 최초❤️5만원대! 총1.2kg✨호텔특제 양념갈비 8인분 (✨1인분 7,375원꼴! / [300g,2인분] x 총 4팩  / ✨초이스등급 본갈비 / ❣️워커힐 </v>
      </c>
      <c r="D1232">
        <f>정규화데이터!D1232</f>
        <v>143790</v>
      </c>
      <c r="E1232" s="16" t="str">
        <f>정규화데이터!E1232</f>
        <v>SKU001</v>
      </c>
      <c r="F1232" s="3">
        <f>정규화데이터!F1232</f>
        <v>1</v>
      </c>
      <c r="G1232" s="3">
        <f>정규화데이터!G1232</f>
        <v>41363.636363636302</v>
      </c>
      <c r="H1232" s="3">
        <f>정규화데이터!H1232</f>
        <v>45499.999999999935</v>
      </c>
      <c r="I1232" s="3">
        <f>정규화데이터!I1232</f>
        <v>45500</v>
      </c>
      <c r="J1232" s="3">
        <f>정규화데이터!J1232</f>
        <v>41363.636363636302</v>
      </c>
      <c r="K1232" s="25">
        <f>정규화데이터!K1232</f>
        <v>30748</v>
      </c>
      <c r="L1232" s="25">
        <f>정규화데이터!L1232</f>
        <v>30748</v>
      </c>
      <c r="M1232" s="21">
        <f t="shared" si="38"/>
        <v>10615.636363636302</v>
      </c>
      <c r="N1232" s="52">
        <f t="shared" si="39"/>
        <v>0.25664175824175711</v>
      </c>
    </row>
    <row r="1233" spans="1:14" x14ac:dyDescent="0.3">
      <c r="A1233" t="str">
        <f>정규화데이터!A1233</f>
        <v>리씽크</v>
      </c>
      <c r="B1233">
        <f>정규화데이터!B1233</f>
        <v>2.0260205172837299E+18</v>
      </c>
      <c r="C1233" t="str">
        <f>정규화데이터!C1233</f>
        <v xml:space="preserve">워커힐 본갈비 3+1 최초❤️5만원대! 총1.2kg✨호텔특제 양념갈비 8인분 (✨1인분 7,375원꼴! / [300g,2인분] x 총 4팩  / ✨초이스등급 본갈비 / ❣️워커힐 </v>
      </c>
      <c r="D1233">
        <f>정규화데이터!D1233</f>
        <v>143790</v>
      </c>
      <c r="E1233" s="16" t="str">
        <f>정규화데이터!E1233</f>
        <v>SKU001</v>
      </c>
      <c r="F1233" s="3">
        <f>정규화데이터!F1233</f>
        <v>1</v>
      </c>
      <c r="G1233" s="3">
        <f>정규화데이터!G1233</f>
        <v>41363.636363636302</v>
      </c>
      <c r="H1233" s="3">
        <f>정규화데이터!H1233</f>
        <v>45499.999999999935</v>
      </c>
      <c r="I1233" s="3">
        <f>정규화데이터!I1233</f>
        <v>45500</v>
      </c>
      <c r="J1233" s="3">
        <f>정규화데이터!J1233</f>
        <v>41363.636363636302</v>
      </c>
      <c r="K1233" s="25">
        <f>정규화데이터!K1233</f>
        <v>30748</v>
      </c>
      <c r="L1233" s="25">
        <f>정규화데이터!L1233</f>
        <v>30748</v>
      </c>
      <c r="M1233" s="21">
        <f t="shared" si="38"/>
        <v>10615.636363636302</v>
      </c>
      <c r="N1233" s="52">
        <f t="shared" si="39"/>
        <v>0.25664175824175711</v>
      </c>
    </row>
    <row r="1234" spans="1:14" x14ac:dyDescent="0.3">
      <c r="A1234" t="str">
        <f>정규화데이터!A1234</f>
        <v>리씽크</v>
      </c>
      <c r="B1234">
        <f>정규화데이터!B1234</f>
        <v>2.02602051741442E+18</v>
      </c>
      <c r="C1234" t="str">
        <f>정규화데이터!C1234</f>
        <v xml:space="preserve">워커힐 본갈비 3+1 최초❤️5만원대! 총1.2kg✨호텔특제 양념갈비 8인분 (✨1인분 7,375원꼴! / [300g,2인분] x 총 4팩  / ✨초이스등급 본갈비 / ❣️워커힐 </v>
      </c>
      <c r="D1234">
        <f>정규화데이터!D1234</f>
        <v>143790</v>
      </c>
      <c r="E1234" s="16" t="str">
        <f>정규화데이터!E1234</f>
        <v>SKU001</v>
      </c>
      <c r="F1234" s="3">
        <f>정규화데이터!F1234</f>
        <v>1</v>
      </c>
      <c r="G1234" s="3">
        <f>정규화데이터!G1234</f>
        <v>41363.636363636302</v>
      </c>
      <c r="H1234" s="3">
        <f>정규화데이터!H1234</f>
        <v>45499.999999999935</v>
      </c>
      <c r="I1234" s="3">
        <f>정규화데이터!I1234</f>
        <v>45500</v>
      </c>
      <c r="J1234" s="3">
        <f>정규화데이터!J1234</f>
        <v>41363.636363636302</v>
      </c>
      <c r="K1234" s="25">
        <f>정규화데이터!K1234</f>
        <v>30748</v>
      </c>
      <c r="L1234" s="25">
        <f>정규화데이터!L1234</f>
        <v>30748</v>
      </c>
      <c r="M1234" s="21">
        <f t="shared" si="38"/>
        <v>10615.636363636302</v>
      </c>
      <c r="N1234" s="52">
        <f t="shared" si="39"/>
        <v>0.25664175824175711</v>
      </c>
    </row>
    <row r="1235" spans="1:14" x14ac:dyDescent="0.3">
      <c r="A1235" t="str">
        <f>정규화데이터!A1235</f>
        <v>리씽크</v>
      </c>
      <c r="B1235">
        <f>정규화데이터!B1235</f>
        <v>2.02602051741314E+18</v>
      </c>
      <c r="C1235" t="str">
        <f>정규화데이터!C1235</f>
        <v xml:space="preserve">워커힐 본갈비 3+1 최초❤️5만원대! 총1.2kg✨호텔특제 양념갈비 8인분 (✨1인분 7,375원꼴! / [300g,2인분] x 총 4팩  / ✨초이스등급 본갈비 / ❣️워커힐 </v>
      </c>
      <c r="D1235">
        <f>정규화데이터!D1235</f>
        <v>143790</v>
      </c>
      <c r="E1235" s="16" t="str">
        <f>정규화데이터!E1235</f>
        <v>SKU001</v>
      </c>
      <c r="F1235" s="3">
        <f>정규화데이터!F1235</f>
        <v>1</v>
      </c>
      <c r="G1235" s="3">
        <f>정규화데이터!G1235</f>
        <v>41363.636363636302</v>
      </c>
      <c r="H1235" s="3">
        <f>정규화데이터!H1235</f>
        <v>45499.999999999935</v>
      </c>
      <c r="I1235" s="3">
        <f>정규화데이터!I1235</f>
        <v>45500</v>
      </c>
      <c r="J1235" s="3">
        <f>정규화데이터!J1235</f>
        <v>41363.636363636302</v>
      </c>
      <c r="K1235" s="25">
        <f>정규화데이터!K1235</f>
        <v>30748</v>
      </c>
      <c r="L1235" s="25">
        <f>정규화데이터!L1235</f>
        <v>30748</v>
      </c>
      <c r="M1235" s="21">
        <f t="shared" si="38"/>
        <v>10615.636363636302</v>
      </c>
      <c r="N1235" s="52">
        <f t="shared" si="39"/>
        <v>0.25664175824175711</v>
      </c>
    </row>
    <row r="1236" spans="1:14" x14ac:dyDescent="0.3">
      <c r="A1236" t="str">
        <f>정규화데이터!A1236</f>
        <v>리씽크</v>
      </c>
      <c r="B1236">
        <f>정규화데이터!B1236</f>
        <v>2.02602051755454E+18</v>
      </c>
      <c r="C1236" t="str">
        <f>정규화데이터!C1236</f>
        <v xml:space="preserve">워커힐 본갈비 3+1 최초❤️5만원대! 총1.2kg✨호텔특제 양념갈비 8인분 (✨1인분 7,375원꼴! / [300g,2인분] x 총 4팩  / ✨초이스등급 본갈비 / ❣️워커힐 </v>
      </c>
      <c r="D1236">
        <f>정규화데이터!D1236</f>
        <v>143790</v>
      </c>
      <c r="E1236" s="16" t="str">
        <f>정규화데이터!E1236</f>
        <v>SKU001</v>
      </c>
      <c r="F1236" s="3">
        <f>정규화데이터!F1236</f>
        <v>1</v>
      </c>
      <c r="G1236" s="3">
        <f>정규화데이터!G1236</f>
        <v>41363.636363636302</v>
      </c>
      <c r="H1236" s="3">
        <f>정규화데이터!H1236</f>
        <v>45499.999999999935</v>
      </c>
      <c r="I1236" s="3">
        <f>정규화데이터!I1236</f>
        <v>45500</v>
      </c>
      <c r="J1236" s="3">
        <f>정규화데이터!J1236</f>
        <v>41363.636363636302</v>
      </c>
      <c r="K1236" s="25">
        <f>정규화데이터!K1236</f>
        <v>30748</v>
      </c>
      <c r="L1236" s="25">
        <f>정규화데이터!L1236</f>
        <v>30748</v>
      </c>
      <c r="M1236" s="21">
        <f t="shared" si="38"/>
        <v>10615.636363636302</v>
      </c>
      <c r="N1236" s="52">
        <f t="shared" si="39"/>
        <v>0.25664175824175711</v>
      </c>
    </row>
    <row r="1237" spans="1:14" x14ac:dyDescent="0.3">
      <c r="A1237" t="str">
        <f>정규화데이터!A1237</f>
        <v>리씽크</v>
      </c>
      <c r="B1237">
        <f>정규화데이터!B1237</f>
        <v>2.02602051812176E+18</v>
      </c>
      <c r="C1237" t="str">
        <f>정규화데이터!C1237</f>
        <v xml:space="preserve">워커힐 본갈비 3+1 최초❤️5만원대! 총1.2kg✨호텔특제 양념갈비 8인분 (✨1인분 7,375원꼴! / [300g,2인분] x 총 4팩  / ✨초이스등급 본갈비 / ❣️워커힐 </v>
      </c>
      <c r="D1237">
        <f>정규화데이터!D1237</f>
        <v>143790</v>
      </c>
      <c r="E1237" s="16" t="str">
        <f>정규화데이터!E1237</f>
        <v>SKU001</v>
      </c>
      <c r="F1237" s="3">
        <f>정규화데이터!F1237</f>
        <v>2</v>
      </c>
      <c r="G1237" s="3">
        <f>정규화데이터!G1237</f>
        <v>41363.636363636353</v>
      </c>
      <c r="H1237" s="3">
        <f>정규화데이터!H1237</f>
        <v>91000</v>
      </c>
      <c r="I1237" s="3">
        <f>정규화데이터!I1237</f>
        <v>91000</v>
      </c>
      <c r="J1237" s="3">
        <f>정규화데이터!J1237</f>
        <v>82727.272727272706</v>
      </c>
      <c r="K1237" s="25">
        <f>정규화데이터!K1237</f>
        <v>30748</v>
      </c>
      <c r="L1237" s="25">
        <f>정규화데이터!L1237</f>
        <v>61496</v>
      </c>
      <c r="M1237" s="21">
        <f t="shared" si="38"/>
        <v>21231.272727272706</v>
      </c>
      <c r="N1237" s="52">
        <f t="shared" si="39"/>
        <v>0.25664175824175806</v>
      </c>
    </row>
    <row r="1238" spans="1:14" x14ac:dyDescent="0.3">
      <c r="A1238" t="str">
        <f>정규화데이터!A1238</f>
        <v>리씽크</v>
      </c>
      <c r="B1238">
        <f>정규화데이터!B1238</f>
        <v>2.02602051822509E+18</v>
      </c>
      <c r="C1238" t="str">
        <f>정규화데이터!C1238</f>
        <v xml:space="preserve">워커힐 본갈비 3+1 최초❤️5만원대! 총1.2kg✨호텔특제 양념갈비 8인분 (✨1인분 7,375원꼴! / [300g,2인분] x 총 4팩  / ✨초이스등급 본갈비 / ❣️워커힐 </v>
      </c>
      <c r="D1238">
        <f>정규화데이터!D1238</f>
        <v>143790</v>
      </c>
      <c r="E1238" s="16" t="str">
        <f>정규화데이터!E1238</f>
        <v>SKU001</v>
      </c>
      <c r="F1238" s="3">
        <f>정규화데이터!F1238</f>
        <v>1</v>
      </c>
      <c r="G1238" s="3">
        <f>정규화데이터!G1238</f>
        <v>41363.636363636302</v>
      </c>
      <c r="H1238" s="3">
        <f>정규화데이터!H1238</f>
        <v>45499.999999999935</v>
      </c>
      <c r="I1238" s="3">
        <f>정규화데이터!I1238</f>
        <v>45500</v>
      </c>
      <c r="J1238" s="3">
        <f>정규화데이터!J1238</f>
        <v>41363.636363636302</v>
      </c>
      <c r="K1238" s="25">
        <f>정규화데이터!K1238</f>
        <v>30748</v>
      </c>
      <c r="L1238" s="25">
        <f>정규화데이터!L1238</f>
        <v>30748</v>
      </c>
      <c r="M1238" s="21">
        <f t="shared" si="38"/>
        <v>10615.636363636302</v>
      </c>
      <c r="N1238" s="52">
        <f t="shared" si="39"/>
        <v>0.25664175824175711</v>
      </c>
    </row>
    <row r="1239" spans="1:14" x14ac:dyDescent="0.3">
      <c r="A1239" t="str">
        <f>정규화데이터!A1239</f>
        <v>리씽크</v>
      </c>
      <c r="B1239">
        <f>정규화데이터!B1239</f>
        <v>2.0260205182641201E+18</v>
      </c>
      <c r="C1239" t="str">
        <f>정규화데이터!C1239</f>
        <v xml:space="preserve">워커힐 본갈비 3+1 최초❤️5만원대! 총1.2kg✨호텔특제 양념갈비 8인분 (✨1인분 7,375원꼴! / [300g,2인분] x 총 4팩  / ✨초이스등급 본갈비 / ❣️워커힐 </v>
      </c>
      <c r="D1239">
        <f>정규화데이터!D1239</f>
        <v>143790</v>
      </c>
      <c r="E1239" s="16" t="str">
        <f>정규화데이터!E1239</f>
        <v>SKU001</v>
      </c>
      <c r="F1239" s="3">
        <f>정규화데이터!F1239</f>
        <v>1</v>
      </c>
      <c r="G1239" s="3">
        <f>정규화데이터!G1239</f>
        <v>41363.636363636302</v>
      </c>
      <c r="H1239" s="3">
        <f>정규화데이터!H1239</f>
        <v>45499.999999999935</v>
      </c>
      <c r="I1239" s="3">
        <f>정규화데이터!I1239</f>
        <v>45500</v>
      </c>
      <c r="J1239" s="3">
        <f>정규화데이터!J1239</f>
        <v>41363.636363636302</v>
      </c>
      <c r="K1239" s="25">
        <f>정규화데이터!K1239</f>
        <v>30748</v>
      </c>
      <c r="L1239" s="25">
        <f>정규화데이터!L1239</f>
        <v>30748</v>
      </c>
      <c r="M1239" s="21">
        <f t="shared" si="38"/>
        <v>10615.636363636302</v>
      </c>
      <c r="N1239" s="52">
        <f t="shared" si="39"/>
        <v>0.25664175824175711</v>
      </c>
    </row>
    <row r="1240" spans="1:14" x14ac:dyDescent="0.3">
      <c r="A1240" t="str">
        <f>정규화데이터!A1240</f>
        <v>리씽크</v>
      </c>
      <c r="B1240">
        <f>정규화데이터!B1240</f>
        <v>2.02602051839585E+18</v>
      </c>
      <c r="C1240" t="str">
        <f>정규화데이터!C1240</f>
        <v xml:space="preserve">워커힐 본갈비 3+1 최초❤️5만원대! 총1.2kg✨호텔특제 양념갈비 8인분 (✨1인분 7,375원꼴! / [300g,2인분] x 총 4팩  / ✨초이스등급 본갈비 / ❣️워커힐 </v>
      </c>
      <c r="D1240">
        <f>정규화데이터!D1240</f>
        <v>143790</v>
      </c>
      <c r="E1240" s="16" t="str">
        <f>정규화데이터!E1240</f>
        <v>SKU001</v>
      </c>
      <c r="F1240" s="3">
        <f>정규화데이터!F1240</f>
        <v>1</v>
      </c>
      <c r="G1240" s="3">
        <f>정규화데이터!G1240</f>
        <v>41363.636363636302</v>
      </c>
      <c r="H1240" s="3">
        <f>정규화데이터!H1240</f>
        <v>45499.999999999935</v>
      </c>
      <c r="I1240" s="3">
        <f>정규화데이터!I1240</f>
        <v>45500</v>
      </c>
      <c r="J1240" s="3">
        <f>정규화데이터!J1240</f>
        <v>41363.636363636302</v>
      </c>
      <c r="K1240" s="25">
        <f>정규화데이터!K1240</f>
        <v>30748</v>
      </c>
      <c r="L1240" s="25">
        <f>정규화데이터!L1240</f>
        <v>30748</v>
      </c>
      <c r="M1240" s="21">
        <f t="shared" si="38"/>
        <v>10615.636363636302</v>
      </c>
      <c r="N1240" s="52">
        <f t="shared" si="39"/>
        <v>0.25664175824175711</v>
      </c>
    </row>
    <row r="1241" spans="1:14" x14ac:dyDescent="0.3">
      <c r="A1241" t="str">
        <f>정규화데이터!A1241</f>
        <v>리씽크</v>
      </c>
      <c r="B1241">
        <f>정규화데이터!B1241</f>
        <v>2.0260205184803999E+18</v>
      </c>
      <c r="C1241" t="str">
        <f>정규화데이터!C1241</f>
        <v xml:space="preserve">워커힐 본갈비 3+1 최초❤️5만원대! 총1.2kg✨호텔특제 양념갈비 8인분 (✨1인분 7,375원꼴! / [300g,2인분] x 총 4팩  / ✨초이스등급 본갈비 / ❣️워커힐 </v>
      </c>
      <c r="D1241">
        <f>정규화데이터!D1241</f>
        <v>143790</v>
      </c>
      <c r="E1241" s="16" t="str">
        <f>정규화데이터!E1241</f>
        <v>SKU001</v>
      </c>
      <c r="F1241" s="3">
        <f>정규화데이터!F1241</f>
        <v>1</v>
      </c>
      <c r="G1241" s="3">
        <f>정규화데이터!G1241</f>
        <v>41363.636363636302</v>
      </c>
      <c r="H1241" s="3">
        <f>정규화데이터!H1241</f>
        <v>45499.999999999935</v>
      </c>
      <c r="I1241" s="3">
        <f>정규화데이터!I1241</f>
        <v>45500</v>
      </c>
      <c r="J1241" s="3">
        <f>정규화데이터!J1241</f>
        <v>41363.636363636302</v>
      </c>
      <c r="K1241" s="25">
        <f>정규화데이터!K1241</f>
        <v>30748</v>
      </c>
      <c r="L1241" s="25">
        <f>정규화데이터!L1241</f>
        <v>30748</v>
      </c>
      <c r="M1241" s="21">
        <f t="shared" si="38"/>
        <v>10615.636363636302</v>
      </c>
      <c r="N1241" s="52">
        <f t="shared" si="39"/>
        <v>0.25664175824175711</v>
      </c>
    </row>
    <row r="1242" spans="1:14" x14ac:dyDescent="0.3">
      <c r="A1242" t="str">
        <f>정규화데이터!A1242</f>
        <v>리씽크</v>
      </c>
      <c r="B1242">
        <f>정규화데이터!B1242</f>
        <v>2.0260205184725601E+18</v>
      </c>
      <c r="C1242" t="str">
        <f>정규화데이터!C1242</f>
        <v xml:space="preserve">워커힐 본갈비 3+1 최초❤️5만원대! 총1.2kg✨호텔특제 양념갈비 8인분 (✨1인분 7,375원꼴! / [300g,2인분] x 총 4팩  / ✨초이스등급 본갈비 / ❣️워커힐 </v>
      </c>
      <c r="D1242">
        <f>정규화데이터!D1242</f>
        <v>143790</v>
      </c>
      <c r="E1242" s="16" t="str">
        <f>정규화데이터!E1242</f>
        <v>SKU001</v>
      </c>
      <c r="F1242" s="3">
        <f>정규화데이터!F1242</f>
        <v>1</v>
      </c>
      <c r="G1242" s="3">
        <f>정규화데이터!G1242</f>
        <v>41363.636363636302</v>
      </c>
      <c r="H1242" s="3">
        <f>정규화데이터!H1242</f>
        <v>45499.999999999935</v>
      </c>
      <c r="I1242" s="3">
        <f>정규화데이터!I1242</f>
        <v>45500</v>
      </c>
      <c r="J1242" s="3">
        <f>정규화데이터!J1242</f>
        <v>41363.636363636302</v>
      </c>
      <c r="K1242" s="25">
        <f>정규화데이터!K1242</f>
        <v>30748</v>
      </c>
      <c r="L1242" s="25">
        <f>정규화데이터!L1242</f>
        <v>30748</v>
      </c>
      <c r="M1242" s="21">
        <f t="shared" si="38"/>
        <v>10615.636363636302</v>
      </c>
      <c r="N1242" s="52">
        <f t="shared" si="39"/>
        <v>0.25664175824175711</v>
      </c>
    </row>
    <row r="1243" spans="1:14" x14ac:dyDescent="0.3">
      <c r="A1243" t="str">
        <f>정규화데이터!A1243</f>
        <v>리씽크</v>
      </c>
      <c r="B1243">
        <f>정규화데이터!B1243</f>
        <v>2.0260205191721201E+18</v>
      </c>
      <c r="C1243" t="str">
        <f>정규화데이터!C1243</f>
        <v xml:space="preserve">워커힐 본갈비 3+1 최초❤️5만원대! 총1.2kg✨호텔특제 양념갈비 8인분 (✨1인분 7,375원꼴! / [300g,2인분] x 총 4팩  / ✨초이스등급 본갈비 / ❣️워커힐 </v>
      </c>
      <c r="D1243">
        <f>정규화데이터!D1243</f>
        <v>143790</v>
      </c>
      <c r="E1243" s="16" t="str">
        <f>정규화데이터!E1243</f>
        <v>SKU001</v>
      </c>
      <c r="F1243" s="3">
        <f>정규화데이터!F1243</f>
        <v>1</v>
      </c>
      <c r="G1243" s="3">
        <f>정규화데이터!G1243</f>
        <v>41363.636363636302</v>
      </c>
      <c r="H1243" s="3">
        <f>정규화데이터!H1243</f>
        <v>45499.999999999935</v>
      </c>
      <c r="I1243" s="3">
        <f>정규화데이터!I1243</f>
        <v>45500</v>
      </c>
      <c r="J1243" s="3">
        <f>정규화데이터!J1243</f>
        <v>41363.636363636302</v>
      </c>
      <c r="K1243" s="25">
        <f>정규화데이터!K1243</f>
        <v>30748</v>
      </c>
      <c r="L1243" s="25">
        <f>정규화데이터!L1243</f>
        <v>30748</v>
      </c>
      <c r="M1243" s="21">
        <f t="shared" si="38"/>
        <v>10615.636363636302</v>
      </c>
      <c r="N1243" s="52">
        <f t="shared" si="39"/>
        <v>0.25664175824175711</v>
      </c>
    </row>
    <row r="1244" spans="1:14" x14ac:dyDescent="0.3">
      <c r="A1244" t="str">
        <f>정규화데이터!A1244</f>
        <v>리씽크</v>
      </c>
      <c r="B1244">
        <f>정규화데이터!B1244</f>
        <v>2.0260205192512699E+18</v>
      </c>
      <c r="C1244" t="str">
        <f>정규화데이터!C1244</f>
        <v xml:space="preserve">워커힐 본갈비 3+1 최초❤️5만원대! 총1.2kg✨호텔특제 양념갈비 8인분 (✨1인분 7,375원꼴! / [300g,2인분] x 총 4팩  / ✨초이스등급 본갈비 / ❣️워커힐 </v>
      </c>
      <c r="D1244">
        <f>정규화데이터!D1244</f>
        <v>143790</v>
      </c>
      <c r="E1244" s="16" t="str">
        <f>정규화데이터!E1244</f>
        <v>SKU001</v>
      </c>
      <c r="F1244" s="3">
        <f>정규화데이터!F1244</f>
        <v>1</v>
      </c>
      <c r="G1244" s="3">
        <f>정규화데이터!G1244</f>
        <v>41363.636363636302</v>
      </c>
      <c r="H1244" s="3">
        <f>정규화데이터!H1244</f>
        <v>45499.999999999935</v>
      </c>
      <c r="I1244" s="3">
        <f>정규화데이터!I1244</f>
        <v>45500</v>
      </c>
      <c r="J1244" s="3">
        <f>정규화데이터!J1244</f>
        <v>41363.636363636302</v>
      </c>
      <c r="K1244" s="25">
        <f>정규화데이터!K1244</f>
        <v>30748</v>
      </c>
      <c r="L1244" s="25">
        <f>정규화데이터!L1244</f>
        <v>30748</v>
      </c>
      <c r="M1244" s="21">
        <f t="shared" si="38"/>
        <v>10615.636363636302</v>
      </c>
      <c r="N1244" s="52">
        <f t="shared" si="39"/>
        <v>0.25664175824175711</v>
      </c>
    </row>
    <row r="1245" spans="1:14" x14ac:dyDescent="0.3">
      <c r="A1245" t="str">
        <f>정규화데이터!A1245</f>
        <v>리씽크</v>
      </c>
      <c r="B1245">
        <f>정규화데이터!B1245</f>
        <v>2.02602051948494E+18</v>
      </c>
      <c r="C1245" t="str">
        <f>정규화데이터!C1245</f>
        <v xml:space="preserve">워커힐 본갈비 3+1 최초❤️5만원대! 총1.2kg✨호텔특제 양념갈비 8인분 (✨1인분 7,375원꼴! / [300g,2인분] x 총 4팩  / ✨초이스등급 본갈비 / ❣️워커힐 </v>
      </c>
      <c r="D1245">
        <f>정규화데이터!D1245</f>
        <v>143790</v>
      </c>
      <c r="E1245" s="16" t="str">
        <f>정규화데이터!E1245</f>
        <v>SKU001</v>
      </c>
      <c r="F1245" s="3">
        <f>정규화데이터!F1245</f>
        <v>1</v>
      </c>
      <c r="G1245" s="3">
        <f>정규화데이터!G1245</f>
        <v>41363.636363636302</v>
      </c>
      <c r="H1245" s="3">
        <f>정규화데이터!H1245</f>
        <v>45499.999999999935</v>
      </c>
      <c r="I1245" s="3">
        <f>정규화데이터!I1245</f>
        <v>45500</v>
      </c>
      <c r="J1245" s="3">
        <f>정규화데이터!J1245</f>
        <v>41363.636363636302</v>
      </c>
      <c r="K1245" s="25">
        <f>정규화데이터!K1245</f>
        <v>30748</v>
      </c>
      <c r="L1245" s="25">
        <f>정규화데이터!L1245</f>
        <v>30748</v>
      </c>
      <c r="M1245" s="21">
        <f t="shared" si="38"/>
        <v>10615.636363636302</v>
      </c>
      <c r="N1245" s="52">
        <f t="shared" si="39"/>
        <v>0.25664175824175711</v>
      </c>
    </row>
    <row r="1246" spans="1:14" x14ac:dyDescent="0.3">
      <c r="A1246" t="str">
        <f>정규화데이터!A1246</f>
        <v>리씽크</v>
      </c>
      <c r="B1246">
        <f>정규화데이터!B1246</f>
        <v>2.0260205194933E+18</v>
      </c>
      <c r="C1246" t="str">
        <f>정규화데이터!C1246</f>
        <v xml:space="preserve">워커힐 본갈비 3+1 최초❤️5만원대! 총1.2kg✨호텔특제 양념갈비 8인분 (✨1인분 7,375원꼴! / [300g,2인분] x 총 4팩  / ✨초이스등급 본갈비 / ❣️워커힐 </v>
      </c>
      <c r="D1246">
        <f>정규화데이터!D1246</f>
        <v>143790</v>
      </c>
      <c r="E1246" s="16" t="str">
        <f>정규화데이터!E1246</f>
        <v>SKU001</v>
      </c>
      <c r="F1246" s="3">
        <f>정규화데이터!F1246</f>
        <v>1</v>
      </c>
      <c r="G1246" s="3">
        <f>정규화데이터!G1246</f>
        <v>41363.636363636302</v>
      </c>
      <c r="H1246" s="3">
        <f>정규화데이터!H1246</f>
        <v>45499.999999999935</v>
      </c>
      <c r="I1246" s="3">
        <f>정규화데이터!I1246</f>
        <v>45500</v>
      </c>
      <c r="J1246" s="3">
        <f>정규화데이터!J1246</f>
        <v>41363.636363636302</v>
      </c>
      <c r="K1246" s="25">
        <f>정규화데이터!K1246</f>
        <v>30748</v>
      </c>
      <c r="L1246" s="25">
        <f>정규화데이터!L1246</f>
        <v>30748</v>
      </c>
      <c r="M1246" s="21">
        <f t="shared" si="38"/>
        <v>10615.636363636302</v>
      </c>
      <c r="N1246" s="52">
        <f t="shared" si="39"/>
        <v>0.25664175824175711</v>
      </c>
    </row>
    <row r="1247" spans="1:14" x14ac:dyDescent="0.3">
      <c r="A1247" t="str">
        <f>정규화데이터!A1247</f>
        <v>리씽크</v>
      </c>
      <c r="B1247">
        <f>정규화데이터!B1247</f>
        <v>2.02602052005026E+18</v>
      </c>
      <c r="C1247" t="str">
        <f>정규화데이터!C1247</f>
        <v xml:space="preserve">워커힐 본갈비 3+1 최초❤️5만원대! 총1.2kg✨호텔특제 양념갈비 8인분 (✨1인분 7,375원꼴! / [300g,2인분] x 총 4팩  / ✨초이스등급 본갈비 / ❣️워커힐 </v>
      </c>
      <c r="D1247">
        <f>정규화데이터!D1247</f>
        <v>143790</v>
      </c>
      <c r="E1247" s="16" t="str">
        <f>정규화데이터!E1247</f>
        <v>SKU001</v>
      </c>
      <c r="F1247" s="3">
        <f>정규화데이터!F1247</f>
        <v>1</v>
      </c>
      <c r="G1247" s="3">
        <f>정규화데이터!G1247</f>
        <v>41363.636363636302</v>
      </c>
      <c r="H1247" s="3">
        <f>정규화데이터!H1247</f>
        <v>45499.999999999935</v>
      </c>
      <c r="I1247" s="3">
        <f>정규화데이터!I1247</f>
        <v>45500</v>
      </c>
      <c r="J1247" s="3">
        <f>정규화데이터!J1247</f>
        <v>41363.636363636302</v>
      </c>
      <c r="K1247" s="25">
        <f>정규화데이터!K1247</f>
        <v>30748</v>
      </c>
      <c r="L1247" s="25">
        <f>정규화데이터!L1247</f>
        <v>30748</v>
      </c>
      <c r="M1247" s="21">
        <f t="shared" si="38"/>
        <v>10615.636363636302</v>
      </c>
      <c r="N1247" s="52">
        <f t="shared" si="39"/>
        <v>0.25664175824175711</v>
      </c>
    </row>
    <row r="1248" spans="1:14" x14ac:dyDescent="0.3">
      <c r="A1248" t="str">
        <f>정규화데이터!A1248</f>
        <v>리씽크</v>
      </c>
      <c r="B1248">
        <f>정규화데이터!B1248</f>
        <v>2.0260205202722299E+18</v>
      </c>
      <c r="C1248" t="str">
        <f>정규화데이터!C1248</f>
        <v xml:space="preserve">워커힐 본갈비 3+1 최초❤️5만원대! 총1.2kg✨호텔특제 양념갈비 8인분 (✨1인분 7,375원꼴! / [300g,2인분] x 총 4팩  / ✨초이스등급 본갈비 / ❣️워커힐 </v>
      </c>
      <c r="D1248">
        <f>정규화데이터!D1248</f>
        <v>143790</v>
      </c>
      <c r="E1248" s="16" t="str">
        <f>정규화데이터!E1248</f>
        <v>SKU001</v>
      </c>
      <c r="F1248" s="3">
        <f>정규화데이터!F1248</f>
        <v>1</v>
      </c>
      <c r="G1248" s="3">
        <f>정규화데이터!G1248</f>
        <v>41363.636363636302</v>
      </c>
      <c r="H1248" s="3">
        <f>정규화데이터!H1248</f>
        <v>45499.999999999935</v>
      </c>
      <c r="I1248" s="3">
        <f>정규화데이터!I1248</f>
        <v>45500</v>
      </c>
      <c r="J1248" s="3">
        <f>정규화데이터!J1248</f>
        <v>41363.636363636302</v>
      </c>
      <c r="K1248" s="25">
        <f>정규화데이터!K1248</f>
        <v>30748</v>
      </c>
      <c r="L1248" s="25">
        <f>정규화데이터!L1248</f>
        <v>30748</v>
      </c>
      <c r="M1248" s="21">
        <f t="shared" si="38"/>
        <v>10615.636363636302</v>
      </c>
      <c r="N1248" s="52">
        <f t="shared" si="39"/>
        <v>0.25664175824175711</v>
      </c>
    </row>
    <row r="1249" spans="1:14" x14ac:dyDescent="0.3">
      <c r="A1249" t="str">
        <f>정규화데이터!A1249</f>
        <v>리씽크</v>
      </c>
      <c r="B1249">
        <f>정규화데이터!B1249</f>
        <v>2.0260205203103401E+18</v>
      </c>
      <c r="C1249" t="str">
        <f>정규화데이터!C1249</f>
        <v xml:space="preserve">워커힐 본갈비 3+1 최초❤️5만원대! 총1.2kg✨호텔특제 양념갈비 8인분 (✨1인분 7,375원꼴! / [300g,2인분] x 총 4팩  / ✨초이스등급 본갈비 / ❣️워커힐 </v>
      </c>
      <c r="D1249">
        <f>정규화데이터!D1249</f>
        <v>143790</v>
      </c>
      <c r="E1249" s="16" t="str">
        <f>정규화데이터!E1249</f>
        <v>SKU001</v>
      </c>
      <c r="F1249" s="3">
        <f>정규화데이터!F1249</f>
        <v>1</v>
      </c>
      <c r="G1249" s="3">
        <f>정규화데이터!G1249</f>
        <v>41363.636363636302</v>
      </c>
      <c r="H1249" s="3">
        <f>정규화데이터!H1249</f>
        <v>45499.999999999935</v>
      </c>
      <c r="I1249" s="3">
        <f>정규화데이터!I1249</f>
        <v>45500</v>
      </c>
      <c r="J1249" s="3">
        <f>정규화데이터!J1249</f>
        <v>41363.636363636302</v>
      </c>
      <c r="K1249" s="25">
        <f>정규화데이터!K1249</f>
        <v>30748</v>
      </c>
      <c r="L1249" s="25">
        <f>정규화데이터!L1249</f>
        <v>30748</v>
      </c>
      <c r="M1249" s="21">
        <f t="shared" si="38"/>
        <v>10615.636363636302</v>
      </c>
      <c r="N1249" s="52">
        <f t="shared" si="39"/>
        <v>0.25664175824175711</v>
      </c>
    </row>
    <row r="1250" spans="1:14" x14ac:dyDescent="0.3">
      <c r="A1250" t="str">
        <f>정규화데이터!A1250</f>
        <v>리씽크</v>
      </c>
      <c r="B1250">
        <f>정규화데이터!B1250</f>
        <v>2.02602052104035E+18</v>
      </c>
      <c r="C1250" t="str">
        <f>정규화데이터!C1250</f>
        <v xml:space="preserve">워커힐 본갈비 3+1 최초❤️5만원대! 총1.2kg✨호텔특제 양념갈비 8인분 (✨1인분 7,375원꼴! / [300g,2인분] x 총 4팩  / ✨초이스등급 본갈비 / ❣️워커힐 </v>
      </c>
      <c r="D1250">
        <f>정규화데이터!D1250</f>
        <v>143790</v>
      </c>
      <c r="E1250" s="16" t="str">
        <f>정규화데이터!E1250</f>
        <v>SKU001</v>
      </c>
      <c r="F1250" s="3">
        <f>정규화데이터!F1250</f>
        <v>1</v>
      </c>
      <c r="G1250" s="3">
        <f>정규화데이터!G1250</f>
        <v>41363.636363636302</v>
      </c>
      <c r="H1250" s="3">
        <f>정규화데이터!H1250</f>
        <v>45499.999999999935</v>
      </c>
      <c r="I1250" s="3">
        <f>정규화데이터!I1250</f>
        <v>45500</v>
      </c>
      <c r="J1250" s="3">
        <f>정규화데이터!J1250</f>
        <v>41363.636363636302</v>
      </c>
      <c r="K1250" s="25">
        <f>정규화데이터!K1250</f>
        <v>30748</v>
      </c>
      <c r="L1250" s="25">
        <f>정규화데이터!L1250</f>
        <v>30748</v>
      </c>
      <c r="M1250" s="21">
        <f t="shared" si="38"/>
        <v>10615.636363636302</v>
      </c>
      <c r="N1250" s="52">
        <f t="shared" si="39"/>
        <v>0.25664175824175711</v>
      </c>
    </row>
    <row r="1251" spans="1:14" x14ac:dyDescent="0.3">
      <c r="A1251" t="str">
        <f>정규화데이터!A1251</f>
        <v>리씽크</v>
      </c>
      <c r="B1251">
        <f>정규화데이터!B1251</f>
        <v>2.02602052116275E+18</v>
      </c>
      <c r="C1251" t="str">
        <f>정규화데이터!C1251</f>
        <v xml:space="preserve">워커힐 본갈비 3+1 최초❤️5만원대! 총1.2kg✨호텔특제 양념갈비 8인분 (✨1인분 7,375원꼴! / [300g,2인분] x 총 4팩  / ✨초이스등급 본갈비 / ❣️워커힐 </v>
      </c>
      <c r="D1251">
        <f>정규화데이터!D1251</f>
        <v>143790</v>
      </c>
      <c r="E1251" s="16" t="str">
        <f>정규화데이터!E1251</f>
        <v>SKU001</v>
      </c>
      <c r="F1251" s="3">
        <f>정규화데이터!F1251</f>
        <v>1</v>
      </c>
      <c r="G1251" s="3">
        <f>정규화데이터!G1251</f>
        <v>41363.636363636302</v>
      </c>
      <c r="H1251" s="3">
        <f>정규화데이터!H1251</f>
        <v>45499.999999999935</v>
      </c>
      <c r="I1251" s="3">
        <f>정규화데이터!I1251</f>
        <v>45500</v>
      </c>
      <c r="J1251" s="3">
        <f>정규화데이터!J1251</f>
        <v>41363.636363636302</v>
      </c>
      <c r="K1251" s="25">
        <f>정규화데이터!K1251</f>
        <v>30748</v>
      </c>
      <c r="L1251" s="25">
        <f>정규화데이터!L1251</f>
        <v>30748</v>
      </c>
      <c r="M1251" s="21">
        <f t="shared" si="38"/>
        <v>10615.636363636302</v>
      </c>
      <c r="N1251" s="52">
        <f t="shared" si="39"/>
        <v>0.25664175824175711</v>
      </c>
    </row>
    <row r="1252" spans="1:14" x14ac:dyDescent="0.3">
      <c r="A1252" t="str">
        <f>정규화데이터!A1252</f>
        <v>리씽크</v>
      </c>
      <c r="B1252">
        <f>정규화데이터!B1252</f>
        <v>2.02602052118323E+18</v>
      </c>
      <c r="C1252" t="str">
        <f>정규화데이터!C1252</f>
        <v xml:space="preserve">워커힐 본갈비 3+1 최초❤️5만원대! 총1.2kg✨호텔특제 양념갈비 8인분 (✨1인분 7,375원꼴! / [300g,2인분] x 총 4팩  / ✨초이스등급 본갈비 / ❣️워커힐 </v>
      </c>
      <c r="D1252">
        <f>정규화데이터!D1252</f>
        <v>143790</v>
      </c>
      <c r="E1252" s="16" t="str">
        <f>정규화데이터!E1252</f>
        <v>SKU001</v>
      </c>
      <c r="F1252" s="3">
        <f>정규화데이터!F1252</f>
        <v>1</v>
      </c>
      <c r="G1252" s="3">
        <f>정규화데이터!G1252</f>
        <v>41363.636363636302</v>
      </c>
      <c r="H1252" s="3">
        <f>정규화데이터!H1252</f>
        <v>45499.999999999935</v>
      </c>
      <c r="I1252" s="3">
        <f>정규화데이터!I1252</f>
        <v>45500</v>
      </c>
      <c r="J1252" s="3">
        <f>정규화데이터!J1252</f>
        <v>41363.636363636302</v>
      </c>
      <c r="K1252" s="25">
        <f>정규화데이터!K1252</f>
        <v>30748</v>
      </c>
      <c r="L1252" s="25">
        <f>정규화데이터!L1252</f>
        <v>30748</v>
      </c>
      <c r="M1252" s="21">
        <f t="shared" si="38"/>
        <v>10615.636363636302</v>
      </c>
      <c r="N1252" s="52">
        <f t="shared" si="39"/>
        <v>0.25664175824175711</v>
      </c>
    </row>
    <row r="1253" spans="1:14" x14ac:dyDescent="0.3">
      <c r="A1253" t="str">
        <f>정규화데이터!A1253</f>
        <v>리씽크</v>
      </c>
      <c r="B1253">
        <f>정규화데이터!B1253</f>
        <v>2.02602052220545E+18</v>
      </c>
      <c r="C1253" t="str">
        <f>정규화데이터!C1253</f>
        <v xml:space="preserve">워커힐 본갈비 3+1 최초❤️5만원대! 총1.2kg✨호텔특제 양념갈비 8인분 (✨1인분 7,375원꼴! / [300g,2인분] x 총 4팩  / ✨초이스등급 본갈비 / ❣️워커힐 </v>
      </c>
      <c r="D1253">
        <f>정규화데이터!D1253</f>
        <v>143790</v>
      </c>
      <c r="E1253" s="16" t="str">
        <f>정규화데이터!E1253</f>
        <v>SKU001</v>
      </c>
      <c r="F1253" s="3">
        <f>정규화데이터!F1253</f>
        <v>1</v>
      </c>
      <c r="G1253" s="3">
        <f>정규화데이터!G1253</f>
        <v>41363.636363636302</v>
      </c>
      <c r="H1253" s="3">
        <f>정규화데이터!H1253</f>
        <v>45499.999999999935</v>
      </c>
      <c r="I1253" s="3">
        <f>정규화데이터!I1253</f>
        <v>45500</v>
      </c>
      <c r="J1253" s="3">
        <f>정규화데이터!J1253</f>
        <v>41363.636363636302</v>
      </c>
      <c r="K1253" s="25">
        <f>정규화데이터!K1253</f>
        <v>30748</v>
      </c>
      <c r="L1253" s="25">
        <f>정규화데이터!L1253</f>
        <v>30748</v>
      </c>
      <c r="M1253" s="21">
        <f t="shared" si="38"/>
        <v>10615.636363636302</v>
      </c>
      <c r="N1253" s="52">
        <f t="shared" si="39"/>
        <v>0.25664175824175711</v>
      </c>
    </row>
    <row r="1254" spans="1:14" x14ac:dyDescent="0.3">
      <c r="A1254" t="str">
        <f>정규화데이터!A1254</f>
        <v>리씽크</v>
      </c>
      <c r="B1254">
        <f>정규화데이터!B1254</f>
        <v>2.0260205223050199E+18</v>
      </c>
      <c r="C1254" t="str">
        <f>정규화데이터!C1254</f>
        <v xml:space="preserve">워커힐 본갈비 3+1 최초❤️5만원대! 총1.2kg✨호텔특제 양념갈비 8인분 (✨1인분 7,375원꼴! / [300g,2인분] x 총 4팩  / ✨초이스등급 본갈비 / ❣️워커힐 </v>
      </c>
      <c r="D1254">
        <f>정규화데이터!D1254</f>
        <v>143790</v>
      </c>
      <c r="E1254" s="16" t="str">
        <f>정규화데이터!E1254</f>
        <v>SKU001</v>
      </c>
      <c r="F1254" s="3">
        <f>정규화데이터!F1254</f>
        <v>1</v>
      </c>
      <c r="G1254" s="3">
        <f>정규화데이터!G1254</f>
        <v>41363.636363636302</v>
      </c>
      <c r="H1254" s="3">
        <f>정규화데이터!H1254</f>
        <v>45499.999999999935</v>
      </c>
      <c r="I1254" s="3">
        <f>정규화데이터!I1254</f>
        <v>45500</v>
      </c>
      <c r="J1254" s="3">
        <f>정규화데이터!J1254</f>
        <v>41363.636363636302</v>
      </c>
      <c r="K1254" s="25">
        <f>정규화데이터!K1254</f>
        <v>30748</v>
      </c>
      <c r="L1254" s="25">
        <f>정규화데이터!L1254</f>
        <v>30748</v>
      </c>
      <c r="M1254" s="21">
        <f t="shared" si="38"/>
        <v>10615.636363636302</v>
      </c>
      <c r="N1254" s="52">
        <f t="shared" si="39"/>
        <v>0.25664175824175711</v>
      </c>
    </row>
    <row r="1255" spans="1:14" x14ac:dyDescent="0.3">
      <c r="A1255" t="str">
        <f>정규화데이터!A1255</f>
        <v>리씽크</v>
      </c>
      <c r="B1255">
        <f>정규화데이터!B1255</f>
        <v>2.0260205223744599E+18</v>
      </c>
      <c r="C1255" t="str">
        <f>정규화데이터!C1255</f>
        <v xml:space="preserve">워커힐 본갈비 3+1 최초❤️5만원대! 총1.2kg✨호텔특제 양념갈비 8인분 (✨1인분 7,375원꼴! / [300g,2인분] x 총 4팩  / ✨초이스등급 본갈비 / ❣️워커힐 </v>
      </c>
      <c r="D1255">
        <f>정규화데이터!D1255</f>
        <v>143790</v>
      </c>
      <c r="E1255" s="16" t="str">
        <f>정규화데이터!E1255</f>
        <v>SKU001</v>
      </c>
      <c r="F1255" s="3">
        <f>정규화데이터!F1255</f>
        <v>3</v>
      </c>
      <c r="G1255" s="3">
        <f>정규화데이터!G1255</f>
        <v>41363.636363636331</v>
      </c>
      <c r="H1255" s="3">
        <f>정규화데이터!H1255</f>
        <v>136499.99999999991</v>
      </c>
      <c r="I1255" s="3">
        <f>정규화데이터!I1255</f>
        <v>136500</v>
      </c>
      <c r="J1255" s="3">
        <f>정규화데이터!J1255</f>
        <v>124090.909090909</v>
      </c>
      <c r="K1255" s="25">
        <f>정규화데이터!K1255</f>
        <v>30748</v>
      </c>
      <c r="L1255" s="25">
        <f>정규화데이터!L1255</f>
        <v>92244</v>
      </c>
      <c r="M1255" s="21">
        <f t="shared" si="38"/>
        <v>31846.909090909001</v>
      </c>
      <c r="N1255" s="52">
        <f t="shared" si="39"/>
        <v>0.25664175824175772</v>
      </c>
    </row>
    <row r="1256" spans="1:14" x14ac:dyDescent="0.3">
      <c r="A1256" t="str">
        <f>정규화데이터!A1256</f>
        <v>리씽크</v>
      </c>
      <c r="B1256">
        <f>정규화데이터!B1256</f>
        <v>2.0260205224154701E+18</v>
      </c>
      <c r="C1256" t="str">
        <f>정규화데이터!C1256</f>
        <v xml:space="preserve">워커힐 본갈비 3+1 최초❤️5만원대! 총1.2kg✨호텔특제 양념갈비 8인분 (✨1인분 7,375원꼴! / [300g,2인분] x 총 4팩  / ✨초이스등급 본갈비 / ❣️워커힐 </v>
      </c>
      <c r="D1256">
        <f>정규화데이터!D1256</f>
        <v>143790</v>
      </c>
      <c r="E1256" s="16" t="str">
        <f>정규화데이터!E1256</f>
        <v>SKU001</v>
      </c>
      <c r="F1256" s="3">
        <f>정규화데이터!F1256</f>
        <v>1</v>
      </c>
      <c r="G1256" s="3">
        <f>정규화데이터!G1256</f>
        <v>41363.636363636302</v>
      </c>
      <c r="H1256" s="3">
        <f>정규화데이터!H1256</f>
        <v>45499.999999999935</v>
      </c>
      <c r="I1256" s="3">
        <f>정규화데이터!I1256</f>
        <v>45500</v>
      </c>
      <c r="J1256" s="3">
        <f>정규화데이터!J1256</f>
        <v>41363.636363636302</v>
      </c>
      <c r="K1256" s="25">
        <f>정규화데이터!K1256</f>
        <v>30748</v>
      </c>
      <c r="L1256" s="25">
        <f>정규화데이터!L1256</f>
        <v>30748</v>
      </c>
      <c r="M1256" s="21">
        <f t="shared" si="38"/>
        <v>10615.636363636302</v>
      </c>
      <c r="N1256" s="52">
        <f t="shared" si="39"/>
        <v>0.25664175824175711</v>
      </c>
    </row>
    <row r="1257" spans="1:14" x14ac:dyDescent="0.3">
      <c r="A1257" t="str">
        <f>정규화데이터!A1257</f>
        <v>리씽크</v>
      </c>
      <c r="B1257">
        <f>정규화데이터!B1257</f>
        <v>2.02602052246541E+18</v>
      </c>
      <c r="C1257" t="str">
        <f>정규화데이터!C1257</f>
        <v xml:space="preserve">워커힐 본갈비 3+1 최초❤️5만원대! 총1.2kg✨호텔특제 양념갈비 8인분 (✨1인분 7,375원꼴! / [300g,2인분] x 총 4팩  / ✨초이스등급 본갈비 / ❣️워커힐 </v>
      </c>
      <c r="D1257">
        <f>정규화데이터!D1257</f>
        <v>143790</v>
      </c>
      <c r="E1257" s="16" t="str">
        <f>정규화데이터!E1257</f>
        <v>SKU001</v>
      </c>
      <c r="F1257" s="3">
        <f>정규화데이터!F1257</f>
        <v>1</v>
      </c>
      <c r="G1257" s="3">
        <f>정규화데이터!G1257</f>
        <v>41363.636363636302</v>
      </c>
      <c r="H1257" s="3">
        <f>정규화데이터!H1257</f>
        <v>45499.999999999935</v>
      </c>
      <c r="I1257" s="3">
        <f>정규화데이터!I1257</f>
        <v>45500</v>
      </c>
      <c r="J1257" s="3">
        <f>정규화데이터!J1257</f>
        <v>41363.636363636302</v>
      </c>
      <c r="K1257" s="25">
        <f>정규화데이터!K1257</f>
        <v>30748</v>
      </c>
      <c r="L1257" s="25">
        <f>정규화데이터!L1257</f>
        <v>30748</v>
      </c>
      <c r="M1257" s="21">
        <f t="shared" si="38"/>
        <v>10615.636363636302</v>
      </c>
      <c r="N1257" s="52">
        <f t="shared" si="39"/>
        <v>0.25664175824175711</v>
      </c>
    </row>
    <row r="1258" spans="1:14" x14ac:dyDescent="0.3">
      <c r="A1258" t="str">
        <f>정규화데이터!A1258</f>
        <v>리씽크</v>
      </c>
      <c r="B1258">
        <f>정규화데이터!B1258</f>
        <v>2.0260205233327301E+18</v>
      </c>
      <c r="C1258" t="str">
        <f>정규화데이터!C1258</f>
        <v xml:space="preserve">워커힐 본갈비 3+1 최초❤️5만원대! 총1.2kg✨호텔특제 양념갈비 8인분 (✨1인분 7,375원꼴! / [300g,2인분] x 총 4팩  / ✨초이스등급 본갈비 / ❣️워커힐 </v>
      </c>
      <c r="D1258">
        <f>정규화데이터!D1258</f>
        <v>143790</v>
      </c>
      <c r="E1258" s="16" t="str">
        <f>정규화데이터!E1258</f>
        <v>SKU001</v>
      </c>
      <c r="F1258" s="3">
        <f>정규화데이터!F1258</f>
        <v>1</v>
      </c>
      <c r="G1258" s="3">
        <f>정규화데이터!G1258</f>
        <v>41363.636363636302</v>
      </c>
      <c r="H1258" s="3">
        <f>정규화데이터!H1258</f>
        <v>45499.999999999935</v>
      </c>
      <c r="I1258" s="3">
        <f>정규화데이터!I1258</f>
        <v>45500</v>
      </c>
      <c r="J1258" s="3">
        <f>정규화데이터!J1258</f>
        <v>41363.636363636302</v>
      </c>
      <c r="K1258" s="25">
        <f>정규화데이터!K1258</f>
        <v>30748</v>
      </c>
      <c r="L1258" s="25">
        <f>정규화데이터!L1258</f>
        <v>30748</v>
      </c>
      <c r="M1258" s="21">
        <f t="shared" si="38"/>
        <v>10615.636363636302</v>
      </c>
      <c r="N1258" s="52">
        <f t="shared" si="39"/>
        <v>0.25664175824175711</v>
      </c>
    </row>
    <row r="1259" spans="1:14" x14ac:dyDescent="0.3">
      <c r="A1259" t="str">
        <f>정규화데이터!A1259</f>
        <v>리씽크</v>
      </c>
      <c r="B1259">
        <f>정규화데이터!B1259</f>
        <v>2.0260205233828101E+18</v>
      </c>
      <c r="C1259" t="str">
        <f>정규화데이터!C1259</f>
        <v xml:space="preserve">워커힐 본갈비 3+1 최초❤️5만원대! 총1.2kg✨호텔특제 양념갈비 8인분 (✨1인분 7,375원꼴! / [300g,2인분] x 총 4팩  / ✨초이스등급 본갈비 / ❣️워커힐 </v>
      </c>
      <c r="D1259">
        <f>정규화데이터!D1259</f>
        <v>143790</v>
      </c>
      <c r="E1259" s="16" t="str">
        <f>정규화데이터!E1259</f>
        <v>SKU001</v>
      </c>
      <c r="F1259" s="3">
        <f>정규화데이터!F1259</f>
        <v>3</v>
      </c>
      <c r="G1259" s="3">
        <f>정규화데이터!G1259</f>
        <v>41363.636363636331</v>
      </c>
      <c r="H1259" s="3">
        <f>정규화데이터!H1259</f>
        <v>136499.99999999991</v>
      </c>
      <c r="I1259" s="3">
        <f>정규화데이터!I1259</f>
        <v>136500</v>
      </c>
      <c r="J1259" s="3">
        <f>정규화데이터!J1259</f>
        <v>124090.909090909</v>
      </c>
      <c r="K1259" s="25">
        <f>정규화데이터!K1259</f>
        <v>30748</v>
      </c>
      <c r="L1259" s="25">
        <f>정규화데이터!L1259</f>
        <v>92244</v>
      </c>
      <c r="M1259" s="21">
        <f t="shared" si="38"/>
        <v>31846.909090909001</v>
      </c>
      <c r="N1259" s="52">
        <f t="shared" si="39"/>
        <v>0.25664175824175772</v>
      </c>
    </row>
    <row r="1260" spans="1:14" x14ac:dyDescent="0.3">
      <c r="A1260" t="str">
        <f>정규화데이터!A1260</f>
        <v>리씽크</v>
      </c>
      <c r="B1260">
        <f>정규화데이터!B1260</f>
        <v>2.02602052347373E+18</v>
      </c>
      <c r="C1260" t="str">
        <f>정규화데이터!C1260</f>
        <v xml:space="preserve">워커힐 본갈비 3+1 최초❤️5만원대! 총1.2kg✨호텔특제 양념갈비 8인분 (✨1인분 7,375원꼴! / [300g,2인분] x 총 4팩  / ✨초이스등급 본갈비 / ❣️워커힐 </v>
      </c>
      <c r="D1260">
        <f>정규화데이터!D1260</f>
        <v>143790</v>
      </c>
      <c r="E1260" s="16" t="str">
        <f>정규화데이터!E1260</f>
        <v>SKU001</v>
      </c>
      <c r="F1260" s="3">
        <f>정규화데이터!F1260</f>
        <v>1</v>
      </c>
      <c r="G1260" s="3">
        <f>정규화데이터!G1260</f>
        <v>41363.636363636302</v>
      </c>
      <c r="H1260" s="3">
        <f>정규화데이터!H1260</f>
        <v>45499.999999999935</v>
      </c>
      <c r="I1260" s="3">
        <f>정규화데이터!I1260</f>
        <v>45500</v>
      </c>
      <c r="J1260" s="3">
        <f>정규화데이터!J1260</f>
        <v>41363.636363636302</v>
      </c>
      <c r="K1260" s="25">
        <f>정규화데이터!K1260</f>
        <v>30748</v>
      </c>
      <c r="L1260" s="25">
        <f>정규화데이터!L1260</f>
        <v>30748</v>
      </c>
      <c r="M1260" s="21">
        <f t="shared" si="38"/>
        <v>10615.636363636302</v>
      </c>
      <c r="N1260" s="52">
        <f t="shared" si="39"/>
        <v>0.25664175824175711</v>
      </c>
    </row>
    <row r="1261" spans="1:14" x14ac:dyDescent="0.3">
      <c r="A1261" t="str">
        <f>정규화데이터!A1261</f>
        <v>리씽크</v>
      </c>
      <c r="B1261">
        <f>정규화데이터!B1261</f>
        <v>2.02602052347585E+18</v>
      </c>
      <c r="C1261" t="str">
        <f>정규화데이터!C1261</f>
        <v xml:space="preserve">워커힐 본갈비 3+1 최초❤️5만원대! 총1.2kg✨호텔특제 양념갈비 8인분 (✨1인분 7,375원꼴! / [300g,2인분] x 총 4팩  / ✨초이스등급 본갈비 / ❣️워커힐 </v>
      </c>
      <c r="D1261">
        <f>정규화데이터!D1261</f>
        <v>143790</v>
      </c>
      <c r="E1261" s="16" t="str">
        <f>정규화데이터!E1261</f>
        <v>SKU001</v>
      </c>
      <c r="F1261" s="3">
        <f>정규화데이터!F1261</f>
        <v>1</v>
      </c>
      <c r="G1261" s="3">
        <f>정규화데이터!G1261</f>
        <v>41363.636363636302</v>
      </c>
      <c r="H1261" s="3">
        <f>정규화데이터!H1261</f>
        <v>45499.999999999935</v>
      </c>
      <c r="I1261" s="3">
        <f>정규화데이터!I1261</f>
        <v>45500</v>
      </c>
      <c r="J1261" s="3">
        <f>정규화데이터!J1261</f>
        <v>41363.636363636302</v>
      </c>
      <c r="K1261" s="25">
        <f>정규화데이터!K1261</f>
        <v>30748</v>
      </c>
      <c r="L1261" s="25">
        <f>정규화데이터!L1261</f>
        <v>30748</v>
      </c>
      <c r="M1261" s="21">
        <f t="shared" si="38"/>
        <v>10615.636363636302</v>
      </c>
      <c r="N1261" s="52">
        <f t="shared" si="39"/>
        <v>0.25664175824175711</v>
      </c>
    </row>
    <row r="1262" spans="1:14" x14ac:dyDescent="0.3">
      <c r="A1262" t="str">
        <f>정규화데이터!A1262</f>
        <v>리씽크</v>
      </c>
      <c r="B1262">
        <f>정규화데이터!B1262</f>
        <v>2.0260206000805E+18</v>
      </c>
      <c r="C1262" t="str">
        <f>정규화데이터!C1262</f>
        <v xml:space="preserve">워커힐 본갈비 3+1 최초❤️5만원대! 총1.2kg✨호텔특제 양념갈비 8인분 (✨1인분 7,375원꼴! / [300g,2인분] x 총 4팩  / ✨초이스등급 본갈비 / ❣️워커힐 </v>
      </c>
      <c r="D1262">
        <f>정규화데이터!D1262</f>
        <v>143790</v>
      </c>
      <c r="E1262" s="16" t="str">
        <f>정규화데이터!E1262</f>
        <v>SKU001</v>
      </c>
      <c r="F1262" s="3">
        <f>정규화데이터!F1262</f>
        <v>1</v>
      </c>
      <c r="G1262" s="3">
        <f>정규화데이터!G1262</f>
        <v>41363.636363636302</v>
      </c>
      <c r="H1262" s="3">
        <f>정규화데이터!H1262</f>
        <v>45499.999999999935</v>
      </c>
      <c r="I1262" s="3">
        <f>정규화데이터!I1262</f>
        <v>45500</v>
      </c>
      <c r="J1262" s="3">
        <f>정규화데이터!J1262</f>
        <v>41363.636363636302</v>
      </c>
      <c r="K1262" s="25">
        <f>정규화데이터!K1262</f>
        <v>30748</v>
      </c>
      <c r="L1262" s="25">
        <f>정규화데이터!L1262</f>
        <v>30748</v>
      </c>
      <c r="M1262" s="21">
        <f t="shared" si="38"/>
        <v>10615.636363636302</v>
      </c>
      <c r="N1262" s="52">
        <f t="shared" si="39"/>
        <v>0.25664175824175711</v>
      </c>
    </row>
    <row r="1263" spans="1:14" x14ac:dyDescent="0.3">
      <c r="A1263" t="str">
        <f>정규화데이터!A1263</f>
        <v>리씽크</v>
      </c>
      <c r="B1263">
        <f>정규화데이터!B1263</f>
        <v>2.0260206001952699E+18</v>
      </c>
      <c r="C1263" t="str">
        <f>정규화데이터!C1263</f>
        <v xml:space="preserve">워커힐 본갈비 3+1 최초❤️5만원대! 총1.2kg✨호텔특제 양념갈비 8인분 (✨1인분 7,375원꼴! / [300g,2인분] x 총 4팩  / ✨초이스등급 본갈비 / ❣️워커힐 </v>
      </c>
      <c r="D1263">
        <f>정규화데이터!D1263</f>
        <v>143790</v>
      </c>
      <c r="E1263" s="16" t="str">
        <f>정규화데이터!E1263</f>
        <v>SKU001</v>
      </c>
      <c r="F1263" s="3">
        <f>정규화데이터!F1263</f>
        <v>1</v>
      </c>
      <c r="G1263" s="3">
        <f>정규화데이터!G1263</f>
        <v>41363.636363636302</v>
      </c>
      <c r="H1263" s="3">
        <f>정규화데이터!H1263</f>
        <v>45499.999999999935</v>
      </c>
      <c r="I1263" s="3">
        <f>정규화데이터!I1263</f>
        <v>45500</v>
      </c>
      <c r="J1263" s="3">
        <f>정규화데이터!J1263</f>
        <v>41363.636363636302</v>
      </c>
      <c r="K1263" s="25">
        <f>정규화데이터!K1263</f>
        <v>30748</v>
      </c>
      <c r="L1263" s="25">
        <f>정규화데이터!L1263</f>
        <v>30748</v>
      </c>
      <c r="M1263" s="21">
        <f t="shared" si="38"/>
        <v>10615.636363636302</v>
      </c>
      <c r="N1263" s="52">
        <f t="shared" si="39"/>
        <v>0.25664175824175711</v>
      </c>
    </row>
    <row r="1264" spans="1:14" x14ac:dyDescent="0.3">
      <c r="A1264" t="str">
        <f>정규화데이터!A1264</f>
        <v>리씽크</v>
      </c>
      <c r="B1264">
        <f>정규화데이터!B1264</f>
        <v>2.0260206004243699E+18</v>
      </c>
      <c r="C1264" t="str">
        <f>정규화데이터!C1264</f>
        <v xml:space="preserve">워커힐 본갈비 3+1 최초❤️5만원대! 총1.2kg✨호텔특제 양념갈비 8인분 (✨1인분 7,375원꼴! / [300g,2인분] x 총 4팩  / ✨초이스등급 본갈비 / ❣️워커힐 </v>
      </c>
      <c r="D1264">
        <f>정규화데이터!D1264</f>
        <v>143790</v>
      </c>
      <c r="E1264" s="16" t="str">
        <f>정규화데이터!E1264</f>
        <v>SKU001</v>
      </c>
      <c r="F1264" s="3">
        <f>정규화데이터!F1264</f>
        <v>1</v>
      </c>
      <c r="G1264" s="3">
        <f>정규화데이터!G1264</f>
        <v>41363.636363636302</v>
      </c>
      <c r="H1264" s="3">
        <f>정규화데이터!H1264</f>
        <v>45499.999999999935</v>
      </c>
      <c r="I1264" s="3">
        <f>정규화데이터!I1264</f>
        <v>45500</v>
      </c>
      <c r="J1264" s="3">
        <f>정규화데이터!J1264</f>
        <v>41363.636363636302</v>
      </c>
      <c r="K1264" s="25">
        <f>정규화데이터!K1264</f>
        <v>30748</v>
      </c>
      <c r="L1264" s="25">
        <f>정규화데이터!L1264</f>
        <v>30748</v>
      </c>
      <c r="M1264" s="21">
        <f t="shared" si="38"/>
        <v>10615.636363636302</v>
      </c>
      <c r="N1264" s="52">
        <f t="shared" si="39"/>
        <v>0.25664175824175711</v>
      </c>
    </row>
    <row r="1265" spans="1:14" x14ac:dyDescent="0.3">
      <c r="A1265" t="str">
        <f>정규화데이터!A1265</f>
        <v>리씽크</v>
      </c>
      <c r="B1265">
        <f>정규화데이터!B1265</f>
        <v>2.0260206012321201E+18</v>
      </c>
      <c r="C1265" t="str">
        <f>정규화데이터!C1265</f>
        <v xml:space="preserve">워커힐 본갈비 3+1 최초❤️5만원대! 총1.2kg✨호텔특제 양념갈비 8인분 (✨1인분 7,375원꼴! / [300g,2인분] x 총 4팩  / ✨초이스등급 본갈비 / ❣️워커힐 </v>
      </c>
      <c r="D1265">
        <f>정규화데이터!D1265</f>
        <v>143790</v>
      </c>
      <c r="E1265" s="16" t="str">
        <f>정규화데이터!E1265</f>
        <v>SKU001</v>
      </c>
      <c r="F1265" s="3">
        <f>정규화데이터!F1265</f>
        <v>1</v>
      </c>
      <c r="G1265" s="3">
        <f>정규화데이터!G1265</f>
        <v>41363.636363636302</v>
      </c>
      <c r="H1265" s="3">
        <f>정규화데이터!H1265</f>
        <v>45499.999999999935</v>
      </c>
      <c r="I1265" s="3">
        <f>정규화데이터!I1265</f>
        <v>45500</v>
      </c>
      <c r="J1265" s="3">
        <f>정규화데이터!J1265</f>
        <v>41363.636363636302</v>
      </c>
      <c r="K1265" s="25">
        <f>정규화데이터!K1265</f>
        <v>30748</v>
      </c>
      <c r="L1265" s="25">
        <f>정규화데이터!L1265</f>
        <v>30748</v>
      </c>
      <c r="M1265" s="21">
        <f t="shared" si="38"/>
        <v>10615.636363636302</v>
      </c>
      <c r="N1265" s="52">
        <f t="shared" si="39"/>
        <v>0.25664175824175711</v>
      </c>
    </row>
    <row r="1266" spans="1:14" x14ac:dyDescent="0.3">
      <c r="A1266" t="str">
        <f>정규화데이터!A1266</f>
        <v>리씽크</v>
      </c>
      <c r="B1266">
        <f>정규화데이터!B1266</f>
        <v>2.0260206012537001E+18</v>
      </c>
      <c r="C1266" t="str">
        <f>정규화데이터!C1266</f>
        <v xml:space="preserve">워커힐 본갈비 3+1 최초❤️5만원대! 총1.2kg✨호텔특제 양념갈비 8인분 (✨1인분 7,375원꼴! / [300g,2인분] x 총 4팩  / ✨초이스등급 본갈비 / ❣️워커힐 </v>
      </c>
      <c r="D1266">
        <f>정규화데이터!D1266</f>
        <v>143790</v>
      </c>
      <c r="E1266" s="16" t="str">
        <f>정규화데이터!E1266</f>
        <v>SKU001</v>
      </c>
      <c r="F1266" s="3">
        <f>정규화데이터!F1266</f>
        <v>1</v>
      </c>
      <c r="G1266" s="3">
        <f>정규화데이터!G1266</f>
        <v>41363.636363636302</v>
      </c>
      <c r="H1266" s="3">
        <f>정규화데이터!H1266</f>
        <v>45499.999999999935</v>
      </c>
      <c r="I1266" s="3">
        <f>정규화데이터!I1266</f>
        <v>45500</v>
      </c>
      <c r="J1266" s="3">
        <f>정규화데이터!J1266</f>
        <v>41363.636363636302</v>
      </c>
      <c r="K1266" s="25">
        <f>정규화데이터!K1266</f>
        <v>30748</v>
      </c>
      <c r="L1266" s="25">
        <f>정규화데이터!L1266</f>
        <v>30748</v>
      </c>
      <c r="M1266" s="21">
        <f t="shared" si="38"/>
        <v>10615.636363636302</v>
      </c>
      <c r="N1266" s="52">
        <f t="shared" si="39"/>
        <v>0.25664175824175711</v>
      </c>
    </row>
    <row r="1267" spans="1:14" x14ac:dyDescent="0.3">
      <c r="A1267" t="str">
        <f>정규화데이터!A1267</f>
        <v>리씽크</v>
      </c>
      <c r="B1267">
        <f>정규화데이터!B1267</f>
        <v>2.0260206064209999E+18</v>
      </c>
      <c r="C1267" t="str">
        <f>정규화데이터!C1267</f>
        <v xml:space="preserve">워커힐 본갈비 3+1 최초❤️5만원대! 총1.2kg✨호텔특제 양념갈비 8인분 (✨1인분 7,375원꼴! / [300g,2인분] x 총 4팩  / ✨초이스등급 본갈비 / ❣️워커힐 </v>
      </c>
      <c r="D1267">
        <f>정규화데이터!D1267</f>
        <v>143790</v>
      </c>
      <c r="E1267" s="16" t="str">
        <f>정규화데이터!E1267</f>
        <v>SKU001</v>
      </c>
      <c r="F1267" s="3">
        <f>정규화데이터!F1267</f>
        <v>1</v>
      </c>
      <c r="G1267" s="3">
        <f>정규화데이터!G1267</f>
        <v>41363.636363636302</v>
      </c>
      <c r="H1267" s="3">
        <f>정규화데이터!H1267</f>
        <v>45499.999999999935</v>
      </c>
      <c r="I1267" s="3">
        <f>정규화데이터!I1267</f>
        <v>45500</v>
      </c>
      <c r="J1267" s="3">
        <f>정규화데이터!J1267</f>
        <v>41363.636363636302</v>
      </c>
      <c r="K1267" s="25">
        <f>정규화데이터!K1267</f>
        <v>30748</v>
      </c>
      <c r="L1267" s="25">
        <f>정규화데이터!L1267</f>
        <v>30748</v>
      </c>
      <c r="M1267" s="21">
        <f t="shared" si="38"/>
        <v>10615.636363636302</v>
      </c>
      <c r="N1267" s="52">
        <f t="shared" si="39"/>
        <v>0.25664175824175711</v>
      </c>
    </row>
    <row r="1268" spans="1:14" x14ac:dyDescent="0.3">
      <c r="A1268" t="str">
        <f>정규화데이터!A1268</f>
        <v>리씽크</v>
      </c>
      <c r="B1268">
        <f>정규화데이터!B1268</f>
        <v>2.02602060725101E+18</v>
      </c>
      <c r="C1268" t="str">
        <f>정규화데이터!C1268</f>
        <v xml:space="preserve">워커힐 본갈비 3+1 최초❤️5만원대! 총1.2kg✨호텔특제 양념갈비 8인분 (✨1인분 7,375원꼴! / [300g,2인분] x 총 4팩  / ✨초이스등급 본갈비 / ❣️워커힐 </v>
      </c>
      <c r="D1268">
        <f>정규화데이터!D1268</f>
        <v>143790</v>
      </c>
      <c r="E1268" s="16" t="str">
        <f>정규화데이터!E1268</f>
        <v>SKU001</v>
      </c>
      <c r="F1268" s="3">
        <f>정규화데이터!F1268</f>
        <v>1</v>
      </c>
      <c r="G1268" s="3">
        <f>정규화데이터!G1268</f>
        <v>41363.636363636302</v>
      </c>
      <c r="H1268" s="3">
        <f>정규화데이터!H1268</f>
        <v>45499.999999999935</v>
      </c>
      <c r="I1268" s="3">
        <f>정규화데이터!I1268</f>
        <v>45500</v>
      </c>
      <c r="J1268" s="3">
        <f>정규화데이터!J1268</f>
        <v>41363.636363636302</v>
      </c>
      <c r="K1268" s="25">
        <f>정규화데이터!K1268</f>
        <v>30748</v>
      </c>
      <c r="L1268" s="25">
        <f>정규화데이터!L1268</f>
        <v>30748</v>
      </c>
      <c r="M1268" s="21">
        <f t="shared" si="38"/>
        <v>10615.636363636302</v>
      </c>
      <c r="N1268" s="52">
        <f t="shared" si="39"/>
        <v>0.25664175824175711</v>
      </c>
    </row>
    <row r="1269" spans="1:14" x14ac:dyDescent="0.3">
      <c r="A1269" t="str">
        <f>정규화데이터!A1269</f>
        <v>리씽크</v>
      </c>
      <c r="B1269">
        <f>정규화데이터!B1269</f>
        <v>2.02602060755491E+18</v>
      </c>
      <c r="C1269" t="str">
        <f>정규화데이터!C1269</f>
        <v xml:space="preserve">워커힐 본갈비 3+1 최초❤️5만원대! 총1.2kg✨호텔특제 양념갈비 8인분 (✨1인분 7,375원꼴! / [300g,2인분] x 총 4팩  / ✨초이스등급 본갈비 / ❣️워커힐 </v>
      </c>
      <c r="D1269">
        <f>정규화데이터!D1269</f>
        <v>143790</v>
      </c>
      <c r="E1269" s="16" t="str">
        <f>정규화데이터!E1269</f>
        <v>SKU001</v>
      </c>
      <c r="F1269" s="3">
        <f>정규화데이터!F1269</f>
        <v>1</v>
      </c>
      <c r="G1269" s="3">
        <f>정규화데이터!G1269</f>
        <v>41363.636363636302</v>
      </c>
      <c r="H1269" s="3">
        <f>정규화데이터!H1269</f>
        <v>45499.999999999935</v>
      </c>
      <c r="I1269" s="3">
        <f>정규화데이터!I1269</f>
        <v>45500</v>
      </c>
      <c r="J1269" s="3">
        <f>정규화데이터!J1269</f>
        <v>41363.636363636302</v>
      </c>
      <c r="K1269" s="25">
        <f>정규화데이터!K1269</f>
        <v>30748</v>
      </c>
      <c r="L1269" s="25">
        <f>정규화데이터!L1269</f>
        <v>30748</v>
      </c>
      <c r="M1269" s="21">
        <f t="shared" si="38"/>
        <v>10615.636363636302</v>
      </c>
      <c r="N1269" s="52">
        <f t="shared" si="39"/>
        <v>0.25664175824175711</v>
      </c>
    </row>
    <row r="1270" spans="1:14" x14ac:dyDescent="0.3">
      <c r="A1270" t="str">
        <f>정규화데이터!A1270</f>
        <v>리씽크</v>
      </c>
      <c r="B1270">
        <f>정규화데이터!B1270</f>
        <v>2.02602060757231E+18</v>
      </c>
      <c r="C1270" t="str">
        <f>정규화데이터!C1270</f>
        <v xml:space="preserve">워커힐 본갈비 3+1 최초❤️5만원대! 총1.2kg✨호텔특제 양념갈비 8인분 (✨1인분 7,375원꼴! / [300g,2인분] x 총 4팩  / ✨초이스등급 본갈비 / ❣️워커힐 </v>
      </c>
      <c r="D1270">
        <f>정규화데이터!D1270</f>
        <v>143790</v>
      </c>
      <c r="E1270" s="16" t="str">
        <f>정규화데이터!E1270</f>
        <v>SKU001</v>
      </c>
      <c r="F1270" s="3">
        <f>정규화데이터!F1270</f>
        <v>1</v>
      </c>
      <c r="G1270" s="3">
        <f>정규화데이터!G1270</f>
        <v>41363.636363636302</v>
      </c>
      <c r="H1270" s="3">
        <f>정규화데이터!H1270</f>
        <v>45499.999999999935</v>
      </c>
      <c r="I1270" s="3">
        <f>정규화데이터!I1270</f>
        <v>45500</v>
      </c>
      <c r="J1270" s="3">
        <f>정규화데이터!J1270</f>
        <v>41363.636363636302</v>
      </c>
      <c r="K1270" s="25">
        <f>정규화데이터!K1270</f>
        <v>30748</v>
      </c>
      <c r="L1270" s="25">
        <f>정규화데이터!L1270</f>
        <v>30748</v>
      </c>
      <c r="M1270" s="21">
        <f t="shared" si="38"/>
        <v>10615.636363636302</v>
      </c>
      <c r="N1270" s="52">
        <f t="shared" si="39"/>
        <v>0.25664175824175711</v>
      </c>
    </row>
    <row r="1271" spans="1:14" x14ac:dyDescent="0.3">
      <c r="A1271" t="str">
        <f>정규화데이터!A1271</f>
        <v>리씽크</v>
      </c>
      <c r="B1271">
        <f>정규화데이터!B1271</f>
        <v>2.0260206080032901E+18</v>
      </c>
      <c r="C1271" t="str">
        <f>정규화데이터!C1271</f>
        <v xml:space="preserve">워커힐 본갈비 3+1 최초❤️5만원대! 총1.2kg✨호텔특제 양념갈비 8인분 (✨1인분 7,375원꼴! / [300g,2인분] x 총 4팩  / ✨초이스등급 본갈비 / ❣️워커힐 </v>
      </c>
      <c r="D1271">
        <f>정규화데이터!D1271</f>
        <v>143790</v>
      </c>
      <c r="E1271" s="16" t="str">
        <f>정규화데이터!E1271</f>
        <v>SKU001</v>
      </c>
      <c r="F1271" s="3">
        <f>정규화데이터!F1271</f>
        <v>1</v>
      </c>
      <c r="G1271" s="3">
        <f>정규화데이터!G1271</f>
        <v>41363.636363636302</v>
      </c>
      <c r="H1271" s="3">
        <f>정규화데이터!H1271</f>
        <v>45499.999999999935</v>
      </c>
      <c r="I1271" s="3">
        <f>정규화데이터!I1271</f>
        <v>45500</v>
      </c>
      <c r="J1271" s="3">
        <f>정규화데이터!J1271</f>
        <v>41363.636363636302</v>
      </c>
      <c r="K1271" s="25">
        <f>정규화데이터!K1271</f>
        <v>30748</v>
      </c>
      <c r="L1271" s="25">
        <f>정규화데이터!L1271</f>
        <v>30748</v>
      </c>
      <c r="M1271" s="21">
        <f t="shared" si="38"/>
        <v>10615.636363636302</v>
      </c>
      <c r="N1271" s="52">
        <f t="shared" si="39"/>
        <v>0.25664175824175711</v>
      </c>
    </row>
    <row r="1272" spans="1:14" x14ac:dyDescent="0.3">
      <c r="A1272" t="str">
        <f>정규화데이터!A1272</f>
        <v>리씽크</v>
      </c>
      <c r="B1272">
        <f>정규화데이터!B1272</f>
        <v>2.0260206080418501E+18</v>
      </c>
      <c r="C1272" t="str">
        <f>정규화데이터!C1272</f>
        <v xml:space="preserve">워커힐 본갈비 3+1 최초❤️5만원대! 총1.2kg✨호텔특제 양념갈비 8인분 (✨1인분 7,375원꼴! / [300g,2인분] x 총 4팩  / ✨초이스등급 본갈비 / ❣️워커힐 </v>
      </c>
      <c r="D1272">
        <f>정규화데이터!D1272</f>
        <v>143790</v>
      </c>
      <c r="E1272" s="16" t="str">
        <f>정규화데이터!E1272</f>
        <v>SKU001</v>
      </c>
      <c r="F1272" s="3">
        <f>정규화데이터!F1272</f>
        <v>1</v>
      </c>
      <c r="G1272" s="3">
        <f>정규화데이터!G1272</f>
        <v>41363.636363636302</v>
      </c>
      <c r="H1272" s="3">
        <f>정규화데이터!H1272</f>
        <v>45499.999999999935</v>
      </c>
      <c r="I1272" s="3">
        <f>정규화데이터!I1272</f>
        <v>45500</v>
      </c>
      <c r="J1272" s="3">
        <f>정규화데이터!J1272</f>
        <v>41363.636363636302</v>
      </c>
      <c r="K1272" s="25">
        <f>정규화데이터!K1272</f>
        <v>30748</v>
      </c>
      <c r="L1272" s="25">
        <f>정규화데이터!L1272</f>
        <v>30748</v>
      </c>
      <c r="M1272" s="21">
        <f t="shared" si="38"/>
        <v>10615.636363636302</v>
      </c>
      <c r="N1272" s="52">
        <f t="shared" si="39"/>
        <v>0.25664175824175711</v>
      </c>
    </row>
    <row r="1273" spans="1:14" x14ac:dyDescent="0.3">
      <c r="A1273" t="str">
        <f>정규화데이터!A1273</f>
        <v>리씽크</v>
      </c>
      <c r="B1273">
        <f>정규화데이터!B1273</f>
        <v>2.02602060810333E+18</v>
      </c>
      <c r="C1273" t="str">
        <f>정규화데이터!C1273</f>
        <v xml:space="preserve">워커힐 본갈비 3+1 최초❤️5만원대! 총1.2kg✨호텔특제 양념갈비 8인분 (✨1인분 7,375원꼴! / [300g,2인분] x 총 4팩  / ✨초이스등급 본갈비 / ❣️워커힐 </v>
      </c>
      <c r="D1273">
        <f>정규화데이터!D1273</f>
        <v>143790</v>
      </c>
      <c r="E1273" s="16" t="str">
        <f>정규화데이터!E1273</f>
        <v>SKU001</v>
      </c>
      <c r="F1273" s="3">
        <f>정규화데이터!F1273</f>
        <v>1</v>
      </c>
      <c r="G1273" s="3">
        <f>정규화데이터!G1273</f>
        <v>41363.636363636302</v>
      </c>
      <c r="H1273" s="3">
        <f>정규화데이터!H1273</f>
        <v>45499.999999999935</v>
      </c>
      <c r="I1273" s="3">
        <f>정규화데이터!I1273</f>
        <v>45500</v>
      </c>
      <c r="J1273" s="3">
        <f>정규화데이터!J1273</f>
        <v>41363.636363636302</v>
      </c>
      <c r="K1273" s="25">
        <f>정규화데이터!K1273</f>
        <v>30748</v>
      </c>
      <c r="L1273" s="25">
        <f>정규화데이터!L1273</f>
        <v>30748</v>
      </c>
      <c r="M1273" s="21">
        <f t="shared" si="38"/>
        <v>10615.636363636302</v>
      </c>
      <c r="N1273" s="52">
        <f t="shared" si="39"/>
        <v>0.25664175824175711</v>
      </c>
    </row>
    <row r="1274" spans="1:14" x14ac:dyDescent="0.3">
      <c r="A1274" t="str">
        <f>정규화데이터!A1274</f>
        <v>리씽크</v>
      </c>
      <c r="B1274">
        <f>정규화데이터!B1274</f>
        <v>2.0260206082602199E+18</v>
      </c>
      <c r="C1274" t="str">
        <f>정규화데이터!C1274</f>
        <v xml:space="preserve">워커힐 본갈비 3+1 최초❤️5만원대! 총1.2kg✨호텔특제 양념갈비 8인분 (✨1인분 7,375원꼴! / [300g,2인분] x 총 4팩  / ✨초이스등급 본갈비 / ❣️워커힐 </v>
      </c>
      <c r="D1274">
        <f>정규화데이터!D1274</f>
        <v>143790</v>
      </c>
      <c r="E1274" s="16" t="str">
        <f>정규화데이터!E1274</f>
        <v>SKU001</v>
      </c>
      <c r="F1274" s="3">
        <f>정규화데이터!F1274</f>
        <v>1</v>
      </c>
      <c r="G1274" s="3">
        <f>정규화데이터!G1274</f>
        <v>41363.636363636302</v>
      </c>
      <c r="H1274" s="3">
        <f>정규화데이터!H1274</f>
        <v>45499.999999999935</v>
      </c>
      <c r="I1274" s="3">
        <f>정규화데이터!I1274</f>
        <v>45500</v>
      </c>
      <c r="J1274" s="3">
        <f>정규화데이터!J1274</f>
        <v>41363.636363636302</v>
      </c>
      <c r="K1274" s="25">
        <f>정규화데이터!K1274</f>
        <v>30748</v>
      </c>
      <c r="L1274" s="25">
        <f>정규화데이터!L1274</f>
        <v>30748</v>
      </c>
      <c r="M1274" s="21">
        <f t="shared" si="38"/>
        <v>10615.636363636302</v>
      </c>
      <c r="N1274" s="52">
        <f t="shared" si="39"/>
        <v>0.25664175824175711</v>
      </c>
    </row>
    <row r="1275" spans="1:14" x14ac:dyDescent="0.3">
      <c r="A1275" t="str">
        <f>정규화데이터!A1275</f>
        <v>리씽크</v>
      </c>
      <c r="B1275">
        <f>정규화데이터!B1275</f>
        <v>2.0260206100421299E+18</v>
      </c>
      <c r="C1275" t="str">
        <f>정규화데이터!C1275</f>
        <v xml:space="preserve">워커힐 본갈비 3+1 최초❤️5만원대! 총1.2kg✨호텔특제 양념갈비 8인분 (✨1인분 7,375원꼴! / [300g,2인분] x 총 4팩  / ✨초이스등급 본갈비 / ❣️워커힐 </v>
      </c>
      <c r="D1275">
        <f>정규화데이터!D1275</f>
        <v>143790</v>
      </c>
      <c r="E1275" s="16" t="str">
        <f>정규화데이터!E1275</f>
        <v>SKU001</v>
      </c>
      <c r="F1275" s="3">
        <f>정규화데이터!F1275</f>
        <v>1</v>
      </c>
      <c r="G1275" s="3">
        <f>정규화데이터!G1275</f>
        <v>41363.636363636302</v>
      </c>
      <c r="H1275" s="3">
        <f>정규화데이터!H1275</f>
        <v>45499.999999999935</v>
      </c>
      <c r="I1275" s="3">
        <f>정규화데이터!I1275</f>
        <v>45500</v>
      </c>
      <c r="J1275" s="3">
        <f>정규화데이터!J1275</f>
        <v>41363.636363636302</v>
      </c>
      <c r="K1275" s="25">
        <f>정규화데이터!K1275</f>
        <v>30748</v>
      </c>
      <c r="L1275" s="25">
        <f>정규화데이터!L1275</f>
        <v>30748</v>
      </c>
      <c r="M1275" s="21">
        <f t="shared" si="38"/>
        <v>10615.636363636302</v>
      </c>
      <c r="N1275" s="52">
        <f t="shared" si="39"/>
        <v>0.25664175824175711</v>
      </c>
    </row>
    <row r="1276" spans="1:14" x14ac:dyDescent="0.3">
      <c r="A1276" t="str">
        <f>정규화데이터!A1276</f>
        <v>리씽크</v>
      </c>
      <c r="B1276">
        <f>정규화데이터!B1276</f>
        <v>2.0260206101221299E+18</v>
      </c>
      <c r="C1276" t="str">
        <f>정규화데이터!C1276</f>
        <v xml:space="preserve">워커힐 본갈비 3+1 최초❤️5만원대! 총1.2kg✨호텔특제 양념갈비 8인분 (✨1인분 7,375원꼴! / [300g,2인분] x 총 4팩  / ✨초이스등급 본갈비 / ❣️워커힐 </v>
      </c>
      <c r="D1276">
        <f>정규화데이터!D1276</f>
        <v>143790</v>
      </c>
      <c r="E1276" s="16" t="str">
        <f>정규화데이터!E1276</f>
        <v>SKU001</v>
      </c>
      <c r="F1276" s="3">
        <f>정규화데이터!F1276</f>
        <v>2</v>
      </c>
      <c r="G1276" s="3">
        <f>정규화데이터!G1276</f>
        <v>41363.636363636353</v>
      </c>
      <c r="H1276" s="3">
        <f>정규화데이터!H1276</f>
        <v>91000</v>
      </c>
      <c r="I1276" s="3">
        <f>정규화데이터!I1276</f>
        <v>91000</v>
      </c>
      <c r="J1276" s="3">
        <f>정규화데이터!J1276</f>
        <v>82727.272727272706</v>
      </c>
      <c r="K1276" s="25">
        <f>정규화데이터!K1276</f>
        <v>30748</v>
      </c>
      <c r="L1276" s="25">
        <f>정규화데이터!L1276</f>
        <v>61496</v>
      </c>
      <c r="M1276" s="21">
        <f t="shared" si="38"/>
        <v>21231.272727272706</v>
      </c>
      <c r="N1276" s="52">
        <f t="shared" si="39"/>
        <v>0.25664175824175806</v>
      </c>
    </row>
    <row r="1277" spans="1:14" x14ac:dyDescent="0.3">
      <c r="A1277" t="str">
        <f>정규화데이터!A1277</f>
        <v>리씽크</v>
      </c>
      <c r="B1277">
        <f>정규화데이터!B1277</f>
        <v>2.0260206105727301E+18</v>
      </c>
      <c r="C1277" t="str">
        <f>정규화데이터!C1277</f>
        <v xml:space="preserve">워커힐 본갈비 3+1 최초❤️5만원대! 총1.2kg✨호텔특제 양념갈비 8인분 (✨1인분 7,375원꼴! / [300g,2인분] x 총 4팩  / ✨초이스등급 본갈비 / ❣️워커힐 </v>
      </c>
      <c r="D1277">
        <f>정규화데이터!D1277</f>
        <v>143790</v>
      </c>
      <c r="E1277" s="16" t="str">
        <f>정규화데이터!E1277</f>
        <v>SKU001</v>
      </c>
      <c r="F1277" s="3">
        <f>정규화데이터!F1277</f>
        <v>1</v>
      </c>
      <c r="G1277" s="3">
        <f>정규화데이터!G1277</f>
        <v>41363.636363636302</v>
      </c>
      <c r="H1277" s="3">
        <f>정규화데이터!H1277</f>
        <v>45499.999999999935</v>
      </c>
      <c r="I1277" s="3">
        <f>정규화데이터!I1277</f>
        <v>45500</v>
      </c>
      <c r="J1277" s="3">
        <f>정규화데이터!J1277</f>
        <v>41363.636363636302</v>
      </c>
      <c r="K1277" s="25">
        <f>정규화데이터!K1277</f>
        <v>30748</v>
      </c>
      <c r="L1277" s="25">
        <f>정규화데이터!L1277</f>
        <v>30748</v>
      </c>
      <c r="M1277" s="21">
        <f t="shared" si="38"/>
        <v>10615.636363636302</v>
      </c>
      <c r="N1277" s="52">
        <f t="shared" si="39"/>
        <v>0.25664175824175711</v>
      </c>
    </row>
    <row r="1278" spans="1:14" x14ac:dyDescent="0.3">
      <c r="A1278" t="str">
        <f>정규화데이터!A1278</f>
        <v>리씽크</v>
      </c>
      <c r="B1278">
        <f>정규화데이터!B1278</f>
        <v>2.0260206105900401E+18</v>
      </c>
      <c r="C1278" t="str">
        <f>정규화데이터!C1278</f>
        <v xml:space="preserve">워커힐 본갈비 3+1 최초❤️5만원대! 총1.2kg✨호텔특제 양념갈비 8인분 (✨1인분 7,375원꼴! / [300g,2인분] x 총 4팩  / ✨초이스등급 본갈비 / ❣️워커힐 </v>
      </c>
      <c r="D1278">
        <f>정규화데이터!D1278</f>
        <v>143790</v>
      </c>
      <c r="E1278" s="16" t="str">
        <f>정규화데이터!E1278</f>
        <v>SKU001</v>
      </c>
      <c r="F1278" s="3">
        <f>정규화데이터!F1278</f>
        <v>1</v>
      </c>
      <c r="G1278" s="3">
        <f>정규화데이터!G1278</f>
        <v>41363.636363636302</v>
      </c>
      <c r="H1278" s="3">
        <f>정규화데이터!H1278</f>
        <v>45499.999999999935</v>
      </c>
      <c r="I1278" s="3">
        <f>정규화데이터!I1278</f>
        <v>45500</v>
      </c>
      <c r="J1278" s="3">
        <f>정규화데이터!J1278</f>
        <v>41363.636363636302</v>
      </c>
      <c r="K1278" s="25">
        <f>정규화데이터!K1278</f>
        <v>30748</v>
      </c>
      <c r="L1278" s="25">
        <f>정규화데이터!L1278</f>
        <v>30748</v>
      </c>
      <c r="M1278" s="21">
        <f t="shared" si="38"/>
        <v>10615.636363636302</v>
      </c>
      <c r="N1278" s="52">
        <f t="shared" si="39"/>
        <v>0.25664175824175711</v>
      </c>
    </row>
    <row r="1279" spans="1:14" x14ac:dyDescent="0.3">
      <c r="A1279" t="str">
        <f>정규화데이터!A1279</f>
        <v>리씽크</v>
      </c>
      <c r="B1279">
        <f>정규화데이터!B1279</f>
        <v>2.0260205132135099E+18</v>
      </c>
      <c r="C1279" t="str">
        <f>정규화데이터!C1279</f>
        <v xml:space="preserve">워커힐 본갈비 3+1 최초❤️5만원대! 총1.2kg✨호텔특제 양념갈비 8인분 (✨1인분 7,375원꼴! / [300g,2인분] x 총 4팩  / ✨초이스등급 본갈비 / ❣️워커힐 </v>
      </c>
      <c r="D1279">
        <f>정규화데이터!D1279</f>
        <v>143790</v>
      </c>
      <c r="E1279" s="16" t="str">
        <f>정규화데이터!E1279</f>
        <v>SKU001</v>
      </c>
      <c r="F1279" s="3">
        <f>정규화데이터!F1279</f>
        <v>1</v>
      </c>
      <c r="G1279" s="3">
        <f>정규화데이터!G1279</f>
        <v>57272.727272727199</v>
      </c>
      <c r="H1279" s="3">
        <f>정규화데이터!H1279</f>
        <v>62999.999999999927</v>
      </c>
      <c r="I1279" s="3">
        <f>정규화데이터!I1279</f>
        <v>63000</v>
      </c>
      <c r="J1279" s="3">
        <f>정규화데이터!J1279</f>
        <v>57272.727272727199</v>
      </c>
      <c r="K1279" s="25">
        <f>정규화데이터!K1279</f>
        <v>30748</v>
      </c>
      <c r="L1279" s="25">
        <f>정규화데이터!L1279</f>
        <v>30748</v>
      </c>
      <c r="M1279" s="21">
        <f t="shared" si="38"/>
        <v>26524.727272727199</v>
      </c>
      <c r="N1279" s="52">
        <f t="shared" si="39"/>
        <v>0.46313015873015806</v>
      </c>
    </row>
    <row r="1280" spans="1:14" x14ac:dyDescent="0.3">
      <c r="A1280" t="str">
        <f>정규화데이터!A1280</f>
        <v>리씽크</v>
      </c>
      <c r="B1280">
        <f>정규화데이터!B1280</f>
        <v>2.0260205133832801E+18</v>
      </c>
      <c r="C1280" t="str">
        <f>정규화데이터!C1280</f>
        <v xml:space="preserve">워커힐 본갈비 3+1 최초❤️5만원대! 총1.2kg✨호텔특제 양념갈비 8인분 (✨1인분 7,375원꼴! / [300g,2인분] x 총 4팩  / ✨초이스등급 본갈비 / ❣️워커힐 </v>
      </c>
      <c r="D1280">
        <f>정규화데이터!D1280</f>
        <v>143790</v>
      </c>
      <c r="E1280" s="16" t="str">
        <f>정규화데이터!E1280</f>
        <v>SKU001</v>
      </c>
      <c r="F1280" s="3">
        <f>정규화데이터!F1280</f>
        <v>1</v>
      </c>
      <c r="G1280" s="3">
        <f>정규화데이터!G1280</f>
        <v>57272.727272727199</v>
      </c>
      <c r="H1280" s="3">
        <f>정규화데이터!H1280</f>
        <v>62999.999999999927</v>
      </c>
      <c r="I1280" s="3">
        <f>정규화데이터!I1280</f>
        <v>63000</v>
      </c>
      <c r="J1280" s="3">
        <f>정규화데이터!J1280</f>
        <v>57272.727272727199</v>
      </c>
      <c r="K1280" s="25">
        <f>정규화데이터!K1280</f>
        <v>30748</v>
      </c>
      <c r="L1280" s="25">
        <f>정규화데이터!L1280</f>
        <v>30748</v>
      </c>
      <c r="M1280" s="21">
        <f t="shared" si="38"/>
        <v>26524.727272727199</v>
      </c>
      <c r="N1280" s="52">
        <f t="shared" si="39"/>
        <v>0.46313015873015806</v>
      </c>
    </row>
    <row r="1281" spans="1:14" x14ac:dyDescent="0.3">
      <c r="A1281" t="str">
        <f>정규화데이터!A1281</f>
        <v>리씽크</v>
      </c>
      <c r="B1281">
        <f>정규화데이터!B1281</f>
        <v>2.02602051647373E+18</v>
      </c>
      <c r="C1281" t="str">
        <f>정규화데이터!C1281</f>
        <v xml:space="preserve">워커힐 본갈비 3+1 최초❤️5만원대! 총1.2kg✨호텔특제 양념갈비 8인분 (✨1인분 7,375원꼴! / [300g,2인분] x 총 4팩  / ✨초이스등급 본갈비 / ❣️워커힐 </v>
      </c>
      <c r="D1281">
        <f>정규화데이터!D1281</f>
        <v>143790</v>
      </c>
      <c r="E1281" s="16" t="str">
        <f>정규화데이터!E1281</f>
        <v>SKU001</v>
      </c>
      <c r="F1281" s="3">
        <f>정규화데이터!F1281</f>
        <v>1</v>
      </c>
      <c r="G1281" s="3">
        <f>정규화데이터!G1281</f>
        <v>57272.727272727199</v>
      </c>
      <c r="H1281" s="3">
        <f>정규화데이터!H1281</f>
        <v>62999.999999999927</v>
      </c>
      <c r="I1281" s="3">
        <f>정규화데이터!I1281</f>
        <v>63000</v>
      </c>
      <c r="J1281" s="3">
        <f>정규화데이터!J1281</f>
        <v>57272.727272727199</v>
      </c>
      <c r="K1281" s="25">
        <f>정규화데이터!K1281</f>
        <v>30748</v>
      </c>
      <c r="L1281" s="25">
        <f>정규화데이터!L1281</f>
        <v>30748</v>
      </c>
      <c r="M1281" s="21">
        <f t="shared" si="38"/>
        <v>26524.727272727199</v>
      </c>
      <c r="N1281" s="52">
        <f t="shared" si="39"/>
        <v>0.46313015873015806</v>
      </c>
    </row>
    <row r="1282" spans="1:14" x14ac:dyDescent="0.3">
      <c r="A1282" t="str">
        <f>정규화데이터!A1282</f>
        <v>리씽크</v>
      </c>
      <c r="B1282">
        <f>정규화데이터!B1282</f>
        <v>2.02602051729411E+18</v>
      </c>
      <c r="C1282" t="str">
        <f>정규화데이터!C1282</f>
        <v xml:space="preserve">워커힐 본갈비 3+1 최초❤️5만원대! 총1.2kg✨호텔특제 양념갈비 8인분 (✨1인분 7,375원꼴! / [300g,2인분] x 총 4팩  / ✨초이스등급 본갈비 / ❣️워커힐 </v>
      </c>
      <c r="D1282">
        <f>정규화데이터!D1282</f>
        <v>143790</v>
      </c>
      <c r="E1282" s="16" t="str">
        <f>정규화데이터!E1282</f>
        <v>SKU001</v>
      </c>
      <c r="F1282" s="3">
        <f>정규화데이터!F1282</f>
        <v>1</v>
      </c>
      <c r="G1282" s="3">
        <f>정규화데이터!G1282</f>
        <v>57272.727272727199</v>
      </c>
      <c r="H1282" s="3">
        <f>정규화데이터!H1282</f>
        <v>62999.999999999927</v>
      </c>
      <c r="I1282" s="3">
        <f>정규화데이터!I1282</f>
        <v>63000</v>
      </c>
      <c r="J1282" s="3">
        <f>정규화데이터!J1282</f>
        <v>57272.727272727199</v>
      </c>
      <c r="K1282" s="25">
        <f>정규화데이터!K1282</f>
        <v>30748</v>
      </c>
      <c r="L1282" s="25">
        <f>정규화데이터!L1282</f>
        <v>30748</v>
      </c>
      <c r="M1282" s="21">
        <f t="shared" si="38"/>
        <v>26524.727272727199</v>
      </c>
      <c r="N1282" s="52">
        <f t="shared" si="39"/>
        <v>0.46313015873015806</v>
      </c>
    </row>
    <row r="1283" spans="1:14" x14ac:dyDescent="0.3">
      <c r="A1283" t="str">
        <f>정규화데이터!A1283</f>
        <v>리씽크</v>
      </c>
      <c r="B1283">
        <f>정규화데이터!B1283</f>
        <v>2.02602051748113E+18</v>
      </c>
      <c r="C1283" t="str">
        <f>정규화데이터!C1283</f>
        <v xml:space="preserve">워커힐 본갈비 3+1 최초❤️5만원대! 총1.2kg✨호텔특제 양념갈비 8인분 (✨1인분 7,375원꼴! / [300g,2인분] x 총 4팩  / ✨초이스등급 본갈비 / ❣️워커힐 </v>
      </c>
      <c r="D1283">
        <f>정규화데이터!D1283</f>
        <v>143790</v>
      </c>
      <c r="E1283" s="16" t="str">
        <f>정규화데이터!E1283</f>
        <v>SKU001</v>
      </c>
      <c r="F1283" s="3">
        <f>정규화데이터!F1283</f>
        <v>1</v>
      </c>
      <c r="G1283" s="3">
        <f>정규화데이터!G1283</f>
        <v>57272.727272727199</v>
      </c>
      <c r="H1283" s="3">
        <f>정규화데이터!H1283</f>
        <v>62999.999999999927</v>
      </c>
      <c r="I1283" s="3">
        <f>정규화데이터!I1283</f>
        <v>63000</v>
      </c>
      <c r="J1283" s="3">
        <f>정규화데이터!J1283</f>
        <v>57272.727272727199</v>
      </c>
      <c r="K1283" s="25">
        <f>정규화데이터!K1283</f>
        <v>30748</v>
      </c>
      <c r="L1283" s="25">
        <f>정규화데이터!L1283</f>
        <v>30748</v>
      </c>
      <c r="M1283" s="21">
        <f t="shared" ref="M1283:M1346" si="40">J1283-L1283</f>
        <v>26524.727272727199</v>
      </c>
      <c r="N1283" s="52">
        <f t="shared" ref="N1283:N1346" si="41">IF(J1283=0,0,M1283/J1283)</f>
        <v>0.46313015873015806</v>
      </c>
    </row>
    <row r="1284" spans="1:14" x14ac:dyDescent="0.3">
      <c r="A1284" t="str">
        <f>정규화데이터!A1284</f>
        <v>리씽크</v>
      </c>
      <c r="B1284">
        <f>정규화데이터!B1284</f>
        <v>2.0260205175536599E+18</v>
      </c>
      <c r="C1284" t="str">
        <f>정규화데이터!C1284</f>
        <v xml:space="preserve">워커힐 본갈비 3+1 최초❤️5만원대! 총1.2kg✨호텔특제 양념갈비 8인분 (✨1인분 7,375원꼴! / [300g,2인분] x 총 4팩  / ✨초이스등급 본갈비 / ❣️워커힐 </v>
      </c>
      <c r="D1284">
        <f>정규화데이터!D1284</f>
        <v>143790</v>
      </c>
      <c r="E1284" s="16" t="str">
        <f>정규화데이터!E1284</f>
        <v>SKU001</v>
      </c>
      <c r="F1284" s="3">
        <f>정규화데이터!F1284</f>
        <v>1</v>
      </c>
      <c r="G1284" s="3">
        <f>정규화데이터!G1284</f>
        <v>57272.727272727199</v>
      </c>
      <c r="H1284" s="3">
        <f>정규화데이터!H1284</f>
        <v>62999.999999999927</v>
      </c>
      <c r="I1284" s="3">
        <f>정규화데이터!I1284</f>
        <v>63000</v>
      </c>
      <c r="J1284" s="3">
        <f>정규화데이터!J1284</f>
        <v>57272.727272727199</v>
      </c>
      <c r="K1284" s="25">
        <f>정규화데이터!K1284</f>
        <v>30748</v>
      </c>
      <c r="L1284" s="25">
        <f>정규화데이터!L1284</f>
        <v>30748</v>
      </c>
      <c r="M1284" s="21">
        <f t="shared" si="40"/>
        <v>26524.727272727199</v>
      </c>
      <c r="N1284" s="52">
        <f t="shared" si="41"/>
        <v>0.46313015873015806</v>
      </c>
    </row>
    <row r="1285" spans="1:14" x14ac:dyDescent="0.3">
      <c r="A1285" t="str">
        <f>정규화데이터!A1285</f>
        <v>리씽크</v>
      </c>
      <c r="B1285">
        <f>정규화데이터!B1285</f>
        <v>2.0260205194217201E+18</v>
      </c>
      <c r="C1285" t="str">
        <f>정규화데이터!C1285</f>
        <v xml:space="preserve">워커힐 본갈비 3+1 최초❤️5만원대! 총1.2kg✨호텔특제 양념갈비 8인분 (✨1인분 7,375원꼴! / [300g,2인분] x 총 4팩  / ✨초이스등급 본갈비 / ❣️워커힐 </v>
      </c>
      <c r="D1285">
        <f>정규화데이터!D1285</f>
        <v>143790</v>
      </c>
      <c r="E1285" s="16" t="str">
        <f>정규화데이터!E1285</f>
        <v>SKU001</v>
      </c>
      <c r="F1285" s="3">
        <f>정규화데이터!F1285</f>
        <v>1</v>
      </c>
      <c r="G1285" s="3">
        <f>정규화데이터!G1285</f>
        <v>57272.727272727199</v>
      </c>
      <c r="H1285" s="3">
        <f>정규화데이터!H1285</f>
        <v>62999.999999999927</v>
      </c>
      <c r="I1285" s="3">
        <f>정규화데이터!I1285</f>
        <v>63000</v>
      </c>
      <c r="J1285" s="3">
        <f>정규화데이터!J1285</f>
        <v>57272.727272727199</v>
      </c>
      <c r="K1285" s="25">
        <f>정규화데이터!K1285</f>
        <v>30748</v>
      </c>
      <c r="L1285" s="25">
        <f>정규화데이터!L1285</f>
        <v>30748</v>
      </c>
      <c r="M1285" s="21">
        <f t="shared" si="40"/>
        <v>26524.727272727199</v>
      </c>
      <c r="N1285" s="52">
        <f t="shared" si="41"/>
        <v>0.46313015873015806</v>
      </c>
    </row>
    <row r="1286" spans="1:14" x14ac:dyDescent="0.3">
      <c r="A1286" t="str">
        <f>정규화데이터!A1286</f>
        <v>리씽크</v>
      </c>
      <c r="B1286">
        <f>정규화데이터!B1286</f>
        <v>2.0260205223919201E+18</v>
      </c>
      <c r="C1286" t="str">
        <f>정규화데이터!C1286</f>
        <v xml:space="preserve">워커힐 본갈비 3+1 최초❤️5만원대! 총1.2kg✨호텔특제 양념갈비 8인분 (✨1인분 7,375원꼴! / [300g,2인분] x 총 4팩  / ✨초이스등급 본갈비 / ❣️워커힐 </v>
      </c>
      <c r="D1286">
        <f>정규화데이터!D1286</f>
        <v>143790</v>
      </c>
      <c r="E1286" s="16" t="str">
        <f>정규화데이터!E1286</f>
        <v>SKU001</v>
      </c>
      <c r="F1286" s="3">
        <f>정규화데이터!F1286</f>
        <v>1</v>
      </c>
      <c r="G1286" s="3">
        <f>정규화데이터!G1286</f>
        <v>57272.727272727199</v>
      </c>
      <c r="H1286" s="3">
        <f>정규화데이터!H1286</f>
        <v>62999.999999999927</v>
      </c>
      <c r="I1286" s="3">
        <f>정규화데이터!I1286</f>
        <v>63000</v>
      </c>
      <c r="J1286" s="3">
        <f>정규화데이터!J1286</f>
        <v>57272.727272727199</v>
      </c>
      <c r="K1286" s="25">
        <f>정규화데이터!K1286</f>
        <v>30748</v>
      </c>
      <c r="L1286" s="25">
        <f>정규화데이터!L1286</f>
        <v>30748</v>
      </c>
      <c r="M1286" s="21">
        <f t="shared" si="40"/>
        <v>26524.727272727199</v>
      </c>
      <c r="N1286" s="52">
        <f t="shared" si="41"/>
        <v>0.46313015873015806</v>
      </c>
    </row>
    <row r="1287" spans="1:14" x14ac:dyDescent="0.3">
      <c r="A1287" t="str">
        <f>정규화데이터!A1287</f>
        <v>리씽크</v>
      </c>
      <c r="B1287">
        <f>정규화데이터!B1287</f>
        <v>2.0260206030559099E+18</v>
      </c>
      <c r="C1287" t="str">
        <f>정규화데이터!C1287</f>
        <v xml:space="preserve">워커힐 본갈비 3+1 최초❤️5만원대! 총1.2kg✨호텔특제 양념갈비 8인분 (✨1인분 7,375원꼴! / [300g,2인분] x 총 4팩  / ✨초이스등급 본갈비 / ❣️워커힐 </v>
      </c>
      <c r="D1287">
        <f>정규화데이터!D1287</f>
        <v>143790</v>
      </c>
      <c r="E1287" s="16" t="str">
        <f>정규화데이터!E1287</f>
        <v>SKU001</v>
      </c>
      <c r="F1287" s="3">
        <f>정규화데이터!F1287</f>
        <v>1</v>
      </c>
      <c r="G1287" s="3">
        <f>정규화데이터!G1287</f>
        <v>57272.727272727199</v>
      </c>
      <c r="H1287" s="3">
        <f>정규화데이터!H1287</f>
        <v>62999.999999999927</v>
      </c>
      <c r="I1287" s="3">
        <f>정규화데이터!I1287</f>
        <v>63000</v>
      </c>
      <c r="J1287" s="3">
        <f>정규화데이터!J1287</f>
        <v>57272.727272727199</v>
      </c>
      <c r="K1287" s="25">
        <f>정규화데이터!K1287</f>
        <v>30748</v>
      </c>
      <c r="L1287" s="25">
        <f>정규화데이터!L1287</f>
        <v>30748</v>
      </c>
      <c r="M1287" s="21">
        <f t="shared" si="40"/>
        <v>26524.727272727199</v>
      </c>
      <c r="N1287" s="52">
        <f t="shared" si="41"/>
        <v>0.46313015873015806</v>
      </c>
    </row>
    <row r="1288" spans="1:14" x14ac:dyDescent="0.3">
      <c r="A1288" t="str">
        <f>정규화데이터!A1288</f>
        <v>리씽크</v>
      </c>
      <c r="B1288">
        <f>정규화데이터!B1288</f>
        <v>2.0260206082819899E+18</v>
      </c>
      <c r="C1288" t="str">
        <f>정규화데이터!C1288</f>
        <v xml:space="preserve">워커힐 본갈비 3+1 최초❤️5만원대! 총1.2kg✨호텔특제 양념갈비 8인분 (✨1인분 7,375원꼴! / [300g,2인분] x 총 4팩  / ✨초이스등급 본갈비 / ❣️워커힐 </v>
      </c>
      <c r="D1288">
        <f>정규화데이터!D1288</f>
        <v>143790</v>
      </c>
      <c r="E1288" s="16" t="str">
        <f>정규화데이터!E1288</f>
        <v>SKU001</v>
      </c>
      <c r="F1288" s="3">
        <f>정규화데이터!F1288</f>
        <v>1</v>
      </c>
      <c r="G1288" s="3">
        <f>정규화데이터!G1288</f>
        <v>57272.727272727199</v>
      </c>
      <c r="H1288" s="3">
        <f>정규화데이터!H1288</f>
        <v>62999.999999999927</v>
      </c>
      <c r="I1288" s="3">
        <f>정규화데이터!I1288</f>
        <v>63000</v>
      </c>
      <c r="J1288" s="3">
        <f>정규화데이터!J1288</f>
        <v>57272.727272727199</v>
      </c>
      <c r="K1288" s="25">
        <f>정규화데이터!K1288</f>
        <v>30748</v>
      </c>
      <c r="L1288" s="25">
        <f>정규화데이터!L1288</f>
        <v>30748</v>
      </c>
      <c r="M1288" s="21">
        <f t="shared" si="40"/>
        <v>26524.727272727199</v>
      </c>
      <c r="N1288" s="52">
        <f t="shared" si="41"/>
        <v>0.46313015873015806</v>
      </c>
    </row>
    <row r="1289" spans="1:14" x14ac:dyDescent="0.3">
      <c r="A1289" t="str">
        <f>정규화데이터!A1289</f>
        <v>리씽크</v>
      </c>
      <c r="B1289">
        <f>정규화데이터!B1289</f>
        <v>2.02602061039422E+18</v>
      </c>
      <c r="C1289" t="str">
        <f>정규화데이터!C1289</f>
        <v xml:space="preserve">워커힐 본갈비 3+1 최초❤️5만원대! 총1.2kg✨호텔특제 양념갈비 8인분 (✨1인분 7,375원꼴! / [300g,2인분] x 총 4팩  / ✨초이스등급 본갈비 / ❣️워커힐 </v>
      </c>
      <c r="D1289">
        <f>정규화데이터!D1289</f>
        <v>143790</v>
      </c>
      <c r="E1289" s="16" t="str">
        <f>정규화데이터!E1289</f>
        <v>SKU001</v>
      </c>
      <c r="F1289" s="3">
        <f>정규화데이터!F1289</f>
        <v>1</v>
      </c>
      <c r="G1289" s="3">
        <f>정규화데이터!G1289</f>
        <v>57272.727272727199</v>
      </c>
      <c r="H1289" s="3">
        <f>정규화데이터!H1289</f>
        <v>62999.999999999927</v>
      </c>
      <c r="I1289" s="3">
        <f>정규화데이터!I1289</f>
        <v>63000</v>
      </c>
      <c r="J1289" s="3">
        <f>정규화데이터!J1289</f>
        <v>57272.727272727199</v>
      </c>
      <c r="K1289" s="25">
        <f>정규화데이터!K1289</f>
        <v>30748</v>
      </c>
      <c r="L1289" s="25">
        <f>정규화데이터!L1289</f>
        <v>30748</v>
      </c>
      <c r="M1289" s="21">
        <f t="shared" si="40"/>
        <v>26524.727272727199</v>
      </c>
      <c r="N1289" s="52">
        <f t="shared" si="41"/>
        <v>0.46313015873015806</v>
      </c>
    </row>
    <row r="1290" spans="1:14" x14ac:dyDescent="0.3">
      <c r="A1290" t="str">
        <f>정규화데이터!A1290</f>
        <v>리씽크</v>
      </c>
      <c r="B1290">
        <f>정규화데이터!B1290</f>
        <v>2.02602091006482E+18</v>
      </c>
      <c r="C1290" t="str">
        <f>정규화데이터!C1290</f>
        <v xml:space="preserve">워커힐 본갈비 3+1 최초❤️5만원대! 총1.2kg✨호텔특제 양념갈비 8인분 (✨1인분 7,375원꼴! / [300g,2인분] x 총 4팩  / ✨초이스등급 본갈비 / ❣️워커힐 </v>
      </c>
      <c r="D1290">
        <f>정규화데이터!D1290</f>
        <v>143790</v>
      </c>
      <c r="E1290" s="16" t="str">
        <f>정규화데이터!E1290</f>
        <v>SKU001</v>
      </c>
      <c r="F1290" s="3">
        <f>정규화데이터!F1290</f>
        <v>1</v>
      </c>
      <c r="G1290" s="3">
        <f>정규화데이터!G1290</f>
        <v>41363.636363636302</v>
      </c>
      <c r="H1290" s="3">
        <f>정규화데이터!H1290</f>
        <v>45499.999999999935</v>
      </c>
      <c r="I1290" s="3">
        <f>정규화데이터!I1290</f>
        <v>45500</v>
      </c>
      <c r="J1290" s="3">
        <f>정규화데이터!J1290</f>
        <v>41363.636363636302</v>
      </c>
      <c r="K1290" s="25">
        <f>정규화데이터!K1290</f>
        <v>30748</v>
      </c>
      <c r="L1290" s="25">
        <f>정규화데이터!L1290</f>
        <v>30748</v>
      </c>
      <c r="M1290" s="21">
        <f t="shared" si="40"/>
        <v>10615.636363636302</v>
      </c>
      <c r="N1290" s="52">
        <f t="shared" si="41"/>
        <v>0.25664175824175711</v>
      </c>
    </row>
    <row r="1291" spans="1:14" x14ac:dyDescent="0.3">
      <c r="A1291" t="str">
        <f>정규화데이터!A1291</f>
        <v>리씽크</v>
      </c>
      <c r="B1291">
        <f>정규화데이터!B1291</f>
        <v>2.0260209080301801E+18</v>
      </c>
      <c r="C1291" t="str">
        <f>정규화데이터!C1291</f>
        <v xml:space="preserve">워커힐 본갈비 3+1 최초❤️5만원대! 총1.2kg✨호텔특제 양념갈비 8인분 (✨1인분 7,375원꼴! / [300g,2인분] x 총 4팩  / ✨초이스등급 본갈비 / ❣️워커힐 </v>
      </c>
      <c r="D1291">
        <f>정규화데이터!D1291</f>
        <v>143790</v>
      </c>
      <c r="E1291" s="16" t="str">
        <f>정규화데이터!E1291</f>
        <v>SKU001</v>
      </c>
      <c r="F1291" s="3">
        <f>정규화데이터!F1291</f>
        <v>1</v>
      </c>
      <c r="G1291" s="3">
        <f>정규화데이터!G1291</f>
        <v>41363.636363636302</v>
      </c>
      <c r="H1291" s="3">
        <f>정규화데이터!H1291</f>
        <v>45499.999999999935</v>
      </c>
      <c r="I1291" s="3">
        <f>정규화데이터!I1291</f>
        <v>45500</v>
      </c>
      <c r="J1291" s="3">
        <f>정규화데이터!J1291</f>
        <v>41363.636363636302</v>
      </c>
      <c r="K1291" s="25">
        <f>정규화데이터!K1291</f>
        <v>30748</v>
      </c>
      <c r="L1291" s="25">
        <f>정규화데이터!L1291</f>
        <v>30748</v>
      </c>
      <c r="M1291" s="21">
        <f t="shared" si="40"/>
        <v>10615.636363636302</v>
      </c>
      <c r="N1291" s="52">
        <f t="shared" si="41"/>
        <v>0.25664175824175711</v>
      </c>
    </row>
    <row r="1292" spans="1:14" x14ac:dyDescent="0.3">
      <c r="A1292" t="str">
        <f>정규화데이터!A1292</f>
        <v>리씽크</v>
      </c>
      <c r="B1292">
        <f>정규화데이터!B1292</f>
        <v>2.0260209012113999E+18</v>
      </c>
      <c r="C1292" t="str">
        <f>정규화데이터!C1292</f>
        <v xml:space="preserve">워커힐 본갈비 3+1 최초❤️5만원대! 총1.2kg✨호텔특제 양념갈비 8인분 (✨1인분 7,375원꼴! / [300g,2인분] x 총 4팩  / ✨초이스등급 본갈비 / ❣️워커힐 </v>
      </c>
      <c r="D1292">
        <f>정규화데이터!D1292</f>
        <v>143790</v>
      </c>
      <c r="E1292" s="16" t="str">
        <f>정규화데이터!E1292</f>
        <v>SKU001</v>
      </c>
      <c r="F1292" s="3">
        <f>정규화데이터!F1292</f>
        <v>1</v>
      </c>
      <c r="G1292" s="3">
        <f>정규화데이터!G1292</f>
        <v>41363.636363636302</v>
      </c>
      <c r="H1292" s="3">
        <f>정규화데이터!H1292</f>
        <v>45499.999999999935</v>
      </c>
      <c r="I1292" s="3">
        <f>정규화데이터!I1292</f>
        <v>45500</v>
      </c>
      <c r="J1292" s="3">
        <f>정규화데이터!J1292</f>
        <v>41363.636363636302</v>
      </c>
      <c r="K1292" s="25">
        <f>정규화데이터!K1292</f>
        <v>30748</v>
      </c>
      <c r="L1292" s="25">
        <f>정규화데이터!L1292</f>
        <v>30748</v>
      </c>
      <c r="M1292" s="21">
        <f t="shared" si="40"/>
        <v>10615.636363636302</v>
      </c>
      <c r="N1292" s="52">
        <f t="shared" si="41"/>
        <v>0.25664175824175711</v>
      </c>
    </row>
    <row r="1293" spans="1:14" x14ac:dyDescent="0.3">
      <c r="A1293" t="str">
        <f>정규화데이터!A1293</f>
        <v>리씽크</v>
      </c>
      <c r="B1293">
        <f>정규화데이터!B1293</f>
        <v>2.02602090014432E+18</v>
      </c>
      <c r="C1293" t="str">
        <f>정규화데이터!C1293</f>
        <v xml:space="preserve">워커힐 본갈비 3+1 최초❤️5만원대! 총1.2kg✨호텔특제 양념갈비 8인분 (✨1인분 7,375원꼴! / [300g,2인분] x 총 4팩  / ✨초이스등급 본갈비 / ❣️워커힐 </v>
      </c>
      <c r="D1293">
        <f>정규화데이터!D1293</f>
        <v>143790</v>
      </c>
      <c r="E1293" s="16" t="str">
        <f>정규화데이터!E1293</f>
        <v>SKU001</v>
      </c>
      <c r="F1293" s="3">
        <f>정규화데이터!F1293</f>
        <v>1</v>
      </c>
      <c r="G1293" s="3">
        <f>정규화데이터!G1293</f>
        <v>41363.636363636302</v>
      </c>
      <c r="H1293" s="3">
        <f>정규화데이터!H1293</f>
        <v>45499.999999999935</v>
      </c>
      <c r="I1293" s="3">
        <f>정규화데이터!I1293</f>
        <v>45500</v>
      </c>
      <c r="J1293" s="3">
        <f>정규화데이터!J1293</f>
        <v>41363.636363636302</v>
      </c>
      <c r="K1293" s="25">
        <f>정규화데이터!K1293</f>
        <v>30748</v>
      </c>
      <c r="L1293" s="25">
        <f>정규화데이터!L1293</f>
        <v>30748</v>
      </c>
      <c r="M1293" s="21">
        <f t="shared" si="40"/>
        <v>10615.636363636302</v>
      </c>
      <c r="N1293" s="52">
        <f t="shared" si="41"/>
        <v>0.25664175824175711</v>
      </c>
    </row>
    <row r="1294" spans="1:14" x14ac:dyDescent="0.3">
      <c r="A1294" t="str">
        <f>정규화데이터!A1294</f>
        <v>리씽크</v>
      </c>
      <c r="B1294">
        <f>정규화데이터!B1294</f>
        <v>2.0260208234043899E+18</v>
      </c>
      <c r="C1294" t="str">
        <f>정규화데이터!C1294</f>
        <v xml:space="preserve">워커힐 본갈비 3+1 최초❤️5만원대! 총1.2kg✨호텔특제 양념갈비 8인분 (✨1인분 7,375원꼴! / [300g,2인분] x 총 4팩  / ✨초이스등급 본갈비 / ❣️워커힐 </v>
      </c>
      <c r="D1294">
        <f>정규화데이터!D1294</f>
        <v>143790</v>
      </c>
      <c r="E1294" s="16" t="str">
        <f>정규화데이터!E1294</f>
        <v>SKU001</v>
      </c>
      <c r="F1294" s="3">
        <f>정규화데이터!F1294</f>
        <v>1</v>
      </c>
      <c r="G1294" s="3">
        <f>정규화데이터!G1294</f>
        <v>41363.636363636302</v>
      </c>
      <c r="H1294" s="3">
        <f>정규화데이터!H1294</f>
        <v>45499.999999999935</v>
      </c>
      <c r="I1294" s="3">
        <f>정규화데이터!I1294</f>
        <v>45500</v>
      </c>
      <c r="J1294" s="3">
        <f>정규화데이터!J1294</f>
        <v>41363.636363636302</v>
      </c>
      <c r="K1294" s="25">
        <f>정규화데이터!K1294</f>
        <v>30748</v>
      </c>
      <c r="L1294" s="25">
        <f>정규화데이터!L1294</f>
        <v>30748</v>
      </c>
      <c r="M1294" s="21">
        <f t="shared" si="40"/>
        <v>10615.636363636302</v>
      </c>
      <c r="N1294" s="52">
        <f t="shared" si="41"/>
        <v>0.25664175824175711</v>
      </c>
    </row>
    <row r="1295" spans="1:14" x14ac:dyDescent="0.3">
      <c r="A1295" t="str">
        <f>정규화데이터!A1295</f>
        <v>리씽크</v>
      </c>
      <c r="B1295">
        <f>정규화데이터!B1295</f>
        <v>2.0260208232315E+18</v>
      </c>
      <c r="C1295" t="str">
        <f>정규화데이터!C1295</f>
        <v xml:space="preserve">워커힐 본갈비 3+1 최초❤️5만원대! 총1.2kg✨호텔특제 양념갈비 8인분 (✨1인분 7,375원꼴! / [300g,2인분] x 총 4팩  / ✨초이스등급 본갈비 / ❣️워커힐 </v>
      </c>
      <c r="D1295">
        <f>정규화데이터!D1295</f>
        <v>143790</v>
      </c>
      <c r="E1295" s="16" t="str">
        <f>정규화데이터!E1295</f>
        <v>SKU001</v>
      </c>
      <c r="F1295" s="3">
        <f>정규화데이터!F1295</f>
        <v>1</v>
      </c>
      <c r="G1295" s="3">
        <f>정규화데이터!G1295</f>
        <v>41363.636363636302</v>
      </c>
      <c r="H1295" s="3">
        <f>정규화데이터!H1295</f>
        <v>45499.999999999935</v>
      </c>
      <c r="I1295" s="3">
        <f>정규화데이터!I1295</f>
        <v>45500</v>
      </c>
      <c r="J1295" s="3">
        <f>정규화데이터!J1295</f>
        <v>41363.636363636302</v>
      </c>
      <c r="K1295" s="25">
        <f>정규화데이터!K1295</f>
        <v>30748</v>
      </c>
      <c r="L1295" s="25">
        <f>정규화데이터!L1295</f>
        <v>30748</v>
      </c>
      <c r="M1295" s="21">
        <f t="shared" si="40"/>
        <v>10615.636363636302</v>
      </c>
      <c r="N1295" s="52">
        <f t="shared" si="41"/>
        <v>0.25664175824175711</v>
      </c>
    </row>
    <row r="1296" spans="1:14" x14ac:dyDescent="0.3">
      <c r="A1296" t="str">
        <f>정규화데이터!A1296</f>
        <v>리씽크</v>
      </c>
      <c r="B1296">
        <f>정규화데이터!B1296</f>
        <v>2.02602082042015E+18</v>
      </c>
      <c r="C1296" t="str">
        <f>정규화데이터!C1296</f>
        <v xml:space="preserve">워커힐 본갈비 3+1 최초❤️5만원대! 총1.2kg✨호텔특제 양념갈비 8인분 (✨1인분 7,375원꼴! / [300g,2인분] x 총 4팩  / ✨초이스등급 본갈비 / ❣️워커힐 </v>
      </c>
      <c r="D1296">
        <f>정규화데이터!D1296</f>
        <v>143790</v>
      </c>
      <c r="E1296" s="16" t="str">
        <f>정규화데이터!E1296</f>
        <v>SKU001</v>
      </c>
      <c r="F1296" s="3">
        <f>정규화데이터!F1296</f>
        <v>1</v>
      </c>
      <c r="G1296" s="3">
        <f>정규화데이터!G1296</f>
        <v>41363.636363636302</v>
      </c>
      <c r="H1296" s="3">
        <f>정규화데이터!H1296</f>
        <v>45499.999999999935</v>
      </c>
      <c r="I1296" s="3">
        <f>정규화데이터!I1296</f>
        <v>45500</v>
      </c>
      <c r="J1296" s="3">
        <f>정규화데이터!J1296</f>
        <v>41363.636363636302</v>
      </c>
      <c r="K1296" s="25">
        <f>정규화데이터!K1296</f>
        <v>30748</v>
      </c>
      <c r="L1296" s="25">
        <f>정규화데이터!L1296</f>
        <v>30748</v>
      </c>
      <c r="M1296" s="21">
        <f t="shared" si="40"/>
        <v>10615.636363636302</v>
      </c>
      <c r="N1296" s="52">
        <f t="shared" si="41"/>
        <v>0.25664175824175711</v>
      </c>
    </row>
    <row r="1297" spans="1:14" x14ac:dyDescent="0.3">
      <c r="A1297" t="str">
        <f>정규화데이터!A1297</f>
        <v>리씽크</v>
      </c>
      <c r="B1297">
        <f>정규화데이터!B1297</f>
        <v>2.0260208202021199E+18</v>
      </c>
      <c r="C1297" t="str">
        <f>정규화데이터!C1297</f>
        <v xml:space="preserve">워커힐 본갈비 3+1 최초❤️5만원대! 총1.2kg✨호텔특제 양념갈비 8인분 (✨1인분 7,375원꼴! / [300g,2인분] x 총 4팩  / ✨초이스등급 본갈비 / ❣️워커힐 </v>
      </c>
      <c r="D1297">
        <f>정규화데이터!D1297</f>
        <v>143790</v>
      </c>
      <c r="E1297" s="16" t="str">
        <f>정규화데이터!E1297</f>
        <v>SKU001</v>
      </c>
      <c r="F1297" s="3">
        <f>정규화데이터!F1297</f>
        <v>1</v>
      </c>
      <c r="G1297" s="3">
        <f>정규화데이터!G1297</f>
        <v>41363.636363636302</v>
      </c>
      <c r="H1297" s="3">
        <f>정규화데이터!H1297</f>
        <v>45499.999999999935</v>
      </c>
      <c r="I1297" s="3">
        <f>정규화데이터!I1297</f>
        <v>45500</v>
      </c>
      <c r="J1297" s="3">
        <f>정규화데이터!J1297</f>
        <v>41363.636363636302</v>
      </c>
      <c r="K1297" s="25">
        <f>정규화데이터!K1297</f>
        <v>30748</v>
      </c>
      <c r="L1297" s="25">
        <f>정규화데이터!L1297</f>
        <v>30748</v>
      </c>
      <c r="M1297" s="21">
        <f t="shared" si="40"/>
        <v>10615.636363636302</v>
      </c>
      <c r="N1297" s="52">
        <f t="shared" si="41"/>
        <v>0.25664175824175711</v>
      </c>
    </row>
    <row r="1298" spans="1:14" x14ac:dyDescent="0.3">
      <c r="A1298" t="str">
        <f>정규화데이터!A1298</f>
        <v>리씽크</v>
      </c>
      <c r="B1298">
        <f>정규화데이터!B1298</f>
        <v>2.0260208192633201E+18</v>
      </c>
      <c r="C1298" t="str">
        <f>정규화데이터!C1298</f>
        <v xml:space="preserve">워커힐 본갈비 3+1 최초❤️5만원대! 총1.2kg✨호텔특제 양념갈비 8인분 (✨1인분 7,375원꼴! / [300g,2인분] x 총 4팩  / ✨초이스등급 본갈비 / ❣️워커힐 </v>
      </c>
      <c r="D1298">
        <f>정규화데이터!D1298</f>
        <v>143790</v>
      </c>
      <c r="E1298" s="16" t="str">
        <f>정규화데이터!E1298</f>
        <v>SKU001</v>
      </c>
      <c r="F1298" s="3">
        <f>정규화데이터!F1298</f>
        <v>1</v>
      </c>
      <c r="G1298" s="3">
        <f>정규화데이터!G1298</f>
        <v>41363.636363636302</v>
      </c>
      <c r="H1298" s="3">
        <f>정규화데이터!H1298</f>
        <v>45499.999999999935</v>
      </c>
      <c r="I1298" s="3">
        <f>정규화데이터!I1298</f>
        <v>45500</v>
      </c>
      <c r="J1298" s="3">
        <f>정규화데이터!J1298</f>
        <v>41363.636363636302</v>
      </c>
      <c r="K1298" s="25">
        <f>정규화데이터!K1298</f>
        <v>30748</v>
      </c>
      <c r="L1298" s="25">
        <f>정규화데이터!L1298</f>
        <v>30748</v>
      </c>
      <c r="M1298" s="21">
        <f t="shared" si="40"/>
        <v>10615.636363636302</v>
      </c>
      <c r="N1298" s="52">
        <f t="shared" si="41"/>
        <v>0.25664175824175711</v>
      </c>
    </row>
    <row r="1299" spans="1:14" x14ac:dyDescent="0.3">
      <c r="A1299" t="str">
        <f>정규화데이터!A1299</f>
        <v>리씽크</v>
      </c>
      <c r="B1299">
        <f>정규화데이터!B1299</f>
        <v>2.02602081925375E+18</v>
      </c>
      <c r="C1299" t="str">
        <f>정규화데이터!C1299</f>
        <v xml:space="preserve">워커힐 본갈비 3+1 최초❤️5만원대! 총1.2kg✨호텔특제 양념갈비 8인분 (✨1인분 7,375원꼴! / [300g,2인분] x 총 4팩  / ✨초이스등급 본갈비 / ❣️워커힐 </v>
      </c>
      <c r="D1299">
        <f>정규화데이터!D1299</f>
        <v>143790</v>
      </c>
      <c r="E1299" s="16" t="str">
        <f>정규화데이터!E1299</f>
        <v>SKU001</v>
      </c>
      <c r="F1299" s="3">
        <f>정규화데이터!F1299</f>
        <v>1</v>
      </c>
      <c r="G1299" s="3">
        <f>정규화데이터!G1299</f>
        <v>41363.636363636302</v>
      </c>
      <c r="H1299" s="3">
        <f>정규화데이터!H1299</f>
        <v>45499.999999999935</v>
      </c>
      <c r="I1299" s="3">
        <f>정규화데이터!I1299</f>
        <v>45500</v>
      </c>
      <c r="J1299" s="3">
        <f>정규화데이터!J1299</f>
        <v>41363.636363636302</v>
      </c>
      <c r="K1299" s="25">
        <f>정규화데이터!K1299</f>
        <v>30748</v>
      </c>
      <c r="L1299" s="25">
        <f>정규화데이터!L1299</f>
        <v>30748</v>
      </c>
      <c r="M1299" s="21">
        <f t="shared" si="40"/>
        <v>10615.636363636302</v>
      </c>
      <c r="N1299" s="52">
        <f t="shared" si="41"/>
        <v>0.25664175824175711</v>
      </c>
    </row>
    <row r="1300" spans="1:14" x14ac:dyDescent="0.3">
      <c r="A1300" t="str">
        <f>정규화데이터!A1300</f>
        <v>리씽크</v>
      </c>
      <c r="B1300">
        <f>정규화데이터!B1300</f>
        <v>2.0260208192229901E+18</v>
      </c>
      <c r="C1300" t="str">
        <f>정규화데이터!C1300</f>
        <v xml:space="preserve">워커힐 본갈비 3+1 최초❤️5만원대! 총1.2kg✨호텔특제 양념갈비 8인분 (✨1인분 7,375원꼴! / [300g,2인분] x 총 4팩  / ✨초이스등급 본갈비 / ❣️워커힐 </v>
      </c>
      <c r="D1300">
        <f>정규화데이터!D1300</f>
        <v>143790</v>
      </c>
      <c r="E1300" s="16" t="str">
        <f>정규화데이터!E1300</f>
        <v>SKU001</v>
      </c>
      <c r="F1300" s="3">
        <f>정규화데이터!F1300</f>
        <v>2</v>
      </c>
      <c r="G1300" s="3">
        <f>정규화데이터!G1300</f>
        <v>41363.636363636353</v>
      </c>
      <c r="H1300" s="3">
        <f>정규화데이터!H1300</f>
        <v>91000</v>
      </c>
      <c r="I1300" s="3">
        <f>정규화데이터!I1300</f>
        <v>91000</v>
      </c>
      <c r="J1300" s="3">
        <f>정규화데이터!J1300</f>
        <v>82727.272727272706</v>
      </c>
      <c r="K1300" s="25">
        <f>정규화데이터!K1300</f>
        <v>30748</v>
      </c>
      <c r="L1300" s="25">
        <f>정규화데이터!L1300</f>
        <v>61496</v>
      </c>
      <c r="M1300" s="21">
        <f t="shared" si="40"/>
        <v>21231.272727272706</v>
      </c>
      <c r="N1300" s="52">
        <f t="shared" si="41"/>
        <v>0.25664175824175806</v>
      </c>
    </row>
    <row r="1301" spans="1:14" x14ac:dyDescent="0.3">
      <c r="A1301" t="str">
        <f>정규화데이터!A1301</f>
        <v>리씽크</v>
      </c>
      <c r="B1301">
        <f>정규화데이터!B1301</f>
        <v>2.0260208192118999E+18</v>
      </c>
      <c r="C1301" t="str">
        <f>정규화데이터!C1301</f>
        <v xml:space="preserve">워커힐 본갈비 3+1 최초❤️5만원대! 총1.2kg✨호텔특제 양념갈비 8인분 (✨1인분 7,375원꼴! / [300g,2인분] x 총 4팩  / ✨초이스등급 본갈비 / ❣️워커힐 </v>
      </c>
      <c r="D1301">
        <f>정규화데이터!D1301</f>
        <v>143790</v>
      </c>
      <c r="E1301" s="16" t="str">
        <f>정규화데이터!E1301</f>
        <v>SKU001</v>
      </c>
      <c r="F1301" s="3">
        <f>정규화데이터!F1301</f>
        <v>1</v>
      </c>
      <c r="G1301" s="3">
        <f>정규화데이터!G1301</f>
        <v>41363.636363636302</v>
      </c>
      <c r="H1301" s="3">
        <f>정규화데이터!H1301</f>
        <v>45499.999999999935</v>
      </c>
      <c r="I1301" s="3">
        <f>정규화데이터!I1301</f>
        <v>45500</v>
      </c>
      <c r="J1301" s="3">
        <f>정규화데이터!J1301</f>
        <v>41363.636363636302</v>
      </c>
      <c r="K1301" s="25">
        <f>정규화데이터!K1301</f>
        <v>30748</v>
      </c>
      <c r="L1301" s="25">
        <f>정규화데이터!L1301</f>
        <v>30748</v>
      </c>
      <c r="M1301" s="21">
        <f t="shared" si="40"/>
        <v>10615.636363636302</v>
      </c>
      <c r="N1301" s="52">
        <f t="shared" si="41"/>
        <v>0.25664175824175711</v>
      </c>
    </row>
    <row r="1302" spans="1:14" x14ac:dyDescent="0.3">
      <c r="A1302" t="str">
        <f>정규화데이터!A1302</f>
        <v>리씽크</v>
      </c>
      <c r="B1302">
        <f>정규화데이터!B1302</f>
        <v>2.0260208191306399E+18</v>
      </c>
      <c r="C1302" t="str">
        <f>정규화데이터!C1302</f>
        <v xml:space="preserve">워커힐 본갈비 3+1 최초❤️5만원대! 총1.2kg✨호텔특제 양념갈비 8인분 (✨1인분 7,375원꼴! / [300g,2인분] x 총 4팩  / ✨초이스등급 본갈비 / ❣️워커힐 </v>
      </c>
      <c r="D1302">
        <f>정규화데이터!D1302</f>
        <v>143790</v>
      </c>
      <c r="E1302" s="16" t="str">
        <f>정규화데이터!E1302</f>
        <v>SKU001</v>
      </c>
      <c r="F1302" s="3">
        <f>정규화데이터!F1302</f>
        <v>2</v>
      </c>
      <c r="G1302" s="3">
        <f>정규화데이터!G1302</f>
        <v>41363.636363636353</v>
      </c>
      <c r="H1302" s="3">
        <f>정규화데이터!H1302</f>
        <v>91000</v>
      </c>
      <c r="I1302" s="3">
        <f>정규화데이터!I1302</f>
        <v>91000</v>
      </c>
      <c r="J1302" s="3">
        <f>정규화데이터!J1302</f>
        <v>82727.272727272706</v>
      </c>
      <c r="K1302" s="25">
        <f>정규화데이터!K1302</f>
        <v>30748</v>
      </c>
      <c r="L1302" s="25">
        <f>정규화데이터!L1302</f>
        <v>61496</v>
      </c>
      <c r="M1302" s="21">
        <f t="shared" si="40"/>
        <v>21231.272727272706</v>
      </c>
      <c r="N1302" s="52">
        <f t="shared" si="41"/>
        <v>0.25664175824175806</v>
      </c>
    </row>
    <row r="1303" spans="1:14" x14ac:dyDescent="0.3">
      <c r="A1303" t="str">
        <f>정규화데이터!A1303</f>
        <v>리씽크</v>
      </c>
      <c r="B1303">
        <f>정규화데이터!B1303</f>
        <v>2.0260208185549701E+18</v>
      </c>
      <c r="C1303" t="str">
        <f>정규화데이터!C1303</f>
        <v xml:space="preserve">워커힐 본갈비 3+1 최초❤️5만원대! 총1.2kg✨호텔특제 양념갈비 8인분 (✨1인분 7,375원꼴! / [300g,2인분] x 총 4팩  / ✨초이스등급 본갈비 / ❣️워커힐 </v>
      </c>
      <c r="D1303">
        <f>정규화데이터!D1303</f>
        <v>143790</v>
      </c>
      <c r="E1303" s="16" t="str">
        <f>정규화데이터!E1303</f>
        <v>SKU001</v>
      </c>
      <c r="F1303" s="3">
        <f>정규화데이터!F1303</f>
        <v>1</v>
      </c>
      <c r="G1303" s="3">
        <f>정규화데이터!G1303</f>
        <v>41363.636363636302</v>
      </c>
      <c r="H1303" s="3">
        <f>정규화데이터!H1303</f>
        <v>45499.999999999935</v>
      </c>
      <c r="I1303" s="3">
        <f>정규화데이터!I1303</f>
        <v>45500</v>
      </c>
      <c r="J1303" s="3">
        <f>정규화데이터!J1303</f>
        <v>41363.636363636302</v>
      </c>
      <c r="K1303" s="25">
        <f>정규화데이터!K1303</f>
        <v>30748</v>
      </c>
      <c r="L1303" s="25">
        <f>정규화데이터!L1303</f>
        <v>30748</v>
      </c>
      <c r="M1303" s="21">
        <f t="shared" si="40"/>
        <v>10615.636363636302</v>
      </c>
      <c r="N1303" s="52">
        <f t="shared" si="41"/>
        <v>0.25664175824175711</v>
      </c>
    </row>
    <row r="1304" spans="1:14" x14ac:dyDescent="0.3">
      <c r="A1304" t="str">
        <f>정규화데이터!A1304</f>
        <v>리씽크</v>
      </c>
      <c r="B1304">
        <f>정규화데이터!B1304</f>
        <v>2.02602081851182E+18</v>
      </c>
      <c r="C1304" t="str">
        <f>정규화데이터!C1304</f>
        <v xml:space="preserve">워커힐 본갈비 3+1 최초❤️5만원대! 총1.2kg✨호텔특제 양념갈비 8인분 (✨1인분 7,375원꼴! / [300g,2인분] x 총 4팩  / ✨초이스등급 본갈비 / ❣️워커힐 </v>
      </c>
      <c r="D1304">
        <f>정규화데이터!D1304</f>
        <v>143790</v>
      </c>
      <c r="E1304" s="16" t="str">
        <f>정규화데이터!E1304</f>
        <v>SKU001</v>
      </c>
      <c r="F1304" s="3">
        <f>정규화데이터!F1304</f>
        <v>1</v>
      </c>
      <c r="G1304" s="3">
        <f>정규화데이터!G1304</f>
        <v>41363.636363636302</v>
      </c>
      <c r="H1304" s="3">
        <f>정규화데이터!H1304</f>
        <v>45499.999999999935</v>
      </c>
      <c r="I1304" s="3">
        <f>정규화데이터!I1304</f>
        <v>45500</v>
      </c>
      <c r="J1304" s="3">
        <f>정규화데이터!J1304</f>
        <v>41363.636363636302</v>
      </c>
      <c r="K1304" s="25">
        <f>정규화데이터!K1304</f>
        <v>30748</v>
      </c>
      <c r="L1304" s="25">
        <f>정규화데이터!L1304</f>
        <v>30748</v>
      </c>
      <c r="M1304" s="21">
        <f t="shared" si="40"/>
        <v>10615.636363636302</v>
      </c>
      <c r="N1304" s="52">
        <f t="shared" si="41"/>
        <v>0.25664175824175711</v>
      </c>
    </row>
    <row r="1305" spans="1:14" x14ac:dyDescent="0.3">
      <c r="A1305" t="str">
        <f>정규화데이터!A1305</f>
        <v>리씽크</v>
      </c>
      <c r="B1305">
        <f>정규화데이터!B1305</f>
        <v>2.02602081842179E+18</v>
      </c>
      <c r="C1305" t="str">
        <f>정규화데이터!C1305</f>
        <v xml:space="preserve">워커힐 본갈비 3+1 최초❤️5만원대! 총1.2kg✨호텔특제 양념갈비 8인분 (✨1인분 7,375원꼴! / [300g,2인분] x 총 4팩  / ✨초이스등급 본갈비 / ❣️워커힐 </v>
      </c>
      <c r="D1305">
        <f>정규화데이터!D1305</f>
        <v>143790</v>
      </c>
      <c r="E1305" s="16" t="str">
        <f>정규화데이터!E1305</f>
        <v>SKU001</v>
      </c>
      <c r="F1305" s="3">
        <f>정규화데이터!F1305</f>
        <v>1</v>
      </c>
      <c r="G1305" s="3">
        <f>정규화데이터!G1305</f>
        <v>41363.636363636302</v>
      </c>
      <c r="H1305" s="3">
        <f>정규화데이터!H1305</f>
        <v>45499.999999999935</v>
      </c>
      <c r="I1305" s="3">
        <f>정규화데이터!I1305</f>
        <v>45500</v>
      </c>
      <c r="J1305" s="3">
        <f>정규화데이터!J1305</f>
        <v>41363.636363636302</v>
      </c>
      <c r="K1305" s="25">
        <f>정규화데이터!K1305</f>
        <v>30748</v>
      </c>
      <c r="L1305" s="25">
        <f>정규화데이터!L1305</f>
        <v>30748</v>
      </c>
      <c r="M1305" s="21">
        <f t="shared" si="40"/>
        <v>10615.636363636302</v>
      </c>
      <c r="N1305" s="52">
        <f t="shared" si="41"/>
        <v>0.25664175824175711</v>
      </c>
    </row>
    <row r="1306" spans="1:14" x14ac:dyDescent="0.3">
      <c r="A1306" t="str">
        <f>정규화데이터!A1306</f>
        <v>리씽크</v>
      </c>
      <c r="B1306">
        <f>정규화데이터!B1306</f>
        <v>2.02602081819518E+18</v>
      </c>
      <c r="C1306" t="str">
        <f>정규화데이터!C1306</f>
        <v xml:space="preserve">워커힐 본갈비 3+1 최초❤️5만원대! 총1.2kg✨호텔특제 양념갈비 8인분 (✨1인분 7,375원꼴! / [300g,2인분] x 총 4팩  / ✨초이스등급 본갈비 / ❣️워커힐 </v>
      </c>
      <c r="D1306">
        <f>정규화데이터!D1306</f>
        <v>143790</v>
      </c>
      <c r="E1306" s="16" t="str">
        <f>정규화데이터!E1306</f>
        <v>SKU001</v>
      </c>
      <c r="F1306" s="3">
        <f>정규화데이터!F1306</f>
        <v>1</v>
      </c>
      <c r="G1306" s="3">
        <f>정규화데이터!G1306</f>
        <v>41363.636363636302</v>
      </c>
      <c r="H1306" s="3">
        <f>정규화데이터!H1306</f>
        <v>45499.999999999935</v>
      </c>
      <c r="I1306" s="3">
        <f>정규화데이터!I1306</f>
        <v>45500</v>
      </c>
      <c r="J1306" s="3">
        <f>정규화데이터!J1306</f>
        <v>41363.636363636302</v>
      </c>
      <c r="K1306" s="25">
        <f>정규화데이터!K1306</f>
        <v>30748</v>
      </c>
      <c r="L1306" s="25">
        <f>정규화데이터!L1306</f>
        <v>30748</v>
      </c>
      <c r="M1306" s="21">
        <f t="shared" si="40"/>
        <v>10615.636363636302</v>
      </c>
      <c r="N1306" s="52">
        <f t="shared" si="41"/>
        <v>0.25664175824175711</v>
      </c>
    </row>
    <row r="1307" spans="1:14" x14ac:dyDescent="0.3">
      <c r="A1307" t="str">
        <f>정규화데이터!A1307</f>
        <v>리씽크</v>
      </c>
      <c r="B1307">
        <f>정규화데이터!B1307</f>
        <v>2.0260208181204301E+18</v>
      </c>
      <c r="C1307" t="str">
        <f>정규화데이터!C1307</f>
        <v xml:space="preserve">워커힐 본갈비 3+1 최초❤️5만원대! 총1.2kg✨호텔특제 양념갈비 8인분 (✨1인분 7,375원꼴! / [300g,2인분] x 총 4팩  / ✨초이스등급 본갈비 / ❣️워커힐 </v>
      </c>
      <c r="D1307">
        <f>정규화데이터!D1307</f>
        <v>143790</v>
      </c>
      <c r="E1307" s="16" t="str">
        <f>정규화데이터!E1307</f>
        <v>SKU001</v>
      </c>
      <c r="F1307" s="3">
        <f>정규화데이터!F1307</f>
        <v>1</v>
      </c>
      <c r="G1307" s="3">
        <f>정규화데이터!G1307</f>
        <v>41363.636363636302</v>
      </c>
      <c r="H1307" s="3">
        <f>정규화데이터!H1307</f>
        <v>45499.999999999935</v>
      </c>
      <c r="I1307" s="3">
        <f>정규화데이터!I1307</f>
        <v>45500</v>
      </c>
      <c r="J1307" s="3">
        <f>정규화데이터!J1307</f>
        <v>41363.636363636302</v>
      </c>
      <c r="K1307" s="25">
        <f>정규화데이터!K1307</f>
        <v>30748</v>
      </c>
      <c r="L1307" s="25">
        <f>정규화데이터!L1307</f>
        <v>30748</v>
      </c>
      <c r="M1307" s="21">
        <f t="shared" si="40"/>
        <v>10615.636363636302</v>
      </c>
      <c r="N1307" s="52">
        <f t="shared" si="41"/>
        <v>0.25664175824175711</v>
      </c>
    </row>
    <row r="1308" spans="1:14" x14ac:dyDescent="0.3">
      <c r="A1308" t="str">
        <f>정규화데이터!A1308</f>
        <v>리씽크</v>
      </c>
      <c r="B1308">
        <f>정규화데이터!B1308</f>
        <v>2.0260208180349399E+18</v>
      </c>
      <c r="C1308" t="str">
        <f>정규화데이터!C1308</f>
        <v xml:space="preserve">워커힐 본갈비 3+1 최초❤️5만원대! 총1.2kg✨호텔특제 양념갈비 8인분 (✨1인분 7,375원꼴! / [300g,2인분] x 총 4팩  / ✨초이스등급 본갈비 / ❣️워커힐 </v>
      </c>
      <c r="D1308">
        <f>정규화데이터!D1308</f>
        <v>143790</v>
      </c>
      <c r="E1308" s="16" t="str">
        <f>정규화데이터!E1308</f>
        <v>SKU001</v>
      </c>
      <c r="F1308" s="3">
        <f>정규화데이터!F1308</f>
        <v>1</v>
      </c>
      <c r="G1308" s="3">
        <f>정규화데이터!G1308</f>
        <v>41363.636363636302</v>
      </c>
      <c r="H1308" s="3">
        <f>정규화데이터!H1308</f>
        <v>45499.999999999935</v>
      </c>
      <c r="I1308" s="3">
        <f>정규화데이터!I1308</f>
        <v>45500</v>
      </c>
      <c r="J1308" s="3">
        <f>정규화데이터!J1308</f>
        <v>41363.636363636302</v>
      </c>
      <c r="K1308" s="25">
        <f>정규화데이터!K1308</f>
        <v>30748</v>
      </c>
      <c r="L1308" s="25">
        <f>정규화데이터!L1308</f>
        <v>30748</v>
      </c>
      <c r="M1308" s="21">
        <f t="shared" si="40"/>
        <v>10615.636363636302</v>
      </c>
      <c r="N1308" s="52">
        <f t="shared" si="41"/>
        <v>0.25664175824175711</v>
      </c>
    </row>
    <row r="1309" spans="1:14" x14ac:dyDescent="0.3">
      <c r="A1309" t="str">
        <f>정규화데이터!A1309</f>
        <v>리씽크</v>
      </c>
      <c r="B1309">
        <f>정규화데이터!B1309</f>
        <v>2.0260208180218501E+18</v>
      </c>
      <c r="C1309" t="str">
        <f>정규화데이터!C1309</f>
        <v xml:space="preserve">워커힐 본갈비 3+1 최초❤️5만원대! 총1.2kg✨호텔특제 양념갈비 8인분 (✨1인분 7,375원꼴! / [300g,2인분] x 총 4팩  / ✨초이스등급 본갈비 / ❣️워커힐 </v>
      </c>
      <c r="D1309">
        <f>정규화데이터!D1309</f>
        <v>143790</v>
      </c>
      <c r="E1309" s="16" t="str">
        <f>정규화데이터!E1309</f>
        <v>SKU001</v>
      </c>
      <c r="F1309" s="3">
        <f>정규화데이터!F1309</f>
        <v>1</v>
      </c>
      <c r="G1309" s="3">
        <f>정규화데이터!G1309</f>
        <v>41363.636363636302</v>
      </c>
      <c r="H1309" s="3">
        <f>정규화데이터!H1309</f>
        <v>45499.999999999935</v>
      </c>
      <c r="I1309" s="3">
        <f>정규화데이터!I1309</f>
        <v>45500</v>
      </c>
      <c r="J1309" s="3">
        <f>정규화데이터!J1309</f>
        <v>41363.636363636302</v>
      </c>
      <c r="K1309" s="25">
        <f>정규화데이터!K1309</f>
        <v>30748</v>
      </c>
      <c r="L1309" s="25">
        <f>정규화데이터!L1309</f>
        <v>30748</v>
      </c>
      <c r="M1309" s="21">
        <f t="shared" si="40"/>
        <v>10615.636363636302</v>
      </c>
      <c r="N1309" s="52">
        <f t="shared" si="41"/>
        <v>0.25664175824175711</v>
      </c>
    </row>
    <row r="1310" spans="1:14" x14ac:dyDescent="0.3">
      <c r="A1310" t="str">
        <f>정규화데이터!A1310</f>
        <v>리씽크</v>
      </c>
      <c r="B1310">
        <f>정규화데이터!B1310</f>
        <v>2.0260208174533199E+18</v>
      </c>
      <c r="C1310" t="str">
        <f>정규화데이터!C1310</f>
        <v xml:space="preserve">워커힐 본갈비 3+1 최초❤️5만원대! 총1.2kg✨호텔특제 양념갈비 8인분 (✨1인분 7,375원꼴! / [300g,2인분] x 총 4팩  / ✨초이스등급 본갈비 / ❣️워커힐 </v>
      </c>
      <c r="D1310">
        <f>정규화데이터!D1310</f>
        <v>143790</v>
      </c>
      <c r="E1310" s="16" t="str">
        <f>정규화데이터!E1310</f>
        <v>SKU001</v>
      </c>
      <c r="F1310" s="3">
        <f>정규화데이터!F1310</f>
        <v>1</v>
      </c>
      <c r="G1310" s="3">
        <f>정규화데이터!G1310</f>
        <v>41363.636363636302</v>
      </c>
      <c r="H1310" s="3">
        <f>정규화데이터!H1310</f>
        <v>45499.999999999935</v>
      </c>
      <c r="I1310" s="3">
        <f>정규화데이터!I1310</f>
        <v>45500</v>
      </c>
      <c r="J1310" s="3">
        <f>정규화데이터!J1310</f>
        <v>41363.636363636302</v>
      </c>
      <c r="K1310" s="25">
        <f>정규화데이터!K1310</f>
        <v>30748</v>
      </c>
      <c r="L1310" s="25">
        <f>정규화데이터!L1310</f>
        <v>30748</v>
      </c>
      <c r="M1310" s="21">
        <f t="shared" si="40"/>
        <v>10615.636363636302</v>
      </c>
      <c r="N1310" s="52">
        <f t="shared" si="41"/>
        <v>0.25664175824175711</v>
      </c>
    </row>
    <row r="1311" spans="1:14" x14ac:dyDescent="0.3">
      <c r="A1311" t="str">
        <f>정규화데이터!A1311</f>
        <v>리씽크</v>
      </c>
      <c r="B1311">
        <f>정규화데이터!B1311</f>
        <v>2.0260208174738801E+18</v>
      </c>
      <c r="C1311" t="str">
        <f>정규화데이터!C1311</f>
        <v xml:space="preserve">워커힐 본갈비 3+1 최초❤️5만원대! 총1.2kg✨호텔특제 양념갈비 8인분 (✨1인분 7,375원꼴! / [300g,2인분] x 총 4팩  / ✨초이스등급 본갈비 / ❣️워커힐 </v>
      </c>
      <c r="D1311">
        <f>정규화데이터!D1311</f>
        <v>143790</v>
      </c>
      <c r="E1311" s="16" t="str">
        <f>정규화데이터!E1311</f>
        <v>SKU001</v>
      </c>
      <c r="F1311" s="3">
        <f>정규화데이터!F1311</f>
        <v>1</v>
      </c>
      <c r="G1311" s="3">
        <f>정규화데이터!G1311</f>
        <v>41363.636363636302</v>
      </c>
      <c r="H1311" s="3">
        <f>정규화데이터!H1311</f>
        <v>45499.999999999935</v>
      </c>
      <c r="I1311" s="3">
        <f>정규화데이터!I1311</f>
        <v>45500</v>
      </c>
      <c r="J1311" s="3">
        <f>정규화데이터!J1311</f>
        <v>41363.636363636302</v>
      </c>
      <c r="K1311" s="25">
        <f>정규화데이터!K1311</f>
        <v>30748</v>
      </c>
      <c r="L1311" s="25">
        <f>정규화데이터!L1311</f>
        <v>30748</v>
      </c>
      <c r="M1311" s="21">
        <f t="shared" si="40"/>
        <v>10615.636363636302</v>
      </c>
      <c r="N1311" s="52">
        <f t="shared" si="41"/>
        <v>0.25664175824175711</v>
      </c>
    </row>
    <row r="1312" spans="1:14" x14ac:dyDescent="0.3">
      <c r="A1312" t="str">
        <f>정규화데이터!A1312</f>
        <v>리씽크</v>
      </c>
      <c r="B1312">
        <f>정규화데이터!B1312</f>
        <v>2.02602081739326E+18</v>
      </c>
      <c r="C1312" t="str">
        <f>정규화데이터!C1312</f>
        <v xml:space="preserve">워커힐 본갈비 3+1 최초❤️5만원대! 총1.2kg✨호텔특제 양념갈비 8인분 (✨1인분 7,375원꼴! / [300g,2인분] x 총 4팩  / ✨초이스등급 본갈비 / ❣️워커힐 </v>
      </c>
      <c r="D1312">
        <f>정규화데이터!D1312</f>
        <v>143790</v>
      </c>
      <c r="E1312" s="16" t="str">
        <f>정규화데이터!E1312</f>
        <v>SKU001</v>
      </c>
      <c r="F1312" s="3">
        <f>정규화데이터!F1312</f>
        <v>1</v>
      </c>
      <c r="G1312" s="3">
        <f>정규화데이터!G1312</f>
        <v>41363.636363636302</v>
      </c>
      <c r="H1312" s="3">
        <f>정규화데이터!H1312</f>
        <v>45499.999999999935</v>
      </c>
      <c r="I1312" s="3">
        <f>정규화데이터!I1312</f>
        <v>45500</v>
      </c>
      <c r="J1312" s="3">
        <f>정규화데이터!J1312</f>
        <v>41363.636363636302</v>
      </c>
      <c r="K1312" s="25">
        <f>정규화데이터!K1312</f>
        <v>30748</v>
      </c>
      <c r="L1312" s="25">
        <f>정규화데이터!L1312</f>
        <v>30748</v>
      </c>
      <c r="M1312" s="21">
        <f t="shared" si="40"/>
        <v>10615.636363636302</v>
      </c>
      <c r="N1312" s="52">
        <f t="shared" si="41"/>
        <v>0.25664175824175711</v>
      </c>
    </row>
    <row r="1313" spans="1:14" x14ac:dyDescent="0.3">
      <c r="A1313" t="str">
        <f>정규화데이터!A1313</f>
        <v>리씽크</v>
      </c>
      <c r="B1313">
        <f>정규화데이터!B1313</f>
        <v>2.02602081512415E+18</v>
      </c>
      <c r="C1313" t="str">
        <f>정규화데이터!C1313</f>
        <v xml:space="preserve">워커힐 본갈비 3+1 최초❤️5만원대! 총1.2kg✨호텔특제 양념갈비 8인분 (✨1인분 7,375원꼴! / [300g,2인분] x 총 4팩  / ✨초이스등급 본갈비 / ❣️워커힐 </v>
      </c>
      <c r="D1313">
        <f>정규화데이터!D1313</f>
        <v>143790</v>
      </c>
      <c r="E1313" s="16" t="str">
        <f>정규화데이터!E1313</f>
        <v>SKU001</v>
      </c>
      <c r="F1313" s="3">
        <f>정규화데이터!F1313</f>
        <v>1</v>
      </c>
      <c r="G1313" s="3">
        <f>정규화데이터!G1313</f>
        <v>41363.636363636302</v>
      </c>
      <c r="H1313" s="3">
        <f>정규화데이터!H1313</f>
        <v>45499.999999999935</v>
      </c>
      <c r="I1313" s="3">
        <f>정규화데이터!I1313</f>
        <v>45500</v>
      </c>
      <c r="J1313" s="3">
        <f>정규화데이터!J1313</f>
        <v>41363.636363636302</v>
      </c>
      <c r="K1313" s="25">
        <f>정규화데이터!K1313</f>
        <v>30748</v>
      </c>
      <c r="L1313" s="25">
        <f>정규화데이터!L1313</f>
        <v>30748</v>
      </c>
      <c r="M1313" s="21">
        <f t="shared" si="40"/>
        <v>10615.636363636302</v>
      </c>
      <c r="N1313" s="52">
        <f t="shared" si="41"/>
        <v>0.25664175824175711</v>
      </c>
    </row>
    <row r="1314" spans="1:14" x14ac:dyDescent="0.3">
      <c r="A1314" t="str">
        <f>정규화데이터!A1314</f>
        <v>리씽크</v>
      </c>
      <c r="B1314">
        <f>정규화데이터!B1314</f>
        <v>2.02602081430526E+18</v>
      </c>
      <c r="C1314" t="str">
        <f>정규화데이터!C1314</f>
        <v xml:space="preserve">워커힐 본갈비 3+1 최초❤️5만원대! 총1.2kg✨호텔특제 양념갈비 8인분 (✨1인분 7,375원꼴! / [300g,2인분] x 총 4팩  / ✨초이스등급 본갈비 / ❣️워커힐 </v>
      </c>
      <c r="D1314">
        <f>정규화데이터!D1314</f>
        <v>143790</v>
      </c>
      <c r="E1314" s="16" t="str">
        <f>정규화데이터!E1314</f>
        <v>SKU001</v>
      </c>
      <c r="F1314" s="3">
        <f>정규화데이터!F1314</f>
        <v>1</v>
      </c>
      <c r="G1314" s="3">
        <f>정규화데이터!G1314</f>
        <v>41363.636363636302</v>
      </c>
      <c r="H1314" s="3">
        <f>정규화데이터!H1314</f>
        <v>45499.999999999935</v>
      </c>
      <c r="I1314" s="3">
        <f>정규화데이터!I1314</f>
        <v>45500</v>
      </c>
      <c r="J1314" s="3">
        <f>정규화데이터!J1314</f>
        <v>41363.636363636302</v>
      </c>
      <c r="K1314" s="25">
        <f>정규화데이터!K1314</f>
        <v>30748</v>
      </c>
      <c r="L1314" s="25">
        <f>정규화데이터!L1314</f>
        <v>30748</v>
      </c>
      <c r="M1314" s="21">
        <f t="shared" si="40"/>
        <v>10615.636363636302</v>
      </c>
      <c r="N1314" s="52">
        <f t="shared" si="41"/>
        <v>0.25664175824175711</v>
      </c>
    </row>
    <row r="1315" spans="1:14" x14ac:dyDescent="0.3">
      <c r="A1315" t="str">
        <f>정규화데이터!A1315</f>
        <v>리씽크</v>
      </c>
      <c r="B1315">
        <f>정규화데이터!B1315</f>
        <v>2.0260208142653399E+18</v>
      </c>
      <c r="C1315" t="str">
        <f>정규화데이터!C1315</f>
        <v xml:space="preserve">워커힐 본갈비 3+1 최초❤️5만원대! 총1.2kg✨호텔특제 양념갈비 8인분 (✨1인분 7,375원꼴! / [300g,2인분] x 총 4팩  / ✨초이스등급 본갈비 / ❣️워커힐 </v>
      </c>
      <c r="D1315">
        <f>정규화데이터!D1315</f>
        <v>143790</v>
      </c>
      <c r="E1315" s="16" t="str">
        <f>정규화데이터!E1315</f>
        <v>SKU001</v>
      </c>
      <c r="F1315" s="3">
        <f>정규화데이터!F1315</f>
        <v>1</v>
      </c>
      <c r="G1315" s="3">
        <f>정규화데이터!G1315</f>
        <v>41363.636363636302</v>
      </c>
      <c r="H1315" s="3">
        <f>정규화데이터!H1315</f>
        <v>45499.999999999935</v>
      </c>
      <c r="I1315" s="3">
        <f>정규화데이터!I1315</f>
        <v>45500</v>
      </c>
      <c r="J1315" s="3">
        <f>정규화데이터!J1315</f>
        <v>41363.636363636302</v>
      </c>
      <c r="K1315" s="25">
        <f>정규화데이터!K1315</f>
        <v>30748</v>
      </c>
      <c r="L1315" s="25">
        <f>정규화데이터!L1315</f>
        <v>30748</v>
      </c>
      <c r="M1315" s="21">
        <f t="shared" si="40"/>
        <v>10615.636363636302</v>
      </c>
      <c r="N1315" s="52">
        <f t="shared" si="41"/>
        <v>0.25664175824175711</v>
      </c>
    </row>
    <row r="1316" spans="1:14" x14ac:dyDescent="0.3">
      <c r="A1316" t="str">
        <f>정규화데이터!A1316</f>
        <v>리씽크</v>
      </c>
      <c r="B1316">
        <f>정규화데이터!B1316</f>
        <v>2.02602081417554E+18</v>
      </c>
      <c r="C1316" t="str">
        <f>정규화데이터!C1316</f>
        <v xml:space="preserve">워커힐 본갈비 3+1 최초❤️5만원대! 총1.2kg✨호텔특제 양념갈비 8인분 (✨1인분 7,375원꼴! / [300g,2인분] x 총 4팩  / ✨초이스등급 본갈비 / ❣️워커힐 </v>
      </c>
      <c r="D1316">
        <f>정규화데이터!D1316</f>
        <v>143790</v>
      </c>
      <c r="E1316" s="16" t="str">
        <f>정규화데이터!E1316</f>
        <v>SKU001</v>
      </c>
      <c r="F1316" s="3">
        <f>정규화데이터!F1316</f>
        <v>1</v>
      </c>
      <c r="G1316" s="3">
        <f>정규화데이터!G1316</f>
        <v>41363.636363636302</v>
      </c>
      <c r="H1316" s="3">
        <f>정규화데이터!H1316</f>
        <v>45499.999999999935</v>
      </c>
      <c r="I1316" s="3">
        <f>정규화데이터!I1316</f>
        <v>45500</v>
      </c>
      <c r="J1316" s="3">
        <f>정규화데이터!J1316</f>
        <v>41363.636363636302</v>
      </c>
      <c r="K1316" s="25">
        <f>정규화데이터!K1316</f>
        <v>30748</v>
      </c>
      <c r="L1316" s="25">
        <f>정규화데이터!L1316</f>
        <v>30748</v>
      </c>
      <c r="M1316" s="21">
        <f t="shared" si="40"/>
        <v>10615.636363636302</v>
      </c>
      <c r="N1316" s="52">
        <f t="shared" si="41"/>
        <v>0.25664175824175711</v>
      </c>
    </row>
    <row r="1317" spans="1:14" x14ac:dyDescent="0.3">
      <c r="A1317" t="str">
        <f>정규화데이터!A1317</f>
        <v>리씽크</v>
      </c>
      <c r="B1317">
        <f>정규화데이터!B1317</f>
        <v>2.0260208140811899E+18</v>
      </c>
      <c r="C1317" t="str">
        <f>정규화데이터!C1317</f>
        <v xml:space="preserve">워커힐 본갈비 3+1 최초❤️5만원대! 총1.2kg✨호텔특제 양념갈비 8인분 (✨1인분 7,375원꼴! / [300g,2인분] x 총 4팩  / ✨초이스등급 본갈비 / ❣️워커힐 </v>
      </c>
      <c r="D1317">
        <f>정규화데이터!D1317</f>
        <v>143790</v>
      </c>
      <c r="E1317" s="16" t="str">
        <f>정규화데이터!E1317</f>
        <v>SKU001</v>
      </c>
      <c r="F1317" s="3">
        <f>정규화데이터!F1317</f>
        <v>1</v>
      </c>
      <c r="G1317" s="3">
        <f>정규화데이터!G1317</f>
        <v>41363.636363636302</v>
      </c>
      <c r="H1317" s="3">
        <f>정규화데이터!H1317</f>
        <v>45499.999999999935</v>
      </c>
      <c r="I1317" s="3">
        <f>정규화데이터!I1317</f>
        <v>45500</v>
      </c>
      <c r="J1317" s="3">
        <f>정규화데이터!J1317</f>
        <v>41363.636363636302</v>
      </c>
      <c r="K1317" s="25">
        <f>정규화데이터!K1317</f>
        <v>30748</v>
      </c>
      <c r="L1317" s="25">
        <f>정규화데이터!L1317</f>
        <v>30748</v>
      </c>
      <c r="M1317" s="21">
        <f t="shared" si="40"/>
        <v>10615.636363636302</v>
      </c>
      <c r="N1317" s="52">
        <f t="shared" si="41"/>
        <v>0.25664175824175711</v>
      </c>
    </row>
    <row r="1318" spans="1:14" x14ac:dyDescent="0.3">
      <c r="A1318" t="str">
        <f>정규화데이터!A1318</f>
        <v>리씽크</v>
      </c>
      <c r="B1318">
        <f>정규화데이터!B1318</f>
        <v>2.0260208132033999E+18</v>
      </c>
      <c r="C1318" t="str">
        <f>정규화데이터!C1318</f>
        <v xml:space="preserve">워커힐 본갈비 3+1 최초❤️5만원대! 총1.2kg✨호텔특제 양념갈비 8인분 (✨1인분 7,375원꼴! / [300g,2인분] x 총 4팩  / ✨초이스등급 본갈비 / ❣️워커힐 </v>
      </c>
      <c r="D1318">
        <f>정규화데이터!D1318</f>
        <v>143790</v>
      </c>
      <c r="E1318" s="16" t="str">
        <f>정규화데이터!E1318</f>
        <v>SKU001</v>
      </c>
      <c r="F1318" s="3">
        <f>정규화데이터!F1318</f>
        <v>2</v>
      </c>
      <c r="G1318" s="3">
        <f>정규화데이터!G1318</f>
        <v>41363.636363636353</v>
      </c>
      <c r="H1318" s="3">
        <f>정규화데이터!H1318</f>
        <v>91000</v>
      </c>
      <c r="I1318" s="3">
        <f>정규화데이터!I1318</f>
        <v>91000</v>
      </c>
      <c r="J1318" s="3">
        <f>정규화데이터!J1318</f>
        <v>82727.272727272706</v>
      </c>
      <c r="K1318" s="25">
        <f>정규화데이터!K1318</f>
        <v>30748</v>
      </c>
      <c r="L1318" s="25">
        <f>정규화데이터!L1318</f>
        <v>61496</v>
      </c>
      <c r="M1318" s="21">
        <f t="shared" si="40"/>
        <v>21231.272727272706</v>
      </c>
      <c r="N1318" s="52">
        <f t="shared" si="41"/>
        <v>0.25664175824175806</v>
      </c>
    </row>
    <row r="1319" spans="1:14" x14ac:dyDescent="0.3">
      <c r="A1319" t="str">
        <f>정규화데이터!A1319</f>
        <v>리씽크</v>
      </c>
      <c r="B1319">
        <f>정규화데이터!B1319</f>
        <v>2.02602081254462E+18</v>
      </c>
      <c r="C1319" t="str">
        <f>정규화데이터!C1319</f>
        <v xml:space="preserve">워커힐 본갈비 3+1 최초❤️5만원대! 총1.2kg✨호텔특제 양념갈비 8인분 (✨1인분 7,375원꼴! / [300g,2인분] x 총 4팩  / ✨초이스등급 본갈비 / ❣️워커힐 </v>
      </c>
      <c r="D1319">
        <f>정규화데이터!D1319</f>
        <v>143790</v>
      </c>
      <c r="E1319" s="16" t="str">
        <f>정규화데이터!E1319</f>
        <v>SKU001</v>
      </c>
      <c r="F1319" s="3">
        <f>정규화데이터!F1319</f>
        <v>1</v>
      </c>
      <c r="G1319" s="3">
        <f>정규화데이터!G1319</f>
        <v>41363.636363636302</v>
      </c>
      <c r="H1319" s="3">
        <f>정규화데이터!H1319</f>
        <v>45499.999999999935</v>
      </c>
      <c r="I1319" s="3">
        <f>정규화데이터!I1319</f>
        <v>45500</v>
      </c>
      <c r="J1319" s="3">
        <f>정규화데이터!J1319</f>
        <v>41363.636363636302</v>
      </c>
      <c r="K1319" s="25">
        <f>정규화데이터!K1319</f>
        <v>30748</v>
      </c>
      <c r="L1319" s="25">
        <f>정규화데이터!L1319</f>
        <v>30748</v>
      </c>
      <c r="M1319" s="21">
        <f t="shared" si="40"/>
        <v>10615.636363636302</v>
      </c>
      <c r="N1319" s="52">
        <f t="shared" si="41"/>
        <v>0.25664175824175711</v>
      </c>
    </row>
    <row r="1320" spans="1:14" x14ac:dyDescent="0.3">
      <c r="A1320" t="str">
        <f>정규화데이터!A1320</f>
        <v>리씽크</v>
      </c>
      <c r="B1320">
        <f>정규화데이터!B1320</f>
        <v>2.0260208124821399E+18</v>
      </c>
      <c r="C1320" t="str">
        <f>정규화데이터!C1320</f>
        <v xml:space="preserve">워커힐 본갈비 3+1 최초❤️5만원대! 총1.2kg✨호텔특제 양념갈비 8인분 (✨1인분 7,375원꼴! / [300g,2인분] x 총 4팩  / ✨초이스등급 본갈비 / ❣️워커힐 </v>
      </c>
      <c r="D1320">
        <f>정규화데이터!D1320</f>
        <v>143790</v>
      </c>
      <c r="E1320" s="16" t="str">
        <f>정규화데이터!E1320</f>
        <v>SKU001</v>
      </c>
      <c r="F1320" s="3">
        <f>정규화데이터!F1320</f>
        <v>1</v>
      </c>
      <c r="G1320" s="3">
        <f>정규화데이터!G1320</f>
        <v>41363.636363636302</v>
      </c>
      <c r="H1320" s="3">
        <f>정규화데이터!H1320</f>
        <v>45499.999999999935</v>
      </c>
      <c r="I1320" s="3">
        <f>정규화데이터!I1320</f>
        <v>45500</v>
      </c>
      <c r="J1320" s="3">
        <f>정규화데이터!J1320</f>
        <v>41363.636363636302</v>
      </c>
      <c r="K1320" s="25">
        <f>정규화데이터!K1320</f>
        <v>30748</v>
      </c>
      <c r="L1320" s="25">
        <f>정규화데이터!L1320</f>
        <v>30748</v>
      </c>
      <c r="M1320" s="21">
        <f t="shared" si="40"/>
        <v>10615.636363636302</v>
      </c>
      <c r="N1320" s="52">
        <f t="shared" si="41"/>
        <v>0.25664175824175711</v>
      </c>
    </row>
    <row r="1321" spans="1:14" x14ac:dyDescent="0.3">
      <c r="A1321" t="str">
        <f>정규화데이터!A1321</f>
        <v>리씽크</v>
      </c>
      <c r="B1321">
        <f>정규화데이터!B1321</f>
        <v>2.0260208123745999E+18</v>
      </c>
      <c r="C1321" t="str">
        <f>정규화데이터!C1321</f>
        <v xml:space="preserve">워커힐 본갈비 3+1 최초❤️5만원대! 총1.2kg✨호텔특제 양념갈비 8인분 (✨1인분 7,375원꼴! / [300g,2인분] x 총 4팩  / ✨초이스등급 본갈비 / ❣️워커힐 </v>
      </c>
      <c r="D1321">
        <f>정규화데이터!D1321</f>
        <v>143790</v>
      </c>
      <c r="E1321" s="16" t="str">
        <f>정규화데이터!E1321</f>
        <v>SKU001</v>
      </c>
      <c r="F1321" s="3">
        <f>정규화데이터!F1321</f>
        <v>1</v>
      </c>
      <c r="G1321" s="3">
        <f>정규화데이터!G1321</f>
        <v>41363.636363636302</v>
      </c>
      <c r="H1321" s="3">
        <f>정규화데이터!H1321</f>
        <v>45499.999999999935</v>
      </c>
      <c r="I1321" s="3">
        <f>정규화데이터!I1321</f>
        <v>45500</v>
      </c>
      <c r="J1321" s="3">
        <f>정규화데이터!J1321</f>
        <v>41363.636363636302</v>
      </c>
      <c r="K1321" s="25">
        <f>정규화데이터!K1321</f>
        <v>30748</v>
      </c>
      <c r="L1321" s="25">
        <f>정규화데이터!L1321</f>
        <v>30748</v>
      </c>
      <c r="M1321" s="21">
        <f t="shared" si="40"/>
        <v>10615.636363636302</v>
      </c>
      <c r="N1321" s="52">
        <f t="shared" si="41"/>
        <v>0.25664175824175711</v>
      </c>
    </row>
    <row r="1322" spans="1:14" x14ac:dyDescent="0.3">
      <c r="A1322" t="str">
        <f>정규화데이터!A1322</f>
        <v>리씽크</v>
      </c>
      <c r="B1322">
        <f>정규화데이터!B1322</f>
        <v>2.02602081232383E+18</v>
      </c>
      <c r="C1322" t="str">
        <f>정규화데이터!C1322</f>
        <v xml:space="preserve">워커힐 본갈비 3+1 최초❤️5만원대! 총1.2kg✨호텔특제 양념갈비 8인분 (✨1인분 7,375원꼴! / [300g,2인분] x 총 4팩  / ✨초이스등급 본갈비 / ❣️워커힐 </v>
      </c>
      <c r="D1322">
        <f>정규화데이터!D1322</f>
        <v>143790</v>
      </c>
      <c r="E1322" s="16" t="str">
        <f>정규화데이터!E1322</f>
        <v>SKU001</v>
      </c>
      <c r="F1322" s="3">
        <f>정규화데이터!F1322</f>
        <v>1</v>
      </c>
      <c r="G1322" s="3">
        <f>정규화데이터!G1322</f>
        <v>41363.636363636302</v>
      </c>
      <c r="H1322" s="3">
        <f>정규화데이터!H1322</f>
        <v>45499.999999999935</v>
      </c>
      <c r="I1322" s="3">
        <f>정규화데이터!I1322</f>
        <v>45500</v>
      </c>
      <c r="J1322" s="3">
        <f>정규화데이터!J1322</f>
        <v>41363.636363636302</v>
      </c>
      <c r="K1322" s="25">
        <f>정규화데이터!K1322</f>
        <v>30748</v>
      </c>
      <c r="L1322" s="25">
        <f>정규화데이터!L1322</f>
        <v>30748</v>
      </c>
      <c r="M1322" s="21">
        <f t="shared" si="40"/>
        <v>10615.636363636302</v>
      </c>
      <c r="N1322" s="52">
        <f t="shared" si="41"/>
        <v>0.25664175824175711</v>
      </c>
    </row>
    <row r="1323" spans="1:14" x14ac:dyDescent="0.3">
      <c r="A1323" t="str">
        <f>정규화데이터!A1323</f>
        <v>리씽크</v>
      </c>
      <c r="B1323">
        <f>정규화데이터!B1323</f>
        <v>2.02602081228477E+18</v>
      </c>
      <c r="C1323" t="str">
        <f>정규화데이터!C1323</f>
        <v xml:space="preserve">워커힐 본갈비 3+1 최초❤️5만원대! 총1.2kg✨호텔특제 양념갈비 8인분 (✨1인분 7,375원꼴! / [300g,2인분] x 총 4팩  / ✨초이스등급 본갈비 / ❣️워커힐 </v>
      </c>
      <c r="D1323">
        <f>정규화데이터!D1323</f>
        <v>143790</v>
      </c>
      <c r="E1323" s="16" t="str">
        <f>정규화데이터!E1323</f>
        <v>SKU001</v>
      </c>
      <c r="F1323" s="3">
        <f>정규화데이터!F1323</f>
        <v>1</v>
      </c>
      <c r="G1323" s="3">
        <f>정규화데이터!G1323</f>
        <v>41363.636363636302</v>
      </c>
      <c r="H1323" s="3">
        <f>정규화데이터!H1323</f>
        <v>45499.999999999935</v>
      </c>
      <c r="I1323" s="3">
        <f>정규화데이터!I1323</f>
        <v>45500</v>
      </c>
      <c r="J1323" s="3">
        <f>정규화데이터!J1323</f>
        <v>41363.636363636302</v>
      </c>
      <c r="K1323" s="25">
        <f>정규화데이터!K1323</f>
        <v>30748</v>
      </c>
      <c r="L1323" s="25">
        <f>정규화데이터!L1323</f>
        <v>30748</v>
      </c>
      <c r="M1323" s="21">
        <f t="shared" si="40"/>
        <v>10615.636363636302</v>
      </c>
      <c r="N1323" s="52">
        <f t="shared" si="41"/>
        <v>0.25664175824175711</v>
      </c>
    </row>
    <row r="1324" spans="1:14" x14ac:dyDescent="0.3">
      <c r="A1324" t="str">
        <f>정규화데이터!A1324</f>
        <v>리씽크</v>
      </c>
      <c r="B1324">
        <f>정규화데이터!B1324</f>
        <v>2.02602081225441E+18</v>
      </c>
      <c r="C1324" t="str">
        <f>정규화데이터!C1324</f>
        <v xml:space="preserve">워커힐 본갈비 3+1 최초❤️5만원대! 총1.2kg✨호텔특제 양념갈비 8인분 (✨1인분 7,375원꼴! / [300g,2인분] x 총 4팩  / ✨초이스등급 본갈비 / ❣️워커힐 </v>
      </c>
      <c r="D1324">
        <f>정규화데이터!D1324</f>
        <v>143790</v>
      </c>
      <c r="E1324" s="16" t="str">
        <f>정규화데이터!E1324</f>
        <v>SKU001</v>
      </c>
      <c r="F1324" s="3">
        <f>정규화데이터!F1324</f>
        <v>1</v>
      </c>
      <c r="G1324" s="3">
        <f>정규화데이터!G1324</f>
        <v>41363.636363636302</v>
      </c>
      <c r="H1324" s="3">
        <f>정규화데이터!H1324</f>
        <v>45499.999999999935</v>
      </c>
      <c r="I1324" s="3">
        <f>정규화데이터!I1324</f>
        <v>45500</v>
      </c>
      <c r="J1324" s="3">
        <f>정규화데이터!J1324</f>
        <v>41363.636363636302</v>
      </c>
      <c r="K1324" s="25">
        <f>정규화데이터!K1324</f>
        <v>30748</v>
      </c>
      <c r="L1324" s="25">
        <f>정규화데이터!L1324</f>
        <v>30748</v>
      </c>
      <c r="M1324" s="21">
        <f t="shared" si="40"/>
        <v>10615.636363636302</v>
      </c>
      <c r="N1324" s="52">
        <f t="shared" si="41"/>
        <v>0.25664175824175711</v>
      </c>
    </row>
    <row r="1325" spans="1:14" x14ac:dyDescent="0.3">
      <c r="A1325" t="str">
        <f>정규화데이터!A1325</f>
        <v>리씽크</v>
      </c>
      <c r="B1325">
        <f>정규화데이터!B1325</f>
        <v>2.0260208122208699E+18</v>
      </c>
      <c r="C1325" t="str">
        <f>정규화데이터!C1325</f>
        <v xml:space="preserve">워커힐 본갈비 3+1 최초❤️5만원대! 총1.2kg✨호텔특제 양념갈비 8인분 (✨1인분 7,375원꼴! / [300g,2인분] x 총 4팩  / ✨초이스등급 본갈비 / ❣️워커힐 </v>
      </c>
      <c r="D1325">
        <f>정규화데이터!D1325</f>
        <v>143790</v>
      </c>
      <c r="E1325" s="16" t="str">
        <f>정규화데이터!E1325</f>
        <v>SKU001</v>
      </c>
      <c r="F1325" s="3">
        <f>정규화데이터!F1325</f>
        <v>1</v>
      </c>
      <c r="G1325" s="3">
        <f>정규화데이터!G1325</f>
        <v>41363.636363636302</v>
      </c>
      <c r="H1325" s="3">
        <f>정규화데이터!H1325</f>
        <v>45499.999999999935</v>
      </c>
      <c r="I1325" s="3">
        <f>정규화데이터!I1325</f>
        <v>45500</v>
      </c>
      <c r="J1325" s="3">
        <f>정규화데이터!J1325</f>
        <v>41363.636363636302</v>
      </c>
      <c r="K1325" s="25">
        <f>정규화데이터!K1325</f>
        <v>30748</v>
      </c>
      <c r="L1325" s="25">
        <f>정규화데이터!L1325</f>
        <v>30748</v>
      </c>
      <c r="M1325" s="21">
        <f t="shared" si="40"/>
        <v>10615.636363636302</v>
      </c>
      <c r="N1325" s="52">
        <f t="shared" si="41"/>
        <v>0.25664175824175711</v>
      </c>
    </row>
    <row r="1326" spans="1:14" x14ac:dyDescent="0.3">
      <c r="A1326" t="str">
        <f>정규화데이터!A1326</f>
        <v>리씽크</v>
      </c>
      <c r="B1326">
        <f>정규화데이터!B1326</f>
        <v>2.0260208121309299E+18</v>
      </c>
      <c r="C1326" t="str">
        <f>정규화데이터!C1326</f>
        <v xml:space="preserve">워커힐 본갈비 3+1 최초❤️5만원대! 총1.2kg✨호텔특제 양념갈비 8인분 (✨1인분 7,375원꼴! / [300g,2인분] x 총 4팩  / ✨초이스등급 본갈비 / ❣️워커힐 </v>
      </c>
      <c r="D1326">
        <f>정규화데이터!D1326</f>
        <v>143790</v>
      </c>
      <c r="E1326" s="16" t="str">
        <f>정규화데이터!E1326</f>
        <v>SKU001</v>
      </c>
      <c r="F1326" s="3">
        <f>정규화데이터!F1326</f>
        <v>1</v>
      </c>
      <c r="G1326" s="3">
        <f>정규화데이터!G1326</f>
        <v>41363.636363636302</v>
      </c>
      <c r="H1326" s="3">
        <f>정규화데이터!H1326</f>
        <v>45499.999999999935</v>
      </c>
      <c r="I1326" s="3">
        <f>정규화데이터!I1326</f>
        <v>45500</v>
      </c>
      <c r="J1326" s="3">
        <f>정규화데이터!J1326</f>
        <v>41363.636363636302</v>
      </c>
      <c r="K1326" s="25">
        <f>정규화데이터!K1326</f>
        <v>30748</v>
      </c>
      <c r="L1326" s="25">
        <f>정규화데이터!L1326</f>
        <v>30748</v>
      </c>
      <c r="M1326" s="21">
        <f t="shared" si="40"/>
        <v>10615.636363636302</v>
      </c>
      <c r="N1326" s="52">
        <f t="shared" si="41"/>
        <v>0.25664175824175711</v>
      </c>
    </row>
    <row r="1327" spans="1:14" x14ac:dyDescent="0.3">
      <c r="A1327" t="str">
        <f>정규화데이터!A1327</f>
        <v>리씽크</v>
      </c>
      <c r="B1327">
        <f>정규화데이터!B1327</f>
        <v>2.0260208101034299E+18</v>
      </c>
      <c r="C1327" t="str">
        <f>정규화데이터!C1327</f>
        <v xml:space="preserve">워커힐 본갈비 3+1 최초❤️5만원대! 총1.2kg✨호텔특제 양념갈비 8인분 (✨1인분 7,375원꼴! / [300g,2인분] x 총 4팩  / ✨초이스등급 본갈비 / ❣️워커힐 </v>
      </c>
      <c r="D1327">
        <f>정규화데이터!D1327</f>
        <v>143790</v>
      </c>
      <c r="E1327" s="16" t="str">
        <f>정규화데이터!E1327</f>
        <v>SKU001</v>
      </c>
      <c r="F1327" s="3">
        <f>정규화데이터!F1327</f>
        <v>1</v>
      </c>
      <c r="G1327" s="3">
        <f>정규화데이터!G1327</f>
        <v>41363.636363636302</v>
      </c>
      <c r="H1327" s="3">
        <f>정규화데이터!H1327</f>
        <v>45499.999999999935</v>
      </c>
      <c r="I1327" s="3">
        <f>정규화데이터!I1327</f>
        <v>45500</v>
      </c>
      <c r="J1327" s="3">
        <f>정규화데이터!J1327</f>
        <v>41363.636363636302</v>
      </c>
      <c r="K1327" s="25">
        <f>정규화데이터!K1327</f>
        <v>30748</v>
      </c>
      <c r="L1327" s="25">
        <f>정규화데이터!L1327</f>
        <v>30748</v>
      </c>
      <c r="M1327" s="21">
        <f t="shared" si="40"/>
        <v>10615.636363636302</v>
      </c>
      <c r="N1327" s="52">
        <f t="shared" si="41"/>
        <v>0.25664175824175711</v>
      </c>
    </row>
    <row r="1328" spans="1:14" x14ac:dyDescent="0.3">
      <c r="A1328" t="str">
        <f>정규화데이터!A1328</f>
        <v>리씽크</v>
      </c>
      <c r="B1328">
        <f>정규화데이터!B1328</f>
        <v>2.0260208100358999E+18</v>
      </c>
      <c r="C1328" t="str">
        <f>정규화데이터!C1328</f>
        <v xml:space="preserve">워커힐 본갈비 3+1 최초❤️5만원대! 총1.2kg✨호텔특제 양념갈비 8인분 (✨1인분 7,375원꼴! / [300g,2인분] x 총 4팩  / ✨초이스등급 본갈비 / ❣️워커힐 </v>
      </c>
      <c r="D1328">
        <f>정규화데이터!D1328</f>
        <v>143790</v>
      </c>
      <c r="E1328" s="16" t="str">
        <f>정규화데이터!E1328</f>
        <v>SKU001</v>
      </c>
      <c r="F1328" s="3">
        <f>정규화데이터!F1328</f>
        <v>3</v>
      </c>
      <c r="G1328" s="3">
        <f>정규화데이터!G1328</f>
        <v>41363.636363636331</v>
      </c>
      <c r="H1328" s="3">
        <f>정규화데이터!H1328</f>
        <v>136499.99999999991</v>
      </c>
      <c r="I1328" s="3">
        <f>정규화데이터!I1328</f>
        <v>136500</v>
      </c>
      <c r="J1328" s="3">
        <f>정규화데이터!J1328</f>
        <v>124090.909090909</v>
      </c>
      <c r="K1328" s="25">
        <f>정규화데이터!K1328</f>
        <v>30748</v>
      </c>
      <c r="L1328" s="25">
        <f>정규화데이터!L1328</f>
        <v>92244</v>
      </c>
      <c r="M1328" s="21">
        <f t="shared" si="40"/>
        <v>31846.909090909001</v>
      </c>
      <c r="N1328" s="52">
        <f t="shared" si="41"/>
        <v>0.25664175824175772</v>
      </c>
    </row>
    <row r="1329" spans="1:14" x14ac:dyDescent="0.3">
      <c r="A1329" t="str">
        <f>정규화데이터!A1329</f>
        <v>리씽크</v>
      </c>
      <c r="B1329">
        <f>정규화데이터!B1329</f>
        <v>2.02602080939091E+18</v>
      </c>
      <c r="C1329" t="str">
        <f>정규화데이터!C1329</f>
        <v xml:space="preserve">워커힐 본갈비 3+1 최초❤️5만원대! 총1.2kg✨호텔특제 양념갈비 8인분 (✨1인분 7,375원꼴! / [300g,2인분] x 총 4팩  / ✨초이스등급 본갈비 / ❣️워커힐 </v>
      </c>
      <c r="D1329">
        <f>정규화데이터!D1329</f>
        <v>143790</v>
      </c>
      <c r="E1329" s="16" t="str">
        <f>정규화데이터!E1329</f>
        <v>SKU001</v>
      </c>
      <c r="F1329" s="3">
        <f>정규화데이터!F1329</f>
        <v>1</v>
      </c>
      <c r="G1329" s="3">
        <f>정규화데이터!G1329</f>
        <v>41363.636363636302</v>
      </c>
      <c r="H1329" s="3">
        <f>정규화데이터!H1329</f>
        <v>45499.999999999935</v>
      </c>
      <c r="I1329" s="3">
        <f>정규화데이터!I1329</f>
        <v>45500</v>
      </c>
      <c r="J1329" s="3">
        <f>정규화데이터!J1329</f>
        <v>41363.636363636302</v>
      </c>
      <c r="K1329" s="25">
        <f>정규화데이터!K1329</f>
        <v>30748</v>
      </c>
      <c r="L1329" s="25">
        <f>정규화데이터!L1329</f>
        <v>30748</v>
      </c>
      <c r="M1329" s="21">
        <f t="shared" si="40"/>
        <v>10615.636363636302</v>
      </c>
      <c r="N1329" s="52">
        <f t="shared" si="41"/>
        <v>0.25664175824175711</v>
      </c>
    </row>
    <row r="1330" spans="1:14" x14ac:dyDescent="0.3">
      <c r="A1330" t="str">
        <f>정규화데이터!A1330</f>
        <v>리씽크</v>
      </c>
      <c r="B1330">
        <f>정규화데이터!B1330</f>
        <v>2.0260207230925801E+18</v>
      </c>
      <c r="C1330" t="str">
        <f>정규화데이터!C1330</f>
        <v xml:space="preserve">워커힐 본갈비 3+1 최초❤️5만원대! 총1.2kg✨호텔특제 양념갈비 8인분 (✨1인분 7,375원꼴! / [300g,2인분] x 총 4팩  / ✨초이스등급 본갈비 / ❣️워커힐 </v>
      </c>
      <c r="D1330">
        <f>정규화데이터!D1330</f>
        <v>143790</v>
      </c>
      <c r="E1330" s="16" t="str">
        <f>정규화데이터!E1330</f>
        <v>SKU001</v>
      </c>
      <c r="F1330" s="3">
        <f>정규화데이터!F1330</f>
        <v>1</v>
      </c>
      <c r="G1330" s="3">
        <f>정규화데이터!G1330</f>
        <v>41363.636363636302</v>
      </c>
      <c r="H1330" s="3">
        <f>정규화데이터!H1330</f>
        <v>45499.999999999935</v>
      </c>
      <c r="I1330" s="3">
        <f>정규화데이터!I1330</f>
        <v>45500</v>
      </c>
      <c r="J1330" s="3">
        <f>정규화데이터!J1330</f>
        <v>41363.636363636302</v>
      </c>
      <c r="K1330" s="25">
        <f>정규화데이터!K1330</f>
        <v>30748</v>
      </c>
      <c r="L1330" s="25">
        <f>정규화데이터!L1330</f>
        <v>30748</v>
      </c>
      <c r="M1330" s="21">
        <f t="shared" si="40"/>
        <v>10615.636363636302</v>
      </c>
      <c r="N1330" s="52">
        <f t="shared" si="41"/>
        <v>0.25664175824175711</v>
      </c>
    </row>
    <row r="1331" spans="1:14" x14ac:dyDescent="0.3">
      <c r="A1331" t="str">
        <f>정규화데이터!A1331</f>
        <v>리씽크</v>
      </c>
      <c r="B1331">
        <f>정규화데이터!B1331</f>
        <v>2.02602072254033E+18</v>
      </c>
      <c r="C1331" t="str">
        <f>정규화데이터!C1331</f>
        <v xml:space="preserve">워커힐 본갈비 3+1 최초❤️5만원대! 총1.2kg✨호텔특제 양념갈비 8인분 (✨1인분 7,375원꼴! / [300g,2인분] x 총 4팩  / ✨초이스등급 본갈비 / ❣️워커힐 </v>
      </c>
      <c r="D1331">
        <f>정규화데이터!D1331</f>
        <v>143790</v>
      </c>
      <c r="E1331" s="16" t="str">
        <f>정규화데이터!E1331</f>
        <v>SKU001</v>
      </c>
      <c r="F1331" s="3">
        <f>정규화데이터!F1331</f>
        <v>1</v>
      </c>
      <c r="G1331" s="3">
        <f>정규화데이터!G1331</f>
        <v>41363.636363636302</v>
      </c>
      <c r="H1331" s="3">
        <f>정규화데이터!H1331</f>
        <v>45499.999999999935</v>
      </c>
      <c r="I1331" s="3">
        <f>정규화데이터!I1331</f>
        <v>45500</v>
      </c>
      <c r="J1331" s="3">
        <f>정규화데이터!J1331</f>
        <v>41363.636363636302</v>
      </c>
      <c r="K1331" s="25">
        <f>정규화데이터!K1331</f>
        <v>30748</v>
      </c>
      <c r="L1331" s="25">
        <f>정규화데이터!L1331</f>
        <v>30748</v>
      </c>
      <c r="M1331" s="21">
        <f t="shared" si="40"/>
        <v>10615.636363636302</v>
      </c>
      <c r="N1331" s="52">
        <f t="shared" si="41"/>
        <v>0.25664175824175711</v>
      </c>
    </row>
    <row r="1332" spans="1:14" x14ac:dyDescent="0.3">
      <c r="A1332" t="str">
        <f>정규화데이터!A1332</f>
        <v>리씽크</v>
      </c>
      <c r="B1332">
        <f>정규화데이터!B1332</f>
        <v>2.0260207184200901E+18</v>
      </c>
      <c r="C1332" t="str">
        <f>정규화데이터!C1332</f>
        <v xml:space="preserve">워커힐 본갈비 3+1 최초❤️5만원대! 총1.2kg✨호텔특제 양념갈비 8인분 (✨1인분 7,375원꼴! / [300g,2인분] x 총 4팩  / ✨초이스등급 본갈비 / ❣️워커힐 </v>
      </c>
      <c r="D1332">
        <f>정규화데이터!D1332</f>
        <v>143790</v>
      </c>
      <c r="E1332" s="16" t="str">
        <f>정규화데이터!E1332</f>
        <v>SKU001</v>
      </c>
      <c r="F1332" s="3">
        <f>정규화데이터!F1332</f>
        <v>1</v>
      </c>
      <c r="G1332" s="3">
        <f>정규화데이터!G1332</f>
        <v>41363.636363636302</v>
      </c>
      <c r="H1332" s="3">
        <f>정규화데이터!H1332</f>
        <v>45499.999999999935</v>
      </c>
      <c r="I1332" s="3">
        <f>정규화데이터!I1332</f>
        <v>45500</v>
      </c>
      <c r="J1332" s="3">
        <f>정규화데이터!J1332</f>
        <v>41363.636363636302</v>
      </c>
      <c r="K1332" s="25">
        <f>정규화데이터!K1332</f>
        <v>30748</v>
      </c>
      <c r="L1332" s="25">
        <f>정규화데이터!L1332</f>
        <v>30748</v>
      </c>
      <c r="M1332" s="21">
        <f t="shared" si="40"/>
        <v>10615.636363636302</v>
      </c>
      <c r="N1332" s="52">
        <f t="shared" si="41"/>
        <v>0.25664175824175711</v>
      </c>
    </row>
    <row r="1333" spans="1:14" x14ac:dyDescent="0.3">
      <c r="A1333" t="str">
        <f>정규화데이터!A1333</f>
        <v>리씽크</v>
      </c>
      <c r="B1333">
        <f>정규화데이터!B1333</f>
        <v>2.0260207184436101E+18</v>
      </c>
      <c r="C1333" t="str">
        <f>정규화데이터!C1333</f>
        <v xml:space="preserve">워커힐 본갈비 3+1 최초❤️5만원대! 총1.2kg✨호텔특제 양념갈비 8인분 (✨1인분 7,375원꼴! / [300g,2인분] x 총 4팩  / ✨초이스등급 본갈비 / ❣️워커힐 </v>
      </c>
      <c r="D1333">
        <f>정규화데이터!D1333</f>
        <v>143790</v>
      </c>
      <c r="E1333" s="16" t="str">
        <f>정규화데이터!E1333</f>
        <v>SKU001</v>
      </c>
      <c r="F1333" s="3">
        <f>정규화데이터!F1333</f>
        <v>1</v>
      </c>
      <c r="G1333" s="3">
        <f>정규화데이터!G1333</f>
        <v>41363.636363636302</v>
      </c>
      <c r="H1333" s="3">
        <f>정규화데이터!H1333</f>
        <v>45499.999999999935</v>
      </c>
      <c r="I1333" s="3">
        <f>정규화데이터!I1333</f>
        <v>45500</v>
      </c>
      <c r="J1333" s="3">
        <f>정규화데이터!J1333</f>
        <v>41363.636363636302</v>
      </c>
      <c r="K1333" s="25">
        <f>정규화데이터!K1333</f>
        <v>30748</v>
      </c>
      <c r="L1333" s="25">
        <f>정규화데이터!L1333</f>
        <v>30748</v>
      </c>
      <c r="M1333" s="21">
        <f t="shared" si="40"/>
        <v>10615.636363636302</v>
      </c>
      <c r="N1333" s="52">
        <f t="shared" si="41"/>
        <v>0.25664175824175711</v>
      </c>
    </row>
    <row r="1334" spans="1:14" x14ac:dyDescent="0.3">
      <c r="A1334" t="str">
        <f>정규화데이터!A1334</f>
        <v>리씽크</v>
      </c>
      <c r="B1334">
        <f>정규화데이터!B1334</f>
        <v>2.0260207183328399E+18</v>
      </c>
      <c r="C1334" t="str">
        <f>정규화데이터!C1334</f>
        <v xml:space="preserve">워커힐 본갈비 3+1 최초❤️5만원대! 총1.2kg✨호텔특제 양념갈비 8인분 (✨1인분 7,375원꼴! / [300g,2인분] x 총 4팩  / ✨초이스등급 본갈비 / ❣️워커힐 </v>
      </c>
      <c r="D1334">
        <f>정규화데이터!D1334</f>
        <v>143790</v>
      </c>
      <c r="E1334" s="16" t="str">
        <f>정규화데이터!E1334</f>
        <v>SKU001</v>
      </c>
      <c r="F1334" s="3">
        <f>정규화데이터!F1334</f>
        <v>1</v>
      </c>
      <c r="G1334" s="3">
        <f>정규화데이터!G1334</f>
        <v>41363.636363636302</v>
      </c>
      <c r="H1334" s="3">
        <f>정규화데이터!H1334</f>
        <v>45499.999999999935</v>
      </c>
      <c r="I1334" s="3">
        <f>정규화데이터!I1334</f>
        <v>45500</v>
      </c>
      <c r="J1334" s="3">
        <f>정규화데이터!J1334</f>
        <v>41363.636363636302</v>
      </c>
      <c r="K1334" s="25">
        <f>정규화데이터!K1334</f>
        <v>30748</v>
      </c>
      <c r="L1334" s="25">
        <f>정규화데이터!L1334</f>
        <v>30748</v>
      </c>
      <c r="M1334" s="21">
        <f t="shared" si="40"/>
        <v>10615.636363636302</v>
      </c>
      <c r="N1334" s="52">
        <f t="shared" si="41"/>
        <v>0.25664175824175711</v>
      </c>
    </row>
    <row r="1335" spans="1:14" x14ac:dyDescent="0.3">
      <c r="A1335" t="str">
        <f>정규화데이터!A1335</f>
        <v>리씽크</v>
      </c>
      <c r="B1335">
        <f>정규화데이터!B1335</f>
        <v>2.0260207175720699E+18</v>
      </c>
      <c r="C1335" t="str">
        <f>정규화데이터!C1335</f>
        <v xml:space="preserve">워커힐 본갈비 3+1 최초❤️5만원대! 총1.2kg✨호텔특제 양념갈비 8인분 (✨1인분 7,375원꼴! / [300g,2인분] x 총 4팩  / ✨초이스등급 본갈비 / ❣️워커힐 </v>
      </c>
      <c r="D1335">
        <f>정규화데이터!D1335</f>
        <v>143790</v>
      </c>
      <c r="E1335" s="16" t="str">
        <f>정규화데이터!E1335</f>
        <v>SKU001</v>
      </c>
      <c r="F1335" s="3">
        <f>정규화데이터!F1335</f>
        <v>2</v>
      </c>
      <c r="G1335" s="3">
        <f>정규화데이터!G1335</f>
        <v>41363.636363636353</v>
      </c>
      <c r="H1335" s="3">
        <f>정규화데이터!H1335</f>
        <v>91000</v>
      </c>
      <c r="I1335" s="3">
        <f>정규화데이터!I1335</f>
        <v>91000</v>
      </c>
      <c r="J1335" s="3">
        <f>정규화데이터!J1335</f>
        <v>82727.272727272706</v>
      </c>
      <c r="K1335" s="25">
        <f>정규화데이터!K1335</f>
        <v>30748</v>
      </c>
      <c r="L1335" s="25">
        <f>정규화데이터!L1335</f>
        <v>61496</v>
      </c>
      <c r="M1335" s="21">
        <f t="shared" si="40"/>
        <v>21231.272727272706</v>
      </c>
      <c r="N1335" s="52">
        <f t="shared" si="41"/>
        <v>0.25664175824175806</v>
      </c>
    </row>
    <row r="1336" spans="1:14" x14ac:dyDescent="0.3">
      <c r="A1336" t="str">
        <f>정규화데이터!A1336</f>
        <v>리씽크</v>
      </c>
      <c r="B1336">
        <f>정규화데이터!B1336</f>
        <v>2.0260207173531599E+18</v>
      </c>
      <c r="C1336" t="str">
        <f>정규화데이터!C1336</f>
        <v xml:space="preserve">워커힐 본갈비 3+1 최초❤️5만원대! 총1.2kg✨호텔특제 양념갈비 8인분 (✨1인분 7,375원꼴! / [300g,2인분] x 총 4팩  / ✨초이스등급 본갈비 / ❣️워커힐 </v>
      </c>
      <c r="D1336">
        <f>정규화데이터!D1336</f>
        <v>143790</v>
      </c>
      <c r="E1336" s="16" t="str">
        <f>정규화데이터!E1336</f>
        <v>SKU001</v>
      </c>
      <c r="F1336" s="3">
        <f>정규화데이터!F1336</f>
        <v>1</v>
      </c>
      <c r="G1336" s="3">
        <f>정규화데이터!G1336</f>
        <v>41363.636363636302</v>
      </c>
      <c r="H1336" s="3">
        <f>정규화데이터!H1336</f>
        <v>45499.999999999935</v>
      </c>
      <c r="I1336" s="3">
        <f>정규화데이터!I1336</f>
        <v>45500</v>
      </c>
      <c r="J1336" s="3">
        <f>정규화데이터!J1336</f>
        <v>41363.636363636302</v>
      </c>
      <c r="K1336" s="25">
        <f>정규화데이터!K1336</f>
        <v>30748</v>
      </c>
      <c r="L1336" s="25">
        <f>정규화데이터!L1336</f>
        <v>30748</v>
      </c>
      <c r="M1336" s="21">
        <f t="shared" si="40"/>
        <v>10615.636363636302</v>
      </c>
      <c r="N1336" s="52">
        <f t="shared" si="41"/>
        <v>0.25664175824175711</v>
      </c>
    </row>
    <row r="1337" spans="1:14" x14ac:dyDescent="0.3">
      <c r="A1337" t="str">
        <f>정규화데이터!A1337</f>
        <v>리씽크</v>
      </c>
      <c r="B1337">
        <f>정규화데이터!B1337</f>
        <v>2.0260207172626099E+18</v>
      </c>
      <c r="C1337" t="str">
        <f>정규화데이터!C1337</f>
        <v xml:space="preserve">워커힐 본갈비 3+1 최초❤️5만원대! 총1.2kg✨호텔특제 양념갈비 8인분 (✨1인분 7,375원꼴! / [300g,2인분] x 총 4팩  / ✨초이스등급 본갈비 / ❣️워커힐 </v>
      </c>
      <c r="D1337">
        <f>정규화데이터!D1337</f>
        <v>143790</v>
      </c>
      <c r="E1337" s="16" t="str">
        <f>정규화데이터!E1337</f>
        <v>SKU001</v>
      </c>
      <c r="F1337" s="3">
        <f>정규화데이터!F1337</f>
        <v>1</v>
      </c>
      <c r="G1337" s="3">
        <f>정규화데이터!G1337</f>
        <v>41363.636363636302</v>
      </c>
      <c r="H1337" s="3">
        <f>정규화데이터!H1337</f>
        <v>45499.999999999935</v>
      </c>
      <c r="I1337" s="3">
        <f>정규화데이터!I1337</f>
        <v>45500</v>
      </c>
      <c r="J1337" s="3">
        <f>정규화데이터!J1337</f>
        <v>41363.636363636302</v>
      </c>
      <c r="K1337" s="25">
        <f>정규화데이터!K1337</f>
        <v>30748</v>
      </c>
      <c r="L1337" s="25">
        <f>정규화데이터!L1337</f>
        <v>30748</v>
      </c>
      <c r="M1337" s="21">
        <f t="shared" si="40"/>
        <v>10615.636363636302</v>
      </c>
      <c r="N1337" s="52">
        <f t="shared" si="41"/>
        <v>0.25664175824175711</v>
      </c>
    </row>
    <row r="1338" spans="1:14" x14ac:dyDescent="0.3">
      <c r="A1338" t="str">
        <f>정규화데이터!A1338</f>
        <v>리씽크</v>
      </c>
      <c r="B1338">
        <f>정규화데이터!B1338</f>
        <v>2.0260207172507599E+18</v>
      </c>
      <c r="C1338" t="str">
        <f>정규화데이터!C1338</f>
        <v xml:space="preserve">워커힐 본갈비 3+1 최초❤️5만원대! 총1.2kg✨호텔특제 양념갈비 8인분 (✨1인분 7,375원꼴! / [300g,2인분] x 총 4팩  / ✨초이스등급 본갈비 / ❣️워커힐 </v>
      </c>
      <c r="D1338">
        <f>정규화데이터!D1338</f>
        <v>143790</v>
      </c>
      <c r="E1338" s="16" t="str">
        <f>정규화데이터!E1338</f>
        <v>SKU001</v>
      </c>
      <c r="F1338" s="3">
        <f>정규화데이터!F1338</f>
        <v>1</v>
      </c>
      <c r="G1338" s="3">
        <f>정규화데이터!G1338</f>
        <v>41363.636363636302</v>
      </c>
      <c r="H1338" s="3">
        <f>정규화데이터!H1338</f>
        <v>45499.999999999935</v>
      </c>
      <c r="I1338" s="3">
        <f>정규화데이터!I1338</f>
        <v>45500</v>
      </c>
      <c r="J1338" s="3">
        <f>정규화데이터!J1338</f>
        <v>41363.636363636302</v>
      </c>
      <c r="K1338" s="25">
        <f>정규화데이터!K1338</f>
        <v>30748</v>
      </c>
      <c r="L1338" s="25">
        <f>정규화데이터!L1338</f>
        <v>30748</v>
      </c>
      <c r="M1338" s="21">
        <f t="shared" si="40"/>
        <v>10615.636363636302</v>
      </c>
      <c r="N1338" s="52">
        <f t="shared" si="41"/>
        <v>0.25664175824175711</v>
      </c>
    </row>
    <row r="1339" spans="1:14" x14ac:dyDescent="0.3">
      <c r="A1339" t="str">
        <f>정규화데이터!A1339</f>
        <v>리씽크</v>
      </c>
      <c r="B1339">
        <f>정규화데이터!B1339</f>
        <v>2.0260207170851799E+18</v>
      </c>
      <c r="C1339" t="str">
        <f>정규화데이터!C1339</f>
        <v xml:space="preserve">워커힐 본갈비 3+1 최초❤️5만원대! 총1.2kg✨호텔특제 양념갈비 8인분 (✨1인분 7,375원꼴! / [300g,2인분] x 총 4팩  / ✨초이스등급 본갈비 / ❣️워커힐 </v>
      </c>
      <c r="D1339">
        <f>정규화데이터!D1339</f>
        <v>143790</v>
      </c>
      <c r="E1339" s="16" t="str">
        <f>정규화데이터!E1339</f>
        <v>SKU001</v>
      </c>
      <c r="F1339" s="3">
        <f>정규화데이터!F1339</f>
        <v>1</v>
      </c>
      <c r="G1339" s="3">
        <f>정규화데이터!G1339</f>
        <v>41363.636363636302</v>
      </c>
      <c r="H1339" s="3">
        <f>정규화데이터!H1339</f>
        <v>45499.999999999935</v>
      </c>
      <c r="I1339" s="3">
        <f>정규화데이터!I1339</f>
        <v>45500</v>
      </c>
      <c r="J1339" s="3">
        <f>정규화데이터!J1339</f>
        <v>41363.636363636302</v>
      </c>
      <c r="K1339" s="25">
        <f>정규화데이터!K1339</f>
        <v>30748</v>
      </c>
      <c r="L1339" s="25">
        <f>정규화데이터!L1339</f>
        <v>30748</v>
      </c>
      <c r="M1339" s="21">
        <f t="shared" si="40"/>
        <v>10615.636363636302</v>
      </c>
      <c r="N1339" s="52">
        <f t="shared" si="41"/>
        <v>0.25664175824175711</v>
      </c>
    </row>
    <row r="1340" spans="1:14" x14ac:dyDescent="0.3">
      <c r="A1340" t="str">
        <f>정규화데이터!A1340</f>
        <v>리씽크</v>
      </c>
      <c r="B1340">
        <f>정규화데이터!B1340</f>
        <v>2.0260207161914501E+18</v>
      </c>
      <c r="C1340" t="str">
        <f>정규화데이터!C1340</f>
        <v xml:space="preserve">워커힐 본갈비 3+1 최초❤️5만원대! 총1.2kg✨호텔특제 양념갈비 8인분 (✨1인분 7,375원꼴! / [300g,2인분] x 총 4팩  / ✨초이스등급 본갈비 / ❣️워커힐 </v>
      </c>
      <c r="D1340">
        <f>정규화데이터!D1340</f>
        <v>143790</v>
      </c>
      <c r="E1340" s="16" t="str">
        <f>정규화데이터!E1340</f>
        <v>SKU001</v>
      </c>
      <c r="F1340" s="3">
        <f>정규화데이터!F1340</f>
        <v>2</v>
      </c>
      <c r="G1340" s="3">
        <f>정규화데이터!G1340</f>
        <v>41363.636363636353</v>
      </c>
      <c r="H1340" s="3">
        <f>정규화데이터!H1340</f>
        <v>91000</v>
      </c>
      <c r="I1340" s="3">
        <f>정규화데이터!I1340</f>
        <v>91000</v>
      </c>
      <c r="J1340" s="3">
        <f>정규화데이터!J1340</f>
        <v>82727.272727272706</v>
      </c>
      <c r="K1340" s="25">
        <f>정규화데이터!K1340</f>
        <v>30748</v>
      </c>
      <c r="L1340" s="25">
        <f>정규화데이터!L1340</f>
        <v>61496</v>
      </c>
      <c r="M1340" s="21">
        <f t="shared" si="40"/>
        <v>21231.272727272706</v>
      </c>
      <c r="N1340" s="52">
        <f t="shared" si="41"/>
        <v>0.25664175824175806</v>
      </c>
    </row>
    <row r="1341" spans="1:14" x14ac:dyDescent="0.3">
      <c r="A1341" t="str">
        <f>정규화데이터!A1341</f>
        <v>리씽크</v>
      </c>
      <c r="B1341">
        <f>정규화데이터!B1341</f>
        <v>2.02602071613293E+18</v>
      </c>
      <c r="C1341" t="str">
        <f>정규화데이터!C1341</f>
        <v xml:space="preserve">워커힐 본갈비 3+1 최초❤️5만원대! 총1.2kg✨호텔특제 양념갈비 8인분 (✨1인분 7,375원꼴! / [300g,2인분] x 총 4팩  / ✨초이스등급 본갈비 / ❣️워커힐 </v>
      </c>
      <c r="D1341">
        <f>정규화데이터!D1341</f>
        <v>143790</v>
      </c>
      <c r="E1341" s="16" t="str">
        <f>정규화데이터!E1341</f>
        <v>SKU001</v>
      </c>
      <c r="F1341" s="3">
        <f>정규화데이터!F1341</f>
        <v>1</v>
      </c>
      <c r="G1341" s="3">
        <f>정규화데이터!G1341</f>
        <v>41363.636363636302</v>
      </c>
      <c r="H1341" s="3">
        <f>정규화데이터!H1341</f>
        <v>45499.999999999935</v>
      </c>
      <c r="I1341" s="3">
        <f>정규화데이터!I1341</f>
        <v>45500</v>
      </c>
      <c r="J1341" s="3">
        <f>정규화데이터!J1341</f>
        <v>41363.636363636302</v>
      </c>
      <c r="K1341" s="25">
        <f>정규화데이터!K1341</f>
        <v>30748</v>
      </c>
      <c r="L1341" s="25">
        <f>정규화데이터!L1341</f>
        <v>30748</v>
      </c>
      <c r="M1341" s="21">
        <f t="shared" si="40"/>
        <v>10615.636363636302</v>
      </c>
      <c r="N1341" s="52">
        <f t="shared" si="41"/>
        <v>0.25664175824175711</v>
      </c>
    </row>
    <row r="1342" spans="1:14" x14ac:dyDescent="0.3">
      <c r="A1342" t="str">
        <f>정규화데이터!A1342</f>
        <v>리씽크</v>
      </c>
      <c r="B1342">
        <f>정규화데이터!B1342</f>
        <v>2.0260207154808901E+18</v>
      </c>
      <c r="C1342" t="str">
        <f>정규화데이터!C1342</f>
        <v xml:space="preserve">워커힐 본갈비 3+1 최초❤️5만원대! 총1.2kg✨호텔특제 양념갈비 8인분 (✨1인분 7,375원꼴! / [300g,2인분] x 총 4팩  / ✨초이스등급 본갈비 / ❣️워커힐 </v>
      </c>
      <c r="D1342">
        <f>정규화데이터!D1342</f>
        <v>143790</v>
      </c>
      <c r="E1342" s="16" t="str">
        <f>정규화데이터!E1342</f>
        <v>SKU001</v>
      </c>
      <c r="F1342" s="3">
        <f>정규화데이터!F1342</f>
        <v>1</v>
      </c>
      <c r="G1342" s="3">
        <f>정규화데이터!G1342</f>
        <v>41363.636363636302</v>
      </c>
      <c r="H1342" s="3">
        <f>정규화데이터!H1342</f>
        <v>45499.999999999935</v>
      </c>
      <c r="I1342" s="3">
        <f>정규화데이터!I1342</f>
        <v>45500</v>
      </c>
      <c r="J1342" s="3">
        <f>정규화데이터!J1342</f>
        <v>41363.636363636302</v>
      </c>
      <c r="K1342" s="25">
        <f>정규화데이터!K1342</f>
        <v>30748</v>
      </c>
      <c r="L1342" s="25">
        <f>정규화데이터!L1342</f>
        <v>30748</v>
      </c>
      <c r="M1342" s="21">
        <f t="shared" si="40"/>
        <v>10615.636363636302</v>
      </c>
      <c r="N1342" s="52">
        <f t="shared" si="41"/>
        <v>0.25664175824175711</v>
      </c>
    </row>
    <row r="1343" spans="1:14" x14ac:dyDescent="0.3">
      <c r="A1343" t="str">
        <f>정규화데이터!A1343</f>
        <v>리씽크</v>
      </c>
      <c r="B1343">
        <f>정규화데이터!B1343</f>
        <v>2.0260207154655401E+18</v>
      </c>
      <c r="C1343" t="str">
        <f>정규화데이터!C1343</f>
        <v xml:space="preserve">워커힐 본갈비 3+1 최초❤️5만원대! 총1.2kg✨호텔특제 양념갈비 8인분 (✨1인분 7,375원꼴! / [300g,2인분] x 총 4팩  / ✨초이스등급 본갈비 / ❣️워커힐 </v>
      </c>
      <c r="D1343">
        <f>정규화데이터!D1343</f>
        <v>143790</v>
      </c>
      <c r="E1343" s="16" t="str">
        <f>정규화데이터!E1343</f>
        <v>SKU001</v>
      </c>
      <c r="F1343" s="3">
        <f>정규화데이터!F1343</f>
        <v>1</v>
      </c>
      <c r="G1343" s="3">
        <f>정규화데이터!G1343</f>
        <v>41363.636363636302</v>
      </c>
      <c r="H1343" s="3">
        <f>정규화데이터!H1343</f>
        <v>45499.999999999935</v>
      </c>
      <c r="I1343" s="3">
        <f>정규화데이터!I1343</f>
        <v>45500</v>
      </c>
      <c r="J1343" s="3">
        <f>정규화데이터!J1343</f>
        <v>41363.636363636302</v>
      </c>
      <c r="K1343" s="25">
        <f>정규화데이터!K1343</f>
        <v>30748</v>
      </c>
      <c r="L1343" s="25">
        <f>정규화데이터!L1343</f>
        <v>30748</v>
      </c>
      <c r="M1343" s="21">
        <f t="shared" si="40"/>
        <v>10615.636363636302</v>
      </c>
      <c r="N1343" s="52">
        <f t="shared" si="41"/>
        <v>0.25664175824175711</v>
      </c>
    </row>
    <row r="1344" spans="1:14" x14ac:dyDescent="0.3">
      <c r="A1344" t="str">
        <f>정규화데이터!A1344</f>
        <v>리씽크</v>
      </c>
      <c r="B1344">
        <f>정규화데이터!B1344</f>
        <v>2.02602071521458E+18</v>
      </c>
      <c r="C1344" t="str">
        <f>정규화데이터!C1344</f>
        <v xml:space="preserve">워커힐 본갈비 3+1 최초❤️5만원대! 총1.2kg✨호텔특제 양념갈비 8인분 (✨1인분 7,375원꼴! / [300g,2인분] x 총 4팩  / ✨초이스등급 본갈비 / ❣️워커힐 </v>
      </c>
      <c r="D1344">
        <f>정규화데이터!D1344</f>
        <v>143790</v>
      </c>
      <c r="E1344" s="16" t="str">
        <f>정규화데이터!E1344</f>
        <v>SKU001</v>
      </c>
      <c r="F1344" s="3">
        <f>정규화데이터!F1344</f>
        <v>1</v>
      </c>
      <c r="G1344" s="3">
        <f>정규화데이터!G1344</f>
        <v>41363.636363636302</v>
      </c>
      <c r="H1344" s="3">
        <f>정규화데이터!H1344</f>
        <v>45499.999999999935</v>
      </c>
      <c r="I1344" s="3">
        <f>정규화데이터!I1344</f>
        <v>45500</v>
      </c>
      <c r="J1344" s="3">
        <f>정규화데이터!J1344</f>
        <v>41363.636363636302</v>
      </c>
      <c r="K1344" s="25">
        <f>정규화데이터!K1344</f>
        <v>30748</v>
      </c>
      <c r="L1344" s="25">
        <f>정규화데이터!L1344</f>
        <v>30748</v>
      </c>
      <c r="M1344" s="21">
        <f t="shared" si="40"/>
        <v>10615.636363636302</v>
      </c>
      <c r="N1344" s="52">
        <f t="shared" si="41"/>
        <v>0.25664175824175711</v>
      </c>
    </row>
    <row r="1345" spans="1:14" x14ac:dyDescent="0.3">
      <c r="A1345" t="str">
        <f>정규화데이터!A1345</f>
        <v>리씽크</v>
      </c>
      <c r="B1345">
        <f>정규화데이터!B1345</f>
        <v>2.02602071341539E+18</v>
      </c>
      <c r="C1345" t="str">
        <f>정규화데이터!C1345</f>
        <v xml:space="preserve">워커힐 본갈비 3+1 최초❤️5만원대! 총1.2kg✨호텔특제 양념갈비 8인분 (✨1인분 7,375원꼴! / [300g,2인분] x 총 4팩  / ✨초이스등급 본갈비 / ❣️워커힐 </v>
      </c>
      <c r="D1345">
        <f>정규화데이터!D1345</f>
        <v>143790</v>
      </c>
      <c r="E1345" s="16" t="str">
        <f>정규화데이터!E1345</f>
        <v>SKU001</v>
      </c>
      <c r="F1345" s="3">
        <f>정규화데이터!F1345</f>
        <v>2</v>
      </c>
      <c r="G1345" s="3">
        <f>정규화데이터!G1345</f>
        <v>41363.636363636353</v>
      </c>
      <c r="H1345" s="3">
        <f>정규화데이터!H1345</f>
        <v>91000</v>
      </c>
      <c r="I1345" s="3">
        <f>정규화데이터!I1345</f>
        <v>91000</v>
      </c>
      <c r="J1345" s="3">
        <f>정규화데이터!J1345</f>
        <v>82727.272727272706</v>
      </c>
      <c r="K1345" s="25">
        <f>정규화데이터!K1345</f>
        <v>30748</v>
      </c>
      <c r="L1345" s="25">
        <f>정규화데이터!L1345</f>
        <v>61496</v>
      </c>
      <c r="M1345" s="21">
        <f t="shared" si="40"/>
        <v>21231.272727272706</v>
      </c>
      <c r="N1345" s="52">
        <f t="shared" si="41"/>
        <v>0.25664175824175806</v>
      </c>
    </row>
    <row r="1346" spans="1:14" x14ac:dyDescent="0.3">
      <c r="A1346" t="str">
        <f>정규화데이터!A1346</f>
        <v>리씽크</v>
      </c>
      <c r="B1346">
        <f>정규화데이터!B1346</f>
        <v>2.0260207133936699E+18</v>
      </c>
      <c r="C1346" t="str">
        <f>정규화데이터!C1346</f>
        <v xml:space="preserve">워커힐 본갈비 3+1 최초❤️5만원대! 총1.2kg✨호텔특제 양념갈비 8인분 (✨1인분 7,375원꼴! / [300g,2인분] x 총 4팩  / ✨초이스등급 본갈비 / ❣️워커힐 </v>
      </c>
      <c r="D1346">
        <f>정규화데이터!D1346</f>
        <v>143790</v>
      </c>
      <c r="E1346" s="16" t="str">
        <f>정규화데이터!E1346</f>
        <v>SKU001</v>
      </c>
      <c r="F1346" s="3">
        <f>정규화데이터!F1346</f>
        <v>2</v>
      </c>
      <c r="G1346" s="3">
        <f>정규화데이터!G1346</f>
        <v>41363.636363636353</v>
      </c>
      <c r="H1346" s="3">
        <f>정규화데이터!H1346</f>
        <v>91000</v>
      </c>
      <c r="I1346" s="3">
        <f>정규화데이터!I1346</f>
        <v>91000</v>
      </c>
      <c r="J1346" s="3">
        <f>정규화데이터!J1346</f>
        <v>82727.272727272706</v>
      </c>
      <c r="K1346" s="25">
        <f>정규화데이터!K1346</f>
        <v>30748</v>
      </c>
      <c r="L1346" s="25">
        <f>정규화데이터!L1346</f>
        <v>61496</v>
      </c>
      <c r="M1346" s="21">
        <f t="shared" si="40"/>
        <v>21231.272727272706</v>
      </c>
      <c r="N1346" s="52">
        <f t="shared" si="41"/>
        <v>0.25664175824175806</v>
      </c>
    </row>
    <row r="1347" spans="1:14" x14ac:dyDescent="0.3">
      <c r="A1347" t="str">
        <f>정규화데이터!A1347</f>
        <v>리씽크</v>
      </c>
      <c r="B1347">
        <f>정규화데이터!B1347</f>
        <v>2.0260207133418601E+18</v>
      </c>
      <c r="C1347" t="str">
        <f>정규화데이터!C1347</f>
        <v xml:space="preserve">워커힐 본갈비 3+1 최초❤️5만원대! 총1.2kg✨호텔특제 양념갈비 8인분 (✨1인분 7,375원꼴! / [300g,2인분] x 총 4팩  / ✨초이스등급 본갈비 / ❣️워커힐 </v>
      </c>
      <c r="D1347">
        <f>정규화데이터!D1347</f>
        <v>143790</v>
      </c>
      <c r="E1347" s="16" t="str">
        <f>정규화데이터!E1347</f>
        <v>SKU001</v>
      </c>
      <c r="F1347" s="3">
        <f>정규화데이터!F1347</f>
        <v>2</v>
      </c>
      <c r="G1347" s="3">
        <f>정규화데이터!G1347</f>
        <v>41363.636363636353</v>
      </c>
      <c r="H1347" s="3">
        <f>정규화데이터!H1347</f>
        <v>91000</v>
      </c>
      <c r="I1347" s="3">
        <f>정규화데이터!I1347</f>
        <v>91000</v>
      </c>
      <c r="J1347" s="3">
        <f>정규화데이터!J1347</f>
        <v>82727.272727272706</v>
      </c>
      <c r="K1347" s="25">
        <f>정규화데이터!K1347</f>
        <v>30748</v>
      </c>
      <c r="L1347" s="25">
        <f>정규화데이터!L1347</f>
        <v>61496</v>
      </c>
      <c r="M1347" s="21">
        <f t="shared" ref="M1347:M1410" si="42">J1347-L1347</f>
        <v>21231.272727272706</v>
      </c>
      <c r="N1347" s="52">
        <f t="shared" ref="N1347:N1410" si="43">IF(J1347=0,0,M1347/J1347)</f>
        <v>0.25664175824175806</v>
      </c>
    </row>
    <row r="1348" spans="1:14" x14ac:dyDescent="0.3">
      <c r="A1348" t="str">
        <f>정규화데이터!A1348</f>
        <v>리씽크</v>
      </c>
      <c r="B1348">
        <f>정규화데이터!B1348</f>
        <v>2.02602071326035E+18</v>
      </c>
      <c r="C1348" t="str">
        <f>정규화데이터!C1348</f>
        <v xml:space="preserve">워커힐 본갈비 3+1 최초❤️5만원대! 총1.2kg✨호텔특제 양념갈비 8인분 (✨1인분 7,375원꼴! / [300g,2인분] x 총 4팩  / ✨초이스등급 본갈비 / ❣️워커힐 </v>
      </c>
      <c r="D1348">
        <f>정규화데이터!D1348</f>
        <v>143790</v>
      </c>
      <c r="E1348" s="16" t="str">
        <f>정규화데이터!E1348</f>
        <v>SKU001</v>
      </c>
      <c r="F1348" s="3">
        <f>정규화데이터!F1348</f>
        <v>1</v>
      </c>
      <c r="G1348" s="3">
        <f>정규화데이터!G1348</f>
        <v>41363.636363636302</v>
      </c>
      <c r="H1348" s="3">
        <f>정규화데이터!H1348</f>
        <v>45499.999999999935</v>
      </c>
      <c r="I1348" s="3">
        <f>정규화데이터!I1348</f>
        <v>45500</v>
      </c>
      <c r="J1348" s="3">
        <f>정규화데이터!J1348</f>
        <v>41363.636363636302</v>
      </c>
      <c r="K1348" s="25">
        <f>정규화데이터!K1348</f>
        <v>30748</v>
      </c>
      <c r="L1348" s="25">
        <f>정규화데이터!L1348</f>
        <v>30748</v>
      </c>
      <c r="M1348" s="21">
        <f t="shared" si="42"/>
        <v>10615.636363636302</v>
      </c>
      <c r="N1348" s="52">
        <f t="shared" si="43"/>
        <v>0.25664175824175711</v>
      </c>
    </row>
    <row r="1349" spans="1:14" x14ac:dyDescent="0.3">
      <c r="A1349" t="str">
        <f>정규화데이터!A1349</f>
        <v>리씽크</v>
      </c>
      <c r="B1349">
        <f>정규화데이터!B1349</f>
        <v>2.02602071311325E+18</v>
      </c>
      <c r="C1349" t="str">
        <f>정규화데이터!C1349</f>
        <v xml:space="preserve">워커힐 본갈비 3+1 최초❤️5만원대! 총1.2kg✨호텔특제 양념갈비 8인분 (✨1인분 7,375원꼴! / [300g,2인분] x 총 4팩  / ✨초이스등급 본갈비 / ❣️워커힐 </v>
      </c>
      <c r="D1349">
        <f>정규화데이터!D1349</f>
        <v>143790</v>
      </c>
      <c r="E1349" s="16" t="str">
        <f>정규화데이터!E1349</f>
        <v>SKU001</v>
      </c>
      <c r="F1349" s="3">
        <f>정규화데이터!F1349</f>
        <v>1</v>
      </c>
      <c r="G1349" s="3">
        <f>정규화데이터!G1349</f>
        <v>41363.636363636302</v>
      </c>
      <c r="H1349" s="3">
        <f>정규화데이터!H1349</f>
        <v>45499.999999999935</v>
      </c>
      <c r="I1349" s="3">
        <f>정규화데이터!I1349</f>
        <v>45500</v>
      </c>
      <c r="J1349" s="3">
        <f>정규화데이터!J1349</f>
        <v>41363.636363636302</v>
      </c>
      <c r="K1349" s="25">
        <f>정규화데이터!K1349</f>
        <v>30748</v>
      </c>
      <c r="L1349" s="25">
        <f>정규화데이터!L1349</f>
        <v>30748</v>
      </c>
      <c r="M1349" s="21">
        <f t="shared" si="42"/>
        <v>10615.636363636302</v>
      </c>
      <c r="N1349" s="52">
        <f t="shared" si="43"/>
        <v>0.25664175824175711</v>
      </c>
    </row>
    <row r="1350" spans="1:14" x14ac:dyDescent="0.3">
      <c r="A1350" t="str">
        <f>정규화데이터!A1350</f>
        <v>리씽크</v>
      </c>
      <c r="B1350">
        <f>정규화데이터!B1350</f>
        <v>2.02602071309345E+18</v>
      </c>
      <c r="C1350" t="str">
        <f>정규화데이터!C1350</f>
        <v xml:space="preserve">워커힐 본갈비 3+1 최초❤️5만원대! 총1.2kg✨호텔특제 양념갈비 8인분 (✨1인분 7,375원꼴! / [300g,2인분] x 총 4팩  / ✨초이스등급 본갈비 / ❣️워커힐 </v>
      </c>
      <c r="D1350">
        <f>정규화데이터!D1350</f>
        <v>143790</v>
      </c>
      <c r="E1350" s="16" t="str">
        <f>정규화데이터!E1350</f>
        <v>SKU001</v>
      </c>
      <c r="F1350" s="3">
        <f>정규화데이터!F1350</f>
        <v>1</v>
      </c>
      <c r="G1350" s="3">
        <f>정규화데이터!G1350</f>
        <v>41363.636363636302</v>
      </c>
      <c r="H1350" s="3">
        <f>정규화데이터!H1350</f>
        <v>45499.999999999935</v>
      </c>
      <c r="I1350" s="3">
        <f>정규화데이터!I1350</f>
        <v>45500</v>
      </c>
      <c r="J1350" s="3">
        <f>정규화데이터!J1350</f>
        <v>41363.636363636302</v>
      </c>
      <c r="K1350" s="25">
        <f>정규화데이터!K1350</f>
        <v>30748</v>
      </c>
      <c r="L1350" s="25">
        <f>정규화데이터!L1350</f>
        <v>30748</v>
      </c>
      <c r="M1350" s="21">
        <f t="shared" si="42"/>
        <v>10615.636363636302</v>
      </c>
      <c r="N1350" s="52">
        <f t="shared" si="43"/>
        <v>0.25664175824175711</v>
      </c>
    </row>
    <row r="1351" spans="1:14" x14ac:dyDescent="0.3">
      <c r="A1351" t="str">
        <f>정규화데이터!A1351</f>
        <v>리씽크</v>
      </c>
      <c r="B1351">
        <f>정규화데이터!B1351</f>
        <v>2.02602071244413E+18</v>
      </c>
      <c r="C1351" t="str">
        <f>정규화데이터!C1351</f>
        <v xml:space="preserve">워커힐 본갈비 3+1 최초❤️5만원대! 총1.2kg✨호텔특제 양념갈비 8인분 (✨1인분 7,375원꼴! / [300g,2인분] x 총 4팩  / ✨초이스등급 본갈비 / ❣️워커힐 </v>
      </c>
      <c r="D1351">
        <f>정규화데이터!D1351</f>
        <v>143790</v>
      </c>
      <c r="E1351" s="16" t="str">
        <f>정규화데이터!E1351</f>
        <v>SKU001</v>
      </c>
      <c r="F1351" s="3">
        <f>정규화데이터!F1351</f>
        <v>1</v>
      </c>
      <c r="G1351" s="3">
        <f>정규화데이터!G1351</f>
        <v>41363.636363636302</v>
      </c>
      <c r="H1351" s="3">
        <f>정규화데이터!H1351</f>
        <v>45499.999999999935</v>
      </c>
      <c r="I1351" s="3">
        <f>정규화데이터!I1351</f>
        <v>45500</v>
      </c>
      <c r="J1351" s="3">
        <f>정규화데이터!J1351</f>
        <v>41363.636363636302</v>
      </c>
      <c r="K1351" s="25">
        <f>정규화데이터!K1351</f>
        <v>30748</v>
      </c>
      <c r="L1351" s="25">
        <f>정규화데이터!L1351</f>
        <v>30748</v>
      </c>
      <c r="M1351" s="21">
        <f t="shared" si="42"/>
        <v>10615.636363636302</v>
      </c>
      <c r="N1351" s="52">
        <f t="shared" si="43"/>
        <v>0.25664175824175711</v>
      </c>
    </row>
    <row r="1352" spans="1:14" x14ac:dyDescent="0.3">
      <c r="A1352" t="str">
        <f>정규화데이터!A1352</f>
        <v>리씽크</v>
      </c>
      <c r="B1352">
        <f>정규화데이터!B1352</f>
        <v>2.02602071213501E+18</v>
      </c>
      <c r="C1352" t="str">
        <f>정규화데이터!C1352</f>
        <v xml:space="preserve">워커힐 본갈비 3+1 최초❤️5만원대! 총1.2kg✨호텔특제 양념갈비 8인분 (✨1인분 7,375원꼴! / [300g,2인분] x 총 4팩  / ✨초이스등급 본갈비 / ❣️워커힐 </v>
      </c>
      <c r="D1352">
        <f>정규화데이터!D1352</f>
        <v>143790</v>
      </c>
      <c r="E1352" s="16" t="str">
        <f>정규화데이터!E1352</f>
        <v>SKU001</v>
      </c>
      <c r="F1352" s="3">
        <f>정규화데이터!F1352</f>
        <v>1</v>
      </c>
      <c r="G1352" s="3">
        <f>정규화데이터!G1352</f>
        <v>41363.636363636302</v>
      </c>
      <c r="H1352" s="3">
        <f>정규화데이터!H1352</f>
        <v>45499.999999999935</v>
      </c>
      <c r="I1352" s="3">
        <f>정규화데이터!I1352</f>
        <v>45500</v>
      </c>
      <c r="J1352" s="3">
        <f>정규화데이터!J1352</f>
        <v>41363.636363636302</v>
      </c>
      <c r="K1352" s="25">
        <f>정규화데이터!K1352</f>
        <v>30748</v>
      </c>
      <c r="L1352" s="25">
        <f>정규화데이터!L1352</f>
        <v>30748</v>
      </c>
      <c r="M1352" s="21">
        <f t="shared" si="42"/>
        <v>10615.636363636302</v>
      </c>
      <c r="N1352" s="52">
        <f t="shared" si="43"/>
        <v>0.25664175824175711</v>
      </c>
    </row>
    <row r="1353" spans="1:14" x14ac:dyDescent="0.3">
      <c r="A1353" t="str">
        <f>정규화데이터!A1353</f>
        <v>리씽크</v>
      </c>
      <c r="B1353">
        <f>정규화데이터!B1353</f>
        <v>2.0260207113601001E+18</v>
      </c>
      <c r="C1353" t="str">
        <f>정규화데이터!C1353</f>
        <v xml:space="preserve">워커힐 본갈비 3+1 최초❤️5만원대! 총1.2kg✨호텔특제 양념갈비 8인분 (✨1인분 7,375원꼴! / [300g,2인분] x 총 4팩  / ✨초이스등급 본갈비 / ❣️워커힐 </v>
      </c>
      <c r="D1353">
        <f>정규화데이터!D1353</f>
        <v>143790</v>
      </c>
      <c r="E1353" s="16" t="str">
        <f>정규화데이터!E1353</f>
        <v>SKU001</v>
      </c>
      <c r="F1353" s="3">
        <f>정규화데이터!F1353</f>
        <v>1</v>
      </c>
      <c r="G1353" s="3">
        <f>정규화데이터!G1353</f>
        <v>41363.636363636302</v>
      </c>
      <c r="H1353" s="3">
        <f>정규화데이터!H1353</f>
        <v>45499.999999999935</v>
      </c>
      <c r="I1353" s="3">
        <f>정규화데이터!I1353</f>
        <v>45500</v>
      </c>
      <c r="J1353" s="3">
        <f>정규화데이터!J1353</f>
        <v>41363.636363636302</v>
      </c>
      <c r="K1353" s="25">
        <f>정규화데이터!K1353</f>
        <v>30748</v>
      </c>
      <c r="L1353" s="25">
        <f>정규화데이터!L1353</f>
        <v>30748</v>
      </c>
      <c r="M1353" s="21">
        <f t="shared" si="42"/>
        <v>10615.636363636302</v>
      </c>
      <c r="N1353" s="52">
        <f t="shared" si="43"/>
        <v>0.25664175824175711</v>
      </c>
    </row>
    <row r="1354" spans="1:14" x14ac:dyDescent="0.3">
      <c r="A1354" t="str">
        <f>정규화데이터!A1354</f>
        <v>리씽크</v>
      </c>
      <c r="B1354">
        <f>정규화데이터!B1354</f>
        <v>2.0260207113215099E+18</v>
      </c>
      <c r="C1354" t="str">
        <f>정규화데이터!C1354</f>
        <v xml:space="preserve">워커힐 본갈비 3+1 최초❤️5만원대! 총1.2kg✨호텔특제 양념갈비 8인분 (✨1인분 7,375원꼴! / [300g,2인분] x 총 4팩  / ✨초이스등급 본갈비 / ❣️워커힐 </v>
      </c>
      <c r="D1354">
        <f>정규화데이터!D1354</f>
        <v>143790</v>
      </c>
      <c r="E1354" s="16" t="str">
        <f>정규화데이터!E1354</f>
        <v>SKU001</v>
      </c>
      <c r="F1354" s="3">
        <f>정규화데이터!F1354</f>
        <v>1</v>
      </c>
      <c r="G1354" s="3">
        <f>정규화데이터!G1354</f>
        <v>41363.636363636302</v>
      </c>
      <c r="H1354" s="3">
        <f>정규화데이터!H1354</f>
        <v>45499.999999999935</v>
      </c>
      <c r="I1354" s="3">
        <f>정규화데이터!I1354</f>
        <v>45500</v>
      </c>
      <c r="J1354" s="3">
        <f>정규화데이터!J1354</f>
        <v>41363.636363636302</v>
      </c>
      <c r="K1354" s="25">
        <f>정규화데이터!K1354</f>
        <v>30748</v>
      </c>
      <c r="L1354" s="25">
        <f>정규화데이터!L1354</f>
        <v>30748</v>
      </c>
      <c r="M1354" s="21">
        <f t="shared" si="42"/>
        <v>10615.636363636302</v>
      </c>
      <c r="N1354" s="52">
        <f t="shared" si="43"/>
        <v>0.25664175824175711</v>
      </c>
    </row>
    <row r="1355" spans="1:14" x14ac:dyDescent="0.3">
      <c r="A1355" t="str">
        <f>정규화데이터!A1355</f>
        <v>리씽크</v>
      </c>
      <c r="B1355">
        <f>정규화데이터!B1355</f>
        <v>2.0260207111112901E+18</v>
      </c>
      <c r="C1355" t="str">
        <f>정규화데이터!C1355</f>
        <v xml:space="preserve">워커힐 본갈비 3+1 최초❤️5만원대! 총1.2kg✨호텔특제 양념갈비 8인분 (✨1인분 7,375원꼴! / [300g,2인분] x 총 4팩  / ✨초이스등급 본갈비 / ❣️워커힐 </v>
      </c>
      <c r="D1355">
        <f>정규화데이터!D1355</f>
        <v>143790</v>
      </c>
      <c r="E1355" s="16" t="str">
        <f>정규화데이터!E1355</f>
        <v>SKU001</v>
      </c>
      <c r="F1355" s="3">
        <f>정규화데이터!F1355</f>
        <v>1</v>
      </c>
      <c r="G1355" s="3">
        <f>정규화데이터!G1355</f>
        <v>41363.636363636302</v>
      </c>
      <c r="H1355" s="3">
        <f>정규화데이터!H1355</f>
        <v>45499.999999999935</v>
      </c>
      <c r="I1355" s="3">
        <f>정규화데이터!I1355</f>
        <v>45500</v>
      </c>
      <c r="J1355" s="3">
        <f>정규화데이터!J1355</f>
        <v>41363.636363636302</v>
      </c>
      <c r="K1355" s="25">
        <f>정규화데이터!K1355</f>
        <v>30748</v>
      </c>
      <c r="L1355" s="25">
        <f>정규화데이터!L1355</f>
        <v>30748</v>
      </c>
      <c r="M1355" s="21">
        <f t="shared" si="42"/>
        <v>10615.636363636302</v>
      </c>
      <c r="N1355" s="52">
        <f t="shared" si="43"/>
        <v>0.25664175824175711</v>
      </c>
    </row>
    <row r="1356" spans="1:14" x14ac:dyDescent="0.3">
      <c r="A1356" t="str">
        <f>정규화데이터!A1356</f>
        <v>리씽크</v>
      </c>
      <c r="B1356">
        <f>정규화데이터!B1356</f>
        <v>2.0260207105635899E+18</v>
      </c>
      <c r="C1356" t="str">
        <f>정규화데이터!C1356</f>
        <v xml:space="preserve">워커힐 본갈비 3+1 최초❤️5만원대! 총1.2kg✨호텔특제 양념갈비 8인분 (✨1인분 7,375원꼴! / [300g,2인분] x 총 4팩  / ✨초이스등급 본갈비 / ❣️워커힐 </v>
      </c>
      <c r="D1356">
        <f>정규화데이터!D1356</f>
        <v>143790</v>
      </c>
      <c r="E1356" s="16" t="str">
        <f>정규화데이터!E1356</f>
        <v>SKU001</v>
      </c>
      <c r="F1356" s="3">
        <f>정규화데이터!F1356</f>
        <v>1</v>
      </c>
      <c r="G1356" s="3">
        <f>정규화데이터!G1356</f>
        <v>41363.636363636302</v>
      </c>
      <c r="H1356" s="3">
        <f>정규화데이터!H1356</f>
        <v>45499.999999999935</v>
      </c>
      <c r="I1356" s="3">
        <f>정규화데이터!I1356</f>
        <v>45500</v>
      </c>
      <c r="J1356" s="3">
        <f>정규화데이터!J1356</f>
        <v>41363.636363636302</v>
      </c>
      <c r="K1356" s="25">
        <f>정규화데이터!K1356</f>
        <v>30748</v>
      </c>
      <c r="L1356" s="25">
        <f>정규화데이터!L1356</f>
        <v>30748</v>
      </c>
      <c r="M1356" s="21">
        <f t="shared" si="42"/>
        <v>10615.636363636302</v>
      </c>
      <c r="N1356" s="52">
        <f t="shared" si="43"/>
        <v>0.25664175824175711</v>
      </c>
    </row>
    <row r="1357" spans="1:14" x14ac:dyDescent="0.3">
      <c r="A1357" t="str">
        <f>정규화데이터!A1357</f>
        <v>리씽크</v>
      </c>
      <c r="B1357">
        <f>정규화데이터!B1357</f>
        <v>2.0260207105816699E+18</v>
      </c>
      <c r="C1357" t="str">
        <f>정규화데이터!C1357</f>
        <v xml:space="preserve">워커힐 본갈비 3+1 최초❤️5만원대! 총1.2kg✨호텔특제 양념갈비 8인분 (✨1인분 7,375원꼴! / [300g,2인분] x 총 4팩  / ✨초이스등급 본갈비 / ❣️워커힐 </v>
      </c>
      <c r="D1357">
        <f>정규화데이터!D1357</f>
        <v>143790</v>
      </c>
      <c r="E1357" s="16" t="str">
        <f>정규화데이터!E1357</f>
        <v>SKU001</v>
      </c>
      <c r="F1357" s="3">
        <f>정규화데이터!F1357</f>
        <v>1</v>
      </c>
      <c r="G1357" s="3">
        <f>정규화데이터!G1357</f>
        <v>41363.636363636302</v>
      </c>
      <c r="H1357" s="3">
        <f>정규화데이터!H1357</f>
        <v>45499.999999999935</v>
      </c>
      <c r="I1357" s="3">
        <f>정규화데이터!I1357</f>
        <v>45500</v>
      </c>
      <c r="J1357" s="3">
        <f>정규화데이터!J1357</f>
        <v>41363.636363636302</v>
      </c>
      <c r="K1357" s="25">
        <f>정규화데이터!K1357</f>
        <v>30748</v>
      </c>
      <c r="L1357" s="25">
        <f>정규화데이터!L1357</f>
        <v>30748</v>
      </c>
      <c r="M1357" s="21">
        <f t="shared" si="42"/>
        <v>10615.636363636302</v>
      </c>
      <c r="N1357" s="52">
        <f t="shared" si="43"/>
        <v>0.25664175824175711</v>
      </c>
    </row>
    <row r="1358" spans="1:14" x14ac:dyDescent="0.3">
      <c r="A1358" t="str">
        <f>정규화데이터!A1358</f>
        <v>리씽크</v>
      </c>
      <c r="B1358">
        <f>정규화데이터!B1358</f>
        <v>2.0260207104243599E+18</v>
      </c>
      <c r="C1358" t="str">
        <f>정규화데이터!C1358</f>
        <v xml:space="preserve">워커힐 본갈비 3+1 최초❤️5만원대! 총1.2kg✨호텔특제 양념갈비 8인분 (✨1인분 7,375원꼴! / [300g,2인분] x 총 4팩  / ✨초이스등급 본갈비 / ❣️워커힐 </v>
      </c>
      <c r="D1358">
        <f>정규화데이터!D1358</f>
        <v>143790</v>
      </c>
      <c r="E1358" s="16" t="str">
        <f>정규화데이터!E1358</f>
        <v>SKU001</v>
      </c>
      <c r="F1358" s="3">
        <f>정규화데이터!F1358</f>
        <v>2</v>
      </c>
      <c r="G1358" s="3">
        <f>정규화데이터!G1358</f>
        <v>41363.636363636353</v>
      </c>
      <c r="H1358" s="3">
        <f>정규화데이터!H1358</f>
        <v>91000</v>
      </c>
      <c r="I1358" s="3">
        <f>정규화데이터!I1358</f>
        <v>91000</v>
      </c>
      <c r="J1358" s="3">
        <f>정규화데이터!J1358</f>
        <v>82727.272727272706</v>
      </c>
      <c r="K1358" s="25">
        <f>정규화데이터!K1358</f>
        <v>30748</v>
      </c>
      <c r="L1358" s="25">
        <f>정규화데이터!L1358</f>
        <v>61496</v>
      </c>
      <c r="M1358" s="21">
        <f t="shared" si="42"/>
        <v>21231.272727272706</v>
      </c>
      <c r="N1358" s="52">
        <f t="shared" si="43"/>
        <v>0.25664175824175806</v>
      </c>
    </row>
    <row r="1359" spans="1:14" x14ac:dyDescent="0.3">
      <c r="A1359" t="str">
        <f>정규화데이터!A1359</f>
        <v>리씽크</v>
      </c>
      <c r="B1359">
        <f>정규화데이터!B1359</f>
        <v>2.0260207103343201E+18</v>
      </c>
      <c r="C1359" t="str">
        <f>정규화데이터!C1359</f>
        <v xml:space="preserve">워커힐 본갈비 3+1 최초❤️5만원대! 총1.2kg✨호텔특제 양념갈비 8인분 (✨1인분 7,375원꼴! / [300g,2인분] x 총 4팩  / ✨초이스등급 본갈비 / ❣️워커힐 </v>
      </c>
      <c r="D1359">
        <f>정규화데이터!D1359</f>
        <v>143790</v>
      </c>
      <c r="E1359" s="16" t="str">
        <f>정규화데이터!E1359</f>
        <v>SKU001</v>
      </c>
      <c r="F1359" s="3">
        <f>정규화데이터!F1359</f>
        <v>1</v>
      </c>
      <c r="G1359" s="3">
        <f>정규화데이터!G1359</f>
        <v>41363.636363636302</v>
      </c>
      <c r="H1359" s="3">
        <f>정규화데이터!H1359</f>
        <v>45499.999999999935</v>
      </c>
      <c r="I1359" s="3">
        <f>정규화데이터!I1359</f>
        <v>45500</v>
      </c>
      <c r="J1359" s="3">
        <f>정규화데이터!J1359</f>
        <v>41363.636363636302</v>
      </c>
      <c r="K1359" s="25">
        <f>정규화데이터!K1359</f>
        <v>30748</v>
      </c>
      <c r="L1359" s="25">
        <f>정규화데이터!L1359</f>
        <v>30748</v>
      </c>
      <c r="M1359" s="21">
        <f t="shared" si="42"/>
        <v>10615.636363636302</v>
      </c>
      <c r="N1359" s="52">
        <f t="shared" si="43"/>
        <v>0.25664175824175711</v>
      </c>
    </row>
    <row r="1360" spans="1:14" x14ac:dyDescent="0.3">
      <c r="A1360" t="str">
        <f>정규화데이터!A1360</f>
        <v>리씽크</v>
      </c>
      <c r="B1360">
        <f>정규화데이터!B1360</f>
        <v>2.02602071031199E+18</v>
      </c>
      <c r="C1360" t="str">
        <f>정규화데이터!C1360</f>
        <v xml:space="preserve">워커힐 본갈비 3+1 최초❤️5만원대! 총1.2kg✨호텔특제 양념갈비 8인분 (✨1인분 7,375원꼴! / [300g,2인분] x 총 4팩  / ✨초이스등급 본갈비 / ❣️워커힐 </v>
      </c>
      <c r="D1360">
        <f>정규화데이터!D1360</f>
        <v>143790</v>
      </c>
      <c r="E1360" s="16" t="str">
        <f>정규화데이터!E1360</f>
        <v>SKU001</v>
      </c>
      <c r="F1360" s="3">
        <f>정규화데이터!F1360</f>
        <v>2</v>
      </c>
      <c r="G1360" s="3">
        <f>정규화데이터!G1360</f>
        <v>41363.636363636353</v>
      </c>
      <c r="H1360" s="3">
        <f>정규화데이터!H1360</f>
        <v>91000</v>
      </c>
      <c r="I1360" s="3">
        <f>정규화데이터!I1360</f>
        <v>91000</v>
      </c>
      <c r="J1360" s="3">
        <f>정규화데이터!J1360</f>
        <v>82727.272727272706</v>
      </c>
      <c r="K1360" s="25">
        <f>정규화데이터!K1360</f>
        <v>30748</v>
      </c>
      <c r="L1360" s="25">
        <f>정규화데이터!L1360</f>
        <v>61496</v>
      </c>
      <c r="M1360" s="21">
        <f t="shared" si="42"/>
        <v>21231.272727272706</v>
      </c>
      <c r="N1360" s="52">
        <f t="shared" si="43"/>
        <v>0.25664175824175806</v>
      </c>
    </row>
    <row r="1361" spans="1:14" x14ac:dyDescent="0.3">
      <c r="A1361" t="str">
        <f>정규화데이터!A1361</f>
        <v>리씽크</v>
      </c>
      <c r="B1361">
        <f>정규화데이터!B1361</f>
        <v>2.0260207100626601E+18</v>
      </c>
      <c r="C1361" t="str">
        <f>정규화데이터!C1361</f>
        <v xml:space="preserve">워커힐 본갈비 3+1 최초❤️5만원대! 총1.2kg✨호텔특제 양념갈비 8인분 (✨1인분 7,375원꼴! / [300g,2인분] x 총 4팩  / ✨초이스등급 본갈비 / ❣️워커힐 </v>
      </c>
      <c r="D1361">
        <f>정규화데이터!D1361</f>
        <v>143790</v>
      </c>
      <c r="E1361" s="16" t="str">
        <f>정규화데이터!E1361</f>
        <v>SKU001</v>
      </c>
      <c r="F1361" s="3">
        <f>정규화데이터!F1361</f>
        <v>2</v>
      </c>
      <c r="G1361" s="3">
        <f>정규화데이터!G1361</f>
        <v>41363.636363636353</v>
      </c>
      <c r="H1361" s="3">
        <f>정규화데이터!H1361</f>
        <v>91000</v>
      </c>
      <c r="I1361" s="3">
        <f>정규화데이터!I1361</f>
        <v>91000</v>
      </c>
      <c r="J1361" s="3">
        <f>정규화데이터!J1361</f>
        <v>82727.272727272706</v>
      </c>
      <c r="K1361" s="25">
        <f>정규화데이터!K1361</f>
        <v>30748</v>
      </c>
      <c r="L1361" s="25">
        <f>정규화데이터!L1361</f>
        <v>61496</v>
      </c>
      <c r="M1361" s="21">
        <f t="shared" si="42"/>
        <v>21231.272727272706</v>
      </c>
      <c r="N1361" s="52">
        <f t="shared" si="43"/>
        <v>0.25664175824175806</v>
      </c>
    </row>
    <row r="1362" spans="1:14" x14ac:dyDescent="0.3">
      <c r="A1362" t="str">
        <f>정규화데이터!A1362</f>
        <v>리씽크</v>
      </c>
      <c r="B1362">
        <f>정규화데이터!B1362</f>
        <v>2.0260207094224499E+18</v>
      </c>
      <c r="C1362" t="str">
        <f>정규화데이터!C1362</f>
        <v xml:space="preserve">워커힐 본갈비 3+1 최초❤️5만원대! 총1.2kg✨호텔특제 양념갈비 8인분 (✨1인분 7,375원꼴! / [300g,2인분] x 총 4팩  / ✨초이스등급 본갈비 / ❣️워커힐 </v>
      </c>
      <c r="D1362">
        <f>정규화데이터!D1362</f>
        <v>143790</v>
      </c>
      <c r="E1362" s="16" t="str">
        <f>정규화데이터!E1362</f>
        <v>SKU001</v>
      </c>
      <c r="F1362" s="3">
        <f>정규화데이터!F1362</f>
        <v>1</v>
      </c>
      <c r="G1362" s="3">
        <f>정규화데이터!G1362</f>
        <v>41363.636363636302</v>
      </c>
      <c r="H1362" s="3">
        <f>정규화데이터!H1362</f>
        <v>45499.999999999935</v>
      </c>
      <c r="I1362" s="3">
        <f>정규화데이터!I1362</f>
        <v>45500</v>
      </c>
      <c r="J1362" s="3">
        <f>정규화데이터!J1362</f>
        <v>41363.636363636302</v>
      </c>
      <c r="K1362" s="25">
        <f>정규화데이터!K1362</f>
        <v>30748</v>
      </c>
      <c r="L1362" s="25">
        <f>정규화데이터!L1362</f>
        <v>30748</v>
      </c>
      <c r="M1362" s="21">
        <f t="shared" si="42"/>
        <v>10615.636363636302</v>
      </c>
      <c r="N1362" s="52">
        <f t="shared" si="43"/>
        <v>0.25664175824175711</v>
      </c>
    </row>
    <row r="1363" spans="1:14" x14ac:dyDescent="0.3">
      <c r="A1363" t="str">
        <f>정규화데이터!A1363</f>
        <v>리씽크</v>
      </c>
      <c r="B1363">
        <f>정규화데이터!B1363</f>
        <v>2.0260207092644101E+18</v>
      </c>
      <c r="C1363" t="str">
        <f>정규화데이터!C1363</f>
        <v xml:space="preserve">워커힐 본갈비 3+1 최초❤️5만원대! 총1.2kg✨호텔특제 양념갈비 8인분 (✨1인분 7,375원꼴! / [300g,2인분] x 총 4팩  / ✨초이스등급 본갈비 / ❣️워커힐 </v>
      </c>
      <c r="D1363">
        <f>정규화데이터!D1363</f>
        <v>143790</v>
      </c>
      <c r="E1363" s="16" t="str">
        <f>정규화데이터!E1363</f>
        <v>SKU001</v>
      </c>
      <c r="F1363" s="3">
        <f>정규화데이터!F1363</f>
        <v>1</v>
      </c>
      <c r="G1363" s="3">
        <f>정규화데이터!G1363</f>
        <v>41363.636363636302</v>
      </c>
      <c r="H1363" s="3">
        <f>정규화데이터!H1363</f>
        <v>45499.999999999935</v>
      </c>
      <c r="I1363" s="3">
        <f>정규화데이터!I1363</f>
        <v>45500</v>
      </c>
      <c r="J1363" s="3">
        <f>정규화데이터!J1363</f>
        <v>41363.636363636302</v>
      </c>
      <c r="K1363" s="25">
        <f>정규화데이터!K1363</f>
        <v>30748</v>
      </c>
      <c r="L1363" s="25">
        <f>정규화데이터!L1363</f>
        <v>30748</v>
      </c>
      <c r="M1363" s="21">
        <f t="shared" si="42"/>
        <v>10615.636363636302</v>
      </c>
      <c r="N1363" s="52">
        <f t="shared" si="43"/>
        <v>0.25664175824175711</v>
      </c>
    </row>
    <row r="1364" spans="1:14" x14ac:dyDescent="0.3">
      <c r="A1364" t="str">
        <f>정규화데이터!A1364</f>
        <v>리씽크</v>
      </c>
      <c r="B1364">
        <f>정규화데이터!B1364</f>
        <v>2.0260207085223601E+18</v>
      </c>
      <c r="C1364" t="str">
        <f>정규화데이터!C1364</f>
        <v xml:space="preserve">워커힐 본갈비 3+1 최초❤️5만원대! 총1.2kg✨호텔특제 양념갈비 8인분 (✨1인분 7,375원꼴! / [300g,2인분] x 총 4팩  / ✨초이스등급 본갈비 / ❣️워커힐 </v>
      </c>
      <c r="D1364">
        <f>정규화데이터!D1364</f>
        <v>143790</v>
      </c>
      <c r="E1364" s="16" t="str">
        <f>정규화데이터!E1364</f>
        <v>SKU001</v>
      </c>
      <c r="F1364" s="3">
        <f>정규화데이터!F1364</f>
        <v>1</v>
      </c>
      <c r="G1364" s="3">
        <f>정규화데이터!G1364</f>
        <v>41363.636363636302</v>
      </c>
      <c r="H1364" s="3">
        <f>정규화데이터!H1364</f>
        <v>45499.999999999935</v>
      </c>
      <c r="I1364" s="3">
        <f>정규화데이터!I1364</f>
        <v>45500</v>
      </c>
      <c r="J1364" s="3">
        <f>정규화데이터!J1364</f>
        <v>41363.636363636302</v>
      </c>
      <c r="K1364" s="25">
        <f>정규화데이터!K1364</f>
        <v>30748</v>
      </c>
      <c r="L1364" s="25">
        <f>정규화데이터!L1364</f>
        <v>30748</v>
      </c>
      <c r="M1364" s="21">
        <f t="shared" si="42"/>
        <v>10615.636363636302</v>
      </c>
      <c r="N1364" s="52">
        <f t="shared" si="43"/>
        <v>0.25664175824175711</v>
      </c>
    </row>
    <row r="1365" spans="1:14" x14ac:dyDescent="0.3">
      <c r="A1365" t="str">
        <f>정규화데이터!A1365</f>
        <v>리씽크</v>
      </c>
      <c r="B1365">
        <f>정규화데이터!B1365</f>
        <v>2.02602070839246E+18</v>
      </c>
      <c r="C1365" t="str">
        <f>정규화데이터!C1365</f>
        <v xml:space="preserve">워커힐 본갈비 3+1 최초❤️5만원대! 총1.2kg✨호텔특제 양념갈비 8인분 (✨1인분 7,375원꼴! / [300g,2인분] x 총 4팩  / ✨초이스등급 본갈비 / ❣️워커힐 </v>
      </c>
      <c r="D1365">
        <f>정규화데이터!D1365</f>
        <v>143790</v>
      </c>
      <c r="E1365" s="16" t="str">
        <f>정규화데이터!E1365</f>
        <v>SKU001</v>
      </c>
      <c r="F1365" s="3">
        <f>정규화데이터!F1365</f>
        <v>1</v>
      </c>
      <c r="G1365" s="3">
        <f>정규화데이터!G1365</f>
        <v>41363.636363636302</v>
      </c>
      <c r="H1365" s="3">
        <f>정규화데이터!H1365</f>
        <v>45499.999999999935</v>
      </c>
      <c r="I1365" s="3">
        <f>정규화데이터!I1365</f>
        <v>45500</v>
      </c>
      <c r="J1365" s="3">
        <f>정규화데이터!J1365</f>
        <v>41363.636363636302</v>
      </c>
      <c r="K1365" s="25">
        <f>정규화데이터!K1365</f>
        <v>30748</v>
      </c>
      <c r="L1365" s="25">
        <f>정규화데이터!L1365</f>
        <v>30748</v>
      </c>
      <c r="M1365" s="21">
        <f t="shared" si="42"/>
        <v>10615.636363636302</v>
      </c>
      <c r="N1365" s="52">
        <f t="shared" si="43"/>
        <v>0.25664175824175711</v>
      </c>
    </row>
    <row r="1366" spans="1:14" x14ac:dyDescent="0.3">
      <c r="A1366" t="str">
        <f>정규화데이터!A1366</f>
        <v>리씽크</v>
      </c>
      <c r="B1366">
        <f>정규화데이터!B1366</f>
        <v>2.0260207082640499E+18</v>
      </c>
      <c r="C1366" t="str">
        <f>정규화데이터!C1366</f>
        <v xml:space="preserve">워커힐 본갈비 3+1 최초❤️5만원대! 총1.2kg✨호텔특제 양념갈비 8인분 (✨1인분 7,375원꼴! / [300g,2인분] x 총 4팩  / ✨초이스등급 본갈비 / ❣️워커힐 </v>
      </c>
      <c r="D1366">
        <f>정규화데이터!D1366</f>
        <v>143790</v>
      </c>
      <c r="E1366" s="16" t="str">
        <f>정규화데이터!E1366</f>
        <v>SKU001</v>
      </c>
      <c r="F1366" s="3">
        <f>정규화데이터!F1366</f>
        <v>2</v>
      </c>
      <c r="G1366" s="3">
        <f>정규화데이터!G1366</f>
        <v>41363.636363636353</v>
      </c>
      <c r="H1366" s="3">
        <f>정규화데이터!H1366</f>
        <v>91000</v>
      </c>
      <c r="I1366" s="3">
        <f>정규화데이터!I1366</f>
        <v>91000</v>
      </c>
      <c r="J1366" s="3">
        <f>정규화데이터!J1366</f>
        <v>82727.272727272706</v>
      </c>
      <c r="K1366" s="25">
        <f>정규화데이터!K1366</f>
        <v>30748</v>
      </c>
      <c r="L1366" s="25">
        <f>정규화데이터!L1366</f>
        <v>61496</v>
      </c>
      <c r="M1366" s="21">
        <f t="shared" si="42"/>
        <v>21231.272727272706</v>
      </c>
      <c r="N1366" s="52">
        <f t="shared" si="43"/>
        <v>0.25664175824175806</v>
      </c>
    </row>
    <row r="1367" spans="1:14" x14ac:dyDescent="0.3">
      <c r="A1367" t="str">
        <f>정규화데이터!A1367</f>
        <v>리씽크</v>
      </c>
      <c r="B1367">
        <f>정규화데이터!B1367</f>
        <v>2.02602070822499E+18</v>
      </c>
      <c r="C1367" t="str">
        <f>정규화데이터!C1367</f>
        <v xml:space="preserve">워커힐 본갈비 3+1 최초❤️5만원대! 총1.2kg✨호텔특제 양념갈비 8인분 (✨1인분 7,375원꼴! / [300g,2인분] x 총 4팩  / ✨초이스등급 본갈비 / ❣️워커힐 </v>
      </c>
      <c r="D1367">
        <f>정규화데이터!D1367</f>
        <v>143790</v>
      </c>
      <c r="E1367" s="16" t="str">
        <f>정규화데이터!E1367</f>
        <v>SKU001</v>
      </c>
      <c r="F1367" s="3">
        <f>정규화데이터!F1367</f>
        <v>1</v>
      </c>
      <c r="G1367" s="3">
        <f>정규화데이터!G1367</f>
        <v>41363.636363636302</v>
      </c>
      <c r="H1367" s="3">
        <f>정규화데이터!H1367</f>
        <v>45499.999999999935</v>
      </c>
      <c r="I1367" s="3">
        <f>정규화데이터!I1367</f>
        <v>45500</v>
      </c>
      <c r="J1367" s="3">
        <f>정규화데이터!J1367</f>
        <v>41363.636363636302</v>
      </c>
      <c r="K1367" s="25">
        <f>정규화데이터!K1367</f>
        <v>30748</v>
      </c>
      <c r="L1367" s="25">
        <f>정규화데이터!L1367</f>
        <v>30748</v>
      </c>
      <c r="M1367" s="21">
        <f t="shared" si="42"/>
        <v>10615.636363636302</v>
      </c>
      <c r="N1367" s="52">
        <f t="shared" si="43"/>
        <v>0.25664175824175711</v>
      </c>
    </row>
    <row r="1368" spans="1:14" x14ac:dyDescent="0.3">
      <c r="A1368" t="str">
        <f>정규화데이터!A1368</f>
        <v>리씽크</v>
      </c>
      <c r="B1368">
        <f>정규화데이터!B1368</f>
        <v>2.02602070805235E+18</v>
      </c>
      <c r="C1368" t="str">
        <f>정규화데이터!C1368</f>
        <v xml:space="preserve">워커힐 본갈비 3+1 최초❤️5만원대! 총1.2kg✨호텔특제 양념갈비 8인분 (✨1인분 7,375원꼴! / [300g,2인분] x 총 4팩  / ✨초이스등급 본갈비 / ❣️워커힐 </v>
      </c>
      <c r="D1368">
        <f>정규화데이터!D1368</f>
        <v>143790</v>
      </c>
      <c r="E1368" s="16" t="str">
        <f>정규화데이터!E1368</f>
        <v>SKU001</v>
      </c>
      <c r="F1368" s="3">
        <f>정규화데이터!F1368</f>
        <v>1</v>
      </c>
      <c r="G1368" s="3">
        <f>정규화데이터!G1368</f>
        <v>41363.636363636302</v>
      </c>
      <c r="H1368" s="3">
        <f>정규화데이터!H1368</f>
        <v>45499.999999999935</v>
      </c>
      <c r="I1368" s="3">
        <f>정규화데이터!I1368</f>
        <v>45500</v>
      </c>
      <c r="J1368" s="3">
        <f>정규화데이터!J1368</f>
        <v>41363.636363636302</v>
      </c>
      <c r="K1368" s="25">
        <f>정규화데이터!K1368</f>
        <v>30748</v>
      </c>
      <c r="L1368" s="25">
        <f>정규화데이터!L1368</f>
        <v>30748</v>
      </c>
      <c r="M1368" s="21">
        <f t="shared" si="42"/>
        <v>10615.636363636302</v>
      </c>
      <c r="N1368" s="52">
        <f t="shared" si="43"/>
        <v>0.25664175824175711</v>
      </c>
    </row>
    <row r="1369" spans="1:14" x14ac:dyDescent="0.3">
      <c r="A1369" t="str">
        <f>정규화데이터!A1369</f>
        <v>리씽크</v>
      </c>
      <c r="B1369">
        <f>정규화데이터!B1369</f>
        <v>2.0260207080237499E+18</v>
      </c>
      <c r="C1369" t="str">
        <f>정규화데이터!C1369</f>
        <v xml:space="preserve">워커힐 본갈비 3+1 최초❤️5만원대! 총1.2kg✨호텔특제 양념갈비 8인분 (✨1인분 7,375원꼴! / [300g,2인분] x 총 4팩  / ✨초이스등급 본갈비 / ❣️워커힐 </v>
      </c>
      <c r="D1369">
        <f>정규화데이터!D1369</f>
        <v>143790</v>
      </c>
      <c r="E1369" s="16" t="str">
        <f>정규화데이터!E1369</f>
        <v>SKU001</v>
      </c>
      <c r="F1369" s="3">
        <f>정규화데이터!F1369</f>
        <v>2</v>
      </c>
      <c r="G1369" s="3">
        <f>정규화데이터!G1369</f>
        <v>41363.636363636353</v>
      </c>
      <c r="H1369" s="3">
        <f>정규화데이터!H1369</f>
        <v>91000</v>
      </c>
      <c r="I1369" s="3">
        <f>정규화데이터!I1369</f>
        <v>91000</v>
      </c>
      <c r="J1369" s="3">
        <f>정규화데이터!J1369</f>
        <v>82727.272727272706</v>
      </c>
      <c r="K1369" s="25">
        <f>정규화데이터!K1369</f>
        <v>30748</v>
      </c>
      <c r="L1369" s="25">
        <f>정규화데이터!L1369</f>
        <v>61496</v>
      </c>
      <c r="M1369" s="21">
        <f t="shared" si="42"/>
        <v>21231.272727272706</v>
      </c>
      <c r="N1369" s="52">
        <f t="shared" si="43"/>
        <v>0.25664175824175806</v>
      </c>
    </row>
    <row r="1370" spans="1:14" x14ac:dyDescent="0.3">
      <c r="A1370" t="str">
        <f>정규화데이터!A1370</f>
        <v>리씽크</v>
      </c>
      <c r="B1370">
        <f>정규화데이터!B1370</f>
        <v>2.02602070756223E+18</v>
      </c>
      <c r="C1370" t="str">
        <f>정규화데이터!C1370</f>
        <v xml:space="preserve">워커힐 본갈비 3+1 최초❤️5만원대! 총1.2kg✨호텔특제 양념갈비 8인분 (✨1인분 7,375원꼴! / [300g,2인분] x 총 4팩  / ✨초이스등급 본갈비 / ❣️워커힐 </v>
      </c>
      <c r="D1370">
        <f>정규화데이터!D1370</f>
        <v>143790</v>
      </c>
      <c r="E1370" s="16" t="str">
        <f>정규화데이터!E1370</f>
        <v>SKU001</v>
      </c>
      <c r="F1370" s="3">
        <f>정규화데이터!F1370</f>
        <v>2</v>
      </c>
      <c r="G1370" s="3">
        <f>정규화데이터!G1370</f>
        <v>41363.636363636353</v>
      </c>
      <c r="H1370" s="3">
        <f>정규화데이터!H1370</f>
        <v>91000</v>
      </c>
      <c r="I1370" s="3">
        <f>정규화데이터!I1370</f>
        <v>91000</v>
      </c>
      <c r="J1370" s="3">
        <f>정규화데이터!J1370</f>
        <v>82727.272727272706</v>
      </c>
      <c r="K1370" s="25">
        <f>정규화데이터!K1370</f>
        <v>30748</v>
      </c>
      <c r="L1370" s="25">
        <f>정규화데이터!L1370</f>
        <v>61496</v>
      </c>
      <c r="M1370" s="21">
        <f t="shared" si="42"/>
        <v>21231.272727272706</v>
      </c>
      <c r="N1370" s="52">
        <f t="shared" si="43"/>
        <v>0.25664175824175806</v>
      </c>
    </row>
    <row r="1371" spans="1:14" x14ac:dyDescent="0.3">
      <c r="A1371" t="str">
        <f>정규화데이터!A1371</f>
        <v>리씽크</v>
      </c>
      <c r="B1371">
        <f>정규화데이터!B1371</f>
        <v>2.0260207070451899E+18</v>
      </c>
      <c r="C1371" t="str">
        <f>정규화데이터!C1371</f>
        <v xml:space="preserve">워커힐 본갈비 3+1 최초❤️5만원대! 총1.2kg✨호텔특제 양념갈비 8인분 (✨1인분 7,375원꼴! / [300g,2인분] x 총 4팩  / ✨초이스등급 본갈비 / ❣️워커힐 </v>
      </c>
      <c r="D1371">
        <f>정규화데이터!D1371</f>
        <v>143790</v>
      </c>
      <c r="E1371" s="16" t="str">
        <f>정규화데이터!E1371</f>
        <v>SKU001</v>
      </c>
      <c r="F1371" s="3">
        <f>정규화데이터!F1371</f>
        <v>1</v>
      </c>
      <c r="G1371" s="3">
        <f>정규화데이터!G1371</f>
        <v>41363.636363636302</v>
      </c>
      <c r="H1371" s="3">
        <f>정규화데이터!H1371</f>
        <v>45499.999999999935</v>
      </c>
      <c r="I1371" s="3">
        <f>정규화데이터!I1371</f>
        <v>45500</v>
      </c>
      <c r="J1371" s="3">
        <f>정규화데이터!J1371</f>
        <v>41363.636363636302</v>
      </c>
      <c r="K1371" s="25">
        <f>정규화데이터!K1371</f>
        <v>30748</v>
      </c>
      <c r="L1371" s="25">
        <f>정규화데이터!L1371</f>
        <v>30748</v>
      </c>
      <c r="M1371" s="21">
        <f t="shared" si="42"/>
        <v>10615.636363636302</v>
      </c>
      <c r="N1371" s="52">
        <f t="shared" si="43"/>
        <v>0.25664175824175711</v>
      </c>
    </row>
    <row r="1372" spans="1:14" x14ac:dyDescent="0.3">
      <c r="A1372" t="str">
        <f>정규화데이터!A1372</f>
        <v>리씽크</v>
      </c>
      <c r="B1372">
        <f>정규화데이터!B1372</f>
        <v>2.0260207031306299E+18</v>
      </c>
      <c r="C1372" t="str">
        <f>정규화데이터!C1372</f>
        <v xml:space="preserve">워커힐 본갈비 3+1 최초❤️5만원대! 총1.2kg✨호텔특제 양념갈비 8인분 (✨1인분 7,375원꼴! / [300g,2인분] x 총 4팩  / ✨초이스등급 본갈비 / ❣️워커힐 </v>
      </c>
      <c r="D1372">
        <f>정규화데이터!D1372</f>
        <v>143790</v>
      </c>
      <c r="E1372" s="16" t="str">
        <f>정규화데이터!E1372</f>
        <v>SKU001</v>
      </c>
      <c r="F1372" s="3">
        <f>정규화데이터!F1372</f>
        <v>1</v>
      </c>
      <c r="G1372" s="3">
        <f>정규화데이터!G1372</f>
        <v>41363.636363636302</v>
      </c>
      <c r="H1372" s="3">
        <f>정규화데이터!H1372</f>
        <v>45499.999999999935</v>
      </c>
      <c r="I1372" s="3">
        <f>정규화데이터!I1372</f>
        <v>45500</v>
      </c>
      <c r="J1372" s="3">
        <f>정규화데이터!J1372</f>
        <v>41363.636363636302</v>
      </c>
      <c r="K1372" s="25">
        <f>정규화데이터!K1372</f>
        <v>30748</v>
      </c>
      <c r="L1372" s="25">
        <f>정규화데이터!L1372</f>
        <v>30748</v>
      </c>
      <c r="M1372" s="21">
        <f t="shared" si="42"/>
        <v>10615.636363636302</v>
      </c>
      <c r="N1372" s="52">
        <f t="shared" si="43"/>
        <v>0.25664175824175711</v>
      </c>
    </row>
    <row r="1373" spans="1:14" x14ac:dyDescent="0.3">
      <c r="A1373" t="str">
        <f>정규화데이터!A1373</f>
        <v>리씽크</v>
      </c>
      <c r="B1373">
        <f>정규화데이터!B1373</f>
        <v>2.0260207021143199E+18</v>
      </c>
      <c r="C1373" t="str">
        <f>정규화데이터!C1373</f>
        <v xml:space="preserve">워커힐 본갈비 3+1 최초❤️5만원대! 총1.2kg✨호텔특제 양념갈비 8인분 (✨1인분 7,375원꼴! / [300g,2인분] x 총 4팩  / ✨초이스등급 본갈비 / ❣️워커힐 </v>
      </c>
      <c r="D1373">
        <f>정규화데이터!D1373</f>
        <v>143790</v>
      </c>
      <c r="E1373" s="16" t="str">
        <f>정규화데이터!E1373</f>
        <v>SKU001</v>
      </c>
      <c r="F1373" s="3">
        <f>정규화데이터!F1373</f>
        <v>1</v>
      </c>
      <c r="G1373" s="3">
        <f>정규화데이터!G1373</f>
        <v>41363.636363636302</v>
      </c>
      <c r="H1373" s="3">
        <f>정규화데이터!H1373</f>
        <v>45499.999999999935</v>
      </c>
      <c r="I1373" s="3">
        <f>정규화데이터!I1373</f>
        <v>45500</v>
      </c>
      <c r="J1373" s="3">
        <f>정규화데이터!J1373</f>
        <v>41363.636363636302</v>
      </c>
      <c r="K1373" s="25">
        <f>정규화데이터!K1373</f>
        <v>30748</v>
      </c>
      <c r="L1373" s="25">
        <f>정규화데이터!L1373</f>
        <v>30748</v>
      </c>
      <c r="M1373" s="21">
        <f t="shared" si="42"/>
        <v>10615.636363636302</v>
      </c>
      <c r="N1373" s="52">
        <f t="shared" si="43"/>
        <v>0.25664175824175711</v>
      </c>
    </row>
    <row r="1374" spans="1:14" x14ac:dyDescent="0.3">
      <c r="A1374" t="str">
        <f>정규화데이터!A1374</f>
        <v>리씽크</v>
      </c>
      <c r="B1374">
        <f>정규화데이터!B1374</f>
        <v>2.0260207010353001E+18</v>
      </c>
      <c r="C1374" t="str">
        <f>정규화데이터!C1374</f>
        <v xml:space="preserve">워커힐 본갈비 3+1 최초❤️5만원대! 총1.2kg✨호텔특제 양념갈비 8인분 (✨1인분 7,375원꼴! / [300g,2인분] x 총 4팩  / ✨초이스등급 본갈비 / ❣️워커힐 </v>
      </c>
      <c r="D1374">
        <f>정규화데이터!D1374</f>
        <v>143790</v>
      </c>
      <c r="E1374" s="16" t="str">
        <f>정규화데이터!E1374</f>
        <v>SKU001</v>
      </c>
      <c r="F1374" s="3">
        <f>정규화데이터!F1374</f>
        <v>1</v>
      </c>
      <c r="G1374" s="3">
        <f>정규화데이터!G1374</f>
        <v>41363.636363636302</v>
      </c>
      <c r="H1374" s="3">
        <f>정규화데이터!H1374</f>
        <v>45499.999999999935</v>
      </c>
      <c r="I1374" s="3">
        <f>정규화데이터!I1374</f>
        <v>45500</v>
      </c>
      <c r="J1374" s="3">
        <f>정규화데이터!J1374</f>
        <v>41363.636363636302</v>
      </c>
      <c r="K1374" s="25">
        <f>정규화데이터!K1374</f>
        <v>30748</v>
      </c>
      <c r="L1374" s="25">
        <f>정규화데이터!L1374</f>
        <v>30748</v>
      </c>
      <c r="M1374" s="21">
        <f t="shared" si="42"/>
        <v>10615.636363636302</v>
      </c>
      <c r="N1374" s="52">
        <f t="shared" si="43"/>
        <v>0.25664175824175711</v>
      </c>
    </row>
    <row r="1375" spans="1:14" x14ac:dyDescent="0.3">
      <c r="A1375" t="str">
        <f>정규화데이터!A1375</f>
        <v>리씽크</v>
      </c>
      <c r="B1375">
        <f>정규화데이터!B1375</f>
        <v>2.0260207000159301E+18</v>
      </c>
      <c r="C1375" t="str">
        <f>정규화데이터!C1375</f>
        <v xml:space="preserve">워커힐 본갈비 3+1 최초❤️5만원대! 총1.2kg✨호텔특제 양념갈비 8인분 (✨1인분 7,375원꼴! / [300g,2인분] x 총 4팩  / ✨초이스등급 본갈비 / ❣️워커힐 </v>
      </c>
      <c r="D1375">
        <f>정규화데이터!D1375</f>
        <v>143790</v>
      </c>
      <c r="E1375" s="16" t="str">
        <f>정규화데이터!E1375</f>
        <v>SKU001</v>
      </c>
      <c r="F1375" s="3">
        <f>정규화데이터!F1375</f>
        <v>1</v>
      </c>
      <c r="G1375" s="3">
        <f>정규화데이터!G1375</f>
        <v>41363.636363636302</v>
      </c>
      <c r="H1375" s="3">
        <f>정규화데이터!H1375</f>
        <v>45499.999999999935</v>
      </c>
      <c r="I1375" s="3">
        <f>정규화데이터!I1375</f>
        <v>45500</v>
      </c>
      <c r="J1375" s="3">
        <f>정규화데이터!J1375</f>
        <v>41363.636363636302</v>
      </c>
      <c r="K1375" s="25">
        <f>정규화데이터!K1375</f>
        <v>30748</v>
      </c>
      <c r="L1375" s="25">
        <f>정규화데이터!L1375</f>
        <v>30748</v>
      </c>
      <c r="M1375" s="21">
        <f t="shared" si="42"/>
        <v>10615.636363636302</v>
      </c>
      <c r="N1375" s="52">
        <f t="shared" si="43"/>
        <v>0.25664175824175711</v>
      </c>
    </row>
    <row r="1376" spans="1:14" x14ac:dyDescent="0.3">
      <c r="A1376" t="str">
        <f>정규화데이터!A1376</f>
        <v>리씽크</v>
      </c>
      <c r="B1376">
        <f>정규화데이터!B1376</f>
        <v>2.02602062320144E+18</v>
      </c>
      <c r="C1376" t="str">
        <f>정규화데이터!C1376</f>
        <v xml:space="preserve">워커힐 본갈비 3+1 최초❤️5만원대! 총1.2kg✨호텔특제 양념갈비 8인분 (✨1인분 7,375원꼴! / [300g,2인분] x 총 4팩  / ✨초이스등급 본갈비 / ❣️워커힐 </v>
      </c>
      <c r="D1376">
        <f>정규화데이터!D1376</f>
        <v>143790</v>
      </c>
      <c r="E1376" s="16" t="str">
        <f>정규화데이터!E1376</f>
        <v>SKU001</v>
      </c>
      <c r="F1376" s="3">
        <f>정규화데이터!F1376</f>
        <v>2</v>
      </c>
      <c r="G1376" s="3">
        <f>정규화데이터!G1376</f>
        <v>41363.636363636353</v>
      </c>
      <c r="H1376" s="3">
        <f>정규화데이터!H1376</f>
        <v>91000</v>
      </c>
      <c r="I1376" s="3">
        <f>정규화데이터!I1376</f>
        <v>91000</v>
      </c>
      <c r="J1376" s="3">
        <f>정규화데이터!J1376</f>
        <v>82727.272727272706</v>
      </c>
      <c r="K1376" s="25">
        <f>정규화데이터!K1376</f>
        <v>30748</v>
      </c>
      <c r="L1376" s="25">
        <f>정규화데이터!L1376</f>
        <v>61496</v>
      </c>
      <c r="M1376" s="21">
        <f t="shared" si="42"/>
        <v>21231.272727272706</v>
      </c>
      <c r="N1376" s="52">
        <f t="shared" si="43"/>
        <v>0.25664175824175806</v>
      </c>
    </row>
    <row r="1377" spans="1:14" x14ac:dyDescent="0.3">
      <c r="A1377" t="str">
        <f>정규화데이터!A1377</f>
        <v>리씽크</v>
      </c>
      <c r="B1377">
        <f>정규화데이터!B1377</f>
        <v>2.02602062121136E+18</v>
      </c>
      <c r="C1377" t="str">
        <f>정규화데이터!C1377</f>
        <v xml:space="preserve">워커힐 본갈비 3+1 최초❤️5만원대! 총1.2kg✨호텔특제 양념갈비 8인분 (✨1인분 7,375원꼴! / [300g,2인분] x 총 4팩  / ✨초이스등급 본갈비 / ❣️워커힐 </v>
      </c>
      <c r="D1377">
        <f>정규화데이터!D1377</f>
        <v>143790</v>
      </c>
      <c r="E1377" s="16" t="str">
        <f>정규화데이터!E1377</f>
        <v>SKU001</v>
      </c>
      <c r="F1377" s="3">
        <f>정규화데이터!F1377</f>
        <v>1</v>
      </c>
      <c r="G1377" s="3">
        <f>정규화데이터!G1377</f>
        <v>41363.636363636302</v>
      </c>
      <c r="H1377" s="3">
        <f>정규화데이터!H1377</f>
        <v>45499.999999999935</v>
      </c>
      <c r="I1377" s="3">
        <f>정규화데이터!I1377</f>
        <v>45500</v>
      </c>
      <c r="J1377" s="3">
        <f>정규화데이터!J1377</f>
        <v>41363.636363636302</v>
      </c>
      <c r="K1377" s="25">
        <f>정규화데이터!K1377</f>
        <v>30748</v>
      </c>
      <c r="L1377" s="25">
        <f>정규화데이터!L1377</f>
        <v>30748</v>
      </c>
      <c r="M1377" s="21">
        <f t="shared" si="42"/>
        <v>10615.636363636302</v>
      </c>
      <c r="N1377" s="52">
        <f t="shared" si="43"/>
        <v>0.25664175824175711</v>
      </c>
    </row>
    <row r="1378" spans="1:14" x14ac:dyDescent="0.3">
      <c r="A1378" t="str">
        <f>정규화데이터!A1378</f>
        <v>리씽크</v>
      </c>
      <c r="B1378">
        <f>정규화데이터!B1378</f>
        <v>2.0260206211836201E+18</v>
      </c>
      <c r="C1378" t="str">
        <f>정규화데이터!C1378</f>
        <v xml:space="preserve">워커힐 본갈비 3+1 최초❤️5만원대! 총1.2kg✨호텔특제 양념갈비 8인분 (✨1인분 7,375원꼴! / [300g,2인분] x 총 4팩  / ✨초이스등급 본갈비 / ❣️워커힐 </v>
      </c>
      <c r="D1378">
        <f>정규화데이터!D1378</f>
        <v>143790</v>
      </c>
      <c r="E1378" s="16" t="str">
        <f>정규화데이터!E1378</f>
        <v>SKU001</v>
      </c>
      <c r="F1378" s="3">
        <f>정규화데이터!F1378</f>
        <v>1</v>
      </c>
      <c r="G1378" s="3">
        <f>정규화데이터!G1378</f>
        <v>41363.636363636302</v>
      </c>
      <c r="H1378" s="3">
        <f>정규화데이터!H1378</f>
        <v>45499.999999999935</v>
      </c>
      <c r="I1378" s="3">
        <f>정규화데이터!I1378</f>
        <v>45500</v>
      </c>
      <c r="J1378" s="3">
        <f>정규화데이터!J1378</f>
        <v>41363.636363636302</v>
      </c>
      <c r="K1378" s="25">
        <f>정규화데이터!K1378</f>
        <v>30748</v>
      </c>
      <c r="L1378" s="25">
        <f>정규화데이터!L1378</f>
        <v>30748</v>
      </c>
      <c r="M1378" s="21">
        <f t="shared" si="42"/>
        <v>10615.636363636302</v>
      </c>
      <c r="N1378" s="52">
        <f t="shared" si="43"/>
        <v>0.25664175824175711</v>
      </c>
    </row>
    <row r="1379" spans="1:14" x14ac:dyDescent="0.3">
      <c r="A1379" t="str">
        <f>정규화데이터!A1379</f>
        <v>리씽크</v>
      </c>
      <c r="B1379">
        <f>정규화데이터!B1379</f>
        <v>2.02602062109136E+18</v>
      </c>
      <c r="C1379" t="str">
        <f>정규화데이터!C1379</f>
        <v xml:space="preserve">워커힐 본갈비 3+1 최초❤️5만원대! 총1.2kg✨호텔특제 양념갈비 8인분 (✨1인분 7,375원꼴! / [300g,2인분] x 총 4팩  / ✨초이스등급 본갈비 / ❣️워커힐 </v>
      </c>
      <c r="D1379">
        <f>정규화데이터!D1379</f>
        <v>143790</v>
      </c>
      <c r="E1379" s="16" t="str">
        <f>정규화데이터!E1379</f>
        <v>SKU001</v>
      </c>
      <c r="F1379" s="3">
        <f>정규화데이터!F1379</f>
        <v>1</v>
      </c>
      <c r="G1379" s="3">
        <f>정규화데이터!G1379</f>
        <v>41363.636363636302</v>
      </c>
      <c r="H1379" s="3">
        <f>정규화데이터!H1379</f>
        <v>45499.999999999935</v>
      </c>
      <c r="I1379" s="3">
        <f>정규화데이터!I1379</f>
        <v>45500</v>
      </c>
      <c r="J1379" s="3">
        <f>정규화데이터!J1379</f>
        <v>41363.636363636302</v>
      </c>
      <c r="K1379" s="25">
        <f>정규화데이터!K1379</f>
        <v>30748</v>
      </c>
      <c r="L1379" s="25">
        <f>정규화데이터!L1379</f>
        <v>30748</v>
      </c>
      <c r="M1379" s="21">
        <f t="shared" si="42"/>
        <v>10615.636363636302</v>
      </c>
      <c r="N1379" s="52">
        <f t="shared" si="43"/>
        <v>0.25664175824175711</v>
      </c>
    </row>
    <row r="1380" spans="1:14" x14ac:dyDescent="0.3">
      <c r="A1380" t="str">
        <f>정규화데이터!A1380</f>
        <v>리씽크</v>
      </c>
      <c r="B1380">
        <f>정규화데이터!B1380</f>
        <v>2.0260206210955599E+18</v>
      </c>
      <c r="C1380" t="str">
        <f>정규화데이터!C1380</f>
        <v xml:space="preserve">워커힐 본갈비 3+1 최초❤️5만원대! 총1.2kg✨호텔특제 양념갈비 8인분 (✨1인분 7,375원꼴! / [300g,2인분] x 총 4팩  / ✨초이스등급 본갈비 / ❣️워커힐 </v>
      </c>
      <c r="D1380">
        <f>정규화데이터!D1380</f>
        <v>143790</v>
      </c>
      <c r="E1380" s="16" t="str">
        <f>정규화데이터!E1380</f>
        <v>SKU001</v>
      </c>
      <c r="F1380" s="3">
        <f>정규화데이터!F1380</f>
        <v>1</v>
      </c>
      <c r="G1380" s="3">
        <f>정규화데이터!G1380</f>
        <v>41363.636363636302</v>
      </c>
      <c r="H1380" s="3">
        <f>정규화데이터!H1380</f>
        <v>45499.999999999935</v>
      </c>
      <c r="I1380" s="3">
        <f>정규화데이터!I1380</f>
        <v>45500</v>
      </c>
      <c r="J1380" s="3">
        <f>정규화데이터!J1380</f>
        <v>41363.636363636302</v>
      </c>
      <c r="K1380" s="25">
        <f>정규화데이터!K1380</f>
        <v>30748</v>
      </c>
      <c r="L1380" s="25">
        <f>정규화데이터!L1380</f>
        <v>30748</v>
      </c>
      <c r="M1380" s="21">
        <f t="shared" si="42"/>
        <v>10615.636363636302</v>
      </c>
      <c r="N1380" s="52">
        <f t="shared" si="43"/>
        <v>0.25664175824175711</v>
      </c>
    </row>
    <row r="1381" spans="1:14" x14ac:dyDescent="0.3">
      <c r="A1381" t="str">
        <f>정규화데이터!A1381</f>
        <v>리씽크</v>
      </c>
      <c r="B1381">
        <f>정규화데이터!B1381</f>
        <v>2.0260206210703501E+18</v>
      </c>
      <c r="C1381" t="str">
        <f>정규화데이터!C1381</f>
        <v xml:space="preserve">워커힐 본갈비 3+1 최초❤️5만원대! 총1.2kg✨호텔특제 양념갈비 8인분 (✨1인분 7,375원꼴! / [300g,2인분] x 총 4팩  / ✨초이스등급 본갈비 / ❣️워커힐 </v>
      </c>
      <c r="D1381">
        <f>정규화데이터!D1381</f>
        <v>143790</v>
      </c>
      <c r="E1381" s="16" t="str">
        <f>정규화데이터!E1381</f>
        <v>SKU001</v>
      </c>
      <c r="F1381" s="3">
        <f>정규화데이터!F1381</f>
        <v>1</v>
      </c>
      <c r="G1381" s="3">
        <f>정규화데이터!G1381</f>
        <v>41363.636363636302</v>
      </c>
      <c r="H1381" s="3">
        <f>정규화데이터!H1381</f>
        <v>45499.999999999935</v>
      </c>
      <c r="I1381" s="3">
        <f>정규화데이터!I1381</f>
        <v>45500</v>
      </c>
      <c r="J1381" s="3">
        <f>정규화데이터!J1381</f>
        <v>41363.636363636302</v>
      </c>
      <c r="K1381" s="25">
        <f>정규화데이터!K1381</f>
        <v>30748</v>
      </c>
      <c r="L1381" s="25">
        <f>정규화데이터!L1381</f>
        <v>30748</v>
      </c>
      <c r="M1381" s="21">
        <f t="shared" si="42"/>
        <v>10615.636363636302</v>
      </c>
      <c r="N1381" s="52">
        <f t="shared" si="43"/>
        <v>0.25664175824175711</v>
      </c>
    </row>
    <row r="1382" spans="1:14" x14ac:dyDescent="0.3">
      <c r="A1382" t="str">
        <f>정규화데이터!A1382</f>
        <v>리씽크</v>
      </c>
      <c r="B1382">
        <f>정규화데이터!B1382</f>
        <v>2.0260206210732301E+18</v>
      </c>
      <c r="C1382" t="str">
        <f>정규화데이터!C1382</f>
        <v xml:space="preserve">워커힐 본갈비 3+1 최초❤️5만원대! 총1.2kg✨호텔특제 양념갈비 8인분 (✨1인분 7,375원꼴! / [300g,2인분] x 총 4팩  / ✨초이스등급 본갈비 / ❣️워커힐 </v>
      </c>
      <c r="D1382">
        <f>정규화데이터!D1382</f>
        <v>143790</v>
      </c>
      <c r="E1382" s="16" t="str">
        <f>정규화데이터!E1382</f>
        <v>SKU001</v>
      </c>
      <c r="F1382" s="3">
        <f>정규화데이터!F1382</f>
        <v>1</v>
      </c>
      <c r="G1382" s="3">
        <f>정규화데이터!G1382</f>
        <v>41363.636363636302</v>
      </c>
      <c r="H1382" s="3">
        <f>정규화데이터!H1382</f>
        <v>45499.999999999935</v>
      </c>
      <c r="I1382" s="3">
        <f>정규화데이터!I1382</f>
        <v>45500</v>
      </c>
      <c r="J1382" s="3">
        <f>정규화데이터!J1382</f>
        <v>41363.636363636302</v>
      </c>
      <c r="K1382" s="25">
        <f>정규화데이터!K1382</f>
        <v>30748</v>
      </c>
      <c r="L1382" s="25">
        <f>정규화데이터!L1382</f>
        <v>30748</v>
      </c>
      <c r="M1382" s="21">
        <f t="shared" si="42"/>
        <v>10615.636363636302</v>
      </c>
      <c r="N1382" s="52">
        <f t="shared" si="43"/>
        <v>0.25664175824175711</v>
      </c>
    </row>
    <row r="1383" spans="1:14" x14ac:dyDescent="0.3">
      <c r="A1383" t="str">
        <f>정규화데이터!A1383</f>
        <v>리씽크</v>
      </c>
      <c r="B1383">
        <f>정규화데이터!B1383</f>
        <v>2.02602062042499E+18</v>
      </c>
      <c r="C1383" t="str">
        <f>정규화데이터!C1383</f>
        <v xml:space="preserve">워커힐 본갈비 3+1 최초❤️5만원대! 총1.2kg✨호텔특제 양념갈비 8인분 (✨1인분 7,375원꼴! / [300g,2인분] x 총 4팩  / ✨초이스등급 본갈비 / ❣️워커힐 </v>
      </c>
      <c r="D1383">
        <f>정규화데이터!D1383</f>
        <v>143790</v>
      </c>
      <c r="E1383" s="16" t="str">
        <f>정규화데이터!E1383</f>
        <v>SKU001</v>
      </c>
      <c r="F1383" s="3">
        <f>정규화데이터!F1383</f>
        <v>1</v>
      </c>
      <c r="G1383" s="3">
        <f>정규화데이터!G1383</f>
        <v>41363.636363636302</v>
      </c>
      <c r="H1383" s="3">
        <f>정규화데이터!H1383</f>
        <v>45499.999999999935</v>
      </c>
      <c r="I1383" s="3">
        <f>정규화데이터!I1383</f>
        <v>45500</v>
      </c>
      <c r="J1383" s="3">
        <f>정규화데이터!J1383</f>
        <v>41363.636363636302</v>
      </c>
      <c r="K1383" s="25">
        <f>정규화데이터!K1383</f>
        <v>30748</v>
      </c>
      <c r="L1383" s="25">
        <f>정규화데이터!L1383</f>
        <v>30748</v>
      </c>
      <c r="M1383" s="21">
        <f t="shared" si="42"/>
        <v>10615.636363636302</v>
      </c>
      <c r="N1383" s="52">
        <f t="shared" si="43"/>
        <v>0.25664175824175711</v>
      </c>
    </row>
    <row r="1384" spans="1:14" x14ac:dyDescent="0.3">
      <c r="A1384" t="str">
        <f>정규화데이터!A1384</f>
        <v>리씽크</v>
      </c>
      <c r="B1384">
        <f>정규화데이터!B1384</f>
        <v>2.0260206202942799E+18</v>
      </c>
      <c r="C1384" t="str">
        <f>정규화데이터!C1384</f>
        <v xml:space="preserve">워커힐 본갈비 3+1 최초❤️5만원대! 총1.2kg✨호텔특제 양념갈비 8인분 (✨1인분 7,375원꼴! / [300g,2인분] x 총 4팩  / ✨초이스등급 본갈비 / ❣️워커힐 </v>
      </c>
      <c r="D1384">
        <f>정규화데이터!D1384</f>
        <v>143790</v>
      </c>
      <c r="E1384" s="16" t="str">
        <f>정규화데이터!E1384</f>
        <v>SKU001</v>
      </c>
      <c r="F1384" s="3">
        <f>정규화데이터!F1384</f>
        <v>1</v>
      </c>
      <c r="G1384" s="3">
        <f>정규화데이터!G1384</f>
        <v>41363.636363636302</v>
      </c>
      <c r="H1384" s="3">
        <f>정규화데이터!H1384</f>
        <v>45499.999999999935</v>
      </c>
      <c r="I1384" s="3">
        <f>정규화데이터!I1384</f>
        <v>45500</v>
      </c>
      <c r="J1384" s="3">
        <f>정규화데이터!J1384</f>
        <v>41363.636363636302</v>
      </c>
      <c r="K1384" s="25">
        <f>정규화데이터!K1384</f>
        <v>30748</v>
      </c>
      <c r="L1384" s="25">
        <f>정규화데이터!L1384</f>
        <v>30748</v>
      </c>
      <c r="M1384" s="21">
        <f t="shared" si="42"/>
        <v>10615.636363636302</v>
      </c>
      <c r="N1384" s="52">
        <f t="shared" si="43"/>
        <v>0.25664175824175711</v>
      </c>
    </row>
    <row r="1385" spans="1:14" x14ac:dyDescent="0.3">
      <c r="A1385" t="str">
        <f>정규화데이터!A1385</f>
        <v>리씽크</v>
      </c>
      <c r="B1385">
        <f>정규화데이터!B1385</f>
        <v>2.0260206203026801E+18</v>
      </c>
      <c r="C1385" t="str">
        <f>정규화데이터!C1385</f>
        <v xml:space="preserve">워커힐 본갈비 3+1 최초❤️5만원대! 총1.2kg✨호텔특제 양념갈비 8인분 (✨1인분 7,375원꼴! / [300g,2인분] x 총 4팩  / ✨초이스등급 본갈비 / ❣️워커힐 </v>
      </c>
      <c r="D1385">
        <f>정규화데이터!D1385</f>
        <v>143790</v>
      </c>
      <c r="E1385" s="16" t="str">
        <f>정규화데이터!E1385</f>
        <v>SKU001</v>
      </c>
      <c r="F1385" s="3">
        <f>정규화데이터!F1385</f>
        <v>1</v>
      </c>
      <c r="G1385" s="3">
        <f>정규화데이터!G1385</f>
        <v>41363.636363636302</v>
      </c>
      <c r="H1385" s="3">
        <f>정규화데이터!H1385</f>
        <v>45499.999999999935</v>
      </c>
      <c r="I1385" s="3">
        <f>정규화데이터!I1385</f>
        <v>45500</v>
      </c>
      <c r="J1385" s="3">
        <f>정규화데이터!J1385</f>
        <v>41363.636363636302</v>
      </c>
      <c r="K1385" s="25">
        <f>정규화데이터!K1385</f>
        <v>30748</v>
      </c>
      <c r="L1385" s="25">
        <f>정규화데이터!L1385</f>
        <v>30748</v>
      </c>
      <c r="M1385" s="21">
        <f t="shared" si="42"/>
        <v>10615.636363636302</v>
      </c>
      <c r="N1385" s="52">
        <f t="shared" si="43"/>
        <v>0.25664175824175711</v>
      </c>
    </row>
    <row r="1386" spans="1:14" x14ac:dyDescent="0.3">
      <c r="A1386" t="str">
        <f>정규화데이터!A1386</f>
        <v>리씽크</v>
      </c>
      <c r="B1386">
        <f>정규화데이터!B1386</f>
        <v>2.0260206202918799E+18</v>
      </c>
      <c r="C1386" t="str">
        <f>정규화데이터!C1386</f>
        <v xml:space="preserve">워커힐 본갈비 3+1 최초❤️5만원대! 총1.2kg✨호텔특제 양념갈비 8인분 (✨1인분 7,375원꼴! / [300g,2인분] x 총 4팩  / ✨초이스등급 본갈비 / ❣️워커힐 </v>
      </c>
      <c r="D1386">
        <f>정규화데이터!D1386</f>
        <v>143790</v>
      </c>
      <c r="E1386" s="16" t="str">
        <f>정규화데이터!E1386</f>
        <v>SKU001</v>
      </c>
      <c r="F1386" s="3">
        <f>정규화데이터!F1386</f>
        <v>1</v>
      </c>
      <c r="G1386" s="3">
        <f>정규화데이터!G1386</f>
        <v>41363.636363636302</v>
      </c>
      <c r="H1386" s="3">
        <f>정규화데이터!H1386</f>
        <v>45499.999999999935</v>
      </c>
      <c r="I1386" s="3">
        <f>정규화데이터!I1386</f>
        <v>45500</v>
      </c>
      <c r="J1386" s="3">
        <f>정규화데이터!J1386</f>
        <v>41363.636363636302</v>
      </c>
      <c r="K1386" s="25">
        <f>정규화데이터!K1386</f>
        <v>30748</v>
      </c>
      <c r="L1386" s="25">
        <f>정규화데이터!L1386</f>
        <v>30748</v>
      </c>
      <c r="M1386" s="21">
        <f t="shared" si="42"/>
        <v>10615.636363636302</v>
      </c>
      <c r="N1386" s="52">
        <f t="shared" si="43"/>
        <v>0.25664175824175711</v>
      </c>
    </row>
    <row r="1387" spans="1:14" x14ac:dyDescent="0.3">
      <c r="A1387" t="str">
        <f>정규화데이터!A1387</f>
        <v>리씽크</v>
      </c>
      <c r="B1387">
        <f>정규화데이터!B1387</f>
        <v>2.02602062029137E+18</v>
      </c>
      <c r="C1387" t="str">
        <f>정규화데이터!C1387</f>
        <v xml:space="preserve">워커힐 본갈비 3+1 최초❤️5만원대! 총1.2kg✨호텔특제 양념갈비 8인분 (✨1인분 7,375원꼴! / [300g,2인분] x 총 4팩  / ✨초이스등급 본갈비 / ❣️워커힐 </v>
      </c>
      <c r="D1387">
        <f>정규화데이터!D1387</f>
        <v>143790</v>
      </c>
      <c r="E1387" s="16" t="str">
        <f>정규화데이터!E1387</f>
        <v>SKU001</v>
      </c>
      <c r="F1387" s="3">
        <f>정규화데이터!F1387</f>
        <v>1</v>
      </c>
      <c r="G1387" s="3">
        <f>정규화데이터!G1387</f>
        <v>41363.636363636302</v>
      </c>
      <c r="H1387" s="3">
        <f>정규화데이터!H1387</f>
        <v>45499.999999999935</v>
      </c>
      <c r="I1387" s="3">
        <f>정규화데이터!I1387</f>
        <v>45500</v>
      </c>
      <c r="J1387" s="3">
        <f>정규화데이터!J1387</f>
        <v>41363.636363636302</v>
      </c>
      <c r="K1387" s="25">
        <f>정규화데이터!K1387</f>
        <v>30748</v>
      </c>
      <c r="L1387" s="25">
        <f>정규화데이터!L1387</f>
        <v>30748</v>
      </c>
      <c r="M1387" s="21">
        <f t="shared" si="42"/>
        <v>10615.636363636302</v>
      </c>
      <c r="N1387" s="52">
        <f t="shared" si="43"/>
        <v>0.25664175824175711</v>
      </c>
    </row>
    <row r="1388" spans="1:14" x14ac:dyDescent="0.3">
      <c r="A1388" t="str">
        <f>정규화데이터!A1388</f>
        <v>리씽크</v>
      </c>
      <c r="B1388">
        <f>정규화데이터!B1388</f>
        <v>2.0260206202822001E+18</v>
      </c>
      <c r="C1388" t="str">
        <f>정규화데이터!C1388</f>
        <v xml:space="preserve">워커힐 본갈비 3+1 최초❤️5만원대! 총1.2kg✨호텔특제 양념갈비 8인분 (✨1인분 7,375원꼴! / [300g,2인분] x 총 4팩  / ✨초이스등급 본갈비 / ❣️워커힐 </v>
      </c>
      <c r="D1388">
        <f>정규화데이터!D1388</f>
        <v>143790</v>
      </c>
      <c r="E1388" s="16" t="str">
        <f>정규화데이터!E1388</f>
        <v>SKU001</v>
      </c>
      <c r="F1388" s="3">
        <f>정규화데이터!F1388</f>
        <v>1</v>
      </c>
      <c r="G1388" s="3">
        <f>정규화데이터!G1388</f>
        <v>41363.636363636302</v>
      </c>
      <c r="H1388" s="3">
        <f>정규화데이터!H1388</f>
        <v>45499.999999999935</v>
      </c>
      <c r="I1388" s="3">
        <f>정규화데이터!I1388</f>
        <v>45500</v>
      </c>
      <c r="J1388" s="3">
        <f>정규화데이터!J1388</f>
        <v>41363.636363636302</v>
      </c>
      <c r="K1388" s="25">
        <f>정규화데이터!K1388</f>
        <v>30748</v>
      </c>
      <c r="L1388" s="25">
        <f>정규화데이터!L1388</f>
        <v>30748</v>
      </c>
      <c r="M1388" s="21">
        <f t="shared" si="42"/>
        <v>10615.636363636302</v>
      </c>
      <c r="N1388" s="52">
        <f t="shared" si="43"/>
        <v>0.25664175824175711</v>
      </c>
    </row>
    <row r="1389" spans="1:14" x14ac:dyDescent="0.3">
      <c r="A1389" t="str">
        <f>정규화데이터!A1389</f>
        <v>리씽크</v>
      </c>
      <c r="B1389">
        <f>정규화데이터!B1389</f>
        <v>2.02602062018077E+18</v>
      </c>
      <c r="C1389" t="str">
        <f>정규화데이터!C1389</f>
        <v xml:space="preserve">워커힐 본갈비 3+1 최초❤️5만원대! 총1.2kg✨호텔특제 양념갈비 8인분 (✨1인분 7,375원꼴! / [300g,2인분] x 총 4팩  / ✨초이스등급 본갈비 / ❣️워커힐 </v>
      </c>
      <c r="D1389">
        <f>정규화데이터!D1389</f>
        <v>143790</v>
      </c>
      <c r="E1389" s="16" t="str">
        <f>정규화데이터!E1389</f>
        <v>SKU001</v>
      </c>
      <c r="F1389" s="3">
        <f>정규화데이터!F1389</f>
        <v>1</v>
      </c>
      <c r="G1389" s="3">
        <f>정규화데이터!G1389</f>
        <v>41363.636363636302</v>
      </c>
      <c r="H1389" s="3">
        <f>정규화데이터!H1389</f>
        <v>45499.999999999935</v>
      </c>
      <c r="I1389" s="3">
        <f>정규화데이터!I1389</f>
        <v>45500</v>
      </c>
      <c r="J1389" s="3">
        <f>정규화데이터!J1389</f>
        <v>41363.636363636302</v>
      </c>
      <c r="K1389" s="25">
        <f>정규화데이터!K1389</f>
        <v>30748</v>
      </c>
      <c r="L1389" s="25">
        <f>정규화데이터!L1389</f>
        <v>30748</v>
      </c>
      <c r="M1389" s="21">
        <f t="shared" si="42"/>
        <v>10615.636363636302</v>
      </c>
      <c r="N1389" s="52">
        <f t="shared" si="43"/>
        <v>0.25664175824175711</v>
      </c>
    </row>
    <row r="1390" spans="1:14" x14ac:dyDescent="0.3">
      <c r="A1390" t="str">
        <f>정규화데이터!A1390</f>
        <v>리씽크</v>
      </c>
      <c r="B1390">
        <f>정규화데이터!B1390</f>
        <v>2.0260206202421299E+18</v>
      </c>
      <c r="C1390" t="str">
        <f>정규화데이터!C1390</f>
        <v xml:space="preserve">워커힐 본갈비 3+1 최초❤️5만원대! 총1.2kg✨호텔특제 양념갈비 8인분 (✨1인분 7,375원꼴! / [300g,2인분] x 총 4팩  / ✨초이스등급 본갈비 / ❣️워커힐 </v>
      </c>
      <c r="D1390">
        <f>정규화데이터!D1390</f>
        <v>143790</v>
      </c>
      <c r="E1390" s="16" t="str">
        <f>정규화데이터!E1390</f>
        <v>SKU001</v>
      </c>
      <c r="F1390" s="3">
        <f>정규화데이터!F1390</f>
        <v>1</v>
      </c>
      <c r="G1390" s="3">
        <f>정규화데이터!G1390</f>
        <v>41363.636363636302</v>
      </c>
      <c r="H1390" s="3">
        <f>정규화데이터!H1390</f>
        <v>45499.999999999935</v>
      </c>
      <c r="I1390" s="3">
        <f>정규화데이터!I1390</f>
        <v>45500</v>
      </c>
      <c r="J1390" s="3">
        <f>정규화데이터!J1390</f>
        <v>41363.636363636302</v>
      </c>
      <c r="K1390" s="25">
        <f>정규화데이터!K1390</f>
        <v>30748</v>
      </c>
      <c r="L1390" s="25">
        <f>정규화데이터!L1390</f>
        <v>30748</v>
      </c>
      <c r="M1390" s="21">
        <f t="shared" si="42"/>
        <v>10615.636363636302</v>
      </c>
      <c r="N1390" s="52">
        <f t="shared" si="43"/>
        <v>0.25664175824175711</v>
      </c>
    </row>
    <row r="1391" spans="1:14" x14ac:dyDescent="0.3">
      <c r="A1391" t="str">
        <f>정규화데이터!A1391</f>
        <v>리씽크</v>
      </c>
      <c r="B1391">
        <f>정규화데이터!B1391</f>
        <v>2.0260206202235699E+18</v>
      </c>
      <c r="C1391" t="str">
        <f>정규화데이터!C1391</f>
        <v xml:space="preserve">워커힐 본갈비 3+1 최초❤️5만원대! 총1.2kg✨호텔특제 양념갈비 8인분 (✨1인분 7,375원꼴! / [300g,2인분] x 총 4팩  / ✨초이스등급 본갈비 / ❣️워커힐 </v>
      </c>
      <c r="D1391">
        <f>정규화데이터!D1391</f>
        <v>143790</v>
      </c>
      <c r="E1391" s="16" t="str">
        <f>정규화데이터!E1391</f>
        <v>SKU001</v>
      </c>
      <c r="F1391" s="3">
        <f>정규화데이터!F1391</f>
        <v>1</v>
      </c>
      <c r="G1391" s="3">
        <f>정규화데이터!G1391</f>
        <v>41363.636363636302</v>
      </c>
      <c r="H1391" s="3">
        <f>정규화데이터!H1391</f>
        <v>45499.999999999935</v>
      </c>
      <c r="I1391" s="3">
        <f>정규화데이터!I1391</f>
        <v>45500</v>
      </c>
      <c r="J1391" s="3">
        <f>정규화데이터!J1391</f>
        <v>41363.636363636302</v>
      </c>
      <c r="K1391" s="25">
        <f>정규화데이터!K1391</f>
        <v>30748</v>
      </c>
      <c r="L1391" s="25">
        <f>정규화데이터!L1391</f>
        <v>30748</v>
      </c>
      <c r="M1391" s="21">
        <f t="shared" si="42"/>
        <v>10615.636363636302</v>
      </c>
      <c r="N1391" s="52">
        <f t="shared" si="43"/>
        <v>0.25664175824175711</v>
      </c>
    </row>
    <row r="1392" spans="1:14" x14ac:dyDescent="0.3">
      <c r="A1392" t="str">
        <f>정규화데이터!A1392</f>
        <v>리씽크</v>
      </c>
      <c r="B1392">
        <f>정규화데이터!B1392</f>
        <v>2.02602062019153E+18</v>
      </c>
      <c r="C1392" t="str">
        <f>정규화데이터!C1392</f>
        <v xml:space="preserve">워커힐 본갈비 3+1 최초❤️5만원대! 총1.2kg✨호텔특제 양념갈비 8인분 (✨1인분 7,375원꼴! / [300g,2인분] x 총 4팩  / ✨초이스등급 본갈비 / ❣️워커힐 </v>
      </c>
      <c r="D1392">
        <f>정규화데이터!D1392</f>
        <v>143790</v>
      </c>
      <c r="E1392" s="16" t="str">
        <f>정규화데이터!E1392</f>
        <v>SKU001</v>
      </c>
      <c r="F1392" s="3">
        <f>정규화데이터!F1392</f>
        <v>1</v>
      </c>
      <c r="G1392" s="3">
        <f>정규화데이터!G1392</f>
        <v>41363.636363636302</v>
      </c>
      <c r="H1392" s="3">
        <f>정규화데이터!H1392</f>
        <v>45499.999999999935</v>
      </c>
      <c r="I1392" s="3">
        <f>정규화데이터!I1392</f>
        <v>45500</v>
      </c>
      <c r="J1392" s="3">
        <f>정규화데이터!J1392</f>
        <v>41363.636363636302</v>
      </c>
      <c r="K1392" s="25">
        <f>정규화데이터!K1392</f>
        <v>30748</v>
      </c>
      <c r="L1392" s="25">
        <f>정규화데이터!L1392</f>
        <v>30748</v>
      </c>
      <c r="M1392" s="21">
        <f t="shared" si="42"/>
        <v>10615.636363636302</v>
      </c>
      <c r="N1392" s="52">
        <f t="shared" si="43"/>
        <v>0.25664175824175711</v>
      </c>
    </row>
    <row r="1393" spans="1:14" x14ac:dyDescent="0.3">
      <c r="A1393" t="str">
        <f>정규화데이터!A1393</f>
        <v>리씽크</v>
      </c>
      <c r="B1393">
        <f>정규화데이터!B1393</f>
        <v>2.02602062015409E+18</v>
      </c>
      <c r="C1393" t="str">
        <f>정규화데이터!C1393</f>
        <v xml:space="preserve">워커힐 본갈비 3+1 최초❤️5만원대! 총1.2kg✨호텔특제 양념갈비 8인분 (✨1인분 7,375원꼴! / [300g,2인분] x 총 4팩  / ✨초이스등급 본갈비 / ❣️워커힐 </v>
      </c>
      <c r="D1393">
        <f>정규화데이터!D1393</f>
        <v>143790</v>
      </c>
      <c r="E1393" s="16" t="str">
        <f>정규화데이터!E1393</f>
        <v>SKU001</v>
      </c>
      <c r="F1393" s="3">
        <f>정규화데이터!F1393</f>
        <v>1</v>
      </c>
      <c r="G1393" s="3">
        <f>정규화데이터!G1393</f>
        <v>41363.636363636302</v>
      </c>
      <c r="H1393" s="3">
        <f>정규화데이터!H1393</f>
        <v>45499.999999999935</v>
      </c>
      <c r="I1393" s="3">
        <f>정규화데이터!I1393</f>
        <v>45500</v>
      </c>
      <c r="J1393" s="3">
        <f>정규화데이터!J1393</f>
        <v>41363.636363636302</v>
      </c>
      <c r="K1393" s="25">
        <f>정규화데이터!K1393</f>
        <v>30748</v>
      </c>
      <c r="L1393" s="25">
        <f>정규화데이터!L1393</f>
        <v>30748</v>
      </c>
      <c r="M1393" s="21">
        <f t="shared" si="42"/>
        <v>10615.636363636302</v>
      </c>
      <c r="N1393" s="52">
        <f t="shared" si="43"/>
        <v>0.25664175824175711</v>
      </c>
    </row>
    <row r="1394" spans="1:14" x14ac:dyDescent="0.3">
      <c r="A1394" t="str">
        <f>정규화데이터!A1394</f>
        <v>리씽크</v>
      </c>
      <c r="B1394">
        <f>정규화데이터!B1394</f>
        <v>2.02602062013073E+18</v>
      </c>
      <c r="C1394" t="str">
        <f>정규화데이터!C1394</f>
        <v xml:space="preserve">워커힐 본갈비 3+1 최초❤️5만원대! 총1.2kg✨호텔특제 양념갈비 8인분 (✨1인분 7,375원꼴! / [300g,2인분] x 총 4팩  / ✨초이스등급 본갈비 / ❣️워커힐 </v>
      </c>
      <c r="D1394">
        <f>정규화데이터!D1394</f>
        <v>143790</v>
      </c>
      <c r="E1394" s="16" t="str">
        <f>정규화데이터!E1394</f>
        <v>SKU001</v>
      </c>
      <c r="F1394" s="3">
        <f>정규화데이터!F1394</f>
        <v>1</v>
      </c>
      <c r="G1394" s="3">
        <f>정규화데이터!G1394</f>
        <v>41363.636363636302</v>
      </c>
      <c r="H1394" s="3">
        <f>정규화데이터!H1394</f>
        <v>45499.999999999935</v>
      </c>
      <c r="I1394" s="3">
        <f>정규화데이터!I1394</f>
        <v>45500</v>
      </c>
      <c r="J1394" s="3">
        <f>정규화데이터!J1394</f>
        <v>41363.636363636302</v>
      </c>
      <c r="K1394" s="25">
        <f>정규화데이터!K1394</f>
        <v>30748</v>
      </c>
      <c r="L1394" s="25">
        <f>정규화데이터!L1394</f>
        <v>30748</v>
      </c>
      <c r="M1394" s="21">
        <f t="shared" si="42"/>
        <v>10615.636363636302</v>
      </c>
      <c r="N1394" s="52">
        <f t="shared" si="43"/>
        <v>0.25664175824175711</v>
      </c>
    </row>
    <row r="1395" spans="1:14" x14ac:dyDescent="0.3">
      <c r="A1395" t="str">
        <f>정규화데이터!A1395</f>
        <v>리씽크</v>
      </c>
      <c r="B1395">
        <f>정규화데이터!B1395</f>
        <v>2.02602062011104E+18</v>
      </c>
      <c r="C1395" t="str">
        <f>정규화데이터!C1395</f>
        <v xml:space="preserve">워커힐 본갈비 3+1 최초❤️5만원대! 총1.2kg✨호텔특제 양념갈비 8인분 (✨1인분 7,375원꼴! / [300g,2인분] x 총 4팩  / ✨초이스등급 본갈비 / ❣️워커힐 </v>
      </c>
      <c r="D1395">
        <f>정규화데이터!D1395</f>
        <v>143790</v>
      </c>
      <c r="E1395" s="16" t="str">
        <f>정규화데이터!E1395</f>
        <v>SKU001</v>
      </c>
      <c r="F1395" s="3">
        <f>정규화데이터!F1395</f>
        <v>1</v>
      </c>
      <c r="G1395" s="3">
        <f>정규화데이터!G1395</f>
        <v>41363.636363636302</v>
      </c>
      <c r="H1395" s="3">
        <f>정규화데이터!H1395</f>
        <v>45499.999999999935</v>
      </c>
      <c r="I1395" s="3">
        <f>정규화데이터!I1395</f>
        <v>45500</v>
      </c>
      <c r="J1395" s="3">
        <f>정규화데이터!J1395</f>
        <v>41363.636363636302</v>
      </c>
      <c r="K1395" s="25">
        <f>정규화데이터!K1395</f>
        <v>30748</v>
      </c>
      <c r="L1395" s="25">
        <f>정규화데이터!L1395</f>
        <v>30748</v>
      </c>
      <c r="M1395" s="21">
        <f t="shared" si="42"/>
        <v>10615.636363636302</v>
      </c>
      <c r="N1395" s="52">
        <f t="shared" si="43"/>
        <v>0.25664175824175711</v>
      </c>
    </row>
    <row r="1396" spans="1:14" x14ac:dyDescent="0.3">
      <c r="A1396" t="str">
        <f>정규화데이터!A1396</f>
        <v>리씽크</v>
      </c>
      <c r="B1396">
        <f>정규화데이터!B1396</f>
        <v>2.0260206195657999E+18</v>
      </c>
      <c r="C1396" t="str">
        <f>정규화데이터!C1396</f>
        <v xml:space="preserve">워커힐 본갈비 3+1 최초❤️5만원대! 총1.2kg✨호텔특제 양념갈비 8인분 (✨1인분 7,375원꼴! / [300g,2인분] x 총 4팩  / ✨초이스등급 본갈비 / ❣️워커힐 </v>
      </c>
      <c r="D1396">
        <f>정규화데이터!D1396</f>
        <v>143790</v>
      </c>
      <c r="E1396" s="16" t="str">
        <f>정규화데이터!E1396</f>
        <v>SKU001</v>
      </c>
      <c r="F1396" s="3">
        <f>정규화데이터!F1396</f>
        <v>1</v>
      </c>
      <c r="G1396" s="3">
        <f>정규화데이터!G1396</f>
        <v>41363.636363636302</v>
      </c>
      <c r="H1396" s="3">
        <f>정규화데이터!H1396</f>
        <v>45499.999999999935</v>
      </c>
      <c r="I1396" s="3">
        <f>정규화데이터!I1396</f>
        <v>45500</v>
      </c>
      <c r="J1396" s="3">
        <f>정규화데이터!J1396</f>
        <v>41363.636363636302</v>
      </c>
      <c r="K1396" s="25">
        <f>정규화데이터!K1396</f>
        <v>30748</v>
      </c>
      <c r="L1396" s="25">
        <f>정규화데이터!L1396</f>
        <v>30748</v>
      </c>
      <c r="M1396" s="21">
        <f t="shared" si="42"/>
        <v>10615.636363636302</v>
      </c>
      <c r="N1396" s="52">
        <f t="shared" si="43"/>
        <v>0.25664175824175711</v>
      </c>
    </row>
    <row r="1397" spans="1:14" x14ac:dyDescent="0.3">
      <c r="A1397" t="str">
        <f>정규화데이터!A1397</f>
        <v>리씽크</v>
      </c>
      <c r="B1397">
        <f>정규화데이터!B1397</f>
        <v>2.0260206195031501E+18</v>
      </c>
      <c r="C1397" t="str">
        <f>정규화데이터!C1397</f>
        <v xml:space="preserve">워커힐 본갈비 3+1 최초❤️5만원대! 총1.2kg✨호텔특제 양념갈비 8인분 (✨1인분 7,375원꼴! / [300g,2인분] x 총 4팩  / ✨초이스등급 본갈비 / ❣️워커힐 </v>
      </c>
      <c r="D1397">
        <f>정규화데이터!D1397</f>
        <v>143790</v>
      </c>
      <c r="E1397" s="16" t="str">
        <f>정규화데이터!E1397</f>
        <v>SKU001</v>
      </c>
      <c r="F1397" s="3">
        <f>정규화데이터!F1397</f>
        <v>3</v>
      </c>
      <c r="G1397" s="3">
        <f>정규화데이터!G1397</f>
        <v>41363.636363636331</v>
      </c>
      <c r="H1397" s="3">
        <f>정규화데이터!H1397</f>
        <v>136499.99999999991</v>
      </c>
      <c r="I1397" s="3">
        <f>정규화데이터!I1397</f>
        <v>136500</v>
      </c>
      <c r="J1397" s="3">
        <f>정규화데이터!J1397</f>
        <v>124090.909090909</v>
      </c>
      <c r="K1397" s="25">
        <f>정규화데이터!K1397</f>
        <v>30748</v>
      </c>
      <c r="L1397" s="25">
        <f>정규화데이터!L1397</f>
        <v>92244</v>
      </c>
      <c r="M1397" s="21">
        <f t="shared" si="42"/>
        <v>31846.909090909001</v>
      </c>
      <c r="N1397" s="52">
        <f t="shared" si="43"/>
        <v>0.25664175824175772</v>
      </c>
    </row>
    <row r="1398" spans="1:14" x14ac:dyDescent="0.3">
      <c r="A1398" t="str">
        <f>정규화데이터!A1398</f>
        <v>리씽크</v>
      </c>
      <c r="B1398">
        <f>정규화데이터!B1398</f>
        <v>2.0260206194915599E+18</v>
      </c>
      <c r="C1398" t="str">
        <f>정규화데이터!C1398</f>
        <v xml:space="preserve">워커힐 본갈비 3+1 최초❤️5만원대! 총1.2kg✨호텔특제 양념갈비 8인분 (✨1인분 7,375원꼴! / [300g,2인분] x 총 4팩  / ✨초이스등급 본갈비 / ❣️워커힐 </v>
      </c>
      <c r="D1398">
        <f>정규화데이터!D1398</f>
        <v>143790</v>
      </c>
      <c r="E1398" s="16" t="str">
        <f>정규화데이터!E1398</f>
        <v>SKU001</v>
      </c>
      <c r="F1398" s="3">
        <f>정규화데이터!F1398</f>
        <v>1</v>
      </c>
      <c r="G1398" s="3">
        <f>정규화데이터!G1398</f>
        <v>41363.636363636302</v>
      </c>
      <c r="H1398" s="3">
        <f>정규화데이터!H1398</f>
        <v>45499.999999999935</v>
      </c>
      <c r="I1398" s="3">
        <f>정규화데이터!I1398</f>
        <v>45500</v>
      </c>
      <c r="J1398" s="3">
        <f>정규화데이터!J1398</f>
        <v>41363.636363636302</v>
      </c>
      <c r="K1398" s="25">
        <f>정규화데이터!K1398</f>
        <v>30748</v>
      </c>
      <c r="L1398" s="25">
        <f>정규화데이터!L1398</f>
        <v>30748</v>
      </c>
      <c r="M1398" s="21">
        <f t="shared" si="42"/>
        <v>10615.636363636302</v>
      </c>
      <c r="N1398" s="52">
        <f t="shared" si="43"/>
        <v>0.25664175824175711</v>
      </c>
    </row>
    <row r="1399" spans="1:14" x14ac:dyDescent="0.3">
      <c r="A1399" t="str">
        <f>정규화데이터!A1399</f>
        <v>리씽크</v>
      </c>
      <c r="B1399">
        <f>정규화데이터!B1399</f>
        <v>2.0260206193542799E+18</v>
      </c>
      <c r="C1399" t="str">
        <f>정규화데이터!C1399</f>
        <v xml:space="preserve">워커힐 본갈비 3+1 최초❤️5만원대! 총1.2kg✨호텔특제 양념갈비 8인분 (✨1인분 7,375원꼴! / [300g,2인분] x 총 4팩  / ✨초이스등급 본갈비 / ❣️워커힐 </v>
      </c>
      <c r="D1399">
        <f>정규화데이터!D1399</f>
        <v>143790</v>
      </c>
      <c r="E1399" s="16" t="str">
        <f>정규화데이터!E1399</f>
        <v>SKU001</v>
      </c>
      <c r="F1399" s="3">
        <f>정규화데이터!F1399</f>
        <v>1</v>
      </c>
      <c r="G1399" s="3">
        <f>정규화데이터!G1399</f>
        <v>41363.636363636302</v>
      </c>
      <c r="H1399" s="3">
        <f>정규화데이터!H1399</f>
        <v>45499.999999999935</v>
      </c>
      <c r="I1399" s="3">
        <f>정규화데이터!I1399</f>
        <v>45500</v>
      </c>
      <c r="J1399" s="3">
        <f>정규화데이터!J1399</f>
        <v>41363.636363636302</v>
      </c>
      <c r="K1399" s="25">
        <f>정규화데이터!K1399</f>
        <v>30748</v>
      </c>
      <c r="L1399" s="25">
        <f>정규화데이터!L1399</f>
        <v>30748</v>
      </c>
      <c r="M1399" s="21">
        <f t="shared" si="42"/>
        <v>10615.636363636302</v>
      </c>
      <c r="N1399" s="52">
        <f t="shared" si="43"/>
        <v>0.25664175824175711</v>
      </c>
    </row>
    <row r="1400" spans="1:14" x14ac:dyDescent="0.3">
      <c r="A1400" t="str">
        <f>정규화데이터!A1400</f>
        <v>리씽크</v>
      </c>
      <c r="B1400">
        <f>정규화데이터!B1400</f>
        <v>2.0260206193314199E+18</v>
      </c>
      <c r="C1400" t="str">
        <f>정규화데이터!C1400</f>
        <v xml:space="preserve">워커힐 본갈비 3+1 최초❤️5만원대! 총1.2kg✨호텔특제 양념갈비 8인분 (✨1인분 7,375원꼴! / [300g,2인분] x 총 4팩  / ✨초이스등급 본갈비 / ❣️워커힐 </v>
      </c>
      <c r="D1400">
        <f>정규화데이터!D1400</f>
        <v>143790</v>
      </c>
      <c r="E1400" s="16" t="str">
        <f>정규화데이터!E1400</f>
        <v>SKU001</v>
      </c>
      <c r="F1400" s="3">
        <f>정규화데이터!F1400</f>
        <v>1</v>
      </c>
      <c r="G1400" s="3">
        <f>정규화데이터!G1400</f>
        <v>41363.636363636302</v>
      </c>
      <c r="H1400" s="3">
        <f>정규화데이터!H1400</f>
        <v>45499.999999999935</v>
      </c>
      <c r="I1400" s="3">
        <f>정규화데이터!I1400</f>
        <v>45500</v>
      </c>
      <c r="J1400" s="3">
        <f>정규화데이터!J1400</f>
        <v>41363.636363636302</v>
      </c>
      <c r="K1400" s="25">
        <f>정규화데이터!K1400</f>
        <v>30748</v>
      </c>
      <c r="L1400" s="25">
        <f>정규화데이터!L1400</f>
        <v>30748</v>
      </c>
      <c r="M1400" s="21">
        <f t="shared" si="42"/>
        <v>10615.636363636302</v>
      </c>
      <c r="N1400" s="52">
        <f t="shared" si="43"/>
        <v>0.25664175824175711</v>
      </c>
    </row>
    <row r="1401" spans="1:14" x14ac:dyDescent="0.3">
      <c r="A1401" t="str">
        <f>정규화데이터!A1401</f>
        <v>리씽크</v>
      </c>
      <c r="B1401">
        <f>정규화데이터!B1401</f>
        <v>2.02602061922243E+18</v>
      </c>
      <c r="C1401" t="str">
        <f>정규화데이터!C1401</f>
        <v xml:space="preserve">워커힐 본갈비 3+1 최초❤️5만원대! 총1.2kg✨호텔특제 양념갈비 8인분 (✨1인분 7,375원꼴! / [300g,2인분] x 총 4팩  / ✨초이스등급 본갈비 / ❣️워커힐 </v>
      </c>
      <c r="D1401">
        <f>정규화데이터!D1401</f>
        <v>143790</v>
      </c>
      <c r="E1401" s="16" t="str">
        <f>정규화데이터!E1401</f>
        <v>SKU001</v>
      </c>
      <c r="F1401" s="3">
        <f>정규화데이터!F1401</f>
        <v>1</v>
      </c>
      <c r="G1401" s="3">
        <f>정규화데이터!G1401</f>
        <v>41363.636363636302</v>
      </c>
      <c r="H1401" s="3">
        <f>정규화데이터!H1401</f>
        <v>45499.999999999935</v>
      </c>
      <c r="I1401" s="3">
        <f>정규화데이터!I1401</f>
        <v>45500</v>
      </c>
      <c r="J1401" s="3">
        <f>정규화데이터!J1401</f>
        <v>41363.636363636302</v>
      </c>
      <c r="K1401" s="25">
        <f>정규화데이터!K1401</f>
        <v>30748</v>
      </c>
      <c r="L1401" s="25">
        <f>정규화데이터!L1401</f>
        <v>30748</v>
      </c>
      <c r="M1401" s="21">
        <f t="shared" si="42"/>
        <v>10615.636363636302</v>
      </c>
      <c r="N1401" s="52">
        <f t="shared" si="43"/>
        <v>0.25664175824175711</v>
      </c>
    </row>
    <row r="1402" spans="1:14" x14ac:dyDescent="0.3">
      <c r="A1402" t="str">
        <f>정규화데이터!A1402</f>
        <v>리씽크</v>
      </c>
      <c r="B1402">
        <f>정규화데이터!B1402</f>
        <v>2.0260206191939899E+18</v>
      </c>
      <c r="C1402" t="str">
        <f>정규화데이터!C1402</f>
        <v xml:space="preserve">워커힐 본갈비 3+1 최초❤️5만원대! 총1.2kg✨호텔특제 양념갈비 8인분 (✨1인분 7,375원꼴! / [300g,2인분] x 총 4팩  / ✨초이스등급 본갈비 / ❣️워커힐 </v>
      </c>
      <c r="D1402">
        <f>정규화데이터!D1402</f>
        <v>143790</v>
      </c>
      <c r="E1402" s="16" t="str">
        <f>정규화데이터!E1402</f>
        <v>SKU001</v>
      </c>
      <c r="F1402" s="3">
        <f>정규화데이터!F1402</f>
        <v>1</v>
      </c>
      <c r="G1402" s="3">
        <f>정규화데이터!G1402</f>
        <v>41363.636363636302</v>
      </c>
      <c r="H1402" s="3">
        <f>정규화데이터!H1402</f>
        <v>45499.999999999935</v>
      </c>
      <c r="I1402" s="3">
        <f>정규화데이터!I1402</f>
        <v>45500</v>
      </c>
      <c r="J1402" s="3">
        <f>정규화데이터!J1402</f>
        <v>41363.636363636302</v>
      </c>
      <c r="K1402" s="25">
        <f>정규화데이터!K1402</f>
        <v>30748</v>
      </c>
      <c r="L1402" s="25">
        <f>정규화데이터!L1402</f>
        <v>30748</v>
      </c>
      <c r="M1402" s="21">
        <f t="shared" si="42"/>
        <v>10615.636363636302</v>
      </c>
      <c r="N1402" s="52">
        <f t="shared" si="43"/>
        <v>0.25664175824175711</v>
      </c>
    </row>
    <row r="1403" spans="1:14" x14ac:dyDescent="0.3">
      <c r="A1403" t="str">
        <f>정규화데이터!A1403</f>
        <v>리씽크</v>
      </c>
      <c r="B1403">
        <f>정규화데이터!B1403</f>
        <v>2.02602061919006E+18</v>
      </c>
      <c r="C1403" t="str">
        <f>정규화데이터!C1403</f>
        <v xml:space="preserve">워커힐 본갈비 3+1 최초❤️5만원대! 총1.2kg✨호텔특제 양념갈비 8인분 (✨1인분 7,375원꼴! / [300g,2인분] x 총 4팩  / ✨초이스등급 본갈비 / ❣️워커힐 </v>
      </c>
      <c r="D1403">
        <f>정규화데이터!D1403</f>
        <v>143790</v>
      </c>
      <c r="E1403" s="16" t="str">
        <f>정규화데이터!E1403</f>
        <v>SKU001</v>
      </c>
      <c r="F1403" s="3">
        <f>정규화데이터!F1403</f>
        <v>1</v>
      </c>
      <c r="G1403" s="3">
        <f>정규화데이터!G1403</f>
        <v>41363.636363636302</v>
      </c>
      <c r="H1403" s="3">
        <f>정규화데이터!H1403</f>
        <v>45499.999999999935</v>
      </c>
      <c r="I1403" s="3">
        <f>정규화데이터!I1403</f>
        <v>45500</v>
      </c>
      <c r="J1403" s="3">
        <f>정규화데이터!J1403</f>
        <v>41363.636363636302</v>
      </c>
      <c r="K1403" s="25">
        <f>정규화데이터!K1403</f>
        <v>30748</v>
      </c>
      <c r="L1403" s="25">
        <f>정규화데이터!L1403</f>
        <v>30748</v>
      </c>
      <c r="M1403" s="21">
        <f t="shared" si="42"/>
        <v>10615.636363636302</v>
      </c>
      <c r="N1403" s="52">
        <f t="shared" si="43"/>
        <v>0.25664175824175711</v>
      </c>
    </row>
    <row r="1404" spans="1:14" x14ac:dyDescent="0.3">
      <c r="A1404" t="str">
        <f>정규화데이터!A1404</f>
        <v>리씽크</v>
      </c>
      <c r="B1404">
        <f>정규화데이터!B1404</f>
        <v>2.0260206191847401E+18</v>
      </c>
      <c r="C1404" t="str">
        <f>정규화데이터!C1404</f>
        <v xml:space="preserve">워커힐 본갈비 3+1 최초❤️5만원대! 총1.2kg✨호텔특제 양념갈비 8인분 (✨1인분 7,375원꼴! / [300g,2인분] x 총 4팩  / ✨초이스등급 본갈비 / ❣️워커힐 </v>
      </c>
      <c r="D1404">
        <f>정규화데이터!D1404</f>
        <v>143790</v>
      </c>
      <c r="E1404" s="16" t="str">
        <f>정규화데이터!E1404</f>
        <v>SKU001</v>
      </c>
      <c r="F1404" s="3">
        <f>정규화데이터!F1404</f>
        <v>1</v>
      </c>
      <c r="G1404" s="3">
        <f>정규화데이터!G1404</f>
        <v>41363.636363636302</v>
      </c>
      <c r="H1404" s="3">
        <f>정규화데이터!H1404</f>
        <v>45499.999999999935</v>
      </c>
      <c r="I1404" s="3">
        <f>정규화데이터!I1404</f>
        <v>45500</v>
      </c>
      <c r="J1404" s="3">
        <f>정규화데이터!J1404</f>
        <v>41363.636363636302</v>
      </c>
      <c r="K1404" s="25">
        <f>정규화데이터!K1404</f>
        <v>30748</v>
      </c>
      <c r="L1404" s="25">
        <f>정규화데이터!L1404</f>
        <v>30748</v>
      </c>
      <c r="M1404" s="21">
        <f t="shared" si="42"/>
        <v>10615.636363636302</v>
      </c>
      <c r="N1404" s="52">
        <f t="shared" si="43"/>
        <v>0.25664175824175711</v>
      </c>
    </row>
    <row r="1405" spans="1:14" x14ac:dyDescent="0.3">
      <c r="A1405" t="str">
        <f>정규화데이터!A1405</f>
        <v>리씽크</v>
      </c>
      <c r="B1405">
        <f>정규화데이터!B1405</f>
        <v>2.0260206191706199E+18</v>
      </c>
      <c r="C1405" t="str">
        <f>정규화데이터!C1405</f>
        <v xml:space="preserve">워커힐 본갈비 3+1 최초❤️5만원대! 총1.2kg✨호텔특제 양념갈비 8인분 (✨1인분 7,375원꼴! / [300g,2인분] x 총 4팩  / ✨초이스등급 본갈비 / ❣️워커힐 </v>
      </c>
      <c r="D1405">
        <f>정규화데이터!D1405</f>
        <v>143790</v>
      </c>
      <c r="E1405" s="16" t="str">
        <f>정규화데이터!E1405</f>
        <v>SKU001</v>
      </c>
      <c r="F1405" s="3">
        <f>정규화데이터!F1405</f>
        <v>1</v>
      </c>
      <c r="G1405" s="3">
        <f>정규화데이터!G1405</f>
        <v>41363.636363636302</v>
      </c>
      <c r="H1405" s="3">
        <f>정규화데이터!H1405</f>
        <v>45499.999999999935</v>
      </c>
      <c r="I1405" s="3">
        <f>정규화데이터!I1405</f>
        <v>45500</v>
      </c>
      <c r="J1405" s="3">
        <f>정규화데이터!J1405</f>
        <v>41363.636363636302</v>
      </c>
      <c r="K1405" s="25">
        <f>정규화데이터!K1405</f>
        <v>30748</v>
      </c>
      <c r="L1405" s="25">
        <f>정규화데이터!L1405</f>
        <v>30748</v>
      </c>
      <c r="M1405" s="21">
        <f t="shared" si="42"/>
        <v>10615.636363636302</v>
      </c>
      <c r="N1405" s="52">
        <f t="shared" si="43"/>
        <v>0.25664175824175711</v>
      </c>
    </row>
    <row r="1406" spans="1:14" x14ac:dyDescent="0.3">
      <c r="A1406" t="str">
        <f>정규화데이터!A1406</f>
        <v>리씽크</v>
      </c>
      <c r="B1406">
        <f>정규화데이터!B1406</f>
        <v>2.0260206191706801E+18</v>
      </c>
      <c r="C1406" t="str">
        <f>정규화데이터!C1406</f>
        <v xml:space="preserve">워커힐 본갈비 3+1 최초❤️5만원대! 총1.2kg✨호텔특제 양념갈비 8인분 (✨1인분 7,375원꼴! / [300g,2인분] x 총 4팩  / ✨초이스등급 본갈비 / ❣️워커힐 </v>
      </c>
      <c r="D1406">
        <f>정규화데이터!D1406</f>
        <v>143790</v>
      </c>
      <c r="E1406" s="16" t="str">
        <f>정규화데이터!E1406</f>
        <v>SKU001</v>
      </c>
      <c r="F1406" s="3">
        <f>정규화데이터!F1406</f>
        <v>1</v>
      </c>
      <c r="G1406" s="3">
        <f>정규화데이터!G1406</f>
        <v>41363.636363636302</v>
      </c>
      <c r="H1406" s="3">
        <f>정규화데이터!H1406</f>
        <v>45499.999999999935</v>
      </c>
      <c r="I1406" s="3">
        <f>정규화데이터!I1406</f>
        <v>45500</v>
      </c>
      <c r="J1406" s="3">
        <f>정규화데이터!J1406</f>
        <v>41363.636363636302</v>
      </c>
      <c r="K1406" s="25">
        <f>정규화데이터!K1406</f>
        <v>30748</v>
      </c>
      <c r="L1406" s="25">
        <f>정규화데이터!L1406</f>
        <v>30748</v>
      </c>
      <c r="M1406" s="21">
        <f t="shared" si="42"/>
        <v>10615.636363636302</v>
      </c>
      <c r="N1406" s="52">
        <f t="shared" si="43"/>
        <v>0.25664175824175711</v>
      </c>
    </row>
    <row r="1407" spans="1:14" x14ac:dyDescent="0.3">
      <c r="A1407" t="str">
        <f>정규화데이터!A1407</f>
        <v>리씽크</v>
      </c>
      <c r="B1407">
        <f>정규화데이터!B1407</f>
        <v>2.0260206191426501E+18</v>
      </c>
      <c r="C1407" t="str">
        <f>정규화데이터!C1407</f>
        <v xml:space="preserve">워커힐 본갈비 3+1 최초❤️5만원대! 총1.2kg✨호텔특제 양념갈비 8인분 (✨1인분 7,375원꼴! / [300g,2인분] x 총 4팩  / ✨초이스등급 본갈비 / ❣️워커힐 </v>
      </c>
      <c r="D1407">
        <f>정규화데이터!D1407</f>
        <v>143790</v>
      </c>
      <c r="E1407" s="16" t="str">
        <f>정규화데이터!E1407</f>
        <v>SKU001</v>
      </c>
      <c r="F1407" s="3">
        <f>정규화데이터!F1407</f>
        <v>1</v>
      </c>
      <c r="G1407" s="3">
        <f>정규화데이터!G1407</f>
        <v>41363.636363636302</v>
      </c>
      <c r="H1407" s="3">
        <f>정규화데이터!H1407</f>
        <v>45499.999999999935</v>
      </c>
      <c r="I1407" s="3">
        <f>정규화데이터!I1407</f>
        <v>45500</v>
      </c>
      <c r="J1407" s="3">
        <f>정규화데이터!J1407</f>
        <v>41363.636363636302</v>
      </c>
      <c r="K1407" s="25">
        <f>정규화데이터!K1407</f>
        <v>30748</v>
      </c>
      <c r="L1407" s="25">
        <f>정규화데이터!L1407</f>
        <v>30748</v>
      </c>
      <c r="M1407" s="21">
        <f t="shared" si="42"/>
        <v>10615.636363636302</v>
      </c>
      <c r="N1407" s="52">
        <f t="shared" si="43"/>
        <v>0.25664175824175711</v>
      </c>
    </row>
    <row r="1408" spans="1:14" x14ac:dyDescent="0.3">
      <c r="A1408" t="str">
        <f>정규화데이터!A1408</f>
        <v>리씽크</v>
      </c>
      <c r="B1408">
        <f>정규화데이터!B1408</f>
        <v>2.02602061914402E+18</v>
      </c>
      <c r="C1408" t="str">
        <f>정규화데이터!C1408</f>
        <v xml:space="preserve">워커힐 본갈비 3+1 최초❤️5만원대! 총1.2kg✨호텔특제 양념갈비 8인분 (✨1인분 7,375원꼴! / [300g,2인분] x 총 4팩  / ✨초이스등급 본갈비 / ❣️워커힐 </v>
      </c>
      <c r="D1408">
        <f>정규화데이터!D1408</f>
        <v>143790</v>
      </c>
      <c r="E1408" s="16" t="str">
        <f>정규화데이터!E1408</f>
        <v>SKU001</v>
      </c>
      <c r="F1408" s="3">
        <f>정규화데이터!F1408</f>
        <v>1</v>
      </c>
      <c r="G1408" s="3">
        <f>정규화데이터!G1408</f>
        <v>41363.636363636302</v>
      </c>
      <c r="H1408" s="3">
        <f>정규화데이터!H1408</f>
        <v>45499.999999999935</v>
      </c>
      <c r="I1408" s="3">
        <f>정규화데이터!I1408</f>
        <v>45500</v>
      </c>
      <c r="J1408" s="3">
        <f>정규화데이터!J1408</f>
        <v>41363.636363636302</v>
      </c>
      <c r="K1408" s="25">
        <f>정규화데이터!K1408</f>
        <v>30748</v>
      </c>
      <c r="L1408" s="25">
        <f>정규화데이터!L1408</f>
        <v>30748</v>
      </c>
      <c r="M1408" s="21">
        <f t="shared" si="42"/>
        <v>10615.636363636302</v>
      </c>
      <c r="N1408" s="52">
        <f t="shared" si="43"/>
        <v>0.25664175824175711</v>
      </c>
    </row>
    <row r="1409" spans="1:14" x14ac:dyDescent="0.3">
      <c r="A1409" t="str">
        <f>정규화데이터!A1409</f>
        <v>리씽크</v>
      </c>
      <c r="B1409">
        <f>정규화데이터!B1409</f>
        <v>2.0260206191224801E+18</v>
      </c>
      <c r="C1409" t="str">
        <f>정규화데이터!C1409</f>
        <v xml:space="preserve">워커힐 본갈비 3+1 최초❤️5만원대! 총1.2kg✨호텔특제 양념갈비 8인분 (✨1인분 7,375원꼴! / [300g,2인분] x 총 4팩  / ✨초이스등급 본갈비 / ❣️워커힐 </v>
      </c>
      <c r="D1409">
        <f>정규화데이터!D1409</f>
        <v>143790</v>
      </c>
      <c r="E1409" s="16" t="str">
        <f>정규화데이터!E1409</f>
        <v>SKU001</v>
      </c>
      <c r="F1409" s="3">
        <f>정규화데이터!F1409</f>
        <v>1</v>
      </c>
      <c r="G1409" s="3">
        <f>정규화데이터!G1409</f>
        <v>41363.636363636302</v>
      </c>
      <c r="H1409" s="3">
        <f>정규화데이터!H1409</f>
        <v>45499.999999999935</v>
      </c>
      <c r="I1409" s="3">
        <f>정규화데이터!I1409</f>
        <v>45500</v>
      </c>
      <c r="J1409" s="3">
        <f>정규화데이터!J1409</f>
        <v>41363.636363636302</v>
      </c>
      <c r="K1409" s="25">
        <f>정규화데이터!K1409</f>
        <v>30748</v>
      </c>
      <c r="L1409" s="25">
        <f>정규화데이터!L1409</f>
        <v>30748</v>
      </c>
      <c r="M1409" s="21">
        <f t="shared" si="42"/>
        <v>10615.636363636302</v>
      </c>
      <c r="N1409" s="52">
        <f t="shared" si="43"/>
        <v>0.25664175824175711</v>
      </c>
    </row>
    <row r="1410" spans="1:14" x14ac:dyDescent="0.3">
      <c r="A1410" t="str">
        <f>정규화데이터!A1410</f>
        <v>리씽크</v>
      </c>
      <c r="B1410">
        <f>정규화데이터!B1410</f>
        <v>2.0260206191314601E+18</v>
      </c>
      <c r="C1410" t="str">
        <f>정규화데이터!C1410</f>
        <v xml:space="preserve">워커힐 본갈비 3+1 최초❤️5만원대! 총1.2kg✨호텔특제 양념갈비 8인분 (✨1인분 7,375원꼴! / [300g,2인분] x 총 4팩  / ✨초이스등급 본갈비 / ❣️워커힐 </v>
      </c>
      <c r="D1410">
        <f>정규화데이터!D1410</f>
        <v>143790</v>
      </c>
      <c r="E1410" s="16" t="str">
        <f>정규화데이터!E1410</f>
        <v>SKU001</v>
      </c>
      <c r="F1410" s="3">
        <f>정규화데이터!F1410</f>
        <v>2</v>
      </c>
      <c r="G1410" s="3">
        <f>정규화데이터!G1410</f>
        <v>41363.636363636353</v>
      </c>
      <c r="H1410" s="3">
        <f>정규화데이터!H1410</f>
        <v>91000</v>
      </c>
      <c r="I1410" s="3">
        <f>정규화데이터!I1410</f>
        <v>91000</v>
      </c>
      <c r="J1410" s="3">
        <f>정규화데이터!J1410</f>
        <v>82727.272727272706</v>
      </c>
      <c r="K1410" s="25">
        <f>정규화데이터!K1410</f>
        <v>30748</v>
      </c>
      <c r="L1410" s="25">
        <f>정규화데이터!L1410</f>
        <v>61496</v>
      </c>
      <c r="M1410" s="21">
        <f t="shared" si="42"/>
        <v>21231.272727272706</v>
      </c>
      <c r="N1410" s="52">
        <f t="shared" si="43"/>
        <v>0.25664175824175806</v>
      </c>
    </row>
    <row r="1411" spans="1:14" x14ac:dyDescent="0.3">
      <c r="A1411" t="str">
        <f>정규화데이터!A1411</f>
        <v>리씽크</v>
      </c>
      <c r="B1411">
        <f>정규화데이터!B1411</f>
        <v>2.02602061912463E+18</v>
      </c>
      <c r="C1411" t="str">
        <f>정규화데이터!C1411</f>
        <v xml:space="preserve">워커힐 본갈비 3+1 최초❤️5만원대! 총1.2kg✨호텔특제 양념갈비 8인분 (✨1인분 7,375원꼴! / [300g,2인분] x 총 4팩  / ✨초이스등급 본갈비 / ❣️워커힐 </v>
      </c>
      <c r="D1411">
        <f>정규화데이터!D1411</f>
        <v>143790</v>
      </c>
      <c r="E1411" s="16" t="str">
        <f>정규화데이터!E1411</f>
        <v>SKU001</v>
      </c>
      <c r="F1411" s="3">
        <f>정규화데이터!F1411</f>
        <v>1</v>
      </c>
      <c r="G1411" s="3">
        <f>정규화데이터!G1411</f>
        <v>41363.636363636302</v>
      </c>
      <c r="H1411" s="3">
        <f>정규화데이터!H1411</f>
        <v>45499.999999999935</v>
      </c>
      <c r="I1411" s="3">
        <f>정규화데이터!I1411</f>
        <v>45500</v>
      </c>
      <c r="J1411" s="3">
        <f>정규화데이터!J1411</f>
        <v>41363.636363636302</v>
      </c>
      <c r="K1411" s="25">
        <f>정규화데이터!K1411</f>
        <v>30748</v>
      </c>
      <c r="L1411" s="25">
        <f>정규화데이터!L1411</f>
        <v>30748</v>
      </c>
      <c r="M1411" s="21">
        <f t="shared" ref="M1411:M1474" si="44">J1411-L1411</f>
        <v>10615.636363636302</v>
      </c>
      <c r="N1411" s="52">
        <f t="shared" ref="N1411:N1474" si="45">IF(J1411=0,0,M1411/J1411)</f>
        <v>0.25664175824175711</v>
      </c>
    </row>
    <row r="1412" spans="1:14" x14ac:dyDescent="0.3">
      <c r="A1412" t="str">
        <f>정규화데이터!A1412</f>
        <v>리씽크</v>
      </c>
      <c r="B1412">
        <f>정규화데이터!B1412</f>
        <v>2.02602061913219E+18</v>
      </c>
      <c r="C1412" t="str">
        <f>정규화데이터!C1412</f>
        <v xml:space="preserve">워커힐 본갈비 3+1 최초❤️5만원대! 총1.2kg✨호텔특제 양념갈비 8인분 (✨1인분 7,375원꼴! / [300g,2인분] x 총 4팩  / ✨초이스등급 본갈비 / ❣️워커힐 </v>
      </c>
      <c r="D1412">
        <f>정규화데이터!D1412</f>
        <v>143790</v>
      </c>
      <c r="E1412" s="16" t="str">
        <f>정규화데이터!E1412</f>
        <v>SKU001</v>
      </c>
      <c r="F1412" s="3">
        <f>정규화데이터!F1412</f>
        <v>1</v>
      </c>
      <c r="G1412" s="3">
        <f>정규화데이터!G1412</f>
        <v>41363.636363636302</v>
      </c>
      <c r="H1412" s="3">
        <f>정규화데이터!H1412</f>
        <v>45499.999999999935</v>
      </c>
      <c r="I1412" s="3">
        <f>정규화데이터!I1412</f>
        <v>45500</v>
      </c>
      <c r="J1412" s="3">
        <f>정규화데이터!J1412</f>
        <v>41363.636363636302</v>
      </c>
      <c r="K1412" s="25">
        <f>정규화데이터!K1412</f>
        <v>30748</v>
      </c>
      <c r="L1412" s="25">
        <f>정규화데이터!L1412</f>
        <v>30748</v>
      </c>
      <c r="M1412" s="21">
        <f t="shared" si="44"/>
        <v>10615.636363636302</v>
      </c>
      <c r="N1412" s="52">
        <f t="shared" si="45"/>
        <v>0.25664175824175711</v>
      </c>
    </row>
    <row r="1413" spans="1:14" x14ac:dyDescent="0.3">
      <c r="A1413" t="str">
        <f>정규화데이터!A1413</f>
        <v>리씽크</v>
      </c>
      <c r="B1413">
        <f>정규화데이터!B1413</f>
        <v>2.02602061912323E+18</v>
      </c>
      <c r="C1413" t="str">
        <f>정규화데이터!C1413</f>
        <v xml:space="preserve">워커힐 본갈비 3+1 최초❤️5만원대! 총1.2kg✨호텔특제 양념갈비 8인분 (✨1인분 7,375원꼴! / [300g,2인분] x 총 4팩  / ✨초이스등급 본갈비 / ❣️워커힐 </v>
      </c>
      <c r="D1413">
        <f>정규화데이터!D1413</f>
        <v>143790</v>
      </c>
      <c r="E1413" s="16" t="str">
        <f>정규화데이터!E1413</f>
        <v>SKU001</v>
      </c>
      <c r="F1413" s="3">
        <f>정규화데이터!F1413</f>
        <v>1</v>
      </c>
      <c r="G1413" s="3">
        <f>정규화데이터!G1413</f>
        <v>41363.636363636302</v>
      </c>
      <c r="H1413" s="3">
        <f>정규화데이터!H1413</f>
        <v>45499.999999999935</v>
      </c>
      <c r="I1413" s="3">
        <f>정규화데이터!I1413</f>
        <v>45500</v>
      </c>
      <c r="J1413" s="3">
        <f>정규화데이터!J1413</f>
        <v>41363.636363636302</v>
      </c>
      <c r="K1413" s="25">
        <f>정규화데이터!K1413</f>
        <v>30748</v>
      </c>
      <c r="L1413" s="25">
        <f>정규화데이터!L1413</f>
        <v>30748</v>
      </c>
      <c r="M1413" s="21">
        <f t="shared" si="44"/>
        <v>10615.636363636302</v>
      </c>
      <c r="N1413" s="52">
        <f t="shared" si="45"/>
        <v>0.25664175824175711</v>
      </c>
    </row>
    <row r="1414" spans="1:14" x14ac:dyDescent="0.3">
      <c r="A1414" t="str">
        <f>정규화데이터!A1414</f>
        <v>리씽크</v>
      </c>
      <c r="B1414">
        <f>정규화데이터!B1414</f>
        <v>2.0260206163606999E+18</v>
      </c>
      <c r="C1414" t="str">
        <f>정규화데이터!C1414</f>
        <v xml:space="preserve">워커힐 본갈비 3+1 최초❤️5만원대! 총1.2kg✨호텔특제 양념갈비 8인분 (✨1인분 7,375원꼴! / [300g,2인분] x 총 4팩  / ✨초이스등급 본갈비 / ❣️워커힐 </v>
      </c>
      <c r="D1414">
        <f>정규화데이터!D1414</f>
        <v>143790</v>
      </c>
      <c r="E1414" s="16" t="str">
        <f>정규화데이터!E1414</f>
        <v>SKU001</v>
      </c>
      <c r="F1414" s="3">
        <f>정규화데이터!F1414</f>
        <v>1</v>
      </c>
      <c r="G1414" s="3">
        <f>정규화데이터!G1414</f>
        <v>41363.636363636302</v>
      </c>
      <c r="H1414" s="3">
        <f>정규화데이터!H1414</f>
        <v>45499.999999999935</v>
      </c>
      <c r="I1414" s="3">
        <f>정규화데이터!I1414</f>
        <v>45500</v>
      </c>
      <c r="J1414" s="3">
        <f>정규화데이터!J1414</f>
        <v>41363.636363636302</v>
      </c>
      <c r="K1414" s="25">
        <f>정규화데이터!K1414</f>
        <v>30748</v>
      </c>
      <c r="L1414" s="25">
        <f>정규화데이터!L1414</f>
        <v>30748</v>
      </c>
      <c r="M1414" s="21">
        <f t="shared" si="44"/>
        <v>10615.636363636302</v>
      </c>
      <c r="N1414" s="52">
        <f t="shared" si="45"/>
        <v>0.25664175824175711</v>
      </c>
    </row>
    <row r="1415" spans="1:14" x14ac:dyDescent="0.3">
      <c r="A1415" t="str">
        <f>정규화데이터!A1415</f>
        <v>리씽크</v>
      </c>
      <c r="B1415">
        <f>정규화데이터!B1415</f>
        <v>2.0260206163110999E+18</v>
      </c>
      <c r="C1415" t="str">
        <f>정규화데이터!C1415</f>
        <v xml:space="preserve">워커힐 본갈비 3+1 최초❤️5만원대! 총1.2kg✨호텔특제 양념갈비 8인분 (✨1인분 7,375원꼴! / [300g,2인분] x 총 4팩  / ✨초이스등급 본갈비 / ❣️워커힐 </v>
      </c>
      <c r="D1415">
        <f>정규화데이터!D1415</f>
        <v>143790</v>
      </c>
      <c r="E1415" s="16" t="str">
        <f>정규화데이터!E1415</f>
        <v>SKU001</v>
      </c>
      <c r="F1415" s="3">
        <f>정규화데이터!F1415</f>
        <v>1</v>
      </c>
      <c r="G1415" s="3">
        <f>정규화데이터!G1415</f>
        <v>41363.636363636302</v>
      </c>
      <c r="H1415" s="3">
        <f>정규화데이터!H1415</f>
        <v>45499.999999999935</v>
      </c>
      <c r="I1415" s="3">
        <f>정규화데이터!I1415</f>
        <v>45500</v>
      </c>
      <c r="J1415" s="3">
        <f>정규화데이터!J1415</f>
        <v>41363.636363636302</v>
      </c>
      <c r="K1415" s="25">
        <f>정규화데이터!K1415</f>
        <v>30748</v>
      </c>
      <c r="L1415" s="25">
        <f>정규화데이터!L1415</f>
        <v>30748</v>
      </c>
      <c r="M1415" s="21">
        <f t="shared" si="44"/>
        <v>10615.636363636302</v>
      </c>
      <c r="N1415" s="52">
        <f t="shared" si="45"/>
        <v>0.25664175824175711</v>
      </c>
    </row>
    <row r="1416" spans="1:14" x14ac:dyDescent="0.3">
      <c r="A1416" t="str">
        <f>정규화데이터!A1416</f>
        <v>리씽크</v>
      </c>
      <c r="B1416">
        <f>정규화데이터!B1416</f>
        <v>2.0260206162218601E+18</v>
      </c>
      <c r="C1416" t="str">
        <f>정규화데이터!C1416</f>
        <v xml:space="preserve">워커힐 본갈비 3+1 최초❤️5만원대! 총1.2kg✨호텔특제 양념갈비 8인분 (✨1인분 7,375원꼴! / [300g,2인분] x 총 4팩  / ✨초이스등급 본갈비 / ❣️워커힐 </v>
      </c>
      <c r="D1416">
        <f>정규화데이터!D1416</f>
        <v>143790</v>
      </c>
      <c r="E1416" s="16" t="str">
        <f>정규화데이터!E1416</f>
        <v>SKU001</v>
      </c>
      <c r="F1416" s="3">
        <f>정규화데이터!F1416</f>
        <v>1</v>
      </c>
      <c r="G1416" s="3">
        <f>정규화데이터!G1416</f>
        <v>41363.636363636302</v>
      </c>
      <c r="H1416" s="3">
        <f>정규화데이터!H1416</f>
        <v>45499.999999999935</v>
      </c>
      <c r="I1416" s="3">
        <f>정규화데이터!I1416</f>
        <v>45500</v>
      </c>
      <c r="J1416" s="3">
        <f>정규화데이터!J1416</f>
        <v>41363.636363636302</v>
      </c>
      <c r="K1416" s="25">
        <f>정규화데이터!K1416</f>
        <v>30748</v>
      </c>
      <c r="L1416" s="25">
        <f>정규화데이터!L1416</f>
        <v>30748</v>
      </c>
      <c r="M1416" s="21">
        <f t="shared" si="44"/>
        <v>10615.636363636302</v>
      </c>
      <c r="N1416" s="52">
        <f t="shared" si="45"/>
        <v>0.25664175824175711</v>
      </c>
    </row>
    <row r="1417" spans="1:14" x14ac:dyDescent="0.3">
      <c r="A1417" t="str">
        <f>정규화데이터!A1417</f>
        <v>리씽크</v>
      </c>
      <c r="B1417">
        <f>정규화데이터!B1417</f>
        <v>2.0260206161657201E+18</v>
      </c>
      <c r="C1417" t="str">
        <f>정규화데이터!C1417</f>
        <v xml:space="preserve">워커힐 본갈비 3+1 최초❤️5만원대! 총1.2kg✨호텔특제 양념갈비 8인분 (✨1인분 7,375원꼴! / [300g,2인분] x 총 4팩  / ✨초이스등급 본갈비 / ❣️워커힐 </v>
      </c>
      <c r="D1417">
        <f>정규화데이터!D1417</f>
        <v>143790</v>
      </c>
      <c r="E1417" s="16" t="str">
        <f>정규화데이터!E1417</f>
        <v>SKU001</v>
      </c>
      <c r="F1417" s="3">
        <f>정규화데이터!F1417</f>
        <v>1</v>
      </c>
      <c r="G1417" s="3">
        <f>정규화데이터!G1417</f>
        <v>41363.636363636302</v>
      </c>
      <c r="H1417" s="3">
        <f>정규화데이터!H1417</f>
        <v>45499.999999999935</v>
      </c>
      <c r="I1417" s="3">
        <f>정규화데이터!I1417</f>
        <v>45500</v>
      </c>
      <c r="J1417" s="3">
        <f>정규화데이터!J1417</f>
        <v>41363.636363636302</v>
      </c>
      <c r="K1417" s="25">
        <f>정규화데이터!K1417</f>
        <v>30748</v>
      </c>
      <c r="L1417" s="25">
        <f>정규화데이터!L1417</f>
        <v>30748</v>
      </c>
      <c r="M1417" s="21">
        <f t="shared" si="44"/>
        <v>10615.636363636302</v>
      </c>
      <c r="N1417" s="52">
        <f t="shared" si="45"/>
        <v>0.25664175824175711</v>
      </c>
    </row>
    <row r="1418" spans="1:14" x14ac:dyDescent="0.3">
      <c r="A1418" t="str">
        <f>정규화데이터!A1418</f>
        <v>리씽크</v>
      </c>
      <c r="B1418">
        <f>정규화데이터!B1418</f>
        <v>2.0260206153656901E+18</v>
      </c>
      <c r="C1418" t="str">
        <f>정규화데이터!C1418</f>
        <v xml:space="preserve">워커힐 본갈비 3+1 최초❤️5만원대! 총1.2kg✨호텔특제 양념갈비 8인분 (✨1인분 7,375원꼴! / [300g,2인분] x 총 4팩  / ✨초이스등급 본갈비 / ❣️워커힐 </v>
      </c>
      <c r="D1418">
        <f>정규화데이터!D1418</f>
        <v>143790</v>
      </c>
      <c r="E1418" s="16" t="str">
        <f>정규화데이터!E1418</f>
        <v>SKU001</v>
      </c>
      <c r="F1418" s="3">
        <f>정규화데이터!F1418</f>
        <v>1</v>
      </c>
      <c r="G1418" s="3">
        <f>정규화데이터!G1418</f>
        <v>41363.636363636302</v>
      </c>
      <c r="H1418" s="3">
        <f>정규화데이터!H1418</f>
        <v>45499.999999999935</v>
      </c>
      <c r="I1418" s="3">
        <f>정규화데이터!I1418</f>
        <v>45500</v>
      </c>
      <c r="J1418" s="3">
        <f>정규화데이터!J1418</f>
        <v>41363.636363636302</v>
      </c>
      <c r="K1418" s="25">
        <f>정규화데이터!K1418</f>
        <v>30748</v>
      </c>
      <c r="L1418" s="25">
        <f>정규화데이터!L1418</f>
        <v>30748</v>
      </c>
      <c r="M1418" s="21">
        <f t="shared" si="44"/>
        <v>10615.636363636302</v>
      </c>
      <c r="N1418" s="52">
        <f t="shared" si="45"/>
        <v>0.25664175824175711</v>
      </c>
    </row>
    <row r="1419" spans="1:14" x14ac:dyDescent="0.3">
      <c r="A1419" t="str">
        <f>정규화데이터!A1419</f>
        <v>리씽크</v>
      </c>
      <c r="B1419">
        <f>정규화데이터!B1419</f>
        <v>2.02602061528275E+18</v>
      </c>
      <c r="C1419" t="str">
        <f>정규화데이터!C1419</f>
        <v xml:space="preserve">워커힐 본갈비 3+1 최초❤️5만원대! 총1.2kg✨호텔특제 양념갈비 8인분 (✨1인분 7,375원꼴! / [300g,2인분] x 총 4팩  / ✨초이스등급 본갈비 / ❣️워커힐 </v>
      </c>
      <c r="D1419">
        <f>정규화데이터!D1419</f>
        <v>143790</v>
      </c>
      <c r="E1419" s="16" t="str">
        <f>정규화데이터!E1419</f>
        <v>SKU001</v>
      </c>
      <c r="F1419" s="3">
        <f>정규화데이터!F1419</f>
        <v>1</v>
      </c>
      <c r="G1419" s="3">
        <f>정규화데이터!G1419</f>
        <v>41363.636363636302</v>
      </c>
      <c r="H1419" s="3">
        <f>정규화데이터!H1419</f>
        <v>45499.999999999935</v>
      </c>
      <c r="I1419" s="3">
        <f>정규화데이터!I1419</f>
        <v>45500</v>
      </c>
      <c r="J1419" s="3">
        <f>정규화데이터!J1419</f>
        <v>41363.636363636302</v>
      </c>
      <c r="K1419" s="25">
        <f>정규화데이터!K1419</f>
        <v>30748</v>
      </c>
      <c r="L1419" s="25">
        <f>정규화데이터!L1419</f>
        <v>30748</v>
      </c>
      <c r="M1419" s="21">
        <f t="shared" si="44"/>
        <v>10615.636363636302</v>
      </c>
      <c r="N1419" s="52">
        <f t="shared" si="45"/>
        <v>0.25664175824175711</v>
      </c>
    </row>
    <row r="1420" spans="1:14" x14ac:dyDescent="0.3">
      <c r="A1420" t="str">
        <f>정규화데이터!A1420</f>
        <v>리씽크</v>
      </c>
      <c r="B1420">
        <f>정규화데이터!B1420</f>
        <v>2.02602061527425E+18</v>
      </c>
      <c r="C1420" t="str">
        <f>정규화데이터!C1420</f>
        <v xml:space="preserve">워커힐 본갈비 3+1 최초❤️5만원대! 총1.2kg✨호텔특제 양념갈비 8인분 (✨1인분 7,375원꼴! / [300g,2인분] x 총 4팩  / ✨초이스등급 본갈비 / ❣️워커힐 </v>
      </c>
      <c r="D1420">
        <f>정규화데이터!D1420</f>
        <v>143790</v>
      </c>
      <c r="E1420" s="16" t="str">
        <f>정규화데이터!E1420</f>
        <v>SKU001</v>
      </c>
      <c r="F1420" s="3">
        <f>정규화데이터!F1420</f>
        <v>1</v>
      </c>
      <c r="G1420" s="3">
        <f>정규화데이터!G1420</f>
        <v>41363.636363636302</v>
      </c>
      <c r="H1420" s="3">
        <f>정규화데이터!H1420</f>
        <v>45499.999999999935</v>
      </c>
      <c r="I1420" s="3">
        <f>정규화데이터!I1420</f>
        <v>45500</v>
      </c>
      <c r="J1420" s="3">
        <f>정규화데이터!J1420</f>
        <v>41363.636363636302</v>
      </c>
      <c r="K1420" s="25">
        <f>정규화데이터!K1420</f>
        <v>30748</v>
      </c>
      <c r="L1420" s="25">
        <f>정규화데이터!L1420</f>
        <v>30748</v>
      </c>
      <c r="M1420" s="21">
        <f t="shared" si="44"/>
        <v>10615.636363636302</v>
      </c>
      <c r="N1420" s="52">
        <f t="shared" si="45"/>
        <v>0.25664175824175711</v>
      </c>
    </row>
    <row r="1421" spans="1:14" x14ac:dyDescent="0.3">
      <c r="A1421" t="str">
        <f>정규화데이터!A1421</f>
        <v>리씽크</v>
      </c>
      <c r="B1421">
        <f>정규화데이터!B1421</f>
        <v>2.02602061520416E+18</v>
      </c>
      <c r="C1421" t="str">
        <f>정규화데이터!C1421</f>
        <v xml:space="preserve">워커힐 본갈비 3+1 최초❤️5만원대! 총1.2kg✨호텔특제 양념갈비 8인분 (✨1인분 7,375원꼴! / [300g,2인분] x 총 4팩  / ✨초이스등급 본갈비 / ❣️워커힐 </v>
      </c>
      <c r="D1421">
        <f>정규화데이터!D1421</f>
        <v>143790</v>
      </c>
      <c r="E1421" s="16" t="str">
        <f>정규화데이터!E1421</f>
        <v>SKU001</v>
      </c>
      <c r="F1421" s="3">
        <f>정규화데이터!F1421</f>
        <v>1</v>
      </c>
      <c r="G1421" s="3">
        <f>정규화데이터!G1421</f>
        <v>41363.636363636302</v>
      </c>
      <c r="H1421" s="3">
        <f>정규화데이터!H1421</f>
        <v>45499.999999999935</v>
      </c>
      <c r="I1421" s="3">
        <f>정규화데이터!I1421</f>
        <v>45500</v>
      </c>
      <c r="J1421" s="3">
        <f>정규화데이터!J1421</f>
        <v>41363.636363636302</v>
      </c>
      <c r="K1421" s="25">
        <f>정규화데이터!K1421</f>
        <v>30748</v>
      </c>
      <c r="L1421" s="25">
        <f>정규화데이터!L1421</f>
        <v>30748</v>
      </c>
      <c r="M1421" s="21">
        <f t="shared" si="44"/>
        <v>10615.636363636302</v>
      </c>
      <c r="N1421" s="52">
        <f t="shared" si="45"/>
        <v>0.25664175824175711</v>
      </c>
    </row>
    <row r="1422" spans="1:14" x14ac:dyDescent="0.3">
      <c r="A1422" t="str">
        <f>정규화데이터!A1422</f>
        <v>리씽크</v>
      </c>
      <c r="B1422">
        <f>정규화데이터!B1422</f>
        <v>2.0260206152023401E+18</v>
      </c>
      <c r="C1422" t="str">
        <f>정규화데이터!C1422</f>
        <v xml:space="preserve">워커힐 본갈비 3+1 최초❤️5만원대! 총1.2kg✨호텔특제 양념갈비 8인분 (✨1인분 7,375원꼴! / [300g,2인분] x 총 4팩  / ✨초이스등급 본갈비 / ❣️워커힐 </v>
      </c>
      <c r="D1422">
        <f>정규화데이터!D1422</f>
        <v>143790</v>
      </c>
      <c r="E1422" s="16" t="str">
        <f>정규화데이터!E1422</f>
        <v>SKU001</v>
      </c>
      <c r="F1422" s="3">
        <f>정규화데이터!F1422</f>
        <v>1</v>
      </c>
      <c r="G1422" s="3">
        <f>정규화데이터!G1422</f>
        <v>41363.636363636302</v>
      </c>
      <c r="H1422" s="3">
        <f>정규화데이터!H1422</f>
        <v>45499.999999999935</v>
      </c>
      <c r="I1422" s="3">
        <f>정규화데이터!I1422</f>
        <v>45500</v>
      </c>
      <c r="J1422" s="3">
        <f>정규화데이터!J1422</f>
        <v>41363.636363636302</v>
      </c>
      <c r="K1422" s="25">
        <f>정규화데이터!K1422</f>
        <v>30748</v>
      </c>
      <c r="L1422" s="25">
        <f>정규화데이터!L1422</f>
        <v>30748</v>
      </c>
      <c r="M1422" s="21">
        <f t="shared" si="44"/>
        <v>10615.636363636302</v>
      </c>
      <c r="N1422" s="52">
        <f t="shared" si="45"/>
        <v>0.25664175824175711</v>
      </c>
    </row>
    <row r="1423" spans="1:14" x14ac:dyDescent="0.3">
      <c r="A1423" t="str">
        <f>정규화데이터!A1423</f>
        <v>리씽크</v>
      </c>
      <c r="B1423">
        <f>정규화데이터!B1423</f>
        <v>2.02602061517088E+18</v>
      </c>
      <c r="C1423" t="str">
        <f>정규화데이터!C1423</f>
        <v xml:space="preserve">워커힐 본갈비 3+1 최초❤️5만원대! 총1.2kg✨호텔특제 양념갈비 8인분 (✨1인분 7,375원꼴! / [300g,2인분] x 총 4팩  / ✨초이스등급 본갈비 / ❣️워커힐 </v>
      </c>
      <c r="D1423">
        <f>정규화데이터!D1423</f>
        <v>143790</v>
      </c>
      <c r="E1423" s="16" t="str">
        <f>정규화데이터!E1423</f>
        <v>SKU001</v>
      </c>
      <c r="F1423" s="3">
        <f>정규화데이터!F1423</f>
        <v>1</v>
      </c>
      <c r="G1423" s="3">
        <f>정규화데이터!G1423</f>
        <v>41363.636363636302</v>
      </c>
      <c r="H1423" s="3">
        <f>정규화데이터!H1423</f>
        <v>45499.999999999935</v>
      </c>
      <c r="I1423" s="3">
        <f>정규화데이터!I1423</f>
        <v>45500</v>
      </c>
      <c r="J1423" s="3">
        <f>정규화데이터!J1423</f>
        <v>41363.636363636302</v>
      </c>
      <c r="K1423" s="25">
        <f>정규화데이터!K1423</f>
        <v>30748</v>
      </c>
      <c r="L1423" s="25">
        <f>정규화데이터!L1423</f>
        <v>30748</v>
      </c>
      <c r="M1423" s="21">
        <f t="shared" si="44"/>
        <v>10615.636363636302</v>
      </c>
      <c r="N1423" s="52">
        <f t="shared" si="45"/>
        <v>0.25664175824175711</v>
      </c>
    </row>
    <row r="1424" spans="1:14" x14ac:dyDescent="0.3">
      <c r="A1424" t="str">
        <f>정규화데이터!A1424</f>
        <v>리씽크</v>
      </c>
      <c r="B1424">
        <f>정규화데이터!B1424</f>
        <v>2.02602061514462E+18</v>
      </c>
      <c r="C1424" t="str">
        <f>정규화데이터!C1424</f>
        <v xml:space="preserve">워커힐 본갈비 3+1 최초❤️5만원대! 총1.2kg✨호텔특제 양념갈비 8인분 (✨1인분 7,375원꼴! / [300g,2인분] x 총 4팩  / ✨초이스등급 본갈비 / ❣️워커힐 </v>
      </c>
      <c r="D1424">
        <f>정규화데이터!D1424</f>
        <v>143790</v>
      </c>
      <c r="E1424" s="16" t="str">
        <f>정규화데이터!E1424</f>
        <v>SKU001</v>
      </c>
      <c r="F1424" s="3">
        <f>정규화데이터!F1424</f>
        <v>1</v>
      </c>
      <c r="G1424" s="3">
        <f>정규화데이터!G1424</f>
        <v>41363.636363636302</v>
      </c>
      <c r="H1424" s="3">
        <f>정규화데이터!H1424</f>
        <v>45499.999999999935</v>
      </c>
      <c r="I1424" s="3">
        <f>정규화데이터!I1424</f>
        <v>45500</v>
      </c>
      <c r="J1424" s="3">
        <f>정규화데이터!J1424</f>
        <v>41363.636363636302</v>
      </c>
      <c r="K1424" s="25">
        <f>정규화데이터!K1424</f>
        <v>30748</v>
      </c>
      <c r="L1424" s="25">
        <f>정규화데이터!L1424</f>
        <v>30748</v>
      </c>
      <c r="M1424" s="21">
        <f t="shared" si="44"/>
        <v>10615.636363636302</v>
      </c>
      <c r="N1424" s="52">
        <f t="shared" si="45"/>
        <v>0.25664175824175711</v>
      </c>
    </row>
    <row r="1425" spans="1:14" x14ac:dyDescent="0.3">
      <c r="A1425" t="str">
        <f>정규화데이터!A1425</f>
        <v>리씽크</v>
      </c>
      <c r="B1425">
        <f>정규화데이터!B1425</f>
        <v>2.02602061510497E+18</v>
      </c>
      <c r="C1425" t="str">
        <f>정규화데이터!C1425</f>
        <v xml:space="preserve">워커힐 본갈비 3+1 최초❤️5만원대! 총1.2kg✨호텔특제 양념갈비 8인분 (✨1인분 7,375원꼴! / [300g,2인분] x 총 4팩  / ✨초이스등급 본갈비 / ❣️워커힐 </v>
      </c>
      <c r="D1425">
        <f>정규화데이터!D1425</f>
        <v>143790</v>
      </c>
      <c r="E1425" s="16" t="str">
        <f>정규화데이터!E1425</f>
        <v>SKU001</v>
      </c>
      <c r="F1425" s="3">
        <f>정규화데이터!F1425</f>
        <v>1</v>
      </c>
      <c r="G1425" s="3">
        <f>정규화데이터!G1425</f>
        <v>41363.636363636302</v>
      </c>
      <c r="H1425" s="3">
        <f>정규화데이터!H1425</f>
        <v>45499.999999999935</v>
      </c>
      <c r="I1425" s="3">
        <f>정규화데이터!I1425</f>
        <v>45500</v>
      </c>
      <c r="J1425" s="3">
        <f>정규화데이터!J1425</f>
        <v>41363.636363636302</v>
      </c>
      <c r="K1425" s="25">
        <f>정규화데이터!K1425</f>
        <v>30748</v>
      </c>
      <c r="L1425" s="25">
        <f>정규화데이터!L1425</f>
        <v>30748</v>
      </c>
      <c r="M1425" s="21">
        <f t="shared" si="44"/>
        <v>10615.636363636302</v>
      </c>
      <c r="N1425" s="52">
        <f t="shared" si="45"/>
        <v>0.25664175824175711</v>
      </c>
    </row>
    <row r="1426" spans="1:14" x14ac:dyDescent="0.3">
      <c r="A1426" t="str">
        <f>정규화데이터!A1426</f>
        <v>리씽크</v>
      </c>
      <c r="B1426">
        <f>정규화데이터!B1426</f>
        <v>2.0260206144735201E+18</v>
      </c>
      <c r="C1426" t="str">
        <f>정규화데이터!C1426</f>
        <v xml:space="preserve">워커힐 본갈비 3+1 최초❤️5만원대! 총1.2kg✨호텔특제 양념갈비 8인분 (✨1인분 7,375원꼴! / [300g,2인분] x 총 4팩  / ✨초이스등급 본갈비 / ❣️워커힐 </v>
      </c>
      <c r="D1426">
        <f>정규화데이터!D1426</f>
        <v>143790</v>
      </c>
      <c r="E1426" s="16" t="str">
        <f>정규화데이터!E1426</f>
        <v>SKU001</v>
      </c>
      <c r="F1426" s="3">
        <f>정규화데이터!F1426</f>
        <v>1</v>
      </c>
      <c r="G1426" s="3">
        <f>정규화데이터!G1426</f>
        <v>41363.636363636302</v>
      </c>
      <c r="H1426" s="3">
        <f>정규화데이터!H1426</f>
        <v>45499.999999999935</v>
      </c>
      <c r="I1426" s="3">
        <f>정규화데이터!I1426</f>
        <v>45500</v>
      </c>
      <c r="J1426" s="3">
        <f>정규화데이터!J1426</f>
        <v>41363.636363636302</v>
      </c>
      <c r="K1426" s="25">
        <f>정규화데이터!K1426</f>
        <v>30748</v>
      </c>
      <c r="L1426" s="25">
        <f>정규화데이터!L1426</f>
        <v>30748</v>
      </c>
      <c r="M1426" s="21">
        <f t="shared" si="44"/>
        <v>10615.636363636302</v>
      </c>
      <c r="N1426" s="52">
        <f t="shared" si="45"/>
        <v>0.25664175824175711</v>
      </c>
    </row>
    <row r="1427" spans="1:14" x14ac:dyDescent="0.3">
      <c r="A1427" t="str">
        <f>정규화데이터!A1427</f>
        <v>리씽크</v>
      </c>
      <c r="B1427">
        <f>정규화데이터!B1427</f>
        <v>2.02602061438269E+18</v>
      </c>
      <c r="C1427" t="str">
        <f>정규화데이터!C1427</f>
        <v xml:space="preserve">워커힐 본갈비 3+1 최초❤️5만원대! 총1.2kg✨호텔특제 양념갈비 8인분 (✨1인분 7,375원꼴! / [300g,2인분] x 총 4팩  / ✨초이스등급 본갈비 / ❣️워커힐 </v>
      </c>
      <c r="D1427">
        <f>정규화데이터!D1427</f>
        <v>143790</v>
      </c>
      <c r="E1427" s="16" t="str">
        <f>정규화데이터!E1427</f>
        <v>SKU001</v>
      </c>
      <c r="F1427" s="3">
        <f>정규화데이터!F1427</f>
        <v>1</v>
      </c>
      <c r="G1427" s="3">
        <f>정규화데이터!G1427</f>
        <v>41363.636363636302</v>
      </c>
      <c r="H1427" s="3">
        <f>정규화데이터!H1427</f>
        <v>45499.999999999935</v>
      </c>
      <c r="I1427" s="3">
        <f>정규화데이터!I1427</f>
        <v>45500</v>
      </c>
      <c r="J1427" s="3">
        <f>정규화데이터!J1427</f>
        <v>41363.636363636302</v>
      </c>
      <c r="K1427" s="25">
        <f>정규화데이터!K1427</f>
        <v>30748</v>
      </c>
      <c r="L1427" s="25">
        <f>정규화데이터!L1427</f>
        <v>30748</v>
      </c>
      <c r="M1427" s="21">
        <f t="shared" si="44"/>
        <v>10615.636363636302</v>
      </c>
      <c r="N1427" s="52">
        <f t="shared" si="45"/>
        <v>0.25664175824175711</v>
      </c>
    </row>
    <row r="1428" spans="1:14" x14ac:dyDescent="0.3">
      <c r="A1428" t="str">
        <f>정규화데이터!A1428</f>
        <v>리씽크</v>
      </c>
      <c r="B1428">
        <f>정규화데이터!B1428</f>
        <v>2.0260206142657101E+18</v>
      </c>
      <c r="C1428" t="str">
        <f>정규화데이터!C1428</f>
        <v xml:space="preserve">워커힐 본갈비 3+1 최초❤️5만원대! 총1.2kg✨호텔특제 양념갈비 8인분 (✨1인분 7,375원꼴! / [300g,2인분] x 총 4팩  / ✨초이스등급 본갈비 / ❣️워커힐 </v>
      </c>
      <c r="D1428">
        <f>정규화데이터!D1428</f>
        <v>143790</v>
      </c>
      <c r="E1428" s="16" t="str">
        <f>정규화데이터!E1428</f>
        <v>SKU001</v>
      </c>
      <c r="F1428" s="3">
        <f>정규화데이터!F1428</f>
        <v>1</v>
      </c>
      <c r="G1428" s="3">
        <f>정규화데이터!G1428</f>
        <v>41363.636363636302</v>
      </c>
      <c r="H1428" s="3">
        <f>정규화데이터!H1428</f>
        <v>45499.999999999935</v>
      </c>
      <c r="I1428" s="3">
        <f>정규화데이터!I1428</f>
        <v>45500</v>
      </c>
      <c r="J1428" s="3">
        <f>정규화데이터!J1428</f>
        <v>41363.636363636302</v>
      </c>
      <c r="K1428" s="25">
        <f>정규화데이터!K1428</f>
        <v>30748</v>
      </c>
      <c r="L1428" s="25">
        <f>정규화데이터!L1428</f>
        <v>30748</v>
      </c>
      <c r="M1428" s="21">
        <f t="shared" si="44"/>
        <v>10615.636363636302</v>
      </c>
      <c r="N1428" s="52">
        <f t="shared" si="45"/>
        <v>0.25664175824175711</v>
      </c>
    </row>
    <row r="1429" spans="1:14" x14ac:dyDescent="0.3">
      <c r="A1429" t="str">
        <f>정규화데이터!A1429</f>
        <v>리씽크</v>
      </c>
      <c r="B1429">
        <f>정규화데이터!B1429</f>
        <v>2.02602061329456E+18</v>
      </c>
      <c r="C1429" t="str">
        <f>정규화데이터!C1429</f>
        <v xml:space="preserve">워커힐 본갈비 3+1 최초❤️5만원대! 총1.2kg✨호텔특제 양념갈비 8인분 (✨1인분 7,375원꼴! / [300g,2인분] x 총 4팩  / ✨초이스등급 본갈비 / ❣️워커힐 </v>
      </c>
      <c r="D1429">
        <f>정규화데이터!D1429</f>
        <v>143790</v>
      </c>
      <c r="E1429" s="16" t="str">
        <f>정규화데이터!E1429</f>
        <v>SKU001</v>
      </c>
      <c r="F1429" s="3">
        <f>정규화데이터!F1429</f>
        <v>1</v>
      </c>
      <c r="G1429" s="3">
        <f>정규화데이터!G1429</f>
        <v>41363.636363636302</v>
      </c>
      <c r="H1429" s="3">
        <f>정규화데이터!H1429</f>
        <v>45499.999999999935</v>
      </c>
      <c r="I1429" s="3">
        <f>정규화데이터!I1429</f>
        <v>45500</v>
      </c>
      <c r="J1429" s="3">
        <f>정규화데이터!J1429</f>
        <v>41363.636363636302</v>
      </c>
      <c r="K1429" s="25">
        <f>정규화데이터!K1429</f>
        <v>30748</v>
      </c>
      <c r="L1429" s="25">
        <f>정규화데이터!L1429</f>
        <v>30748</v>
      </c>
      <c r="M1429" s="21">
        <f t="shared" si="44"/>
        <v>10615.636363636302</v>
      </c>
      <c r="N1429" s="52">
        <f t="shared" si="45"/>
        <v>0.25664175824175711</v>
      </c>
    </row>
    <row r="1430" spans="1:14" x14ac:dyDescent="0.3">
      <c r="A1430" t="str">
        <f>정규화데이터!A1430</f>
        <v>리씽크</v>
      </c>
      <c r="B1430">
        <f>정규화데이터!B1430</f>
        <v>2.02602061242429E+18</v>
      </c>
      <c r="C1430" t="str">
        <f>정규화데이터!C1430</f>
        <v xml:space="preserve">워커힐 본갈비 3+1 최초❤️5만원대! 총1.2kg✨호텔특제 양념갈비 8인분 (✨1인분 7,375원꼴! / [300g,2인분] x 총 4팩  / ✨초이스등급 본갈비 / ❣️워커힐 </v>
      </c>
      <c r="D1430">
        <f>정규화데이터!D1430</f>
        <v>143790</v>
      </c>
      <c r="E1430" s="16" t="str">
        <f>정규화데이터!E1430</f>
        <v>SKU001</v>
      </c>
      <c r="F1430" s="3">
        <f>정규화데이터!F1430</f>
        <v>2</v>
      </c>
      <c r="G1430" s="3">
        <f>정규화데이터!G1430</f>
        <v>41363.636363636353</v>
      </c>
      <c r="H1430" s="3">
        <f>정규화데이터!H1430</f>
        <v>91000</v>
      </c>
      <c r="I1430" s="3">
        <f>정규화데이터!I1430</f>
        <v>91000</v>
      </c>
      <c r="J1430" s="3">
        <f>정규화데이터!J1430</f>
        <v>82727.272727272706</v>
      </c>
      <c r="K1430" s="25">
        <f>정규화데이터!K1430</f>
        <v>30748</v>
      </c>
      <c r="L1430" s="25">
        <f>정규화데이터!L1430</f>
        <v>61496</v>
      </c>
      <c r="M1430" s="21">
        <f t="shared" si="44"/>
        <v>21231.272727272706</v>
      </c>
      <c r="N1430" s="52">
        <f t="shared" si="45"/>
        <v>0.25664175824175806</v>
      </c>
    </row>
    <row r="1431" spans="1:14" x14ac:dyDescent="0.3">
      <c r="A1431" t="str">
        <f>정규화데이터!A1431</f>
        <v>리씽크</v>
      </c>
      <c r="B1431">
        <f>정규화데이터!B1431</f>
        <v>2.0260206123241001E+18</v>
      </c>
      <c r="C1431" t="str">
        <f>정규화데이터!C1431</f>
        <v xml:space="preserve">워커힐 본갈비 3+1 최초❤️5만원대! 총1.2kg✨호텔특제 양념갈비 8인분 (✨1인분 7,375원꼴! / [300g,2인분] x 총 4팩  / ✨초이스등급 본갈비 / ❣️워커힐 </v>
      </c>
      <c r="D1431">
        <f>정규화데이터!D1431</f>
        <v>143790</v>
      </c>
      <c r="E1431" s="16" t="str">
        <f>정규화데이터!E1431</f>
        <v>SKU001</v>
      </c>
      <c r="F1431" s="3">
        <f>정규화데이터!F1431</f>
        <v>1</v>
      </c>
      <c r="G1431" s="3">
        <f>정규화데이터!G1431</f>
        <v>41363.636363636302</v>
      </c>
      <c r="H1431" s="3">
        <f>정규화데이터!H1431</f>
        <v>45499.999999999935</v>
      </c>
      <c r="I1431" s="3">
        <f>정규화데이터!I1431</f>
        <v>45500</v>
      </c>
      <c r="J1431" s="3">
        <f>정규화데이터!J1431</f>
        <v>41363.636363636302</v>
      </c>
      <c r="K1431" s="25">
        <f>정규화데이터!K1431</f>
        <v>30748</v>
      </c>
      <c r="L1431" s="25">
        <f>정규화데이터!L1431</f>
        <v>30748</v>
      </c>
      <c r="M1431" s="21">
        <f t="shared" si="44"/>
        <v>10615.636363636302</v>
      </c>
      <c r="N1431" s="52">
        <f t="shared" si="45"/>
        <v>0.25664175824175711</v>
      </c>
    </row>
    <row r="1432" spans="1:14" x14ac:dyDescent="0.3">
      <c r="A1432" t="str">
        <f>정규화데이터!A1432</f>
        <v>리씽크</v>
      </c>
      <c r="B1432">
        <f>정규화데이터!B1432</f>
        <v>2.0260206112135301E+18</v>
      </c>
      <c r="C1432" t="str">
        <f>정규화데이터!C1432</f>
        <v xml:space="preserve">워커힐 본갈비 3+1 최초❤️5만원대! 총1.2kg✨호텔특제 양념갈비 8인분 (✨1인분 7,375원꼴! / [300g,2인분] x 총 4팩  / ✨초이스등급 본갈비 / ❣️워커힐 </v>
      </c>
      <c r="D1432">
        <f>정규화데이터!D1432</f>
        <v>143790</v>
      </c>
      <c r="E1432" s="16" t="str">
        <f>정규화데이터!E1432</f>
        <v>SKU001</v>
      </c>
      <c r="F1432" s="3">
        <f>정규화데이터!F1432</f>
        <v>2</v>
      </c>
      <c r="G1432" s="3">
        <f>정규화데이터!G1432</f>
        <v>41363.636363636353</v>
      </c>
      <c r="H1432" s="3">
        <f>정규화데이터!H1432</f>
        <v>91000</v>
      </c>
      <c r="I1432" s="3">
        <f>정규화데이터!I1432</f>
        <v>91000</v>
      </c>
      <c r="J1432" s="3">
        <f>정규화데이터!J1432</f>
        <v>82727.272727272706</v>
      </c>
      <c r="K1432" s="25">
        <f>정규화데이터!K1432</f>
        <v>30748</v>
      </c>
      <c r="L1432" s="25">
        <f>정규화데이터!L1432</f>
        <v>61496</v>
      </c>
      <c r="M1432" s="21">
        <f t="shared" si="44"/>
        <v>21231.272727272706</v>
      </c>
      <c r="N1432" s="52">
        <f t="shared" si="45"/>
        <v>0.25664175824175806</v>
      </c>
    </row>
    <row r="1433" spans="1:14" x14ac:dyDescent="0.3">
      <c r="A1433" t="str">
        <f>정규화데이터!A1433</f>
        <v>리씽크</v>
      </c>
      <c r="B1433">
        <f>정규화데이터!B1433</f>
        <v>2.02602061126591E+18</v>
      </c>
      <c r="C1433" t="str">
        <f>정규화데이터!C1433</f>
        <v xml:space="preserve">워커힐 본갈비 3+1 최초❤️5만원대! 총1.2kg✨호텔특제 양념갈비 8인분 (✨1인분 7,375원꼴! / [300g,2인분] x 총 4팩  / ✨초이스등급 본갈비 / ❣️워커힐 </v>
      </c>
      <c r="D1433">
        <f>정규화데이터!D1433</f>
        <v>143790</v>
      </c>
      <c r="E1433" s="16" t="str">
        <f>정규화데이터!E1433</f>
        <v>SKU001</v>
      </c>
      <c r="F1433" s="3">
        <f>정규화데이터!F1433</f>
        <v>2</v>
      </c>
      <c r="G1433" s="3">
        <f>정규화데이터!G1433</f>
        <v>41363.636363636353</v>
      </c>
      <c r="H1433" s="3">
        <f>정규화데이터!H1433</f>
        <v>91000</v>
      </c>
      <c r="I1433" s="3">
        <f>정규화데이터!I1433</f>
        <v>91000</v>
      </c>
      <c r="J1433" s="3">
        <f>정규화데이터!J1433</f>
        <v>82727.272727272706</v>
      </c>
      <c r="K1433" s="25">
        <f>정규화데이터!K1433</f>
        <v>30748</v>
      </c>
      <c r="L1433" s="25">
        <f>정규화데이터!L1433</f>
        <v>61496</v>
      </c>
      <c r="M1433" s="21">
        <f t="shared" si="44"/>
        <v>21231.272727272706</v>
      </c>
      <c r="N1433" s="52">
        <f t="shared" si="45"/>
        <v>0.25664175824175806</v>
      </c>
    </row>
    <row r="1434" spans="1:14" x14ac:dyDescent="0.3">
      <c r="A1434" t="str">
        <f>정규화데이터!A1434</f>
        <v>리씽크</v>
      </c>
      <c r="B1434">
        <f>정규화데이터!B1434</f>
        <v>2.0260206111532001E+18</v>
      </c>
      <c r="C1434" t="str">
        <f>정규화데이터!C1434</f>
        <v xml:space="preserve">워커힐 본갈비 3+1 최초❤️5만원대! 총1.2kg✨호텔특제 양념갈비 8인분 (✨1인분 7,375원꼴! / [300g,2인분] x 총 4팩  / ✨초이스등급 본갈비 / ❣️워커힐 </v>
      </c>
      <c r="D1434">
        <f>정규화데이터!D1434</f>
        <v>143790</v>
      </c>
      <c r="E1434" s="16" t="str">
        <f>정규화데이터!E1434</f>
        <v>SKU001</v>
      </c>
      <c r="F1434" s="3">
        <f>정규화데이터!F1434</f>
        <v>1</v>
      </c>
      <c r="G1434" s="3">
        <f>정규화데이터!G1434</f>
        <v>41363.636363636302</v>
      </c>
      <c r="H1434" s="3">
        <f>정규화데이터!H1434</f>
        <v>45499.999999999935</v>
      </c>
      <c r="I1434" s="3">
        <f>정규화데이터!I1434</f>
        <v>45500</v>
      </c>
      <c r="J1434" s="3">
        <f>정규화데이터!J1434</f>
        <v>41363.636363636302</v>
      </c>
      <c r="K1434" s="25">
        <f>정규화데이터!K1434</f>
        <v>30748</v>
      </c>
      <c r="L1434" s="25">
        <f>정규화데이터!L1434</f>
        <v>30748</v>
      </c>
      <c r="M1434" s="21">
        <f t="shared" si="44"/>
        <v>10615.636363636302</v>
      </c>
      <c r="N1434" s="52">
        <f t="shared" si="45"/>
        <v>0.25664175824175711</v>
      </c>
    </row>
    <row r="1435" spans="1:14" x14ac:dyDescent="0.3">
      <c r="A1435" t="str">
        <f>정규화데이터!A1435</f>
        <v>리씽크</v>
      </c>
      <c r="B1435">
        <f>정규화데이터!B1435</f>
        <v>2.0260206040057101E+18</v>
      </c>
      <c r="C1435" t="str">
        <f>정규화데이터!C1435</f>
        <v xml:space="preserve">워커힐 본갈비 3+1 최초❤️5만원대! 총1.2kg✨호텔특제 양념갈비 8인분 (✨1인분 7,375원꼴! / [300g,2인분] x 총 4팩  / ✨초이스등급 본갈비 / ❣️워커힐 </v>
      </c>
      <c r="D1435">
        <f>정규화데이터!D1435</f>
        <v>143790</v>
      </c>
      <c r="E1435" s="16" t="str">
        <f>정규화데이터!E1435</f>
        <v>SKU001</v>
      </c>
      <c r="F1435" s="3">
        <f>정규화데이터!F1435</f>
        <v>1</v>
      </c>
      <c r="G1435" s="3">
        <f>정규화데이터!G1435</f>
        <v>41363.636363636302</v>
      </c>
      <c r="H1435" s="3">
        <f>정규화데이터!H1435</f>
        <v>45499.999999999935</v>
      </c>
      <c r="I1435" s="3">
        <f>정규화데이터!I1435</f>
        <v>45500</v>
      </c>
      <c r="J1435" s="3">
        <f>정규화데이터!J1435</f>
        <v>41363.636363636302</v>
      </c>
      <c r="K1435" s="25">
        <f>정규화데이터!K1435</f>
        <v>30748</v>
      </c>
      <c r="L1435" s="25">
        <f>정규화데이터!L1435</f>
        <v>30748</v>
      </c>
      <c r="M1435" s="21">
        <f t="shared" si="44"/>
        <v>10615.636363636302</v>
      </c>
      <c r="N1435" s="52">
        <f t="shared" si="45"/>
        <v>0.25664175824175711</v>
      </c>
    </row>
    <row r="1436" spans="1:14" x14ac:dyDescent="0.3">
      <c r="A1436" t="str">
        <f>정규화데이터!A1436</f>
        <v>리씽크</v>
      </c>
      <c r="B1436">
        <f>정규화데이터!B1436</f>
        <v>2.0260206035917801E+18</v>
      </c>
      <c r="C1436" t="str">
        <f>정규화데이터!C1436</f>
        <v xml:space="preserve">워커힐 본갈비 3+1 최초❤️5만원대! 총1.2kg✨호텔특제 양념갈비 8인분 (✨1인분 7,375원꼴! / [300g,2인분] x 총 4팩  / ✨초이스등급 본갈비 / ❣️워커힐 </v>
      </c>
      <c r="D1436">
        <f>정규화데이터!D1436</f>
        <v>143790</v>
      </c>
      <c r="E1436" s="16" t="str">
        <f>정규화데이터!E1436</f>
        <v>SKU001</v>
      </c>
      <c r="F1436" s="3">
        <f>정규화데이터!F1436</f>
        <v>1</v>
      </c>
      <c r="G1436" s="3">
        <f>정규화데이터!G1436</f>
        <v>41363.636363636302</v>
      </c>
      <c r="H1436" s="3">
        <f>정규화데이터!H1436</f>
        <v>45499.999999999935</v>
      </c>
      <c r="I1436" s="3">
        <f>정규화데이터!I1436</f>
        <v>45500</v>
      </c>
      <c r="J1436" s="3">
        <f>정규화데이터!J1436</f>
        <v>41363.636363636302</v>
      </c>
      <c r="K1436" s="25">
        <f>정규화데이터!K1436</f>
        <v>30748</v>
      </c>
      <c r="L1436" s="25">
        <f>정규화데이터!L1436</f>
        <v>30748</v>
      </c>
      <c r="M1436" s="21">
        <f t="shared" si="44"/>
        <v>10615.636363636302</v>
      </c>
      <c r="N1436" s="52">
        <f t="shared" si="45"/>
        <v>0.25664175824175711</v>
      </c>
    </row>
    <row r="1437" spans="1:14" x14ac:dyDescent="0.3">
      <c r="A1437" t="str">
        <f>정규화데이터!A1437</f>
        <v>리씽크</v>
      </c>
      <c r="B1437">
        <f>정규화데이터!B1437</f>
        <v>2.02602060008563E+18</v>
      </c>
      <c r="C1437" t="str">
        <f>정규화데이터!C1437</f>
        <v xml:space="preserve">워커힐 본갈비 3+1 최초❤️5만원대! 총1.2kg✨호텔특제 양념갈비 8인분 (✨1인분 7,375원꼴! / [300g,2인분] x 총 4팩  / ✨초이스등급 본갈비 / ❣️워커힐 </v>
      </c>
      <c r="D1437">
        <f>정규화데이터!D1437</f>
        <v>143790</v>
      </c>
      <c r="E1437" s="16" t="str">
        <f>정규화데이터!E1437</f>
        <v>SKU001</v>
      </c>
      <c r="F1437" s="3">
        <f>정규화데이터!F1437</f>
        <v>1</v>
      </c>
      <c r="G1437" s="3">
        <f>정규화데이터!G1437</f>
        <v>41363.636363636302</v>
      </c>
      <c r="H1437" s="3">
        <f>정규화데이터!H1437</f>
        <v>45499.999999999935</v>
      </c>
      <c r="I1437" s="3">
        <f>정규화데이터!I1437</f>
        <v>45500</v>
      </c>
      <c r="J1437" s="3">
        <f>정규화데이터!J1437</f>
        <v>41363.636363636302</v>
      </c>
      <c r="K1437" s="25">
        <f>정규화데이터!K1437</f>
        <v>30748</v>
      </c>
      <c r="L1437" s="25">
        <f>정규화데이터!L1437</f>
        <v>30748</v>
      </c>
      <c r="M1437" s="21">
        <f t="shared" si="44"/>
        <v>10615.636363636302</v>
      </c>
      <c r="N1437" s="52">
        <f t="shared" si="45"/>
        <v>0.25664175824175711</v>
      </c>
    </row>
    <row r="1438" spans="1:14" x14ac:dyDescent="0.3">
      <c r="A1438" t="str">
        <f>정규화데이터!A1438</f>
        <v>리씽크</v>
      </c>
      <c r="B1438">
        <f>정규화데이터!B1438</f>
        <v>2.0260209090323899E+18</v>
      </c>
      <c r="C1438" t="str">
        <f>정규화데이터!C1438</f>
        <v xml:space="preserve">워커힐 본갈비 3+1 최초❤️5만원대! 총1.2kg✨호텔특제 양념갈비 8인분 (✨1인분 7,375원꼴! / [300g,2인분] x 총 4팩  / ✨초이스등급 본갈비 / ❣️워커힐 </v>
      </c>
      <c r="D1438">
        <f>정규화데이터!D1438</f>
        <v>143812</v>
      </c>
      <c r="E1438" s="16" t="str">
        <f>정규화데이터!E1438</f>
        <v>SKU001</v>
      </c>
      <c r="F1438" s="3">
        <f>정규화데이터!F1438</f>
        <v>1</v>
      </c>
      <c r="G1438" s="3">
        <f>정규화데이터!G1438</f>
        <v>41363.636363636302</v>
      </c>
      <c r="H1438" s="3">
        <f>정규화데이터!H1438</f>
        <v>45499.999999999935</v>
      </c>
      <c r="I1438" s="3">
        <f>정규화데이터!I1438</f>
        <v>45500</v>
      </c>
      <c r="J1438" s="3">
        <f>정규화데이터!J1438</f>
        <v>41363.636363636302</v>
      </c>
      <c r="K1438" s="25">
        <f>정규화데이터!K1438</f>
        <v>15374</v>
      </c>
      <c r="L1438" s="25">
        <f>정규화데이터!L1438</f>
        <v>15374</v>
      </c>
      <c r="M1438" s="21">
        <f t="shared" si="44"/>
        <v>25989.636363636302</v>
      </c>
      <c r="N1438" s="52">
        <f t="shared" si="45"/>
        <v>0.62832087912087853</v>
      </c>
    </row>
    <row r="1439" spans="1:14" x14ac:dyDescent="0.3">
      <c r="A1439" t="str">
        <f>정규화데이터!A1439</f>
        <v>리씽크</v>
      </c>
      <c r="B1439">
        <f>정규화데이터!B1439</f>
        <v>2.02602090807597E+18</v>
      </c>
      <c r="C1439" t="str">
        <f>정규화데이터!C1439</f>
        <v xml:space="preserve">워커힐 본갈비 3+1 최초❤️5만원대! 총1.2kg✨호텔특제 양념갈비 8인분 (✨1인분 7,375원꼴! / [300g,2인분] x 총 4팩  / ✨초이스등급 본갈비 / ❣️워커힐 </v>
      </c>
      <c r="D1439">
        <f>정규화데이터!D1439</f>
        <v>143812</v>
      </c>
      <c r="E1439" s="16" t="str">
        <f>정규화데이터!E1439</f>
        <v>SKU001</v>
      </c>
      <c r="F1439" s="3">
        <f>정규화데이터!F1439</f>
        <v>1</v>
      </c>
      <c r="G1439" s="3">
        <f>정규화데이터!G1439</f>
        <v>41363.636363636302</v>
      </c>
      <c r="H1439" s="3">
        <f>정규화데이터!H1439</f>
        <v>45499.999999999935</v>
      </c>
      <c r="I1439" s="3">
        <f>정규화데이터!I1439</f>
        <v>45500</v>
      </c>
      <c r="J1439" s="3">
        <f>정규화데이터!J1439</f>
        <v>41363.636363636302</v>
      </c>
      <c r="K1439" s="25">
        <f>정규화데이터!K1439</f>
        <v>15374</v>
      </c>
      <c r="L1439" s="25">
        <f>정규화데이터!L1439</f>
        <v>15374</v>
      </c>
      <c r="M1439" s="21">
        <f t="shared" si="44"/>
        <v>25989.636363636302</v>
      </c>
      <c r="N1439" s="52">
        <f t="shared" si="45"/>
        <v>0.62832087912087853</v>
      </c>
    </row>
    <row r="1440" spans="1:14" x14ac:dyDescent="0.3">
      <c r="A1440" t="str">
        <f>정규화데이터!A1440</f>
        <v>리씽크</v>
      </c>
      <c r="B1440">
        <f>정규화데이터!B1440</f>
        <v>2.02602090705537E+18</v>
      </c>
      <c r="C1440" t="str">
        <f>정규화데이터!C1440</f>
        <v xml:space="preserve">워커힐 본갈비 3+1 최초❤️5만원대! 총1.2kg✨호텔특제 양념갈비 8인분 (✨1인분 7,375원꼴! / [300g,2인분] x 총 4팩  / ✨초이스등급 본갈비 / ❣️워커힐 </v>
      </c>
      <c r="D1440">
        <f>정규화데이터!D1440</f>
        <v>143812</v>
      </c>
      <c r="E1440" s="16" t="str">
        <f>정규화데이터!E1440</f>
        <v>SKU001</v>
      </c>
      <c r="F1440" s="3">
        <f>정규화데이터!F1440</f>
        <v>1</v>
      </c>
      <c r="G1440" s="3">
        <f>정규화데이터!G1440</f>
        <v>41363.636363636302</v>
      </c>
      <c r="H1440" s="3">
        <f>정규화데이터!H1440</f>
        <v>45499.999999999935</v>
      </c>
      <c r="I1440" s="3">
        <f>정규화데이터!I1440</f>
        <v>45500</v>
      </c>
      <c r="J1440" s="3">
        <f>정규화데이터!J1440</f>
        <v>41363.636363636302</v>
      </c>
      <c r="K1440" s="25">
        <f>정규화데이터!K1440</f>
        <v>15374</v>
      </c>
      <c r="L1440" s="25">
        <f>정규화데이터!L1440</f>
        <v>15374</v>
      </c>
      <c r="M1440" s="21">
        <f t="shared" si="44"/>
        <v>25989.636363636302</v>
      </c>
      <c r="N1440" s="52">
        <f t="shared" si="45"/>
        <v>0.62832087912087853</v>
      </c>
    </row>
    <row r="1441" spans="1:14" x14ac:dyDescent="0.3">
      <c r="A1441" t="str">
        <f>정규화데이터!A1441</f>
        <v>리씽크</v>
      </c>
      <c r="B1441">
        <f>정규화데이터!B1441</f>
        <v>2.0260208184923799E+18</v>
      </c>
      <c r="C1441" t="str">
        <f>정규화데이터!C1441</f>
        <v xml:space="preserve">워커힐 본갈비 3+1 최초❤️5만원대! 총1.2kg✨호텔특제 양념갈비 8인분 (✨1인분 7,375원꼴! / [300g,2인분] x 총 4팩  / ✨초이스등급 본갈비 / ❣️워커힐 </v>
      </c>
      <c r="D1441">
        <f>정규화데이터!D1441</f>
        <v>143790</v>
      </c>
      <c r="E1441" s="16" t="str">
        <f>정규화데이터!E1441</f>
        <v>SKU001</v>
      </c>
      <c r="F1441" s="3">
        <f>정규화데이터!F1441</f>
        <v>1</v>
      </c>
      <c r="G1441" s="3">
        <f>정규화데이터!G1441</f>
        <v>57272.727272727199</v>
      </c>
      <c r="H1441" s="3">
        <f>정규화데이터!H1441</f>
        <v>62999.999999999927</v>
      </c>
      <c r="I1441" s="3">
        <f>정규화데이터!I1441</f>
        <v>63000</v>
      </c>
      <c r="J1441" s="3">
        <f>정규화데이터!J1441</f>
        <v>57272.727272727199</v>
      </c>
      <c r="K1441" s="25">
        <f>정규화데이터!K1441</f>
        <v>30748</v>
      </c>
      <c r="L1441" s="25">
        <f>정규화데이터!L1441</f>
        <v>30748</v>
      </c>
      <c r="M1441" s="21">
        <f t="shared" si="44"/>
        <v>26524.727272727199</v>
      </c>
      <c r="N1441" s="52">
        <f t="shared" si="45"/>
        <v>0.46313015873015806</v>
      </c>
    </row>
    <row r="1442" spans="1:14" x14ac:dyDescent="0.3">
      <c r="A1442" t="str">
        <f>정규화데이터!A1442</f>
        <v>리씽크</v>
      </c>
      <c r="B1442">
        <f>정규화데이터!B1442</f>
        <v>2.02602081812339E+18</v>
      </c>
      <c r="C1442" t="str">
        <f>정규화데이터!C1442</f>
        <v xml:space="preserve">워커힐 본갈비 3+1 최초❤️5만원대! 총1.2kg✨호텔특제 양념갈비 8인분 (✨1인분 7,375원꼴! / [300g,2인분] x 총 4팩  / ✨초이스등급 본갈비 / ❣️워커힐 </v>
      </c>
      <c r="D1442">
        <f>정규화데이터!D1442</f>
        <v>143790</v>
      </c>
      <c r="E1442" s="16" t="str">
        <f>정규화데이터!E1442</f>
        <v>SKU001</v>
      </c>
      <c r="F1442" s="3">
        <f>정규화데이터!F1442</f>
        <v>2</v>
      </c>
      <c r="G1442" s="3">
        <f>정규화데이터!G1442</f>
        <v>57272.727272727003</v>
      </c>
      <c r="H1442" s="3">
        <f>정규화데이터!H1442</f>
        <v>125999.99999999942</v>
      </c>
      <c r="I1442" s="3">
        <f>정규화데이터!I1442</f>
        <v>126000</v>
      </c>
      <c r="J1442" s="3">
        <f>정규화데이터!J1442</f>
        <v>114545.45454545401</v>
      </c>
      <c r="K1442" s="25">
        <f>정규화데이터!K1442</f>
        <v>30748</v>
      </c>
      <c r="L1442" s="25">
        <f>정규화데이터!L1442</f>
        <v>61496</v>
      </c>
      <c r="M1442" s="21">
        <f t="shared" si="44"/>
        <v>53049.454545454006</v>
      </c>
      <c r="N1442" s="52">
        <f t="shared" si="45"/>
        <v>0.46313015873015623</v>
      </c>
    </row>
    <row r="1443" spans="1:14" x14ac:dyDescent="0.3">
      <c r="A1443" t="str">
        <f>정규화데이터!A1443</f>
        <v>리씽크</v>
      </c>
      <c r="B1443">
        <f>정규화데이터!B1443</f>
        <v>2.0260208175501599E+18</v>
      </c>
      <c r="C1443" t="str">
        <f>정규화데이터!C1443</f>
        <v xml:space="preserve">워커힐 본갈비 3+1 최초❤️5만원대! 총1.2kg✨호텔특제 양념갈비 8인분 (✨1인분 7,375원꼴! / [300g,2인분] x 총 4팩  / ✨초이스등급 본갈비 / ❣️워커힐 </v>
      </c>
      <c r="D1443">
        <f>정규화데이터!D1443</f>
        <v>143790</v>
      </c>
      <c r="E1443" s="16" t="str">
        <f>정규화데이터!E1443</f>
        <v>SKU001</v>
      </c>
      <c r="F1443" s="3">
        <f>정규화데이터!F1443</f>
        <v>1</v>
      </c>
      <c r="G1443" s="3">
        <f>정규화데이터!G1443</f>
        <v>57272.727272727199</v>
      </c>
      <c r="H1443" s="3">
        <f>정규화데이터!H1443</f>
        <v>62999.999999999927</v>
      </c>
      <c r="I1443" s="3">
        <f>정규화데이터!I1443</f>
        <v>63000</v>
      </c>
      <c r="J1443" s="3">
        <f>정규화데이터!J1443</f>
        <v>57272.727272727199</v>
      </c>
      <c r="K1443" s="25">
        <f>정규화데이터!K1443</f>
        <v>30748</v>
      </c>
      <c r="L1443" s="25">
        <f>정규화데이터!L1443</f>
        <v>30748</v>
      </c>
      <c r="M1443" s="21">
        <f t="shared" si="44"/>
        <v>26524.727272727199</v>
      </c>
      <c r="N1443" s="52">
        <f t="shared" si="45"/>
        <v>0.46313015873015806</v>
      </c>
    </row>
    <row r="1444" spans="1:14" x14ac:dyDescent="0.3">
      <c r="A1444" t="str">
        <f>정규화데이터!A1444</f>
        <v>리씽크</v>
      </c>
      <c r="B1444">
        <f>정규화데이터!B1444</f>
        <v>2.0260208175207601E+18</v>
      </c>
      <c r="C1444" t="str">
        <f>정규화데이터!C1444</f>
        <v xml:space="preserve">워커힐 본갈비 3+1 최초❤️5만원대! 총1.2kg✨호텔특제 양념갈비 8인분 (✨1인분 7,375원꼴! / [300g,2인분] x 총 4팩  / ✨초이스등급 본갈비 / ❣️워커힐 </v>
      </c>
      <c r="D1444">
        <f>정규화데이터!D1444</f>
        <v>143790</v>
      </c>
      <c r="E1444" s="16" t="str">
        <f>정규화데이터!E1444</f>
        <v>SKU001</v>
      </c>
      <c r="F1444" s="3">
        <f>정규화데이터!F1444</f>
        <v>1</v>
      </c>
      <c r="G1444" s="3">
        <f>정규화데이터!G1444</f>
        <v>57272.727272727199</v>
      </c>
      <c r="H1444" s="3">
        <f>정규화데이터!H1444</f>
        <v>62999.999999999927</v>
      </c>
      <c r="I1444" s="3">
        <f>정규화데이터!I1444</f>
        <v>63000</v>
      </c>
      <c r="J1444" s="3">
        <f>정규화데이터!J1444</f>
        <v>57272.727272727199</v>
      </c>
      <c r="K1444" s="25">
        <f>정규화데이터!K1444</f>
        <v>30748</v>
      </c>
      <c r="L1444" s="25">
        <f>정규화데이터!L1444</f>
        <v>30748</v>
      </c>
      <c r="M1444" s="21">
        <f t="shared" si="44"/>
        <v>26524.727272727199</v>
      </c>
      <c r="N1444" s="52">
        <f t="shared" si="45"/>
        <v>0.46313015873015806</v>
      </c>
    </row>
    <row r="1445" spans="1:14" x14ac:dyDescent="0.3">
      <c r="A1445" t="str">
        <f>정규화데이터!A1445</f>
        <v>리씽크</v>
      </c>
      <c r="B1445">
        <f>정규화데이터!B1445</f>
        <v>2.0260208174407099E+18</v>
      </c>
      <c r="C1445" t="str">
        <f>정규화데이터!C1445</f>
        <v xml:space="preserve">워커힐 본갈비 3+1 최초❤️5만원대! 총1.2kg✨호텔특제 양념갈비 8인분 (✨1인분 7,375원꼴! / [300g,2인분] x 총 4팩  / ✨초이스등급 본갈비 / ❣️워커힐 </v>
      </c>
      <c r="D1445">
        <f>정규화데이터!D1445</f>
        <v>143790</v>
      </c>
      <c r="E1445" s="16" t="str">
        <f>정규화데이터!E1445</f>
        <v>SKU001</v>
      </c>
      <c r="F1445" s="3">
        <f>정규화데이터!F1445</f>
        <v>1</v>
      </c>
      <c r="G1445" s="3">
        <f>정규화데이터!G1445</f>
        <v>57272.727272727199</v>
      </c>
      <c r="H1445" s="3">
        <f>정규화데이터!H1445</f>
        <v>62999.999999999927</v>
      </c>
      <c r="I1445" s="3">
        <f>정규화데이터!I1445</f>
        <v>63000</v>
      </c>
      <c r="J1445" s="3">
        <f>정규화데이터!J1445</f>
        <v>57272.727272727199</v>
      </c>
      <c r="K1445" s="25">
        <f>정규화데이터!K1445</f>
        <v>30748</v>
      </c>
      <c r="L1445" s="25">
        <f>정규화데이터!L1445</f>
        <v>30748</v>
      </c>
      <c r="M1445" s="21">
        <f t="shared" si="44"/>
        <v>26524.727272727199</v>
      </c>
      <c r="N1445" s="52">
        <f t="shared" si="45"/>
        <v>0.46313015873015806</v>
      </c>
    </row>
    <row r="1446" spans="1:14" x14ac:dyDescent="0.3">
      <c r="A1446" t="str">
        <f>정규화데이터!A1446</f>
        <v>리씽크</v>
      </c>
      <c r="B1446">
        <f>정규화데이터!B1446</f>
        <v>2.0260208141737001E+18</v>
      </c>
      <c r="C1446" t="str">
        <f>정규화데이터!C1446</f>
        <v xml:space="preserve">워커힐 본갈비 3+1 최초❤️5만원대! 총1.2kg✨호텔특제 양념갈비 8인분 (✨1인분 7,375원꼴! / [300g,2인분] x 총 4팩  / ✨초이스등급 본갈비 / ❣️워커힐 </v>
      </c>
      <c r="D1446">
        <f>정규화데이터!D1446</f>
        <v>143790</v>
      </c>
      <c r="E1446" s="16" t="str">
        <f>정규화데이터!E1446</f>
        <v>SKU001</v>
      </c>
      <c r="F1446" s="3">
        <f>정규화데이터!F1446</f>
        <v>1</v>
      </c>
      <c r="G1446" s="3">
        <f>정규화데이터!G1446</f>
        <v>57272.727272727199</v>
      </c>
      <c r="H1446" s="3">
        <f>정규화데이터!H1446</f>
        <v>62999.999999999927</v>
      </c>
      <c r="I1446" s="3">
        <f>정규화데이터!I1446</f>
        <v>63000</v>
      </c>
      <c r="J1446" s="3">
        <f>정규화데이터!J1446</f>
        <v>57272.727272727199</v>
      </c>
      <c r="K1446" s="25">
        <f>정규화데이터!K1446</f>
        <v>30748</v>
      </c>
      <c r="L1446" s="25">
        <f>정규화데이터!L1446</f>
        <v>30748</v>
      </c>
      <c r="M1446" s="21">
        <f t="shared" si="44"/>
        <v>26524.727272727199</v>
      </c>
      <c r="N1446" s="52">
        <f t="shared" si="45"/>
        <v>0.46313015873015806</v>
      </c>
    </row>
    <row r="1447" spans="1:14" x14ac:dyDescent="0.3">
      <c r="A1447" t="str">
        <f>정규화데이터!A1447</f>
        <v>리씽크</v>
      </c>
      <c r="B1447">
        <f>정규화데이터!B1447</f>
        <v>2.02602081327074E+18</v>
      </c>
      <c r="C1447" t="str">
        <f>정규화데이터!C1447</f>
        <v xml:space="preserve">워커힐 본갈비 3+1 최초❤️5만원대! 총1.2kg✨호텔특제 양념갈비 8인분 (✨1인분 7,375원꼴! / [300g,2인분] x 총 4팩  / ✨초이스등급 본갈비 / ❣️워커힐 </v>
      </c>
      <c r="D1447">
        <f>정규화데이터!D1447</f>
        <v>143790</v>
      </c>
      <c r="E1447" s="16" t="str">
        <f>정규화데이터!E1447</f>
        <v>SKU001</v>
      </c>
      <c r="F1447" s="3">
        <f>정규화데이터!F1447</f>
        <v>1</v>
      </c>
      <c r="G1447" s="3">
        <f>정규화데이터!G1447</f>
        <v>57272.727272727199</v>
      </c>
      <c r="H1447" s="3">
        <f>정규화데이터!H1447</f>
        <v>62999.999999999927</v>
      </c>
      <c r="I1447" s="3">
        <f>정규화데이터!I1447</f>
        <v>63000</v>
      </c>
      <c r="J1447" s="3">
        <f>정규화데이터!J1447</f>
        <v>57272.727272727199</v>
      </c>
      <c r="K1447" s="25">
        <f>정규화데이터!K1447</f>
        <v>30748</v>
      </c>
      <c r="L1447" s="25">
        <f>정규화데이터!L1447</f>
        <v>30748</v>
      </c>
      <c r="M1447" s="21">
        <f t="shared" si="44"/>
        <v>26524.727272727199</v>
      </c>
      <c r="N1447" s="52">
        <f t="shared" si="45"/>
        <v>0.46313015873015806</v>
      </c>
    </row>
    <row r="1448" spans="1:14" x14ac:dyDescent="0.3">
      <c r="A1448" t="str">
        <f>정규화데이터!A1448</f>
        <v>리씽크</v>
      </c>
      <c r="B1448">
        <f>정규화데이터!B1448</f>
        <v>2.0260208132624599E+18</v>
      </c>
      <c r="C1448" t="str">
        <f>정규화데이터!C1448</f>
        <v xml:space="preserve">워커힐 본갈비 3+1 최초❤️5만원대! 총1.2kg✨호텔특제 양념갈비 8인분 (✨1인분 7,375원꼴! / [300g,2인분] x 총 4팩  / ✨초이스등급 본갈비 / ❣️워커힐 </v>
      </c>
      <c r="D1448">
        <f>정규화데이터!D1448</f>
        <v>143790</v>
      </c>
      <c r="E1448" s="16" t="str">
        <f>정규화데이터!E1448</f>
        <v>SKU001</v>
      </c>
      <c r="F1448" s="3">
        <f>정규화데이터!F1448</f>
        <v>1</v>
      </c>
      <c r="G1448" s="3">
        <f>정규화데이터!G1448</f>
        <v>57272.727272727199</v>
      </c>
      <c r="H1448" s="3">
        <f>정규화데이터!H1448</f>
        <v>62999.999999999927</v>
      </c>
      <c r="I1448" s="3">
        <f>정규화데이터!I1448</f>
        <v>63000</v>
      </c>
      <c r="J1448" s="3">
        <f>정규화데이터!J1448</f>
        <v>57272.727272727199</v>
      </c>
      <c r="K1448" s="25">
        <f>정규화데이터!K1448</f>
        <v>30748</v>
      </c>
      <c r="L1448" s="25">
        <f>정규화데이터!L1448</f>
        <v>30748</v>
      </c>
      <c r="M1448" s="21">
        <f t="shared" si="44"/>
        <v>26524.727272727199</v>
      </c>
      <c r="N1448" s="52">
        <f t="shared" si="45"/>
        <v>0.46313015873015806</v>
      </c>
    </row>
    <row r="1449" spans="1:14" x14ac:dyDescent="0.3">
      <c r="A1449" t="str">
        <f>정규화데이터!A1449</f>
        <v>리씽크</v>
      </c>
      <c r="B1449">
        <f>정규화데이터!B1449</f>
        <v>2.02602072107522E+18</v>
      </c>
      <c r="C1449" t="str">
        <f>정규화데이터!C1449</f>
        <v xml:space="preserve">워커힐 본갈비 3+1 최초❤️5만원대! 총1.2kg✨호텔특제 양념갈비 8인분 (✨1인분 7,375원꼴! / [300g,2인분] x 총 4팩  / ✨초이스등급 본갈비 / ❣️워커힐 </v>
      </c>
      <c r="D1449">
        <f>정규화데이터!D1449</f>
        <v>143790</v>
      </c>
      <c r="E1449" s="16" t="str">
        <f>정규화데이터!E1449</f>
        <v>SKU001</v>
      </c>
      <c r="F1449" s="3">
        <f>정규화데이터!F1449</f>
        <v>1</v>
      </c>
      <c r="G1449" s="3">
        <f>정규화데이터!G1449</f>
        <v>57272.727272727199</v>
      </c>
      <c r="H1449" s="3">
        <f>정규화데이터!H1449</f>
        <v>62999.999999999927</v>
      </c>
      <c r="I1449" s="3">
        <f>정규화데이터!I1449</f>
        <v>63000</v>
      </c>
      <c r="J1449" s="3">
        <f>정규화데이터!J1449</f>
        <v>57272.727272727199</v>
      </c>
      <c r="K1449" s="25">
        <f>정규화데이터!K1449</f>
        <v>30748</v>
      </c>
      <c r="L1449" s="25">
        <f>정규화데이터!L1449</f>
        <v>30748</v>
      </c>
      <c r="M1449" s="21">
        <f t="shared" si="44"/>
        <v>26524.727272727199</v>
      </c>
      <c r="N1449" s="52">
        <f t="shared" si="45"/>
        <v>0.46313015873015806</v>
      </c>
    </row>
    <row r="1450" spans="1:14" x14ac:dyDescent="0.3">
      <c r="A1450" t="str">
        <f>정규화데이터!A1450</f>
        <v>리씽크</v>
      </c>
      <c r="B1450">
        <f>정규화데이터!B1450</f>
        <v>2.0260207210336499E+18</v>
      </c>
      <c r="C1450" t="str">
        <f>정규화데이터!C1450</f>
        <v xml:space="preserve">워커힐 본갈비 3+1 최초❤️5만원대! 총1.2kg✨호텔특제 양념갈비 8인분 (✨1인분 7,375원꼴! / [300g,2인분] x 총 4팩  / ✨초이스등급 본갈비 / ❣️워커힐 </v>
      </c>
      <c r="D1450">
        <f>정규화데이터!D1450</f>
        <v>143790</v>
      </c>
      <c r="E1450" s="16" t="str">
        <f>정규화데이터!E1450</f>
        <v>SKU001</v>
      </c>
      <c r="F1450" s="3">
        <f>정규화데이터!F1450</f>
        <v>1</v>
      </c>
      <c r="G1450" s="3">
        <f>정규화데이터!G1450</f>
        <v>57272.727272727199</v>
      </c>
      <c r="H1450" s="3">
        <f>정규화데이터!H1450</f>
        <v>62999.999999999927</v>
      </c>
      <c r="I1450" s="3">
        <f>정규화데이터!I1450</f>
        <v>63000</v>
      </c>
      <c r="J1450" s="3">
        <f>정규화데이터!J1450</f>
        <v>57272.727272727199</v>
      </c>
      <c r="K1450" s="25">
        <f>정규화데이터!K1450</f>
        <v>30748</v>
      </c>
      <c r="L1450" s="25">
        <f>정규화데이터!L1450</f>
        <v>30748</v>
      </c>
      <c r="M1450" s="21">
        <f t="shared" si="44"/>
        <v>26524.727272727199</v>
      </c>
      <c r="N1450" s="52">
        <f t="shared" si="45"/>
        <v>0.46313015873015806</v>
      </c>
    </row>
    <row r="1451" spans="1:14" x14ac:dyDescent="0.3">
      <c r="A1451" t="str">
        <f>정규화데이터!A1451</f>
        <v>리씽크</v>
      </c>
      <c r="B1451">
        <f>정규화데이터!B1451</f>
        <v>2.02602071755298E+18</v>
      </c>
      <c r="C1451" t="str">
        <f>정규화데이터!C1451</f>
        <v xml:space="preserve">워커힐 본갈비 3+1 최초❤️5만원대! 총1.2kg✨호텔특제 양념갈비 8인분 (✨1인분 7,375원꼴! / [300g,2인분] x 총 4팩  / ✨초이스등급 본갈비 / ❣️워커힐 </v>
      </c>
      <c r="D1451">
        <f>정규화데이터!D1451</f>
        <v>143790</v>
      </c>
      <c r="E1451" s="16" t="str">
        <f>정규화데이터!E1451</f>
        <v>SKU001</v>
      </c>
      <c r="F1451" s="3">
        <f>정규화데이터!F1451</f>
        <v>1</v>
      </c>
      <c r="G1451" s="3">
        <f>정규화데이터!G1451</f>
        <v>57272.727272727199</v>
      </c>
      <c r="H1451" s="3">
        <f>정규화데이터!H1451</f>
        <v>62999.999999999927</v>
      </c>
      <c r="I1451" s="3">
        <f>정규화데이터!I1451</f>
        <v>63000</v>
      </c>
      <c r="J1451" s="3">
        <f>정규화데이터!J1451</f>
        <v>57272.727272727199</v>
      </c>
      <c r="K1451" s="25">
        <f>정규화데이터!K1451</f>
        <v>30748</v>
      </c>
      <c r="L1451" s="25">
        <f>정규화데이터!L1451</f>
        <v>30748</v>
      </c>
      <c r="M1451" s="21">
        <f t="shared" si="44"/>
        <v>26524.727272727199</v>
      </c>
      <c r="N1451" s="52">
        <f t="shared" si="45"/>
        <v>0.46313015873015806</v>
      </c>
    </row>
    <row r="1452" spans="1:14" x14ac:dyDescent="0.3">
      <c r="A1452" t="str">
        <f>정규화데이터!A1452</f>
        <v>리씽크</v>
      </c>
      <c r="B1452">
        <f>정규화데이터!B1452</f>
        <v>2.0260207174407099E+18</v>
      </c>
      <c r="C1452" t="str">
        <f>정규화데이터!C1452</f>
        <v xml:space="preserve">워커힐 본갈비 3+1 최초❤️5만원대! 총1.2kg✨호텔특제 양념갈비 8인분 (✨1인분 7,375원꼴! / [300g,2인분] x 총 4팩  / ✨초이스등급 본갈비 / ❣️워커힐 </v>
      </c>
      <c r="D1452">
        <f>정규화데이터!D1452</f>
        <v>143790</v>
      </c>
      <c r="E1452" s="16" t="str">
        <f>정규화데이터!E1452</f>
        <v>SKU001</v>
      </c>
      <c r="F1452" s="3">
        <f>정규화데이터!F1452</f>
        <v>1</v>
      </c>
      <c r="G1452" s="3">
        <f>정규화데이터!G1452</f>
        <v>57272.727272727199</v>
      </c>
      <c r="H1452" s="3">
        <f>정규화데이터!H1452</f>
        <v>62999.999999999927</v>
      </c>
      <c r="I1452" s="3">
        <f>정규화데이터!I1452</f>
        <v>63000</v>
      </c>
      <c r="J1452" s="3">
        <f>정규화데이터!J1452</f>
        <v>57272.727272727199</v>
      </c>
      <c r="K1452" s="25">
        <f>정규화데이터!K1452</f>
        <v>30748</v>
      </c>
      <c r="L1452" s="25">
        <f>정규화데이터!L1452</f>
        <v>30748</v>
      </c>
      <c r="M1452" s="21">
        <f t="shared" si="44"/>
        <v>26524.727272727199</v>
      </c>
      <c r="N1452" s="52">
        <f t="shared" si="45"/>
        <v>0.46313015873015806</v>
      </c>
    </row>
    <row r="1453" spans="1:14" x14ac:dyDescent="0.3">
      <c r="A1453" t="str">
        <f>정규화데이터!A1453</f>
        <v>리씽크</v>
      </c>
      <c r="B1453">
        <f>정규화데이터!B1453</f>
        <v>2.0260207164154099E+18</v>
      </c>
      <c r="C1453" t="str">
        <f>정규화데이터!C1453</f>
        <v xml:space="preserve">워커힐 본갈비 3+1 최초❤️5만원대! 총1.2kg✨호텔특제 양념갈비 8인분 (✨1인분 7,375원꼴! / [300g,2인분] x 총 4팩  / ✨초이스등급 본갈비 / ❣️워커힐 </v>
      </c>
      <c r="D1453">
        <f>정규화데이터!D1453</f>
        <v>143790</v>
      </c>
      <c r="E1453" s="16" t="str">
        <f>정규화데이터!E1453</f>
        <v>SKU001</v>
      </c>
      <c r="F1453" s="3">
        <f>정규화데이터!F1453</f>
        <v>1</v>
      </c>
      <c r="G1453" s="3">
        <f>정규화데이터!G1453</f>
        <v>57272.727272727199</v>
      </c>
      <c r="H1453" s="3">
        <f>정규화데이터!H1453</f>
        <v>62999.999999999927</v>
      </c>
      <c r="I1453" s="3">
        <f>정규화데이터!I1453</f>
        <v>63000</v>
      </c>
      <c r="J1453" s="3">
        <f>정규화데이터!J1453</f>
        <v>57272.727272727199</v>
      </c>
      <c r="K1453" s="25">
        <f>정규화데이터!K1453</f>
        <v>30748</v>
      </c>
      <c r="L1453" s="25">
        <f>정규화데이터!L1453</f>
        <v>30748</v>
      </c>
      <c r="M1453" s="21">
        <f t="shared" si="44"/>
        <v>26524.727272727199</v>
      </c>
      <c r="N1453" s="52">
        <f t="shared" si="45"/>
        <v>0.46313015873015806</v>
      </c>
    </row>
    <row r="1454" spans="1:14" x14ac:dyDescent="0.3">
      <c r="A1454" t="str">
        <f>정규화데이터!A1454</f>
        <v>리씽크</v>
      </c>
      <c r="B1454">
        <f>정규화데이터!B1454</f>
        <v>2.02602071441133E+18</v>
      </c>
      <c r="C1454" t="str">
        <f>정규화데이터!C1454</f>
        <v xml:space="preserve">워커힐 본갈비 3+1 최초❤️5만원대! 총1.2kg✨호텔특제 양념갈비 8인분 (✨1인분 7,375원꼴! / [300g,2인분] x 총 4팩  / ✨초이스등급 본갈비 / ❣️워커힐 </v>
      </c>
      <c r="D1454">
        <f>정규화데이터!D1454</f>
        <v>143790</v>
      </c>
      <c r="E1454" s="16" t="str">
        <f>정규화데이터!E1454</f>
        <v>SKU001</v>
      </c>
      <c r="F1454" s="3">
        <f>정규화데이터!F1454</f>
        <v>1</v>
      </c>
      <c r="G1454" s="3">
        <f>정규화데이터!G1454</f>
        <v>57272.727272727199</v>
      </c>
      <c r="H1454" s="3">
        <f>정규화데이터!H1454</f>
        <v>62999.999999999927</v>
      </c>
      <c r="I1454" s="3">
        <f>정규화데이터!I1454</f>
        <v>63000</v>
      </c>
      <c r="J1454" s="3">
        <f>정규화데이터!J1454</f>
        <v>57272.727272727199</v>
      </c>
      <c r="K1454" s="25">
        <f>정규화데이터!K1454</f>
        <v>30748</v>
      </c>
      <c r="L1454" s="25">
        <f>정규화데이터!L1454</f>
        <v>30748</v>
      </c>
      <c r="M1454" s="21">
        <f t="shared" si="44"/>
        <v>26524.727272727199</v>
      </c>
      <c r="N1454" s="52">
        <f t="shared" si="45"/>
        <v>0.46313015873015806</v>
      </c>
    </row>
    <row r="1455" spans="1:14" x14ac:dyDescent="0.3">
      <c r="A1455" t="str">
        <f>정규화데이터!A1455</f>
        <v>리씽크</v>
      </c>
      <c r="B1455">
        <f>정규화데이터!B1455</f>
        <v>2.0260207130103301E+18</v>
      </c>
      <c r="C1455" t="str">
        <f>정규화데이터!C1455</f>
        <v xml:space="preserve">워커힐 본갈비 3+1 최초❤️5만원대! 총1.2kg✨호텔특제 양념갈비 8인분 (✨1인분 7,375원꼴! / [300g,2인분] x 총 4팩  / ✨초이스등급 본갈비 / ❣️워커힐 </v>
      </c>
      <c r="D1455">
        <f>정규화데이터!D1455</f>
        <v>143790</v>
      </c>
      <c r="E1455" s="16" t="str">
        <f>정규화데이터!E1455</f>
        <v>SKU001</v>
      </c>
      <c r="F1455" s="3">
        <f>정규화데이터!F1455</f>
        <v>1</v>
      </c>
      <c r="G1455" s="3">
        <f>정규화데이터!G1455</f>
        <v>57272.727272727199</v>
      </c>
      <c r="H1455" s="3">
        <f>정규화데이터!H1455</f>
        <v>62999.999999999927</v>
      </c>
      <c r="I1455" s="3">
        <f>정규화데이터!I1455</f>
        <v>63000</v>
      </c>
      <c r="J1455" s="3">
        <f>정규화데이터!J1455</f>
        <v>57272.727272727199</v>
      </c>
      <c r="K1455" s="25">
        <f>정규화데이터!K1455</f>
        <v>30748</v>
      </c>
      <c r="L1455" s="25">
        <f>정규화데이터!L1455</f>
        <v>30748</v>
      </c>
      <c r="M1455" s="21">
        <f t="shared" si="44"/>
        <v>26524.727272727199</v>
      </c>
      <c r="N1455" s="52">
        <f t="shared" si="45"/>
        <v>0.46313015873015806</v>
      </c>
    </row>
    <row r="1456" spans="1:14" x14ac:dyDescent="0.3">
      <c r="A1456" t="str">
        <f>정규화데이터!A1456</f>
        <v>리씽크</v>
      </c>
      <c r="B1456">
        <f>정규화데이터!B1456</f>
        <v>2.02602070744561E+18</v>
      </c>
      <c r="C1456" t="str">
        <f>정규화데이터!C1456</f>
        <v xml:space="preserve">워커힐 본갈비 3+1 최초❤️5만원대! 총1.2kg✨호텔특제 양념갈비 8인분 (✨1인분 7,375원꼴! / [300g,2인분] x 총 4팩  / ✨초이스등급 본갈비 / ❣️워커힐 </v>
      </c>
      <c r="D1456">
        <f>정규화데이터!D1456</f>
        <v>143790</v>
      </c>
      <c r="E1456" s="16" t="str">
        <f>정규화데이터!E1456</f>
        <v>SKU001</v>
      </c>
      <c r="F1456" s="3">
        <f>정규화데이터!F1456</f>
        <v>1</v>
      </c>
      <c r="G1456" s="3">
        <f>정규화데이터!G1456</f>
        <v>57272.727272727199</v>
      </c>
      <c r="H1456" s="3">
        <f>정규화데이터!H1456</f>
        <v>62999.999999999927</v>
      </c>
      <c r="I1456" s="3">
        <f>정규화데이터!I1456</f>
        <v>63000</v>
      </c>
      <c r="J1456" s="3">
        <f>정규화데이터!J1456</f>
        <v>57272.727272727199</v>
      </c>
      <c r="K1456" s="25">
        <f>정규화데이터!K1456</f>
        <v>30748</v>
      </c>
      <c r="L1456" s="25">
        <f>정규화데이터!L1456</f>
        <v>30748</v>
      </c>
      <c r="M1456" s="21">
        <f t="shared" si="44"/>
        <v>26524.727272727199</v>
      </c>
      <c r="N1456" s="52">
        <f t="shared" si="45"/>
        <v>0.46313015873015806</v>
      </c>
    </row>
    <row r="1457" spans="1:14" x14ac:dyDescent="0.3">
      <c r="A1457" t="str">
        <f>정규화데이터!A1457</f>
        <v>리씽크</v>
      </c>
      <c r="B1457">
        <f>정규화데이터!B1457</f>
        <v>2.02602062224431E+18</v>
      </c>
      <c r="C1457" t="str">
        <f>정규화데이터!C1457</f>
        <v xml:space="preserve">워커힐 본갈비 3+1 최초❤️5만원대! 총1.2kg✨호텔특제 양념갈비 8인분 (✨1인분 7,375원꼴! / [300g,2인분] x 총 4팩  / ✨초이스등급 본갈비 / ❣️워커힐 </v>
      </c>
      <c r="D1457">
        <f>정규화데이터!D1457</f>
        <v>143790</v>
      </c>
      <c r="E1457" s="16" t="str">
        <f>정규화데이터!E1457</f>
        <v>SKU001</v>
      </c>
      <c r="F1457" s="3">
        <f>정규화데이터!F1457</f>
        <v>1</v>
      </c>
      <c r="G1457" s="3">
        <f>정규화데이터!G1457</f>
        <v>57272.727272727199</v>
      </c>
      <c r="H1457" s="3">
        <f>정규화데이터!H1457</f>
        <v>62999.999999999927</v>
      </c>
      <c r="I1457" s="3">
        <f>정규화데이터!I1457</f>
        <v>63000</v>
      </c>
      <c r="J1457" s="3">
        <f>정규화데이터!J1457</f>
        <v>57272.727272727199</v>
      </c>
      <c r="K1457" s="25">
        <f>정규화데이터!K1457</f>
        <v>30748</v>
      </c>
      <c r="L1457" s="25">
        <f>정규화데이터!L1457</f>
        <v>30748</v>
      </c>
      <c r="M1457" s="21">
        <f t="shared" si="44"/>
        <v>26524.727272727199</v>
      </c>
      <c r="N1457" s="52">
        <f t="shared" si="45"/>
        <v>0.46313015873015806</v>
      </c>
    </row>
    <row r="1458" spans="1:14" x14ac:dyDescent="0.3">
      <c r="A1458" t="str">
        <f>정규화데이터!A1458</f>
        <v>리씽크</v>
      </c>
      <c r="B1458">
        <f>정규화데이터!B1458</f>
        <v>2.02602062134259E+18</v>
      </c>
      <c r="C1458" t="str">
        <f>정규화데이터!C1458</f>
        <v xml:space="preserve">워커힐 본갈비 3+1 최초❤️5만원대! 총1.2kg✨호텔특제 양념갈비 8인분 (✨1인분 7,375원꼴! / [300g,2인분] x 총 4팩  / ✨초이스등급 본갈비 / ❣️워커힐 </v>
      </c>
      <c r="D1458">
        <f>정규화데이터!D1458</f>
        <v>143790</v>
      </c>
      <c r="E1458" s="16" t="str">
        <f>정규화데이터!E1458</f>
        <v>SKU001</v>
      </c>
      <c r="F1458" s="3">
        <f>정규화데이터!F1458</f>
        <v>1</v>
      </c>
      <c r="G1458" s="3">
        <f>정규화데이터!G1458</f>
        <v>57272.727272727199</v>
      </c>
      <c r="H1458" s="3">
        <f>정규화데이터!H1458</f>
        <v>62999.999999999927</v>
      </c>
      <c r="I1458" s="3">
        <f>정규화데이터!I1458</f>
        <v>63000</v>
      </c>
      <c r="J1458" s="3">
        <f>정규화데이터!J1458</f>
        <v>57272.727272727199</v>
      </c>
      <c r="K1458" s="25">
        <f>정규화데이터!K1458</f>
        <v>30748</v>
      </c>
      <c r="L1458" s="25">
        <f>정규화데이터!L1458</f>
        <v>30748</v>
      </c>
      <c r="M1458" s="21">
        <f t="shared" si="44"/>
        <v>26524.727272727199</v>
      </c>
      <c r="N1458" s="52">
        <f t="shared" si="45"/>
        <v>0.46313015873015806</v>
      </c>
    </row>
    <row r="1459" spans="1:14" x14ac:dyDescent="0.3">
      <c r="A1459" t="str">
        <f>정규화데이터!A1459</f>
        <v>리씽크</v>
      </c>
      <c r="B1459">
        <f>정규화데이터!B1459</f>
        <v>2.0260206205947799E+18</v>
      </c>
      <c r="C1459" t="str">
        <f>정규화데이터!C1459</f>
        <v xml:space="preserve">워커힐 본갈비 3+1 최초❤️5만원대! 총1.2kg✨호텔특제 양념갈비 8인분 (✨1인분 7,375원꼴! / [300g,2인분] x 총 4팩  / ✨초이스등급 본갈비 / ❣️워커힐 </v>
      </c>
      <c r="D1459">
        <f>정규화데이터!D1459</f>
        <v>143790</v>
      </c>
      <c r="E1459" s="16" t="str">
        <f>정규화데이터!E1459</f>
        <v>SKU001</v>
      </c>
      <c r="F1459" s="3">
        <f>정규화데이터!F1459</f>
        <v>1</v>
      </c>
      <c r="G1459" s="3">
        <f>정규화데이터!G1459</f>
        <v>57272.727272727199</v>
      </c>
      <c r="H1459" s="3">
        <f>정규화데이터!H1459</f>
        <v>62999.999999999927</v>
      </c>
      <c r="I1459" s="3">
        <f>정규화데이터!I1459</f>
        <v>63000</v>
      </c>
      <c r="J1459" s="3">
        <f>정규화데이터!J1459</f>
        <v>57272.727272727199</v>
      </c>
      <c r="K1459" s="25">
        <f>정규화데이터!K1459</f>
        <v>30748</v>
      </c>
      <c r="L1459" s="25">
        <f>정규화데이터!L1459</f>
        <v>30748</v>
      </c>
      <c r="M1459" s="21">
        <f t="shared" si="44"/>
        <v>26524.727272727199</v>
      </c>
      <c r="N1459" s="52">
        <f t="shared" si="45"/>
        <v>0.46313015873015806</v>
      </c>
    </row>
    <row r="1460" spans="1:14" x14ac:dyDescent="0.3">
      <c r="A1460" t="str">
        <f>정규화데이터!A1460</f>
        <v>리씽크</v>
      </c>
      <c r="B1460">
        <f>정규화데이터!B1460</f>
        <v>2.02602062034176E+18</v>
      </c>
      <c r="C1460" t="str">
        <f>정규화데이터!C1460</f>
        <v xml:space="preserve">워커힐 본갈비 3+1 최초❤️5만원대! 총1.2kg✨호텔특제 양념갈비 8인분 (✨1인분 7,375원꼴! / [300g,2인분] x 총 4팩  / ✨초이스등급 본갈비 / ❣️워커힐 </v>
      </c>
      <c r="D1460">
        <f>정규화데이터!D1460</f>
        <v>143790</v>
      </c>
      <c r="E1460" s="16" t="str">
        <f>정규화데이터!E1460</f>
        <v>SKU001</v>
      </c>
      <c r="F1460" s="3">
        <f>정규화데이터!F1460</f>
        <v>1</v>
      </c>
      <c r="G1460" s="3">
        <f>정규화데이터!G1460</f>
        <v>57272.727272727199</v>
      </c>
      <c r="H1460" s="3">
        <f>정규화데이터!H1460</f>
        <v>62999.999999999927</v>
      </c>
      <c r="I1460" s="3">
        <f>정규화데이터!I1460</f>
        <v>63000</v>
      </c>
      <c r="J1460" s="3">
        <f>정규화데이터!J1460</f>
        <v>57272.727272727199</v>
      </c>
      <c r="K1460" s="25">
        <f>정규화데이터!K1460</f>
        <v>30748</v>
      </c>
      <c r="L1460" s="25">
        <f>정규화데이터!L1460</f>
        <v>30748</v>
      </c>
      <c r="M1460" s="21">
        <f t="shared" si="44"/>
        <v>26524.727272727199</v>
      </c>
      <c r="N1460" s="52">
        <f t="shared" si="45"/>
        <v>0.46313015873015806</v>
      </c>
    </row>
    <row r="1461" spans="1:14" x14ac:dyDescent="0.3">
      <c r="A1461" t="str">
        <f>정규화데이터!A1461</f>
        <v>리씽크</v>
      </c>
      <c r="B1461">
        <f>정규화데이터!B1461</f>
        <v>2.0260206202935401E+18</v>
      </c>
      <c r="C1461" t="str">
        <f>정규화데이터!C1461</f>
        <v xml:space="preserve">워커힐 본갈비 3+1 최초❤️5만원대! 총1.2kg✨호텔특제 양념갈비 8인분 (✨1인분 7,375원꼴! / [300g,2인분] x 총 4팩  / ✨초이스등급 본갈비 / ❣️워커힐 </v>
      </c>
      <c r="D1461">
        <f>정규화데이터!D1461</f>
        <v>143790</v>
      </c>
      <c r="E1461" s="16" t="str">
        <f>정규화데이터!E1461</f>
        <v>SKU001</v>
      </c>
      <c r="F1461" s="3">
        <f>정규화데이터!F1461</f>
        <v>1</v>
      </c>
      <c r="G1461" s="3">
        <f>정규화데이터!G1461</f>
        <v>57272.727272727199</v>
      </c>
      <c r="H1461" s="3">
        <f>정규화데이터!H1461</f>
        <v>62999.999999999927</v>
      </c>
      <c r="I1461" s="3">
        <f>정규화데이터!I1461</f>
        <v>63000</v>
      </c>
      <c r="J1461" s="3">
        <f>정규화데이터!J1461</f>
        <v>57272.727272727199</v>
      </c>
      <c r="K1461" s="25">
        <f>정규화데이터!K1461</f>
        <v>30748</v>
      </c>
      <c r="L1461" s="25">
        <f>정규화데이터!L1461</f>
        <v>30748</v>
      </c>
      <c r="M1461" s="21">
        <f t="shared" si="44"/>
        <v>26524.727272727199</v>
      </c>
      <c r="N1461" s="52">
        <f t="shared" si="45"/>
        <v>0.46313015873015806</v>
      </c>
    </row>
    <row r="1462" spans="1:14" x14ac:dyDescent="0.3">
      <c r="A1462" t="str">
        <f>정규화데이터!A1462</f>
        <v>리씽크</v>
      </c>
      <c r="B1462">
        <f>정규화데이터!B1462</f>
        <v>2.0260206200755E+18</v>
      </c>
      <c r="C1462" t="str">
        <f>정규화데이터!C1462</f>
        <v xml:space="preserve">워커힐 본갈비 3+1 최초❤️5만원대! 총1.2kg✨호텔특제 양념갈비 8인분 (✨1인분 7,375원꼴! / [300g,2인분] x 총 4팩  / ✨초이스등급 본갈비 / ❣️워커힐 </v>
      </c>
      <c r="D1462">
        <f>정규화데이터!D1462</f>
        <v>143790</v>
      </c>
      <c r="E1462" s="16" t="str">
        <f>정규화데이터!E1462</f>
        <v>SKU001</v>
      </c>
      <c r="F1462" s="3">
        <f>정규화데이터!F1462</f>
        <v>1</v>
      </c>
      <c r="G1462" s="3">
        <f>정규화데이터!G1462</f>
        <v>57272.727272727199</v>
      </c>
      <c r="H1462" s="3">
        <f>정규화데이터!H1462</f>
        <v>62999.999999999927</v>
      </c>
      <c r="I1462" s="3">
        <f>정규화데이터!I1462</f>
        <v>63000</v>
      </c>
      <c r="J1462" s="3">
        <f>정규화데이터!J1462</f>
        <v>57272.727272727199</v>
      </c>
      <c r="K1462" s="25">
        <f>정규화데이터!K1462</f>
        <v>30748</v>
      </c>
      <c r="L1462" s="25">
        <f>정규화데이터!L1462</f>
        <v>30748</v>
      </c>
      <c r="M1462" s="21">
        <f t="shared" si="44"/>
        <v>26524.727272727199</v>
      </c>
      <c r="N1462" s="52">
        <f t="shared" si="45"/>
        <v>0.46313015873015806</v>
      </c>
    </row>
    <row r="1463" spans="1:14" x14ac:dyDescent="0.3">
      <c r="A1463" t="str">
        <f>정규화데이터!A1463</f>
        <v>리씽크</v>
      </c>
      <c r="B1463">
        <f>정규화데이터!B1463</f>
        <v>2.0260206195919201E+18</v>
      </c>
      <c r="C1463" t="str">
        <f>정규화데이터!C1463</f>
        <v xml:space="preserve">워커힐 본갈비 3+1 최초❤️5만원대! 총1.2kg✨호텔특제 양념갈비 8인분 (✨1인분 7,375원꼴! / [300g,2인분] x 총 4팩  / ✨초이스등급 본갈비 / ❣️워커힐 </v>
      </c>
      <c r="D1463">
        <f>정규화데이터!D1463</f>
        <v>143790</v>
      </c>
      <c r="E1463" s="16" t="str">
        <f>정규화데이터!E1463</f>
        <v>SKU001</v>
      </c>
      <c r="F1463" s="3">
        <f>정규화데이터!F1463</f>
        <v>1</v>
      </c>
      <c r="G1463" s="3">
        <f>정규화데이터!G1463</f>
        <v>57272.727272727199</v>
      </c>
      <c r="H1463" s="3">
        <f>정규화데이터!H1463</f>
        <v>62999.999999999927</v>
      </c>
      <c r="I1463" s="3">
        <f>정규화데이터!I1463</f>
        <v>63000</v>
      </c>
      <c r="J1463" s="3">
        <f>정규화데이터!J1463</f>
        <v>57272.727272727199</v>
      </c>
      <c r="K1463" s="25">
        <f>정규화데이터!K1463</f>
        <v>30748</v>
      </c>
      <c r="L1463" s="25">
        <f>정규화데이터!L1463</f>
        <v>30748</v>
      </c>
      <c r="M1463" s="21">
        <f t="shared" si="44"/>
        <v>26524.727272727199</v>
      </c>
      <c r="N1463" s="52">
        <f t="shared" si="45"/>
        <v>0.46313015873015806</v>
      </c>
    </row>
    <row r="1464" spans="1:14" x14ac:dyDescent="0.3">
      <c r="A1464" t="str">
        <f>정규화데이터!A1464</f>
        <v>리씽크</v>
      </c>
      <c r="B1464">
        <f>정규화데이터!B1464</f>
        <v>2.026020619064E+18</v>
      </c>
      <c r="C1464" t="str">
        <f>정규화데이터!C1464</f>
        <v xml:space="preserve">워커힐 본갈비 3+1 최초❤️5만원대! 총1.2kg✨호텔특제 양념갈비 8인분 (✨1인분 7,375원꼴! / [300g,2인분] x 총 4팩  / ✨초이스등급 본갈비 / ❣️워커힐 </v>
      </c>
      <c r="D1464">
        <f>정규화데이터!D1464</f>
        <v>143790</v>
      </c>
      <c r="E1464" s="16" t="str">
        <f>정규화데이터!E1464</f>
        <v>SKU001</v>
      </c>
      <c r="F1464" s="3">
        <f>정규화데이터!F1464</f>
        <v>1</v>
      </c>
      <c r="G1464" s="3">
        <f>정규화데이터!G1464</f>
        <v>57272.727272727199</v>
      </c>
      <c r="H1464" s="3">
        <f>정규화데이터!H1464</f>
        <v>62999.999999999927</v>
      </c>
      <c r="I1464" s="3">
        <f>정규화데이터!I1464</f>
        <v>63000</v>
      </c>
      <c r="J1464" s="3">
        <f>정규화데이터!J1464</f>
        <v>57272.727272727199</v>
      </c>
      <c r="K1464" s="25">
        <f>정규화데이터!K1464</f>
        <v>30748</v>
      </c>
      <c r="L1464" s="25">
        <f>정규화데이터!L1464</f>
        <v>30748</v>
      </c>
      <c r="M1464" s="21">
        <f t="shared" si="44"/>
        <v>26524.727272727199</v>
      </c>
      <c r="N1464" s="52">
        <f t="shared" si="45"/>
        <v>0.46313015873015806</v>
      </c>
    </row>
    <row r="1465" spans="1:14" x14ac:dyDescent="0.3">
      <c r="A1465" t="str">
        <f>정규화데이터!A1465</f>
        <v>리씽크</v>
      </c>
      <c r="B1465">
        <f>정규화데이터!B1465</f>
        <v>2.02602061656211E+18</v>
      </c>
      <c r="C1465" t="str">
        <f>정규화데이터!C1465</f>
        <v xml:space="preserve">워커힐 본갈비 3+1 최초❤️5만원대! 총1.2kg✨호텔특제 양념갈비 8인분 (✨1인분 7,375원꼴! / [300g,2인분] x 총 4팩  / ✨초이스등급 본갈비 / ❣️워커힐 </v>
      </c>
      <c r="D1465">
        <f>정규화데이터!D1465</f>
        <v>143790</v>
      </c>
      <c r="E1465" s="16" t="str">
        <f>정규화데이터!E1465</f>
        <v>SKU001</v>
      </c>
      <c r="F1465" s="3">
        <f>정규화데이터!F1465</f>
        <v>1</v>
      </c>
      <c r="G1465" s="3">
        <f>정규화데이터!G1465</f>
        <v>57272.727272727199</v>
      </c>
      <c r="H1465" s="3">
        <f>정규화데이터!H1465</f>
        <v>62999.999999999927</v>
      </c>
      <c r="I1465" s="3">
        <f>정규화데이터!I1465</f>
        <v>63000</v>
      </c>
      <c r="J1465" s="3">
        <f>정규화데이터!J1465</f>
        <v>57272.727272727199</v>
      </c>
      <c r="K1465" s="25">
        <f>정규화데이터!K1465</f>
        <v>30748</v>
      </c>
      <c r="L1465" s="25">
        <f>정규화데이터!L1465</f>
        <v>30748</v>
      </c>
      <c r="M1465" s="21">
        <f t="shared" si="44"/>
        <v>26524.727272727199</v>
      </c>
      <c r="N1465" s="52">
        <f t="shared" si="45"/>
        <v>0.46313015873015806</v>
      </c>
    </row>
    <row r="1466" spans="1:14" x14ac:dyDescent="0.3">
      <c r="A1466" t="str">
        <f>정규화데이터!A1466</f>
        <v>리씽크</v>
      </c>
      <c r="B1466">
        <f>정규화데이터!B1466</f>
        <v>2.02602061440257E+18</v>
      </c>
      <c r="C1466" t="str">
        <f>정규화데이터!C1466</f>
        <v xml:space="preserve">워커힐 본갈비 3+1 최초❤️5만원대! 총1.2kg✨호텔특제 양념갈비 8인분 (✨1인분 7,375원꼴! / [300g,2인분] x 총 4팩  / ✨초이스등급 본갈비 / ❣️워커힐 </v>
      </c>
      <c r="D1466">
        <f>정규화데이터!D1466</f>
        <v>143790</v>
      </c>
      <c r="E1466" s="16" t="str">
        <f>정규화데이터!E1466</f>
        <v>SKU001</v>
      </c>
      <c r="F1466" s="3">
        <f>정규화데이터!F1466</f>
        <v>2</v>
      </c>
      <c r="G1466" s="3">
        <f>정규화데이터!G1466</f>
        <v>57272.727272727003</v>
      </c>
      <c r="H1466" s="3">
        <f>정규화데이터!H1466</f>
        <v>125999.99999999942</v>
      </c>
      <c r="I1466" s="3">
        <f>정규화데이터!I1466</f>
        <v>126000</v>
      </c>
      <c r="J1466" s="3">
        <f>정규화데이터!J1466</f>
        <v>114545.45454545401</v>
      </c>
      <c r="K1466" s="25">
        <f>정규화데이터!K1466</f>
        <v>30748</v>
      </c>
      <c r="L1466" s="25">
        <f>정규화데이터!L1466</f>
        <v>61496</v>
      </c>
      <c r="M1466" s="21">
        <f t="shared" si="44"/>
        <v>53049.454545454006</v>
      </c>
      <c r="N1466" s="52">
        <f t="shared" si="45"/>
        <v>0.46313015873015623</v>
      </c>
    </row>
    <row r="1467" spans="1:14" x14ac:dyDescent="0.3">
      <c r="A1467" t="str">
        <f>정규화데이터!A1467</f>
        <v>리씽크</v>
      </c>
      <c r="B1467">
        <f>정규화데이터!B1467</f>
        <v>2.0260206143700401E+18</v>
      </c>
      <c r="C1467" t="str">
        <f>정규화데이터!C1467</f>
        <v xml:space="preserve">워커힐 본갈비 3+1 최초❤️5만원대! 총1.2kg✨호텔특제 양념갈비 8인분 (✨1인분 7,375원꼴! / [300g,2인분] x 총 4팩  / ✨초이스등급 본갈비 / ❣️워커힐 </v>
      </c>
      <c r="D1467">
        <f>정규화데이터!D1467</f>
        <v>143790</v>
      </c>
      <c r="E1467" s="16" t="str">
        <f>정규화데이터!E1467</f>
        <v>SKU001</v>
      </c>
      <c r="F1467" s="3">
        <f>정규화데이터!F1467</f>
        <v>2</v>
      </c>
      <c r="G1467" s="3">
        <f>정규화데이터!G1467</f>
        <v>57272.727272727003</v>
      </c>
      <c r="H1467" s="3">
        <f>정규화데이터!H1467</f>
        <v>125999.99999999942</v>
      </c>
      <c r="I1467" s="3">
        <f>정규화데이터!I1467</f>
        <v>126000</v>
      </c>
      <c r="J1467" s="3">
        <f>정규화데이터!J1467</f>
        <v>114545.45454545401</v>
      </c>
      <c r="K1467" s="25">
        <f>정규화데이터!K1467</f>
        <v>30748</v>
      </c>
      <c r="L1467" s="25">
        <f>정규화데이터!L1467</f>
        <v>61496</v>
      </c>
      <c r="M1467" s="21">
        <f t="shared" si="44"/>
        <v>53049.454545454006</v>
      </c>
      <c r="N1467" s="52">
        <f t="shared" si="45"/>
        <v>0.46313015873015623</v>
      </c>
    </row>
    <row r="1468" spans="1:14" x14ac:dyDescent="0.3">
      <c r="A1468" t="str">
        <f>정규화데이터!A1468</f>
        <v>리씽크</v>
      </c>
      <c r="B1468">
        <f>정규화데이터!B1468</f>
        <v>2.02602061354271E+18</v>
      </c>
      <c r="C1468" t="str">
        <f>정규화데이터!C1468</f>
        <v xml:space="preserve">워커힐 본갈비 3+1 최초❤️5만원대! 총1.2kg✨호텔특제 양념갈비 8인분 (✨1인분 7,375원꼴! / [300g,2인분] x 총 4팩  / ✨초이스등급 본갈비 / ❣️워커힐 </v>
      </c>
      <c r="D1468">
        <f>정규화데이터!D1468</f>
        <v>143790</v>
      </c>
      <c r="E1468" s="16" t="str">
        <f>정규화데이터!E1468</f>
        <v>SKU001</v>
      </c>
      <c r="F1468" s="3">
        <f>정규화데이터!F1468</f>
        <v>1</v>
      </c>
      <c r="G1468" s="3">
        <f>정규화데이터!G1468</f>
        <v>57272.727272727199</v>
      </c>
      <c r="H1468" s="3">
        <f>정규화데이터!H1468</f>
        <v>62999.999999999927</v>
      </c>
      <c r="I1468" s="3">
        <f>정규화데이터!I1468</f>
        <v>63000</v>
      </c>
      <c r="J1468" s="3">
        <f>정규화데이터!J1468</f>
        <v>57272.727272727199</v>
      </c>
      <c r="K1468" s="25">
        <f>정규화데이터!K1468</f>
        <v>30748</v>
      </c>
      <c r="L1468" s="25">
        <f>정규화데이터!L1468</f>
        <v>30748</v>
      </c>
      <c r="M1468" s="21">
        <f t="shared" si="44"/>
        <v>26524.727272727199</v>
      </c>
      <c r="N1468" s="52">
        <f t="shared" si="45"/>
        <v>0.46313015873015806</v>
      </c>
    </row>
    <row r="1469" spans="1:14" x14ac:dyDescent="0.3">
      <c r="A1469" t="str">
        <f>정규화데이터!A1469</f>
        <v>리씽크</v>
      </c>
      <c r="B1469">
        <f>정규화데이터!B1469</f>
        <v>2.02602100800559E+18</v>
      </c>
      <c r="C1469" t="str">
        <f>정규화데이터!C1469</f>
        <v xml:space="preserve">워커힐 본갈비 3+1 최초❤️5만원대! 총1.2kg✨호텔특제 양념갈비 8인분 (✨1인분 7,375원꼴! / [300g,2인분] x 총 4팩  / ✨초이스등급 본갈비 / ❣️워커힐 </v>
      </c>
      <c r="D1469">
        <f>정규화데이터!D1469</f>
        <v>143790</v>
      </c>
      <c r="E1469" s="16" t="str">
        <f>정규화데이터!E1469</f>
        <v>SKU001</v>
      </c>
      <c r="F1469" s="3">
        <f>정규화데이터!F1469</f>
        <v>1</v>
      </c>
      <c r="G1469" s="3">
        <f>정규화데이터!G1469</f>
        <v>41363.636363636302</v>
      </c>
      <c r="H1469" s="3">
        <f>정규화데이터!H1469</f>
        <v>45499.999999999935</v>
      </c>
      <c r="I1469" s="3">
        <f>정규화데이터!I1469</f>
        <v>45500</v>
      </c>
      <c r="J1469" s="3">
        <f>정규화데이터!J1469</f>
        <v>41363.636363636302</v>
      </c>
      <c r="K1469" s="25">
        <f>정규화데이터!K1469</f>
        <v>30748</v>
      </c>
      <c r="L1469" s="25">
        <f>정규화데이터!L1469</f>
        <v>30748</v>
      </c>
      <c r="M1469" s="21">
        <f t="shared" si="44"/>
        <v>10615.636363636302</v>
      </c>
      <c r="N1469" s="52">
        <f t="shared" si="45"/>
        <v>0.25664175824175711</v>
      </c>
    </row>
    <row r="1470" spans="1:14" x14ac:dyDescent="0.3">
      <c r="A1470" t="str">
        <f>정규화데이터!A1470</f>
        <v>리씽크</v>
      </c>
      <c r="B1470">
        <f>정규화데이터!B1470</f>
        <v>2.02602100717117E+18</v>
      </c>
      <c r="C1470" t="str">
        <f>정규화데이터!C1470</f>
        <v xml:space="preserve">워커힐 본갈비 3+1 최초❤️5만원대! 총1.2kg✨호텔특제 양념갈비 8인분 (✨1인분 7,375원꼴! / [300g,2인분] x 총 4팩  / ✨초이스등급 본갈비 / ❣️워커힐 </v>
      </c>
      <c r="D1470">
        <f>정규화데이터!D1470</f>
        <v>143790</v>
      </c>
      <c r="E1470" s="16" t="str">
        <f>정규화데이터!E1470</f>
        <v>SKU001</v>
      </c>
      <c r="F1470" s="3">
        <f>정규화데이터!F1470</f>
        <v>1</v>
      </c>
      <c r="G1470" s="3">
        <f>정규화데이터!G1470</f>
        <v>41363.636363636302</v>
      </c>
      <c r="H1470" s="3">
        <f>정규화데이터!H1470</f>
        <v>45499.999999999935</v>
      </c>
      <c r="I1470" s="3">
        <f>정규화데이터!I1470</f>
        <v>45500</v>
      </c>
      <c r="J1470" s="3">
        <f>정규화데이터!J1470</f>
        <v>41363.636363636302</v>
      </c>
      <c r="K1470" s="25">
        <f>정규화데이터!K1470</f>
        <v>30748</v>
      </c>
      <c r="L1470" s="25">
        <f>정규화데이터!L1470</f>
        <v>30748</v>
      </c>
      <c r="M1470" s="21">
        <f t="shared" si="44"/>
        <v>10615.636363636302</v>
      </c>
      <c r="N1470" s="52">
        <f t="shared" si="45"/>
        <v>0.25664175824175711</v>
      </c>
    </row>
    <row r="1471" spans="1:14" x14ac:dyDescent="0.3">
      <c r="A1471" t="str">
        <f>정규화데이터!A1471</f>
        <v>리씽크</v>
      </c>
      <c r="B1471">
        <f>정규화데이터!B1471</f>
        <v>2.0260210070557E+18</v>
      </c>
      <c r="C1471" t="str">
        <f>정규화데이터!C1471</f>
        <v xml:space="preserve">워커힐 본갈비 3+1 최초❤️5만원대! 총1.2kg✨호텔특제 양념갈비 8인분 (✨1인분 7,375원꼴! / [300g,2인분] x 총 4팩  / ✨초이스등급 본갈비 / ❣️워커힐 </v>
      </c>
      <c r="D1471">
        <f>정규화데이터!D1471</f>
        <v>143790</v>
      </c>
      <c r="E1471" s="16" t="str">
        <f>정규화데이터!E1471</f>
        <v>SKU001</v>
      </c>
      <c r="F1471" s="3">
        <f>정규화데이터!F1471</f>
        <v>1</v>
      </c>
      <c r="G1471" s="3">
        <f>정규화데이터!G1471</f>
        <v>41363.636363636302</v>
      </c>
      <c r="H1471" s="3">
        <f>정규화데이터!H1471</f>
        <v>45499.999999999935</v>
      </c>
      <c r="I1471" s="3">
        <f>정규화데이터!I1471</f>
        <v>45500</v>
      </c>
      <c r="J1471" s="3">
        <f>정규화데이터!J1471</f>
        <v>41363.636363636302</v>
      </c>
      <c r="K1471" s="25">
        <f>정규화데이터!K1471</f>
        <v>30748</v>
      </c>
      <c r="L1471" s="25">
        <f>정규화데이터!L1471</f>
        <v>30748</v>
      </c>
      <c r="M1471" s="21">
        <f t="shared" si="44"/>
        <v>10615.636363636302</v>
      </c>
      <c r="N1471" s="52">
        <f t="shared" si="45"/>
        <v>0.25664175824175711</v>
      </c>
    </row>
    <row r="1472" spans="1:14" x14ac:dyDescent="0.3">
      <c r="A1472" t="str">
        <f>정규화데이터!A1472</f>
        <v>리씽크</v>
      </c>
      <c r="B1472">
        <f>정규화데이터!B1472</f>
        <v>2.02602100020302E+18</v>
      </c>
      <c r="C1472" t="str">
        <f>정규화데이터!C1472</f>
        <v xml:space="preserve">워커힐 본갈비 3+1 최초❤️5만원대! 총1.2kg✨호텔특제 양념갈비 8인분 (✨1인분 7,375원꼴! / [300g,2인분] x 총 4팩  / ✨초이스등급 본갈비 / ❣️워커힐 </v>
      </c>
      <c r="D1472">
        <f>정규화데이터!D1472</f>
        <v>143790</v>
      </c>
      <c r="E1472" s="16" t="str">
        <f>정규화데이터!E1472</f>
        <v>SKU001</v>
      </c>
      <c r="F1472" s="3">
        <f>정규화데이터!F1472</f>
        <v>1</v>
      </c>
      <c r="G1472" s="3">
        <f>정규화데이터!G1472</f>
        <v>41363.636363636302</v>
      </c>
      <c r="H1472" s="3">
        <f>정규화데이터!H1472</f>
        <v>45499.999999999935</v>
      </c>
      <c r="I1472" s="3">
        <f>정규화데이터!I1472</f>
        <v>45500</v>
      </c>
      <c r="J1472" s="3">
        <f>정규화데이터!J1472</f>
        <v>41363.636363636302</v>
      </c>
      <c r="K1472" s="25">
        <f>정규화데이터!K1472</f>
        <v>30748</v>
      </c>
      <c r="L1472" s="25">
        <f>정규화데이터!L1472</f>
        <v>30748</v>
      </c>
      <c r="M1472" s="21">
        <f t="shared" si="44"/>
        <v>10615.636363636302</v>
      </c>
      <c r="N1472" s="52">
        <f t="shared" si="45"/>
        <v>0.25664175824175711</v>
      </c>
    </row>
    <row r="1473" spans="1:14" x14ac:dyDescent="0.3">
      <c r="A1473" t="str">
        <f>정규화데이터!A1473</f>
        <v>리씽크</v>
      </c>
      <c r="B1473">
        <f>정규화데이터!B1473</f>
        <v>2.0260209204757601E+18</v>
      </c>
      <c r="C1473" t="str">
        <f>정규화데이터!C1473</f>
        <v xml:space="preserve">워커힐 본갈비 3+1 최초❤️5만원대! 총1.2kg✨호텔특제 양념갈비 8인분 (✨1인분 7,375원꼴! / [300g,2인분] x 총 4팩  / ✨초이스등급 본갈비 / ❣️워커힐 </v>
      </c>
      <c r="D1473">
        <f>정규화데이터!D1473</f>
        <v>143790</v>
      </c>
      <c r="E1473" s="16" t="str">
        <f>정규화데이터!E1473</f>
        <v>SKU001</v>
      </c>
      <c r="F1473" s="3">
        <f>정규화데이터!F1473</f>
        <v>2</v>
      </c>
      <c r="G1473" s="3">
        <f>정규화데이터!G1473</f>
        <v>41363.636363636353</v>
      </c>
      <c r="H1473" s="3">
        <f>정규화데이터!H1473</f>
        <v>91000</v>
      </c>
      <c r="I1473" s="3">
        <f>정규화데이터!I1473</f>
        <v>91000</v>
      </c>
      <c r="J1473" s="3">
        <f>정규화데이터!J1473</f>
        <v>82727.272727272706</v>
      </c>
      <c r="K1473" s="25">
        <f>정규화데이터!K1473</f>
        <v>30748</v>
      </c>
      <c r="L1473" s="25">
        <f>정규화데이터!L1473</f>
        <v>61496</v>
      </c>
      <c r="M1473" s="21">
        <f t="shared" si="44"/>
        <v>21231.272727272706</v>
      </c>
      <c r="N1473" s="52">
        <f t="shared" si="45"/>
        <v>0.25664175824175806</v>
      </c>
    </row>
    <row r="1474" spans="1:14" x14ac:dyDescent="0.3">
      <c r="A1474" t="str">
        <f>정규화데이터!A1474</f>
        <v>리씽크</v>
      </c>
      <c r="B1474">
        <f>정규화데이터!B1474</f>
        <v>2.0260209191840901E+18</v>
      </c>
      <c r="C1474" t="str">
        <f>정규화데이터!C1474</f>
        <v xml:space="preserve">워커힐 본갈비 3+1 최초❤️5만원대! 총1.2kg✨호텔특제 양념갈비 8인분 (✨1인분 7,375원꼴! / [300g,2인분] x 총 4팩  / ✨초이스등급 본갈비 / ❣️워커힐 </v>
      </c>
      <c r="D1474">
        <f>정규화데이터!D1474</f>
        <v>143790</v>
      </c>
      <c r="E1474" s="16" t="str">
        <f>정규화데이터!E1474</f>
        <v>SKU001</v>
      </c>
      <c r="F1474" s="3">
        <f>정규화데이터!F1474</f>
        <v>2</v>
      </c>
      <c r="G1474" s="3">
        <f>정규화데이터!G1474</f>
        <v>41363.636363636353</v>
      </c>
      <c r="H1474" s="3">
        <f>정규화데이터!H1474</f>
        <v>91000</v>
      </c>
      <c r="I1474" s="3">
        <f>정규화데이터!I1474</f>
        <v>91000</v>
      </c>
      <c r="J1474" s="3">
        <f>정규화데이터!J1474</f>
        <v>82727.272727272706</v>
      </c>
      <c r="K1474" s="25">
        <f>정규화데이터!K1474</f>
        <v>30748</v>
      </c>
      <c r="L1474" s="25">
        <f>정규화데이터!L1474</f>
        <v>61496</v>
      </c>
      <c r="M1474" s="21">
        <f t="shared" si="44"/>
        <v>21231.272727272706</v>
      </c>
      <c r="N1474" s="52">
        <f t="shared" si="45"/>
        <v>0.25664175824175806</v>
      </c>
    </row>
    <row r="1475" spans="1:14" x14ac:dyDescent="0.3">
      <c r="A1475" t="str">
        <f>정규화데이터!A1475</f>
        <v>리씽크</v>
      </c>
      <c r="B1475">
        <f>정규화데이터!B1475</f>
        <v>2.0260209191610199E+18</v>
      </c>
      <c r="C1475" t="str">
        <f>정규화데이터!C1475</f>
        <v xml:space="preserve">워커힐 본갈비 3+1 최초❤️5만원대! 총1.2kg✨호텔특제 양념갈비 8인분 (✨1인분 7,375원꼴! / [300g,2인분] x 총 4팩  / ✨초이스등급 본갈비 / ❣️워커힐 </v>
      </c>
      <c r="D1475">
        <f>정규화데이터!D1475</f>
        <v>143790</v>
      </c>
      <c r="E1475" s="16" t="str">
        <f>정규화데이터!E1475</f>
        <v>SKU001</v>
      </c>
      <c r="F1475" s="3">
        <f>정규화데이터!F1475</f>
        <v>1</v>
      </c>
      <c r="G1475" s="3">
        <f>정규화데이터!G1475</f>
        <v>41363.636363636302</v>
      </c>
      <c r="H1475" s="3">
        <f>정규화데이터!H1475</f>
        <v>45499.999999999935</v>
      </c>
      <c r="I1475" s="3">
        <f>정규화데이터!I1475</f>
        <v>45500</v>
      </c>
      <c r="J1475" s="3">
        <f>정규화데이터!J1475</f>
        <v>41363.636363636302</v>
      </c>
      <c r="K1475" s="25">
        <f>정규화데이터!K1475</f>
        <v>30748</v>
      </c>
      <c r="L1475" s="25">
        <f>정규화데이터!L1475</f>
        <v>30748</v>
      </c>
      <c r="M1475" s="21">
        <f t="shared" ref="M1475:M1538" si="46">J1475-L1475</f>
        <v>10615.636363636302</v>
      </c>
      <c r="N1475" s="52">
        <f t="shared" ref="N1475:N1538" si="47">IF(J1475=0,0,M1475/J1475)</f>
        <v>0.25664175824175711</v>
      </c>
    </row>
    <row r="1476" spans="1:14" x14ac:dyDescent="0.3">
      <c r="A1476" t="str">
        <f>정규화데이터!A1476</f>
        <v>리씽크</v>
      </c>
      <c r="B1476">
        <f>정규화데이터!B1476</f>
        <v>2.0260209191336699E+18</v>
      </c>
      <c r="C1476" t="str">
        <f>정규화데이터!C1476</f>
        <v xml:space="preserve">워커힐 본갈비 3+1 최초❤️5만원대! 총1.2kg✨호텔특제 양념갈비 8인분 (✨1인분 7,375원꼴! / [300g,2인분] x 총 4팩  / ✨초이스등급 본갈비 / ❣️워커힐 </v>
      </c>
      <c r="D1476">
        <f>정규화데이터!D1476</f>
        <v>143790</v>
      </c>
      <c r="E1476" s="16" t="str">
        <f>정규화데이터!E1476</f>
        <v>SKU001</v>
      </c>
      <c r="F1476" s="3">
        <f>정규화데이터!F1476</f>
        <v>1</v>
      </c>
      <c r="G1476" s="3">
        <f>정규화데이터!G1476</f>
        <v>41363.636363636302</v>
      </c>
      <c r="H1476" s="3">
        <f>정규화데이터!H1476</f>
        <v>45499.999999999935</v>
      </c>
      <c r="I1476" s="3">
        <f>정규화데이터!I1476</f>
        <v>45500</v>
      </c>
      <c r="J1476" s="3">
        <f>정규화데이터!J1476</f>
        <v>41363.636363636302</v>
      </c>
      <c r="K1476" s="25">
        <f>정규화데이터!K1476</f>
        <v>30748</v>
      </c>
      <c r="L1476" s="25">
        <f>정규화데이터!L1476</f>
        <v>30748</v>
      </c>
      <c r="M1476" s="21">
        <f t="shared" si="46"/>
        <v>10615.636363636302</v>
      </c>
      <c r="N1476" s="52">
        <f t="shared" si="47"/>
        <v>0.25664175824175711</v>
      </c>
    </row>
    <row r="1477" spans="1:14" x14ac:dyDescent="0.3">
      <c r="A1477" t="str">
        <f>정규화데이터!A1477</f>
        <v>리씽크</v>
      </c>
      <c r="B1477">
        <f>정규화데이터!B1477</f>
        <v>2.0260209190055401E+18</v>
      </c>
      <c r="C1477" t="str">
        <f>정규화데이터!C1477</f>
        <v xml:space="preserve">워커힐 본갈비 3+1 최초❤️5만원대! 총1.2kg✨호텔특제 양념갈비 8인분 (✨1인분 7,375원꼴! / [300g,2인분] x 총 4팩  / ✨초이스등급 본갈비 / ❣️워커힐 </v>
      </c>
      <c r="D1477">
        <f>정규화데이터!D1477</f>
        <v>143790</v>
      </c>
      <c r="E1477" s="16" t="str">
        <f>정규화데이터!E1477</f>
        <v>SKU001</v>
      </c>
      <c r="F1477" s="3">
        <f>정규화데이터!F1477</f>
        <v>1</v>
      </c>
      <c r="G1477" s="3">
        <f>정규화데이터!G1477</f>
        <v>41363.636363636302</v>
      </c>
      <c r="H1477" s="3">
        <f>정규화데이터!H1477</f>
        <v>45499.999999999935</v>
      </c>
      <c r="I1477" s="3">
        <f>정규화데이터!I1477</f>
        <v>45500</v>
      </c>
      <c r="J1477" s="3">
        <f>정규화데이터!J1477</f>
        <v>41363.636363636302</v>
      </c>
      <c r="K1477" s="25">
        <f>정규화데이터!K1477</f>
        <v>30748</v>
      </c>
      <c r="L1477" s="25">
        <f>정규화데이터!L1477</f>
        <v>30748</v>
      </c>
      <c r="M1477" s="21">
        <f t="shared" si="46"/>
        <v>10615.636363636302</v>
      </c>
      <c r="N1477" s="52">
        <f t="shared" si="47"/>
        <v>0.25664175824175711</v>
      </c>
    </row>
    <row r="1478" spans="1:14" x14ac:dyDescent="0.3">
      <c r="A1478" t="str">
        <f>정규화데이터!A1478</f>
        <v>리씽크</v>
      </c>
      <c r="B1478">
        <f>정규화데이터!B1478</f>
        <v>2.02602091852097E+18</v>
      </c>
      <c r="C1478" t="str">
        <f>정규화데이터!C1478</f>
        <v xml:space="preserve">워커힐 본갈비 3+1 최초❤️5만원대! 총1.2kg✨호텔특제 양념갈비 8인분 (✨1인분 7,375원꼴! / [300g,2인분] x 총 4팩  / ✨초이스등급 본갈비 / ❣️워커힐 </v>
      </c>
      <c r="D1478">
        <f>정규화데이터!D1478</f>
        <v>143790</v>
      </c>
      <c r="E1478" s="16" t="str">
        <f>정규화데이터!E1478</f>
        <v>SKU001</v>
      </c>
      <c r="F1478" s="3">
        <f>정규화데이터!F1478</f>
        <v>2</v>
      </c>
      <c r="G1478" s="3">
        <f>정규화데이터!G1478</f>
        <v>41363.636363636353</v>
      </c>
      <c r="H1478" s="3">
        <f>정규화데이터!H1478</f>
        <v>91000</v>
      </c>
      <c r="I1478" s="3">
        <f>정규화데이터!I1478</f>
        <v>91000</v>
      </c>
      <c r="J1478" s="3">
        <f>정규화데이터!J1478</f>
        <v>82727.272727272706</v>
      </c>
      <c r="K1478" s="25">
        <f>정규화데이터!K1478</f>
        <v>30748</v>
      </c>
      <c r="L1478" s="25">
        <f>정규화데이터!L1478</f>
        <v>61496</v>
      </c>
      <c r="M1478" s="21">
        <f t="shared" si="46"/>
        <v>21231.272727272706</v>
      </c>
      <c r="N1478" s="52">
        <f t="shared" si="47"/>
        <v>0.25664175824175806</v>
      </c>
    </row>
    <row r="1479" spans="1:14" x14ac:dyDescent="0.3">
      <c r="A1479" t="str">
        <f>정규화데이터!A1479</f>
        <v>리씽크</v>
      </c>
      <c r="B1479">
        <f>정규화데이터!B1479</f>
        <v>2.02602091849039E+18</v>
      </c>
      <c r="C1479" t="str">
        <f>정규화데이터!C1479</f>
        <v xml:space="preserve">워커힐 본갈비 3+1 최초❤️5만원대! 총1.2kg✨호텔특제 양념갈비 8인분 (✨1인분 7,375원꼴! / [300g,2인분] x 총 4팩  / ✨초이스등급 본갈비 / ❣️워커힐 </v>
      </c>
      <c r="D1479">
        <f>정규화데이터!D1479</f>
        <v>143790</v>
      </c>
      <c r="E1479" s="16" t="str">
        <f>정규화데이터!E1479</f>
        <v>SKU001</v>
      </c>
      <c r="F1479" s="3">
        <f>정규화데이터!F1479</f>
        <v>1</v>
      </c>
      <c r="G1479" s="3">
        <f>정규화데이터!G1479</f>
        <v>41363.636363636302</v>
      </c>
      <c r="H1479" s="3">
        <f>정규화데이터!H1479</f>
        <v>45499.999999999935</v>
      </c>
      <c r="I1479" s="3">
        <f>정규화데이터!I1479</f>
        <v>45500</v>
      </c>
      <c r="J1479" s="3">
        <f>정규화데이터!J1479</f>
        <v>41363.636363636302</v>
      </c>
      <c r="K1479" s="25">
        <f>정규화데이터!K1479</f>
        <v>30748</v>
      </c>
      <c r="L1479" s="25">
        <f>정규화데이터!L1479</f>
        <v>30748</v>
      </c>
      <c r="M1479" s="21">
        <f t="shared" si="46"/>
        <v>10615.636363636302</v>
      </c>
      <c r="N1479" s="52">
        <f t="shared" si="47"/>
        <v>0.25664175824175711</v>
      </c>
    </row>
    <row r="1480" spans="1:14" x14ac:dyDescent="0.3">
      <c r="A1480" t="str">
        <f>정규화데이터!A1480</f>
        <v>리씽크</v>
      </c>
      <c r="B1480">
        <f>정규화데이터!B1480</f>
        <v>2.0260209183941E+18</v>
      </c>
      <c r="C1480" t="str">
        <f>정규화데이터!C1480</f>
        <v xml:space="preserve">워커힐 본갈비 3+1 최초❤️5만원대! 총1.2kg✨호텔특제 양념갈비 8인분 (✨1인분 7,375원꼴! / [300g,2인분] x 총 4팩  / ✨초이스등급 본갈비 / ❣️워커힐 </v>
      </c>
      <c r="D1480">
        <f>정규화데이터!D1480</f>
        <v>143790</v>
      </c>
      <c r="E1480" s="16" t="str">
        <f>정규화데이터!E1480</f>
        <v>SKU001</v>
      </c>
      <c r="F1480" s="3">
        <f>정규화데이터!F1480</f>
        <v>1</v>
      </c>
      <c r="G1480" s="3">
        <f>정규화데이터!G1480</f>
        <v>41363.636363636302</v>
      </c>
      <c r="H1480" s="3">
        <f>정규화데이터!H1480</f>
        <v>45499.999999999935</v>
      </c>
      <c r="I1480" s="3">
        <f>정규화데이터!I1480</f>
        <v>45500</v>
      </c>
      <c r="J1480" s="3">
        <f>정규화데이터!J1480</f>
        <v>41363.636363636302</v>
      </c>
      <c r="K1480" s="25">
        <f>정규화데이터!K1480</f>
        <v>30748</v>
      </c>
      <c r="L1480" s="25">
        <f>정규화데이터!L1480</f>
        <v>30748</v>
      </c>
      <c r="M1480" s="21">
        <f t="shared" si="46"/>
        <v>10615.636363636302</v>
      </c>
      <c r="N1480" s="52">
        <f t="shared" si="47"/>
        <v>0.25664175824175711</v>
      </c>
    </row>
    <row r="1481" spans="1:14" x14ac:dyDescent="0.3">
      <c r="A1481" t="str">
        <f>정규화데이터!A1481</f>
        <v>리씽크</v>
      </c>
      <c r="B1481">
        <f>정규화데이터!B1481</f>
        <v>2.02602091813166E+18</v>
      </c>
      <c r="C1481" t="str">
        <f>정규화데이터!C1481</f>
        <v xml:space="preserve">워커힐 본갈비 3+1 최초❤️5만원대! 총1.2kg✨호텔특제 양념갈비 8인분 (✨1인분 7,375원꼴! / [300g,2인분] x 총 4팩  / ✨초이스등급 본갈비 / ❣️워커힐 </v>
      </c>
      <c r="D1481">
        <f>정규화데이터!D1481</f>
        <v>143790</v>
      </c>
      <c r="E1481" s="16" t="str">
        <f>정규화데이터!E1481</f>
        <v>SKU001</v>
      </c>
      <c r="F1481" s="3">
        <f>정규화데이터!F1481</f>
        <v>1</v>
      </c>
      <c r="G1481" s="3">
        <f>정규화데이터!G1481</f>
        <v>41363.636363636302</v>
      </c>
      <c r="H1481" s="3">
        <f>정규화데이터!H1481</f>
        <v>45499.999999999935</v>
      </c>
      <c r="I1481" s="3">
        <f>정규화데이터!I1481</f>
        <v>45500</v>
      </c>
      <c r="J1481" s="3">
        <f>정규화데이터!J1481</f>
        <v>41363.636363636302</v>
      </c>
      <c r="K1481" s="25">
        <f>정규화데이터!K1481</f>
        <v>30748</v>
      </c>
      <c r="L1481" s="25">
        <f>정규화데이터!L1481</f>
        <v>30748</v>
      </c>
      <c r="M1481" s="21">
        <f t="shared" si="46"/>
        <v>10615.636363636302</v>
      </c>
      <c r="N1481" s="52">
        <f t="shared" si="47"/>
        <v>0.25664175824175711</v>
      </c>
    </row>
    <row r="1482" spans="1:14" x14ac:dyDescent="0.3">
      <c r="A1482" t="str">
        <f>정규화데이터!A1482</f>
        <v>리씽크</v>
      </c>
      <c r="B1482">
        <f>정규화데이터!B1482</f>
        <v>2.0260209180852201E+18</v>
      </c>
      <c r="C1482" t="str">
        <f>정규화데이터!C1482</f>
        <v xml:space="preserve">워커힐 본갈비 3+1 최초❤️5만원대! 총1.2kg✨호텔특제 양념갈비 8인분 (✨1인분 7,375원꼴! / [300g,2인분] x 총 4팩  / ✨초이스등급 본갈비 / ❣️워커힐 </v>
      </c>
      <c r="D1482">
        <f>정규화데이터!D1482</f>
        <v>143790</v>
      </c>
      <c r="E1482" s="16" t="str">
        <f>정규화데이터!E1482</f>
        <v>SKU001</v>
      </c>
      <c r="F1482" s="3">
        <f>정규화데이터!F1482</f>
        <v>1</v>
      </c>
      <c r="G1482" s="3">
        <f>정규화데이터!G1482</f>
        <v>41363.636363636302</v>
      </c>
      <c r="H1482" s="3">
        <f>정규화데이터!H1482</f>
        <v>45499.999999999935</v>
      </c>
      <c r="I1482" s="3">
        <f>정규화데이터!I1482</f>
        <v>45500</v>
      </c>
      <c r="J1482" s="3">
        <f>정규화데이터!J1482</f>
        <v>41363.636363636302</v>
      </c>
      <c r="K1482" s="25">
        <f>정규화데이터!K1482</f>
        <v>30748</v>
      </c>
      <c r="L1482" s="25">
        <f>정규화데이터!L1482</f>
        <v>30748</v>
      </c>
      <c r="M1482" s="21">
        <f t="shared" si="46"/>
        <v>10615.636363636302</v>
      </c>
      <c r="N1482" s="52">
        <f t="shared" si="47"/>
        <v>0.25664175824175711</v>
      </c>
    </row>
    <row r="1483" spans="1:14" x14ac:dyDescent="0.3">
      <c r="A1483" t="str">
        <f>정규화데이터!A1483</f>
        <v>리씽크</v>
      </c>
      <c r="B1483">
        <f>정규화데이터!B1483</f>
        <v>2.0260209180133801E+18</v>
      </c>
      <c r="C1483" t="str">
        <f>정규화데이터!C1483</f>
        <v xml:space="preserve">워커힐 본갈비 3+1 최초❤️5만원대! 총1.2kg✨호텔특제 양념갈비 8인분 (✨1인분 7,375원꼴! / [300g,2인분] x 총 4팩  / ✨초이스등급 본갈비 / ❣️워커힐 </v>
      </c>
      <c r="D1483">
        <f>정규화데이터!D1483</f>
        <v>143790</v>
      </c>
      <c r="E1483" s="16" t="str">
        <f>정규화데이터!E1483</f>
        <v>SKU001</v>
      </c>
      <c r="F1483" s="3">
        <f>정규화데이터!F1483</f>
        <v>1</v>
      </c>
      <c r="G1483" s="3">
        <f>정규화데이터!G1483</f>
        <v>41363.636363636302</v>
      </c>
      <c r="H1483" s="3">
        <f>정규화데이터!H1483</f>
        <v>45499.999999999935</v>
      </c>
      <c r="I1483" s="3">
        <f>정규화데이터!I1483</f>
        <v>45500</v>
      </c>
      <c r="J1483" s="3">
        <f>정규화데이터!J1483</f>
        <v>41363.636363636302</v>
      </c>
      <c r="K1483" s="25">
        <f>정규화데이터!K1483</f>
        <v>30748</v>
      </c>
      <c r="L1483" s="25">
        <f>정규화데이터!L1483</f>
        <v>30748</v>
      </c>
      <c r="M1483" s="21">
        <f t="shared" si="46"/>
        <v>10615.636363636302</v>
      </c>
      <c r="N1483" s="52">
        <f t="shared" si="47"/>
        <v>0.25664175824175711</v>
      </c>
    </row>
    <row r="1484" spans="1:14" x14ac:dyDescent="0.3">
      <c r="A1484" t="str">
        <f>정규화데이터!A1484</f>
        <v>리씽크</v>
      </c>
      <c r="B1484">
        <f>정규화데이터!B1484</f>
        <v>2.02602091214286E+18</v>
      </c>
      <c r="C1484" t="str">
        <f>정규화데이터!C1484</f>
        <v xml:space="preserve">워커힐 본갈비 3+1 최초❤️5만원대! 총1.2kg✨호텔특제 양념갈비 8인분 (✨1인분 7,375원꼴! / [300g,2인분] x 총 4팩  / ✨초이스등급 본갈비 / ❣️워커힐 </v>
      </c>
      <c r="D1484">
        <f>정규화데이터!D1484</f>
        <v>143790</v>
      </c>
      <c r="E1484" s="16" t="str">
        <f>정규화데이터!E1484</f>
        <v>SKU001</v>
      </c>
      <c r="F1484" s="3">
        <f>정규화데이터!F1484</f>
        <v>1</v>
      </c>
      <c r="G1484" s="3">
        <f>정규화데이터!G1484</f>
        <v>41363.636363636302</v>
      </c>
      <c r="H1484" s="3">
        <f>정규화데이터!H1484</f>
        <v>45499.999999999935</v>
      </c>
      <c r="I1484" s="3">
        <f>정규화데이터!I1484</f>
        <v>45500</v>
      </c>
      <c r="J1484" s="3">
        <f>정규화데이터!J1484</f>
        <v>41363.636363636302</v>
      </c>
      <c r="K1484" s="25">
        <f>정규화데이터!K1484</f>
        <v>30748</v>
      </c>
      <c r="L1484" s="25">
        <f>정규화데이터!L1484</f>
        <v>30748</v>
      </c>
      <c r="M1484" s="21">
        <f t="shared" si="46"/>
        <v>10615.636363636302</v>
      </c>
      <c r="N1484" s="52">
        <f t="shared" si="47"/>
        <v>0.25664175824175711</v>
      </c>
    </row>
    <row r="1485" spans="1:14" x14ac:dyDescent="0.3">
      <c r="A1485" t="str">
        <f>정규화데이터!A1485</f>
        <v>리씽크</v>
      </c>
      <c r="B1485">
        <f>정규화데이터!B1485</f>
        <v>2.02602091204319E+18</v>
      </c>
      <c r="C1485" t="str">
        <f>정규화데이터!C1485</f>
        <v xml:space="preserve">워커힐 본갈비 3+1 최초❤️5만원대! 총1.2kg✨호텔특제 양념갈비 8인분 (✨1인분 7,375원꼴! / [300g,2인분] x 총 4팩  / ✨초이스등급 본갈비 / ❣️워커힐 </v>
      </c>
      <c r="D1485">
        <f>정규화데이터!D1485</f>
        <v>143790</v>
      </c>
      <c r="E1485" s="16" t="str">
        <f>정규화데이터!E1485</f>
        <v>SKU001</v>
      </c>
      <c r="F1485" s="3">
        <f>정규화데이터!F1485</f>
        <v>1</v>
      </c>
      <c r="G1485" s="3">
        <f>정규화데이터!G1485</f>
        <v>41363.636363636302</v>
      </c>
      <c r="H1485" s="3">
        <f>정규화데이터!H1485</f>
        <v>45499.999999999935</v>
      </c>
      <c r="I1485" s="3">
        <f>정규화데이터!I1485</f>
        <v>45500</v>
      </c>
      <c r="J1485" s="3">
        <f>정규화데이터!J1485</f>
        <v>41363.636363636302</v>
      </c>
      <c r="K1485" s="25">
        <f>정규화데이터!K1485</f>
        <v>30748</v>
      </c>
      <c r="L1485" s="25">
        <f>정규화데이터!L1485</f>
        <v>30748</v>
      </c>
      <c r="M1485" s="21">
        <f t="shared" si="46"/>
        <v>10615.636363636302</v>
      </c>
      <c r="N1485" s="52">
        <f t="shared" si="47"/>
        <v>0.25664175824175711</v>
      </c>
    </row>
    <row r="1486" spans="1:14" x14ac:dyDescent="0.3">
      <c r="A1486" t="str">
        <f>정규화데이터!A1486</f>
        <v>리씽크</v>
      </c>
      <c r="B1486">
        <f>정규화데이터!B1486</f>
        <v>2.0260209113237499E+18</v>
      </c>
      <c r="C1486" t="str">
        <f>정규화데이터!C1486</f>
        <v xml:space="preserve">워커힐 본갈비 3+1 최초❤️5만원대! 총1.2kg✨호텔특제 양념갈비 8인분 (✨1인분 7,375원꼴! / [300g,2인분] x 총 4팩  / ✨초이스등급 본갈비 / ❣️워커힐 </v>
      </c>
      <c r="D1486">
        <f>정규화데이터!D1486</f>
        <v>143790</v>
      </c>
      <c r="E1486" s="16" t="str">
        <f>정규화데이터!E1486</f>
        <v>SKU001</v>
      </c>
      <c r="F1486" s="3">
        <f>정규화데이터!F1486</f>
        <v>2</v>
      </c>
      <c r="G1486" s="3">
        <f>정규화데이터!G1486</f>
        <v>41363.636363636353</v>
      </c>
      <c r="H1486" s="3">
        <f>정규화데이터!H1486</f>
        <v>91000</v>
      </c>
      <c r="I1486" s="3">
        <f>정규화데이터!I1486</f>
        <v>91000</v>
      </c>
      <c r="J1486" s="3">
        <f>정규화데이터!J1486</f>
        <v>82727.272727272706</v>
      </c>
      <c r="K1486" s="25">
        <f>정규화데이터!K1486</f>
        <v>30748</v>
      </c>
      <c r="L1486" s="25">
        <f>정규화데이터!L1486</f>
        <v>61496</v>
      </c>
      <c r="M1486" s="21">
        <f t="shared" si="46"/>
        <v>21231.272727272706</v>
      </c>
      <c r="N1486" s="52">
        <f t="shared" si="47"/>
        <v>0.25664175824175806</v>
      </c>
    </row>
    <row r="1487" spans="1:14" x14ac:dyDescent="0.3">
      <c r="A1487" t="str">
        <f>정규화데이터!A1487</f>
        <v>리씽크</v>
      </c>
      <c r="B1487">
        <f>정규화데이터!B1487</f>
        <v>2.0260209112015601E+18</v>
      </c>
      <c r="C1487" t="str">
        <f>정규화데이터!C1487</f>
        <v xml:space="preserve">워커힐 본갈비 3+1 최초❤️5만원대! 총1.2kg✨호텔특제 양념갈비 8인분 (✨1인분 7,375원꼴! / [300g,2인분] x 총 4팩  / ✨초이스등급 본갈비 / ❣️워커힐 </v>
      </c>
      <c r="D1487">
        <f>정규화데이터!D1487</f>
        <v>143790</v>
      </c>
      <c r="E1487" s="16" t="str">
        <f>정규화데이터!E1487</f>
        <v>SKU001</v>
      </c>
      <c r="F1487" s="3">
        <f>정규화데이터!F1487</f>
        <v>1</v>
      </c>
      <c r="G1487" s="3">
        <f>정규화데이터!G1487</f>
        <v>41363.636363636302</v>
      </c>
      <c r="H1487" s="3">
        <f>정규화데이터!H1487</f>
        <v>45499.999999999935</v>
      </c>
      <c r="I1487" s="3">
        <f>정규화데이터!I1487</f>
        <v>45500</v>
      </c>
      <c r="J1487" s="3">
        <f>정규화데이터!J1487</f>
        <v>41363.636363636302</v>
      </c>
      <c r="K1487" s="25">
        <f>정규화데이터!K1487</f>
        <v>30748</v>
      </c>
      <c r="L1487" s="25">
        <f>정규화데이터!L1487</f>
        <v>30748</v>
      </c>
      <c r="M1487" s="21">
        <f t="shared" si="46"/>
        <v>10615.636363636302</v>
      </c>
      <c r="N1487" s="52">
        <f t="shared" si="47"/>
        <v>0.25664175824175711</v>
      </c>
    </row>
    <row r="1488" spans="1:14" x14ac:dyDescent="0.3">
      <c r="A1488" t="str">
        <f>정규화데이터!A1488</f>
        <v>리씽크</v>
      </c>
      <c r="B1488">
        <f>정규화데이터!B1488</f>
        <v>2.0260209110911201E+18</v>
      </c>
      <c r="C1488" t="str">
        <f>정규화데이터!C1488</f>
        <v xml:space="preserve">워커힐 본갈비 3+1 최초❤️5만원대! 총1.2kg✨호텔특제 양념갈비 8인분 (✨1인분 7,375원꼴! / [300g,2인분] x 총 4팩  / ✨초이스등급 본갈비 / ❣️워커힐 </v>
      </c>
      <c r="D1488">
        <f>정규화데이터!D1488</f>
        <v>143790</v>
      </c>
      <c r="E1488" s="16" t="str">
        <f>정규화데이터!E1488</f>
        <v>SKU001</v>
      </c>
      <c r="F1488" s="3">
        <f>정규화데이터!F1488</f>
        <v>1</v>
      </c>
      <c r="G1488" s="3">
        <f>정규화데이터!G1488</f>
        <v>41363.636363636302</v>
      </c>
      <c r="H1488" s="3">
        <f>정규화데이터!H1488</f>
        <v>45499.999999999935</v>
      </c>
      <c r="I1488" s="3">
        <f>정규화데이터!I1488</f>
        <v>45500</v>
      </c>
      <c r="J1488" s="3">
        <f>정규화데이터!J1488</f>
        <v>41363.636363636302</v>
      </c>
      <c r="K1488" s="25">
        <f>정규화데이터!K1488</f>
        <v>30748</v>
      </c>
      <c r="L1488" s="25">
        <f>정규화데이터!L1488</f>
        <v>30748</v>
      </c>
      <c r="M1488" s="21">
        <f t="shared" si="46"/>
        <v>10615.636363636302</v>
      </c>
      <c r="N1488" s="52">
        <f t="shared" si="47"/>
        <v>0.25664175824175711</v>
      </c>
    </row>
    <row r="1489" spans="1:14" x14ac:dyDescent="0.3">
      <c r="A1489" t="str">
        <f>정규화데이터!A1489</f>
        <v>리씽크</v>
      </c>
      <c r="B1489">
        <f>정규화데이터!B1489</f>
        <v>2.02602091054205E+18</v>
      </c>
      <c r="C1489" t="str">
        <f>정규화데이터!C1489</f>
        <v xml:space="preserve">워커힐 본갈비 3+1 최초❤️5만원대! 총1.2kg✨호텔특제 양념갈비 8인분 (✨1인분 7,375원꼴! / [300g,2인분] x 총 4팩  / ✨초이스등급 본갈비 / ❣️워커힐 </v>
      </c>
      <c r="D1489">
        <f>정규화데이터!D1489</f>
        <v>143790</v>
      </c>
      <c r="E1489" s="16" t="str">
        <f>정규화데이터!E1489</f>
        <v>SKU001</v>
      </c>
      <c r="F1489" s="3">
        <f>정규화데이터!F1489</f>
        <v>1</v>
      </c>
      <c r="G1489" s="3">
        <f>정규화데이터!G1489</f>
        <v>41363.636363636302</v>
      </c>
      <c r="H1489" s="3">
        <f>정규화데이터!H1489</f>
        <v>45499.999999999935</v>
      </c>
      <c r="I1489" s="3">
        <f>정규화데이터!I1489</f>
        <v>45500</v>
      </c>
      <c r="J1489" s="3">
        <f>정규화데이터!J1489</f>
        <v>41363.636363636302</v>
      </c>
      <c r="K1489" s="25">
        <f>정규화데이터!K1489</f>
        <v>30748</v>
      </c>
      <c r="L1489" s="25">
        <f>정규화데이터!L1489</f>
        <v>30748</v>
      </c>
      <c r="M1489" s="21">
        <f t="shared" si="46"/>
        <v>10615.636363636302</v>
      </c>
      <c r="N1489" s="52">
        <f t="shared" si="47"/>
        <v>0.25664175824175711</v>
      </c>
    </row>
    <row r="1490" spans="1:14" x14ac:dyDescent="0.3">
      <c r="A1490" t="str">
        <f>정규화데이터!A1490</f>
        <v>리씽크</v>
      </c>
      <c r="B1490">
        <f>정규화데이터!B1490</f>
        <v>2.02602091027362E+18</v>
      </c>
      <c r="C1490" t="str">
        <f>정규화데이터!C1490</f>
        <v xml:space="preserve">워커힐 본갈비 3+1 최초❤️5만원대! 총1.2kg✨호텔특제 양념갈비 8인분 (✨1인분 7,375원꼴! / [300g,2인분] x 총 4팩  / ✨초이스등급 본갈비 / ❣️워커힐 </v>
      </c>
      <c r="D1490">
        <f>정규화데이터!D1490</f>
        <v>143790</v>
      </c>
      <c r="E1490" s="16" t="str">
        <f>정규화데이터!E1490</f>
        <v>SKU001</v>
      </c>
      <c r="F1490" s="3">
        <f>정규화데이터!F1490</f>
        <v>1</v>
      </c>
      <c r="G1490" s="3">
        <f>정규화데이터!G1490</f>
        <v>41363.636363636302</v>
      </c>
      <c r="H1490" s="3">
        <f>정규화데이터!H1490</f>
        <v>45499.999999999935</v>
      </c>
      <c r="I1490" s="3">
        <f>정규화데이터!I1490</f>
        <v>45500</v>
      </c>
      <c r="J1490" s="3">
        <f>정규화데이터!J1490</f>
        <v>41363.636363636302</v>
      </c>
      <c r="K1490" s="25">
        <f>정규화데이터!K1490</f>
        <v>30748</v>
      </c>
      <c r="L1490" s="25">
        <f>정규화데이터!L1490</f>
        <v>30748</v>
      </c>
      <c r="M1490" s="21">
        <f t="shared" si="46"/>
        <v>10615.636363636302</v>
      </c>
      <c r="N1490" s="52">
        <f t="shared" si="47"/>
        <v>0.25664175824175711</v>
      </c>
    </row>
    <row r="1491" spans="1:14" x14ac:dyDescent="0.3">
      <c r="A1491" t="str">
        <f>정규화데이터!A1491</f>
        <v>리씽크</v>
      </c>
      <c r="B1491">
        <f>정규화데이터!B1491</f>
        <v>2.02602081428446E+18</v>
      </c>
      <c r="C1491" t="str">
        <f>정규화데이터!C1491</f>
        <v xml:space="preserve">워커힐 본갈비 3+1 최초❤️5만원대! 총1.2kg✨호텔특제 양념갈비 8인분 (✨1인분 7,375원꼴! / [300g,2인분] x 총 4팩  / ✨초이스등급 본갈비 / ❣️워커힐 </v>
      </c>
      <c r="D1491">
        <f>정규화데이터!D1491</f>
        <v>143790</v>
      </c>
      <c r="E1491" s="16" t="str">
        <f>정규화데이터!E1491</f>
        <v>SKU001</v>
      </c>
      <c r="F1491" s="3">
        <f>정규화데이터!F1491</f>
        <v>1</v>
      </c>
      <c r="G1491" s="3">
        <f>정규화데이터!G1491</f>
        <v>41363.636363636302</v>
      </c>
      <c r="H1491" s="3">
        <f>정규화데이터!H1491</f>
        <v>45499.999999999935</v>
      </c>
      <c r="I1491" s="3">
        <f>정규화데이터!I1491</f>
        <v>45500</v>
      </c>
      <c r="J1491" s="3">
        <f>정규화데이터!J1491</f>
        <v>41363.636363636302</v>
      </c>
      <c r="K1491" s="25">
        <f>정규화데이터!K1491</f>
        <v>30748</v>
      </c>
      <c r="L1491" s="25">
        <f>정규화데이터!L1491</f>
        <v>30748</v>
      </c>
      <c r="M1491" s="21">
        <f t="shared" si="46"/>
        <v>10615.636363636302</v>
      </c>
      <c r="N1491" s="52">
        <f t="shared" si="47"/>
        <v>0.25664175824175711</v>
      </c>
    </row>
    <row r="1492" spans="1:14" x14ac:dyDescent="0.3">
      <c r="A1492" t="str">
        <f>정규화데이터!A1492</f>
        <v>리씽크</v>
      </c>
      <c r="B1492">
        <f>정규화데이터!B1492</f>
        <v>2.0260208133629E+18</v>
      </c>
      <c r="C1492" t="str">
        <f>정규화데이터!C1492</f>
        <v xml:space="preserve">워커힐 본갈비 3+1 최초❤️5만원대! 총1.2kg✨호텔특제 양념갈비 8인분 (✨1인분 7,375원꼴! / [300g,2인분] x 총 4팩  / ✨초이스등급 본갈비 / ❣️워커힐 </v>
      </c>
      <c r="D1492">
        <f>정규화데이터!D1492</f>
        <v>143790</v>
      </c>
      <c r="E1492" s="16" t="str">
        <f>정규화데이터!E1492</f>
        <v>SKU001</v>
      </c>
      <c r="F1492" s="3">
        <f>정규화데이터!F1492</f>
        <v>1</v>
      </c>
      <c r="G1492" s="3">
        <f>정규화데이터!G1492</f>
        <v>41363.636363636302</v>
      </c>
      <c r="H1492" s="3">
        <f>정규화데이터!H1492</f>
        <v>45499.999999999935</v>
      </c>
      <c r="I1492" s="3">
        <f>정규화데이터!I1492</f>
        <v>45500</v>
      </c>
      <c r="J1492" s="3">
        <f>정규화데이터!J1492</f>
        <v>41363.636363636302</v>
      </c>
      <c r="K1492" s="25">
        <f>정규화데이터!K1492</f>
        <v>30748</v>
      </c>
      <c r="L1492" s="25">
        <f>정규화데이터!L1492</f>
        <v>30748</v>
      </c>
      <c r="M1492" s="21">
        <f t="shared" si="46"/>
        <v>10615.636363636302</v>
      </c>
      <c r="N1492" s="52">
        <f t="shared" si="47"/>
        <v>0.25664175824175711</v>
      </c>
    </row>
    <row r="1493" spans="1:14" x14ac:dyDescent="0.3">
      <c r="A1493" t="str">
        <f>정규화데이터!A1493</f>
        <v>리씽크</v>
      </c>
      <c r="B1493">
        <f>정규화데이터!B1493</f>
        <v>2.02602071452271E+18</v>
      </c>
      <c r="C1493" t="str">
        <f>정규화데이터!C1493</f>
        <v xml:space="preserve">워커힐 본갈비 3+1 최초❤️5만원대! 총1.2kg✨호텔특제 양념갈비 8인분 (✨1인분 7,375원꼴! / [300g,2인분] x 총 4팩  / ✨초이스등급 본갈비 / ❣️워커힐 </v>
      </c>
      <c r="D1493">
        <f>정규화데이터!D1493</f>
        <v>143790</v>
      </c>
      <c r="E1493" s="16" t="str">
        <f>정규화데이터!E1493</f>
        <v>SKU001</v>
      </c>
      <c r="F1493" s="3">
        <f>정규화데이터!F1493</f>
        <v>1</v>
      </c>
      <c r="G1493" s="3">
        <f>정규화데이터!G1493</f>
        <v>41363.636363636302</v>
      </c>
      <c r="H1493" s="3">
        <f>정규화데이터!H1493</f>
        <v>45499.999999999935</v>
      </c>
      <c r="I1493" s="3">
        <f>정규화데이터!I1493</f>
        <v>45500</v>
      </c>
      <c r="J1493" s="3">
        <f>정규화데이터!J1493</f>
        <v>41363.636363636302</v>
      </c>
      <c r="K1493" s="25">
        <f>정규화데이터!K1493</f>
        <v>30748</v>
      </c>
      <c r="L1493" s="25">
        <f>정규화데이터!L1493</f>
        <v>30748</v>
      </c>
      <c r="M1493" s="21">
        <f t="shared" si="46"/>
        <v>10615.636363636302</v>
      </c>
      <c r="N1493" s="52">
        <f t="shared" si="47"/>
        <v>0.25664175824175711</v>
      </c>
    </row>
    <row r="1494" spans="1:14" x14ac:dyDescent="0.3">
      <c r="A1494" t="str">
        <f>정규화데이터!A1494</f>
        <v>리씽크</v>
      </c>
      <c r="B1494">
        <f>정규화데이터!B1494</f>
        <v>2.0260207133730601E+18</v>
      </c>
      <c r="C1494" t="str">
        <f>정규화데이터!C1494</f>
        <v xml:space="preserve">워커힐 본갈비 3+1 최초❤️5만원대! 총1.2kg✨호텔특제 양념갈비 8인분 (✨1인분 7,375원꼴! / [300g,2인분] x 총 4팩  / ✨초이스등급 본갈비 / ❣️워커힐 </v>
      </c>
      <c r="D1494">
        <f>정규화데이터!D1494</f>
        <v>143790</v>
      </c>
      <c r="E1494" s="16" t="str">
        <f>정규화데이터!E1494</f>
        <v>SKU001</v>
      </c>
      <c r="F1494" s="3">
        <f>정규화데이터!F1494</f>
        <v>2</v>
      </c>
      <c r="G1494" s="3">
        <f>정규화데이터!G1494</f>
        <v>41363.636363636353</v>
      </c>
      <c r="H1494" s="3">
        <f>정규화데이터!H1494</f>
        <v>91000</v>
      </c>
      <c r="I1494" s="3">
        <f>정규화데이터!I1494</f>
        <v>91000</v>
      </c>
      <c r="J1494" s="3">
        <f>정규화데이터!J1494</f>
        <v>82727.272727272706</v>
      </c>
      <c r="K1494" s="25">
        <f>정규화데이터!K1494</f>
        <v>30748</v>
      </c>
      <c r="L1494" s="25">
        <f>정규화데이터!L1494</f>
        <v>61496</v>
      </c>
      <c r="M1494" s="21">
        <f t="shared" si="46"/>
        <v>21231.272727272706</v>
      </c>
      <c r="N1494" s="52">
        <f t="shared" si="47"/>
        <v>0.25664175824175806</v>
      </c>
    </row>
    <row r="1495" spans="1:14" x14ac:dyDescent="0.3">
      <c r="A1495" t="str">
        <f>정규화데이터!A1495</f>
        <v>리씽크</v>
      </c>
      <c r="B1495">
        <f>정규화데이터!B1495</f>
        <v>2.02602070922176E+18</v>
      </c>
      <c r="C1495" t="str">
        <f>정규화데이터!C1495</f>
        <v xml:space="preserve">워커힐 본갈비 3+1 최초❤️5만원대! 총1.2kg✨호텔특제 양념갈비 8인분 (✨1인분 7,375원꼴! / [300g,2인분] x 총 4팩  / ✨초이스등급 본갈비 / ❣️워커힐 </v>
      </c>
      <c r="D1495">
        <f>정규화데이터!D1495</f>
        <v>143790</v>
      </c>
      <c r="E1495" s="16" t="str">
        <f>정규화데이터!E1495</f>
        <v>SKU001</v>
      </c>
      <c r="F1495" s="3">
        <f>정규화데이터!F1495</f>
        <v>1</v>
      </c>
      <c r="G1495" s="3">
        <f>정규화데이터!G1495</f>
        <v>41363.636363636302</v>
      </c>
      <c r="H1495" s="3">
        <f>정규화데이터!H1495</f>
        <v>45499.999999999935</v>
      </c>
      <c r="I1495" s="3">
        <f>정규화데이터!I1495</f>
        <v>45500</v>
      </c>
      <c r="J1495" s="3">
        <f>정규화데이터!J1495</f>
        <v>41363.636363636302</v>
      </c>
      <c r="K1495" s="25">
        <f>정규화데이터!K1495</f>
        <v>30748</v>
      </c>
      <c r="L1495" s="25">
        <f>정규화데이터!L1495</f>
        <v>30748</v>
      </c>
      <c r="M1495" s="21">
        <f t="shared" si="46"/>
        <v>10615.636363636302</v>
      </c>
      <c r="N1495" s="52">
        <f t="shared" si="47"/>
        <v>0.25664175824175711</v>
      </c>
    </row>
    <row r="1496" spans="1:14" x14ac:dyDescent="0.3">
      <c r="A1496" t="str">
        <f>정규화데이터!A1496</f>
        <v>리씽크</v>
      </c>
      <c r="B1496">
        <f>정규화데이터!B1496</f>
        <v>2.02602060402002E+18</v>
      </c>
      <c r="C1496" t="str">
        <f>정규화데이터!C1496</f>
        <v xml:space="preserve">워커힐 본갈비 3+1 최초❤️5만원대! 총1.2kg✨호텔특제 양념갈비 8인분 (✨1인분 7,375원꼴! / [300g,2인분] x 총 4팩  / ✨초이스등급 본갈비 / ❣️워커힐 </v>
      </c>
      <c r="D1496">
        <f>정규화데이터!D1496</f>
        <v>143790</v>
      </c>
      <c r="E1496" s="16" t="str">
        <f>정규화데이터!E1496</f>
        <v>SKU001</v>
      </c>
      <c r="F1496" s="3">
        <f>정규화데이터!F1496</f>
        <v>1</v>
      </c>
      <c r="G1496" s="3">
        <f>정규화데이터!G1496</f>
        <v>41363.636363636302</v>
      </c>
      <c r="H1496" s="3">
        <f>정규화데이터!H1496</f>
        <v>45499.999999999935</v>
      </c>
      <c r="I1496" s="3">
        <f>정규화데이터!I1496</f>
        <v>45500</v>
      </c>
      <c r="J1496" s="3">
        <f>정규화데이터!J1496</f>
        <v>41363.636363636302</v>
      </c>
      <c r="K1496" s="25">
        <f>정규화데이터!K1496</f>
        <v>30748</v>
      </c>
      <c r="L1496" s="25">
        <f>정규화데이터!L1496</f>
        <v>30748</v>
      </c>
      <c r="M1496" s="21">
        <f t="shared" si="46"/>
        <v>10615.636363636302</v>
      </c>
      <c r="N1496" s="52">
        <f t="shared" si="47"/>
        <v>0.25664175824175711</v>
      </c>
    </row>
    <row r="1497" spans="1:14" x14ac:dyDescent="0.3">
      <c r="A1497" t="str">
        <f>정규화데이터!A1497</f>
        <v>리씽크</v>
      </c>
      <c r="B1497">
        <f>정규화데이터!B1497</f>
        <v>2.02602060328353E+18</v>
      </c>
      <c r="C1497" t="str">
        <f>정규화데이터!C1497</f>
        <v xml:space="preserve">워커힐 본갈비 3+1 최초❤️5만원대! 총1.2kg✨호텔특제 양념갈비 8인분 (✨1인분 7,375원꼴! / [300g,2인분] x 총 4팩  / ✨초이스등급 본갈비 / ❣️워커힐 </v>
      </c>
      <c r="D1497">
        <f>정규화데이터!D1497</f>
        <v>143790</v>
      </c>
      <c r="E1497" s="16" t="str">
        <f>정규화데이터!E1497</f>
        <v>SKU001</v>
      </c>
      <c r="F1497" s="3">
        <f>정규화데이터!F1497</f>
        <v>1</v>
      </c>
      <c r="G1497" s="3">
        <f>정규화데이터!G1497</f>
        <v>41363.636363636302</v>
      </c>
      <c r="H1497" s="3">
        <f>정규화데이터!H1497</f>
        <v>45499.999999999935</v>
      </c>
      <c r="I1497" s="3">
        <f>정규화데이터!I1497</f>
        <v>45500</v>
      </c>
      <c r="J1497" s="3">
        <f>정규화데이터!J1497</f>
        <v>41363.636363636302</v>
      </c>
      <c r="K1497" s="25">
        <f>정규화데이터!K1497</f>
        <v>30748</v>
      </c>
      <c r="L1497" s="25">
        <f>정규화데이터!L1497</f>
        <v>30748</v>
      </c>
      <c r="M1497" s="21">
        <f t="shared" si="46"/>
        <v>10615.636363636302</v>
      </c>
      <c r="N1497" s="52">
        <f t="shared" si="47"/>
        <v>0.25664175824175711</v>
      </c>
    </row>
    <row r="1498" spans="1:14" x14ac:dyDescent="0.3">
      <c r="A1498" t="str">
        <f>정규화데이터!A1498</f>
        <v>리씽크</v>
      </c>
      <c r="B1498">
        <f>정규화데이터!B1498</f>
        <v>2.02602050941566E+18</v>
      </c>
      <c r="C1498" t="str">
        <f>정규화데이터!C1498</f>
        <v xml:space="preserve">워커힐 본갈비 3+1 최초❤️5만원대! 총1.2kg✨호텔특제 양념갈비 8인분 (✨1인분 7,375원꼴! / [300g,2인분] x 총 4팩  / ✨초이스등급 본갈비 / ❣️워커힐 </v>
      </c>
      <c r="D1498">
        <f>정규화데이터!D1498</f>
        <v>143790</v>
      </c>
      <c r="E1498" s="16" t="str">
        <f>정규화데이터!E1498</f>
        <v>SKU001</v>
      </c>
      <c r="F1498" s="3">
        <f>정규화데이터!F1498</f>
        <v>1</v>
      </c>
      <c r="G1498" s="3">
        <f>정규화데이터!G1498</f>
        <v>41363.636363636302</v>
      </c>
      <c r="H1498" s="3">
        <f>정규화데이터!H1498</f>
        <v>45499.999999999935</v>
      </c>
      <c r="I1498" s="3">
        <f>정규화데이터!I1498</f>
        <v>45500</v>
      </c>
      <c r="J1498" s="3">
        <f>정규화데이터!J1498</f>
        <v>41363.636363636302</v>
      </c>
      <c r="K1498" s="25">
        <f>정규화데이터!K1498</f>
        <v>30748</v>
      </c>
      <c r="L1498" s="25">
        <f>정규화데이터!L1498</f>
        <v>30748</v>
      </c>
      <c r="M1498" s="21">
        <f t="shared" si="46"/>
        <v>10615.636363636302</v>
      </c>
      <c r="N1498" s="52">
        <f t="shared" si="47"/>
        <v>0.25664175824175711</v>
      </c>
    </row>
    <row r="1499" spans="1:14" x14ac:dyDescent="0.3">
      <c r="A1499" t="str">
        <f>정규화데이터!A1499</f>
        <v>리씽크</v>
      </c>
      <c r="B1499">
        <f>정규화데이터!B1499</f>
        <v>2.02602101100081E+18</v>
      </c>
      <c r="C1499" t="str">
        <f>정규화데이터!C1499</f>
        <v xml:space="preserve">워커힐 본갈비 3+1 최초❤️5만원대! 총1.2kg✨호텔특제 양념갈비 8인분 (✨1인분 7,375원꼴! / [300g,2인분] x 총 4팩  / ✨초이스등급 본갈비 / ❣️워커힐 </v>
      </c>
      <c r="D1499">
        <f>정규화데이터!D1499</f>
        <v>143812</v>
      </c>
      <c r="E1499" s="16" t="str">
        <f>정규화데이터!E1499</f>
        <v>SKU001</v>
      </c>
      <c r="F1499" s="3">
        <f>정규화데이터!F1499</f>
        <v>1</v>
      </c>
      <c r="G1499" s="3">
        <f>정규화데이터!G1499</f>
        <v>41363.636363636302</v>
      </c>
      <c r="H1499" s="3">
        <f>정규화데이터!H1499</f>
        <v>45499.999999999935</v>
      </c>
      <c r="I1499" s="3">
        <f>정규화데이터!I1499</f>
        <v>45500</v>
      </c>
      <c r="J1499" s="3">
        <f>정규화데이터!J1499</f>
        <v>41363.636363636302</v>
      </c>
      <c r="K1499" s="25">
        <f>정규화데이터!K1499</f>
        <v>15374</v>
      </c>
      <c r="L1499" s="25">
        <f>정규화데이터!L1499</f>
        <v>15374</v>
      </c>
      <c r="M1499" s="21">
        <f t="shared" si="46"/>
        <v>25989.636363636302</v>
      </c>
      <c r="N1499" s="52">
        <f t="shared" si="47"/>
        <v>0.62832087912087853</v>
      </c>
    </row>
    <row r="1500" spans="1:14" x14ac:dyDescent="0.3">
      <c r="A1500" t="str">
        <f>정규화데이터!A1500</f>
        <v>리씽크</v>
      </c>
      <c r="B1500">
        <f>정규화데이터!B1500</f>
        <v>2.02602101050351E+18</v>
      </c>
      <c r="C1500" t="str">
        <f>정규화데이터!C1500</f>
        <v xml:space="preserve">워커힐 본갈비 3+1 최초❤️5만원대! 총1.2kg✨호텔특제 양념갈비 8인분 (✨1인분 7,375원꼴! / [300g,2인분] x 총 4팩  / ✨초이스등급 본갈비 / ❣️워커힐 </v>
      </c>
      <c r="D1500">
        <f>정규화데이터!D1500</f>
        <v>143812</v>
      </c>
      <c r="E1500" s="16" t="str">
        <f>정규화데이터!E1500</f>
        <v>SKU001</v>
      </c>
      <c r="F1500" s="3">
        <f>정규화데이터!F1500</f>
        <v>1</v>
      </c>
      <c r="G1500" s="3">
        <f>정규화데이터!G1500</f>
        <v>41363.636363636302</v>
      </c>
      <c r="H1500" s="3">
        <f>정규화데이터!H1500</f>
        <v>45499.999999999935</v>
      </c>
      <c r="I1500" s="3">
        <f>정규화데이터!I1500</f>
        <v>45500</v>
      </c>
      <c r="J1500" s="3">
        <f>정규화데이터!J1500</f>
        <v>41363.636363636302</v>
      </c>
      <c r="K1500" s="25">
        <f>정규화데이터!K1500</f>
        <v>15374</v>
      </c>
      <c r="L1500" s="25">
        <f>정규화데이터!L1500</f>
        <v>15374</v>
      </c>
      <c r="M1500" s="21">
        <f t="shared" si="46"/>
        <v>25989.636363636302</v>
      </c>
      <c r="N1500" s="52">
        <f t="shared" si="47"/>
        <v>0.62832087912087853</v>
      </c>
    </row>
    <row r="1501" spans="1:14" x14ac:dyDescent="0.3">
      <c r="A1501" t="str">
        <f>정규화데이터!A1501</f>
        <v>리씽크</v>
      </c>
      <c r="B1501">
        <f>정규화데이터!B1501</f>
        <v>2.0260210104103501E+18</v>
      </c>
      <c r="C1501" t="str">
        <f>정규화데이터!C1501</f>
        <v xml:space="preserve">워커힐 본갈비 3+1 최초❤️5만원대! 총1.2kg✨호텔특제 양념갈비 8인분 (✨1인분 7,375원꼴! / [300g,2인분] x 총 4팩  / ✨초이스등급 본갈비 / ❣️워커힐 </v>
      </c>
      <c r="D1501">
        <f>정규화데이터!D1501</f>
        <v>143812</v>
      </c>
      <c r="E1501" s="16" t="str">
        <f>정규화데이터!E1501</f>
        <v>SKU001</v>
      </c>
      <c r="F1501" s="3">
        <f>정규화데이터!F1501</f>
        <v>2</v>
      </c>
      <c r="G1501" s="3">
        <f>정규화데이터!G1501</f>
        <v>41363.636363636353</v>
      </c>
      <c r="H1501" s="3">
        <f>정규화데이터!H1501</f>
        <v>91000</v>
      </c>
      <c r="I1501" s="3">
        <f>정규화데이터!I1501</f>
        <v>91000</v>
      </c>
      <c r="J1501" s="3">
        <f>정규화데이터!J1501</f>
        <v>82727.272727272706</v>
      </c>
      <c r="K1501" s="25">
        <f>정규화데이터!K1501</f>
        <v>15374</v>
      </c>
      <c r="L1501" s="25">
        <f>정규화데이터!L1501</f>
        <v>30748</v>
      </c>
      <c r="M1501" s="21">
        <f t="shared" si="46"/>
        <v>51979.272727272706</v>
      </c>
      <c r="N1501" s="52">
        <f t="shared" si="47"/>
        <v>0.62832087912087897</v>
      </c>
    </row>
    <row r="1502" spans="1:14" x14ac:dyDescent="0.3">
      <c r="A1502" t="str">
        <f>정규화데이터!A1502</f>
        <v>리씽크</v>
      </c>
      <c r="B1502">
        <f>정규화데이터!B1502</f>
        <v>2.02602101024515E+18</v>
      </c>
      <c r="C1502" t="str">
        <f>정규화데이터!C1502</f>
        <v xml:space="preserve">워커힐 본갈비 3+1 최초❤️5만원대! 총1.2kg✨호텔특제 양념갈비 8인분 (✨1인분 7,375원꼴! / [300g,2인분] x 총 4팩  / ✨초이스등급 본갈비 / ❣️워커힐 </v>
      </c>
      <c r="D1502">
        <f>정규화데이터!D1502</f>
        <v>143812</v>
      </c>
      <c r="E1502" s="16" t="str">
        <f>정규화데이터!E1502</f>
        <v>SKU001</v>
      </c>
      <c r="F1502" s="3">
        <f>정규화데이터!F1502</f>
        <v>2</v>
      </c>
      <c r="G1502" s="3">
        <f>정규화데이터!G1502</f>
        <v>41363.636363636353</v>
      </c>
      <c r="H1502" s="3">
        <f>정규화데이터!H1502</f>
        <v>91000</v>
      </c>
      <c r="I1502" s="3">
        <f>정규화데이터!I1502</f>
        <v>91000</v>
      </c>
      <c r="J1502" s="3">
        <f>정규화데이터!J1502</f>
        <v>82727.272727272706</v>
      </c>
      <c r="K1502" s="25">
        <f>정규화데이터!K1502</f>
        <v>15374</v>
      </c>
      <c r="L1502" s="25">
        <f>정규화데이터!L1502</f>
        <v>30748</v>
      </c>
      <c r="M1502" s="21">
        <f t="shared" si="46"/>
        <v>51979.272727272706</v>
      </c>
      <c r="N1502" s="52">
        <f t="shared" si="47"/>
        <v>0.62832087912087897</v>
      </c>
    </row>
    <row r="1503" spans="1:14" x14ac:dyDescent="0.3">
      <c r="A1503" t="str">
        <f>정규화데이터!A1503</f>
        <v>리씽크</v>
      </c>
      <c r="B1503">
        <f>정규화데이터!B1503</f>
        <v>2.02602100812031E+18</v>
      </c>
      <c r="C1503" t="str">
        <f>정규화데이터!C1503</f>
        <v xml:space="preserve">워커힐 본갈비 3+1 최초❤️5만원대! 총1.2kg✨호텔특제 양념갈비 8인분 (✨1인분 7,375원꼴! / [300g,2인분] x 총 4팩  / ✨초이스등급 본갈비 / ❣️워커힐 </v>
      </c>
      <c r="D1503">
        <f>정규화데이터!D1503</f>
        <v>143812</v>
      </c>
      <c r="E1503" s="16" t="str">
        <f>정규화데이터!E1503</f>
        <v>SKU001</v>
      </c>
      <c r="F1503" s="3">
        <f>정규화데이터!F1503</f>
        <v>1</v>
      </c>
      <c r="G1503" s="3">
        <f>정규화데이터!G1503</f>
        <v>41363.636363636302</v>
      </c>
      <c r="H1503" s="3">
        <f>정규화데이터!H1503</f>
        <v>45499.999999999935</v>
      </c>
      <c r="I1503" s="3">
        <f>정규화데이터!I1503</f>
        <v>45500</v>
      </c>
      <c r="J1503" s="3">
        <f>정규화데이터!J1503</f>
        <v>41363.636363636302</v>
      </c>
      <c r="K1503" s="25">
        <f>정규화데이터!K1503</f>
        <v>15374</v>
      </c>
      <c r="L1503" s="25">
        <f>정규화데이터!L1503</f>
        <v>15374</v>
      </c>
      <c r="M1503" s="21">
        <f t="shared" si="46"/>
        <v>25989.636363636302</v>
      </c>
      <c r="N1503" s="52">
        <f t="shared" si="47"/>
        <v>0.62832087912087853</v>
      </c>
    </row>
    <row r="1504" spans="1:14" x14ac:dyDescent="0.3">
      <c r="A1504" t="str">
        <f>정규화데이터!A1504</f>
        <v>리씽크</v>
      </c>
      <c r="B1504">
        <f>정규화데이터!B1504</f>
        <v>2.02602091905057E+18</v>
      </c>
      <c r="C1504" t="str">
        <f>정규화데이터!C1504</f>
        <v xml:space="preserve">워커힐 본갈비 3+1 최초❤️5만원대! 총1.2kg✨호텔특제 양념갈비 8인분 (✨1인분 7,375원꼴! / [300g,2인분] x 총 4팩  / ✨초이스등급 본갈비 / ❣️워커힐 </v>
      </c>
      <c r="D1504">
        <f>정규화데이터!D1504</f>
        <v>143812</v>
      </c>
      <c r="E1504" s="16" t="str">
        <f>정규화데이터!E1504</f>
        <v>SKU001</v>
      </c>
      <c r="F1504" s="3">
        <f>정규화데이터!F1504</f>
        <v>1</v>
      </c>
      <c r="G1504" s="3">
        <f>정규화데이터!G1504</f>
        <v>41363.636363636302</v>
      </c>
      <c r="H1504" s="3">
        <f>정규화데이터!H1504</f>
        <v>45499.999999999935</v>
      </c>
      <c r="I1504" s="3">
        <f>정규화데이터!I1504</f>
        <v>45500</v>
      </c>
      <c r="J1504" s="3">
        <f>정규화데이터!J1504</f>
        <v>41363.636363636302</v>
      </c>
      <c r="K1504" s="25">
        <f>정규화데이터!K1504</f>
        <v>15374</v>
      </c>
      <c r="L1504" s="25">
        <f>정규화데이터!L1504</f>
        <v>15374</v>
      </c>
      <c r="M1504" s="21">
        <f t="shared" si="46"/>
        <v>25989.636363636302</v>
      </c>
      <c r="N1504" s="52">
        <f t="shared" si="47"/>
        <v>0.62832087912087853</v>
      </c>
    </row>
    <row r="1505" spans="1:14" x14ac:dyDescent="0.3">
      <c r="A1505" t="str">
        <f>정규화데이터!A1505</f>
        <v>리씽크</v>
      </c>
      <c r="B1505">
        <f>정규화데이터!B1505</f>
        <v>2.0260209180623601E+18</v>
      </c>
      <c r="C1505" t="str">
        <f>정규화데이터!C1505</f>
        <v xml:space="preserve">워커힐 본갈비 3+1 최초❤️5만원대! 총1.2kg✨호텔특제 양념갈비 8인분 (✨1인분 7,375원꼴! / [300g,2인분] x 총 4팩  / ✨초이스등급 본갈비 / ❣️워커힐 </v>
      </c>
      <c r="D1505">
        <f>정규화데이터!D1505</f>
        <v>143812</v>
      </c>
      <c r="E1505" s="16" t="str">
        <f>정규화데이터!E1505</f>
        <v>SKU001</v>
      </c>
      <c r="F1505" s="3">
        <f>정규화데이터!F1505</f>
        <v>1</v>
      </c>
      <c r="G1505" s="3">
        <f>정규화데이터!G1505</f>
        <v>41363.636363636302</v>
      </c>
      <c r="H1505" s="3">
        <f>정규화데이터!H1505</f>
        <v>45499.999999999935</v>
      </c>
      <c r="I1505" s="3">
        <f>정규화데이터!I1505</f>
        <v>45500</v>
      </c>
      <c r="J1505" s="3">
        <f>정규화데이터!J1505</f>
        <v>41363.636363636302</v>
      </c>
      <c r="K1505" s="25">
        <f>정규화데이터!K1505</f>
        <v>15374</v>
      </c>
      <c r="L1505" s="25">
        <f>정규화데이터!L1505</f>
        <v>15374</v>
      </c>
      <c r="M1505" s="21">
        <f t="shared" si="46"/>
        <v>25989.636363636302</v>
      </c>
      <c r="N1505" s="52">
        <f t="shared" si="47"/>
        <v>0.62832087912087853</v>
      </c>
    </row>
    <row r="1506" spans="1:14" x14ac:dyDescent="0.3">
      <c r="A1506" t="str">
        <f>정규화데이터!A1506</f>
        <v>리씽크</v>
      </c>
      <c r="B1506">
        <f>정규화데이터!B1506</f>
        <v>2.0260209175346701E+18</v>
      </c>
      <c r="C1506" t="str">
        <f>정규화데이터!C1506</f>
        <v xml:space="preserve">워커힐 본갈비 3+1 최초❤️5만원대! 총1.2kg✨호텔특제 양념갈비 8인분 (✨1인분 7,375원꼴! / [300g,2인분] x 총 4팩  / ✨초이스등급 본갈비 / ❣️워커힐 </v>
      </c>
      <c r="D1506">
        <f>정규화데이터!D1506</f>
        <v>143812</v>
      </c>
      <c r="E1506" s="16" t="str">
        <f>정규화데이터!E1506</f>
        <v>SKU001</v>
      </c>
      <c r="F1506" s="3">
        <f>정규화데이터!F1506</f>
        <v>1</v>
      </c>
      <c r="G1506" s="3">
        <f>정규화데이터!G1506</f>
        <v>41363.636363636302</v>
      </c>
      <c r="H1506" s="3">
        <f>정규화데이터!H1506</f>
        <v>45499.999999999935</v>
      </c>
      <c r="I1506" s="3">
        <f>정규화데이터!I1506</f>
        <v>45500</v>
      </c>
      <c r="J1506" s="3">
        <f>정규화데이터!J1506</f>
        <v>41363.636363636302</v>
      </c>
      <c r="K1506" s="25">
        <f>정규화데이터!K1506</f>
        <v>15374</v>
      </c>
      <c r="L1506" s="25">
        <f>정규화데이터!L1506</f>
        <v>15374</v>
      </c>
      <c r="M1506" s="21">
        <f t="shared" si="46"/>
        <v>25989.636363636302</v>
      </c>
      <c r="N1506" s="52">
        <f t="shared" si="47"/>
        <v>0.62832087912087853</v>
      </c>
    </row>
    <row r="1507" spans="1:14" x14ac:dyDescent="0.3">
      <c r="A1507" t="str">
        <f>정규화데이터!A1507</f>
        <v>리씽크</v>
      </c>
      <c r="B1507">
        <f>정규화데이터!B1507</f>
        <v>2.02602091655022E+18</v>
      </c>
      <c r="C1507" t="str">
        <f>정규화데이터!C1507</f>
        <v xml:space="preserve">워커힐 본갈비 3+1 최초❤️5만원대! 총1.2kg✨호텔특제 양념갈비 8인분 (✨1인분 7,375원꼴! / [300g,2인분] x 총 4팩  / ✨초이스등급 본갈비 / ❣️워커힐 </v>
      </c>
      <c r="D1507">
        <f>정규화데이터!D1507</f>
        <v>143812</v>
      </c>
      <c r="E1507" s="16" t="str">
        <f>정규화데이터!E1507</f>
        <v>SKU001</v>
      </c>
      <c r="F1507" s="3">
        <f>정규화데이터!F1507</f>
        <v>1</v>
      </c>
      <c r="G1507" s="3">
        <f>정규화데이터!G1507</f>
        <v>41363.636363636302</v>
      </c>
      <c r="H1507" s="3">
        <f>정규화데이터!H1507</f>
        <v>45499.999999999935</v>
      </c>
      <c r="I1507" s="3">
        <f>정규화데이터!I1507</f>
        <v>45500</v>
      </c>
      <c r="J1507" s="3">
        <f>정규화데이터!J1507</f>
        <v>41363.636363636302</v>
      </c>
      <c r="K1507" s="25">
        <f>정규화데이터!K1507</f>
        <v>15374</v>
      </c>
      <c r="L1507" s="25">
        <f>정규화데이터!L1507</f>
        <v>15374</v>
      </c>
      <c r="M1507" s="21">
        <f t="shared" si="46"/>
        <v>25989.636363636302</v>
      </c>
      <c r="N1507" s="52">
        <f t="shared" si="47"/>
        <v>0.62832087912087853</v>
      </c>
    </row>
    <row r="1508" spans="1:14" x14ac:dyDescent="0.3">
      <c r="A1508" t="str">
        <f>정규화데이터!A1508</f>
        <v>리씽크</v>
      </c>
      <c r="B1508">
        <f>정규화데이터!B1508</f>
        <v>2.02602091221472E+18</v>
      </c>
      <c r="C1508" t="str">
        <f>정규화데이터!C1508</f>
        <v xml:space="preserve">워커힐 본갈비 3+1 최초❤️5만원대! 총1.2kg✨호텔특제 양념갈비 8인분 (✨1인분 7,375원꼴! / [300g,2인분] x 총 4팩  / ✨초이스등급 본갈비 / ❣️워커힐 </v>
      </c>
      <c r="D1508">
        <f>정규화데이터!D1508</f>
        <v>143812</v>
      </c>
      <c r="E1508" s="16" t="str">
        <f>정규화데이터!E1508</f>
        <v>SKU001</v>
      </c>
      <c r="F1508" s="3">
        <f>정규화데이터!F1508</f>
        <v>1</v>
      </c>
      <c r="G1508" s="3">
        <f>정규화데이터!G1508</f>
        <v>41363.636363636302</v>
      </c>
      <c r="H1508" s="3">
        <f>정규화데이터!H1508</f>
        <v>45499.999999999935</v>
      </c>
      <c r="I1508" s="3">
        <f>정규화데이터!I1508</f>
        <v>45500</v>
      </c>
      <c r="J1508" s="3">
        <f>정규화데이터!J1508</f>
        <v>41363.636363636302</v>
      </c>
      <c r="K1508" s="25">
        <f>정규화데이터!K1508</f>
        <v>15374</v>
      </c>
      <c r="L1508" s="25">
        <f>정규화데이터!L1508</f>
        <v>15374</v>
      </c>
      <c r="M1508" s="21">
        <f t="shared" si="46"/>
        <v>25989.636363636302</v>
      </c>
      <c r="N1508" s="52">
        <f t="shared" si="47"/>
        <v>0.62832087912087853</v>
      </c>
    </row>
    <row r="1509" spans="1:14" x14ac:dyDescent="0.3">
      <c r="A1509" t="str">
        <f>정규화데이터!A1509</f>
        <v>리씽크</v>
      </c>
      <c r="B1509">
        <f>정규화데이터!B1509</f>
        <v>2.02602092250146E+18</v>
      </c>
      <c r="C1509" t="str">
        <f>정규화데이터!C1509</f>
        <v xml:space="preserve">워커힐 본갈비 3+1 최초❤️5만원대! 총1.2kg✨호텔특제 양념갈비 8인분 (✨1인분 7,375원꼴! / [300g,2인분] x 총 4팩  / ✨초이스등급 본갈비 / ❣️워커힐 </v>
      </c>
      <c r="D1509">
        <f>정규화데이터!D1509</f>
        <v>143790</v>
      </c>
      <c r="E1509" s="16" t="str">
        <f>정규화데이터!E1509</f>
        <v>SKU001</v>
      </c>
      <c r="F1509" s="3">
        <f>정규화데이터!F1509</f>
        <v>1</v>
      </c>
      <c r="G1509" s="3">
        <f>정규화데이터!G1509</f>
        <v>57272.727272727199</v>
      </c>
      <c r="H1509" s="3">
        <f>정규화데이터!H1509</f>
        <v>62999.999999999927</v>
      </c>
      <c r="I1509" s="3">
        <f>정규화데이터!I1509</f>
        <v>63000</v>
      </c>
      <c r="J1509" s="3">
        <f>정규화데이터!J1509</f>
        <v>57272.727272727199</v>
      </c>
      <c r="K1509" s="25">
        <f>정규화데이터!K1509</f>
        <v>30748</v>
      </c>
      <c r="L1509" s="25">
        <f>정규화데이터!L1509</f>
        <v>30748</v>
      </c>
      <c r="M1509" s="21">
        <f t="shared" si="46"/>
        <v>26524.727272727199</v>
      </c>
      <c r="N1509" s="52">
        <f t="shared" si="47"/>
        <v>0.46313015873015806</v>
      </c>
    </row>
    <row r="1510" spans="1:14" x14ac:dyDescent="0.3">
      <c r="A1510" t="str">
        <f>정규화데이터!A1510</f>
        <v>리씽크</v>
      </c>
      <c r="B1510">
        <f>정규화데이터!B1510</f>
        <v>2.0260209191557199E+18</v>
      </c>
      <c r="C1510" t="str">
        <f>정규화데이터!C1510</f>
        <v xml:space="preserve">워커힐 본갈비 3+1 최초❤️5만원대! 총1.2kg✨호텔특제 양념갈비 8인분 (✨1인분 7,375원꼴! / [300g,2인분] x 총 4팩  / ✨초이스등급 본갈비 / ❣️워커힐 </v>
      </c>
      <c r="D1510">
        <f>정규화데이터!D1510</f>
        <v>143790</v>
      </c>
      <c r="E1510" s="16" t="str">
        <f>정규화데이터!E1510</f>
        <v>SKU001</v>
      </c>
      <c r="F1510" s="3">
        <f>정규화데이터!F1510</f>
        <v>1</v>
      </c>
      <c r="G1510" s="3">
        <f>정규화데이터!G1510</f>
        <v>57272.727272727199</v>
      </c>
      <c r="H1510" s="3">
        <f>정규화데이터!H1510</f>
        <v>62999.999999999927</v>
      </c>
      <c r="I1510" s="3">
        <f>정규화데이터!I1510</f>
        <v>63000</v>
      </c>
      <c r="J1510" s="3">
        <f>정규화데이터!J1510</f>
        <v>57272.727272727199</v>
      </c>
      <c r="K1510" s="25">
        <f>정규화데이터!K1510</f>
        <v>30748</v>
      </c>
      <c r="L1510" s="25">
        <f>정규화데이터!L1510</f>
        <v>30748</v>
      </c>
      <c r="M1510" s="21">
        <f t="shared" si="46"/>
        <v>26524.727272727199</v>
      </c>
      <c r="N1510" s="52">
        <f t="shared" si="47"/>
        <v>0.46313015873015806</v>
      </c>
    </row>
    <row r="1511" spans="1:14" x14ac:dyDescent="0.3">
      <c r="A1511" t="str">
        <f>정규화데이터!A1511</f>
        <v>리씽크</v>
      </c>
      <c r="B1511">
        <f>정규화데이터!B1511</f>
        <v>2.0260209173520599E+18</v>
      </c>
      <c r="C1511" t="str">
        <f>정규화데이터!C1511</f>
        <v xml:space="preserve">워커힐 본갈비 3+1 최초❤️5만원대! 총1.2kg✨호텔특제 양념갈비 8인분 (✨1인분 7,375원꼴! / [300g,2인분] x 총 4팩  / ✨초이스등급 본갈비 / ❣️워커힐 </v>
      </c>
      <c r="D1511">
        <f>정규화데이터!D1511</f>
        <v>143790</v>
      </c>
      <c r="E1511" s="16" t="str">
        <f>정규화데이터!E1511</f>
        <v>SKU001</v>
      </c>
      <c r="F1511" s="3">
        <f>정규화데이터!F1511</f>
        <v>1</v>
      </c>
      <c r="G1511" s="3">
        <f>정규화데이터!G1511</f>
        <v>57272.727272727199</v>
      </c>
      <c r="H1511" s="3">
        <f>정규화데이터!H1511</f>
        <v>62999.999999999927</v>
      </c>
      <c r="I1511" s="3">
        <f>정규화데이터!I1511</f>
        <v>63000</v>
      </c>
      <c r="J1511" s="3">
        <f>정규화데이터!J1511</f>
        <v>57272.727272727199</v>
      </c>
      <c r="K1511" s="25">
        <f>정규화데이터!K1511</f>
        <v>30748</v>
      </c>
      <c r="L1511" s="25">
        <f>정규화데이터!L1511</f>
        <v>30748</v>
      </c>
      <c r="M1511" s="21">
        <f t="shared" si="46"/>
        <v>26524.727272727199</v>
      </c>
      <c r="N1511" s="52">
        <f t="shared" si="47"/>
        <v>0.46313015873015806</v>
      </c>
    </row>
    <row r="1512" spans="1:14" x14ac:dyDescent="0.3">
      <c r="A1512" t="str">
        <f>정규화데이터!A1512</f>
        <v>리씽크</v>
      </c>
      <c r="B1512">
        <f>정규화데이터!B1512</f>
        <v>2.02602091257277E+18</v>
      </c>
      <c r="C1512" t="str">
        <f>정규화데이터!C1512</f>
        <v xml:space="preserve">워커힐 본갈비 3+1 최초❤️5만원대! 총1.2kg✨호텔특제 양념갈비 8인분 (✨1인분 7,375원꼴! / [300g,2인분] x 총 4팩  / ✨초이스등급 본갈비 / ❣️워커힐 </v>
      </c>
      <c r="D1512">
        <f>정규화데이터!D1512</f>
        <v>143790</v>
      </c>
      <c r="E1512" s="16" t="str">
        <f>정규화데이터!E1512</f>
        <v>SKU001</v>
      </c>
      <c r="F1512" s="3">
        <f>정규화데이터!F1512</f>
        <v>1</v>
      </c>
      <c r="G1512" s="3">
        <f>정규화데이터!G1512</f>
        <v>57272.727272727199</v>
      </c>
      <c r="H1512" s="3">
        <f>정규화데이터!H1512</f>
        <v>62999.999999999927</v>
      </c>
      <c r="I1512" s="3">
        <f>정규화데이터!I1512</f>
        <v>63000</v>
      </c>
      <c r="J1512" s="3">
        <f>정규화데이터!J1512</f>
        <v>57272.727272727199</v>
      </c>
      <c r="K1512" s="25">
        <f>정규화데이터!K1512</f>
        <v>30748</v>
      </c>
      <c r="L1512" s="25">
        <f>정규화데이터!L1512</f>
        <v>30748</v>
      </c>
      <c r="M1512" s="21">
        <f t="shared" si="46"/>
        <v>26524.727272727199</v>
      </c>
      <c r="N1512" s="52">
        <f t="shared" si="47"/>
        <v>0.46313015873015806</v>
      </c>
    </row>
    <row r="1513" spans="1:14" x14ac:dyDescent="0.3">
      <c r="A1513" t="str">
        <f>정규화데이터!A1513</f>
        <v>리씽크</v>
      </c>
      <c r="B1513">
        <f>정규화데이터!B1513</f>
        <v>2.0260206143417201E+18</v>
      </c>
      <c r="C1513" t="str">
        <f>정규화데이터!C1513</f>
        <v xml:space="preserve">워커힐 본갈비 3+1 최초❤️5만원대! 총1.2kg✨호텔특제 양념갈비 8인분 (✨1인분 7,375원꼴! / [300g,2인분] x 총 4팩  / ✨초이스등급 본갈비 / ❣️워커힐 </v>
      </c>
      <c r="D1513">
        <f>정규화데이터!D1513</f>
        <v>143790</v>
      </c>
      <c r="E1513" s="16" t="str">
        <f>정규화데이터!E1513</f>
        <v>SKU001</v>
      </c>
      <c r="F1513" s="3">
        <f>정규화데이터!F1513</f>
        <v>2</v>
      </c>
      <c r="G1513" s="3">
        <f>정규화데이터!G1513</f>
        <v>57272.727272727003</v>
      </c>
      <c r="H1513" s="3">
        <f>정규화데이터!H1513</f>
        <v>125999.99999999942</v>
      </c>
      <c r="I1513" s="3">
        <f>정규화데이터!I1513</f>
        <v>126000</v>
      </c>
      <c r="J1513" s="3">
        <f>정규화데이터!J1513</f>
        <v>114545.45454545401</v>
      </c>
      <c r="K1513" s="25">
        <f>정규화데이터!K1513</f>
        <v>30748</v>
      </c>
      <c r="L1513" s="25">
        <f>정규화데이터!L1513</f>
        <v>61496</v>
      </c>
      <c r="M1513" s="21">
        <f t="shared" si="46"/>
        <v>53049.454545454006</v>
      </c>
      <c r="N1513" s="52">
        <f t="shared" si="47"/>
        <v>0.46313015873015623</v>
      </c>
    </row>
    <row r="1514" spans="1:14" x14ac:dyDescent="0.3">
      <c r="A1514" t="str">
        <f>정규화데이터!A1514</f>
        <v>리씽크</v>
      </c>
      <c r="B1514">
        <f>정규화데이터!B1514</f>
        <v>2.0260211094551401E+18</v>
      </c>
      <c r="C1514" t="str">
        <f>정규화데이터!C1514</f>
        <v xml:space="preserve">워커힐 본갈비 3+1 최초❤️5만원대! 총1.2kg✨호텔특제 양념갈비 8인분 (✨1인분 7,375원꼴! / [300g,2인분] x 총 4팩  / ✨초이스등급 본갈비 / ❣️워커힐 </v>
      </c>
      <c r="D1514">
        <f>정규화데이터!D1514</f>
        <v>143790</v>
      </c>
      <c r="E1514" s="16" t="str">
        <f>정규화데이터!E1514</f>
        <v>SKU001</v>
      </c>
      <c r="F1514" s="3">
        <f>정규화데이터!F1514</f>
        <v>1</v>
      </c>
      <c r="G1514" s="3">
        <f>정규화데이터!G1514</f>
        <v>41363.636363636302</v>
      </c>
      <c r="H1514" s="3">
        <f>정규화데이터!H1514</f>
        <v>45499.999999999935</v>
      </c>
      <c r="I1514" s="3">
        <f>정규화데이터!I1514</f>
        <v>45500</v>
      </c>
      <c r="J1514" s="3">
        <f>정규화데이터!J1514</f>
        <v>41363.636363636302</v>
      </c>
      <c r="K1514" s="25">
        <f>정규화데이터!K1514</f>
        <v>30748</v>
      </c>
      <c r="L1514" s="25">
        <f>정규화데이터!L1514</f>
        <v>30748</v>
      </c>
      <c r="M1514" s="21">
        <f t="shared" si="46"/>
        <v>10615.636363636302</v>
      </c>
      <c r="N1514" s="52">
        <f t="shared" si="47"/>
        <v>0.25664175824175711</v>
      </c>
    </row>
    <row r="1515" spans="1:14" x14ac:dyDescent="0.3">
      <c r="A1515" t="str">
        <f>정규화데이터!A1515</f>
        <v>리씽크</v>
      </c>
      <c r="B1515">
        <f>정규화데이터!B1515</f>
        <v>2.02602110945587E+18</v>
      </c>
      <c r="C1515" t="str">
        <f>정규화데이터!C1515</f>
        <v xml:space="preserve">워커힐 본갈비 3+1 최초❤️5만원대! 총1.2kg✨호텔특제 양념갈비 8인분 (✨1인분 7,375원꼴! / [300g,2인분] x 총 4팩  / ✨초이스등급 본갈비 / ❣️워커힐 </v>
      </c>
      <c r="D1515">
        <f>정규화데이터!D1515</f>
        <v>143790</v>
      </c>
      <c r="E1515" s="16" t="str">
        <f>정규화데이터!E1515</f>
        <v>SKU001</v>
      </c>
      <c r="F1515" s="3">
        <f>정규화데이터!F1515</f>
        <v>1</v>
      </c>
      <c r="G1515" s="3">
        <f>정규화데이터!G1515</f>
        <v>41363.636363636302</v>
      </c>
      <c r="H1515" s="3">
        <f>정규화데이터!H1515</f>
        <v>45499.999999999935</v>
      </c>
      <c r="I1515" s="3">
        <f>정규화데이터!I1515</f>
        <v>45500</v>
      </c>
      <c r="J1515" s="3">
        <f>정규화데이터!J1515</f>
        <v>41363.636363636302</v>
      </c>
      <c r="K1515" s="25">
        <f>정규화데이터!K1515</f>
        <v>30748</v>
      </c>
      <c r="L1515" s="25">
        <f>정규화데이터!L1515</f>
        <v>30748</v>
      </c>
      <c r="M1515" s="21">
        <f t="shared" si="46"/>
        <v>10615.636363636302</v>
      </c>
      <c r="N1515" s="52">
        <f t="shared" si="47"/>
        <v>0.25664175824175711</v>
      </c>
    </row>
    <row r="1516" spans="1:14" x14ac:dyDescent="0.3">
      <c r="A1516" t="str">
        <f>정규화데이터!A1516</f>
        <v>리씽크</v>
      </c>
      <c r="B1516">
        <f>정규화데이터!B1516</f>
        <v>2.0260211081100401E+18</v>
      </c>
      <c r="C1516" t="str">
        <f>정규화데이터!C1516</f>
        <v xml:space="preserve">워커힐 본갈비 3+1 최초❤️5만원대! 총1.2kg✨호텔특제 양념갈비 8인분 (✨1인분 7,375원꼴! / [300g,2인분] x 총 4팩  / ✨초이스등급 본갈비 / ❣️워커힐 </v>
      </c>
      <c r="D1516">
        <f>정규화데이터!D1516</f>
        <v>143790</v>
      </c>
      <c r="E1516" s="16" t="str">
        <f>정규화데이터!E1516</f>
        <v>SKU001</v>
      </c>
      <c r="F1516" s="3">
        <f>정규화데이터!F1516</f>
        <v>1</v>
      </c>
      <c r="G1516" s="3">
        <f>정규화데이터!G1516</f>
        <v>41363.636363636302</v>
      </c>
      <c r="H1516" s="3">
        <f>정규화데이터!H1516</f>
        <v>45499.999999999935</v>
      </c>
      <c r="I1516" s="3">
        <f>정규화데이터!I1516</f>
        <v>45500</v>
      </c>
      <c r="J1516" s="3">
        <f>정규화데이터!J1516</f>
        <v>41363.636363636302</v>
      </c>
      <c r="K1516" s="25">
        <f>정규화데이터!K1516</f>
        <v>30748</v>
      </c>
      <c r="L1516" s="25">
        <f>정규화데이터!L1516</f>
        <v>30748</v>
      </c>
      <c r="M1516" s="21">
        <f t="shared" si="46"/>
        <v>10615.636363636302</v>
      </c>
      <c r="N1516" s="52">
        <f t="shared" si="47"/>
        <v>0.25664175824175711</v>
      </c>
    </row>
    <row r="1517" spans="1:14" x14ac:dyDescent="0.3">
      <c r="A1517" t="str">
        <f>정규화데이터!A1517</f>
        <v>리씽크</v>
      </c>
      <c r="B1517">
        <f>정규화데이터!B1517</f>
        <v>2.0260211024110799E+18</v>
      </c>
      <c r="C1517" t="str">
        <f>정규화데이터!C1517</f>
        <v xml:space="preserve">워커힐 본갈비 3+1 최초❤️5만원대! 총1.2kg✨호텔특제 양념갈비 8인분 (✨1인분 7,375원꼴! / [300g,2인분] x 총 4팩  / ✨초이스등급 본갈비 / ❣️워커힐 </v>
      </c>
      <c r="D1517">
        <f>정규화데이터!D1517</f>
        <v>143790</v>
      </c>
      <c r="E1517" s="16" t="str">
        <f>정규화데이터!E1517</f>
        <v>SKU001</v>
      </c>
      <c r="F1517" s="3">
        <f>정규화데이터!F1517</f>
        <v>1</v>
      </c>
      <c r="G1517" s="3">
        <f>정규화데이터!G1517</f>
        <v>41363.636363636302</v>
      </c>
      <c r="H1517" s="3">
        <f>정규화데이터!H1517</f>
        <v>45499.999999999935</v>
      </c>
      <c r="I1517" s="3">
        <f>정규화데이터!I1517</f>
        <v>45500</v>
      </c>
      <c r="J1517" s="3">
        <f>정규화데이터!J1517</f>
        <v>41363.636363636302</v>
      </c>
      <c r="K1517" s="25">
        <f>정규화데이터!K1517</f>
        <v>30748</v>
      </c>
      <c r="L1517" s="25">
        <f>정규화데이터!L1517</f>
        <v>30748</v>
      </c>
      <c r="M1517" s="21">
        <f t="shared" si="46"/>
        <v>10615.636363636302</v>
      </c>
      <c r="N1517" s="52">
        <f t="shared" si="47"/>
        <v>0.25664175824175711</v>
      </c>
    </row>
    <row r="1518" spans="1:14" x14ac:dyDescent="0.3">
      <c r="A1518" t="str">
        <f>정규화데이터!A1518</f>
        <v>리씽크</v>
      </c>
      <c r="B1518">
        <f>정규화데이터!B1518</f>
        <v>2.02602110238321E+18</v>
      </c>
      <c r="C1518" t="str">
        <f>정규화데이터!C1518</f>
        <v xml:space="preserve">워커힐 본갈비 3+1 최초❤️5만원대! 총1.2kg✨호텔특제 양념갈비 8인분 (✨1인분 7,375원꼴! / [300g,2인분] x 총 4팩  / ✨초이스등급 본갈비 / ❣️워커힐 </v>
      </c>
      <c r="D1518">
        <f>정규화데이터!D1518</f>
        <v>143790</v>
      </c>
      <c r="E1518" s="16" t="str">
        <f>정규화데이터!E1518</f>
        <v>SKU001</v>
      </c>
      <c r="F1518" s="3">
        <f>정규화데이터!F1518</f>
        <v>1</v>
      </c>
      <c r="G1518" s="3">
        <f>정규화데이터!G1518</f>
        <v>41363.636363636302</v>
      </c>
      <c r="H1518" s="3">
        <f>정규화데이터!H1518</f>
        <v>45499.999999999935</v>
      </c>
      <c r="I1518" s="3">
        <f>정규화데이터!I1518</f>
        <v>45500</v>
      </c>
      <c r="J1518" s="3">
        <f>정규화데이터!J1518</f>
        <v>41363.636363636302</v>
      </c>
      <c r="K1518" s="25">
        <f>정규화데이터!K1518</f>
        <v>30748</v>
      </c>
      <c r="L1518" s="25">
        <f>정규화데이터!L1518</f>
        <v>30748</v>
      </c>
      <c r="M1518" s="21">
        <f t="shared" si="46"/>
        <v>10615.636363636302</v>
      </c>
      <c r="N1518" s="52">
        <f t="shared" si="47"/>
        <v>0.25664175824175711</v>
      </c>
    </row>
    <row r="1519" spans="1:14" x14ac:dyDescent="0.3">
      <c r="A1519" t="str">
        <f>정규화데이터!A1519</f>
        <v>리씽크</v>
      </c>
      <c r="B1519">
        <f>정규화데이터!B1519</f>
        <v>2.0260211023513201E+18</v>
      </c>
      <c r="C1519" t="str">
        <f>정규화데이터!C1519</f>
        <v xml:space="preserve">워커힐 본갈비 3+1 최초❤️5만원대! 총1.2kg✨호텔특제 양념갈비 8인분 (✨1인분 7,375원꼴! / [300g,2인분] x 총 4팩  / ✨초이스등급 본갈비 / ❣️워커힐 </v>
      </c>
      <c r="D1519">
        <f>정규화데이터!D1519</f>
        <v>143790</v>
      </c>
      <c r="E1519" s="16" t="str">
        <f>정규화데이터!E1519</f>
        <v>SKU001</v>
      </c>
      <c r="F1519" s="3">
        <f>정규화데이터!F1519</f>
        <v>1</v>
      </c>
      <c r="G1519" s="3">
        <f>정규화데이터!G1519</f>
        <v>41363.636363636302</v>
      </c>
      <c r="H1519" s="3">
        <f>정규화데이터!H1519</f>
        <v>45499.999999999935</v>
      </c>
      <c r="I1519" s="3">
        <f>정규화데이터!I1519</f>
        <v>45500</v>
      </c>
      <c r="J1519" s="3">
        <f>정규화데이터!J1519</f>
        <v>41363.636363636302</v>
      </c>
      <c r="K1519" s="25">
        <f>정규화데이터!K1519</f>
        <v>30748</v>
      </c>
      <c r="L1519" s="25">
        <f>정규화데이터!L1519</f>
        <v>30748</v>
      </c>
      <c r="M1519" s="21">
        <f t="shared" si="46"/>
        <v>10615.636363636302</v>
      </c>
      <c r="N1519" s="52">
        <f t="shared" si="47"/>
        <v>0.25664175824175711</v>
      </c>
    </row>
    <row r="1520" spans="1:14" x14ac:dyDescent="0.3">
      <c r="A1520" t="str">
        <f>정규화데이터!A1520</f>
        <v>리씽크</v>
      </c>
      <c r="B1520">
        <f>정규화데이터!B1520</f>
        <v>2.0260211022456801E+18</v>
      </c>
      <c r="C1520" t="str">
        <f>정규화데이터!C1520</f>
        <v xml:space="preserve">워커힐 본갈비 3+1 최초❤️5만원대! 총1.2kg✨호텔특제 양념갈비 8인분 (✨1인분 7,375원꼴! / [300g,2인분] x 총 4팩  / ✨초이스등급 본갈비 / ❣️워커힐 </v>
      </c>
      <c r="D1520">
        <f>정규화데이터!D1520</f>
        <v>143790</v>
      </c>
      <c r="E1520" s="16" t="str">
        <f>정규화데이터!E1520</f>
        <v>SKU001</v>
      </c>
      <c r="F1520" s="3">
        <f>정규화데이터!F1520</f>
        <v>1</v>
      </c>
      <c r="G1520" s="3">
        <f>정규화데이터!G1520</f>
        <v>41363.636363636302</v>
      </c>
      <c r="H1520" s="3">
        <f>정규화데이터!H1520</f>
        <v>45499.999999999935</v>
      </c>
      <c r="I1520" s="3">
        <f>정규화데이터!I1520</f>
        <v>45500</v>
      </c>
      <c r="J1520" s="3">
        <f>정규화데이터!J1520</f>
        <v>41363.636363636302</v>
      </c>
      <c r="K1520" s="25">
        <f>정규화데이터!K1520</f>
        <v>30748</v>
      </c>
      <c r="L1520" s="25">
        <f>정규화데이터!L1520</f>
        <v>30748</v>
      </c>
      <c r="M1520" s="21">
        <f t="shared" si="46"/>
        <v>10615.636363636302</v>
      </c>
      <c r="N1520" s="52">
        <f t="shared" si="47"/>
        <v>0.25664175824175711</v>
      </c>
    </row>
    <row r="1521" spans="1:14" x14ac:dyDescent="0.3">
      <c r="A1521" t="str">
        <f>정규화데이터!A1521</f>
        <v>리씽크</v>
      </c>
      <c r="B1521">
        <f>정규화데이터!B1521</f>
        <v>2.02602102021279E+18</v>
      </c>
      <c r="C1521" t="str">
        <f>정규화데이터!C1521</f>
        <v xml:space="preserve">워커힐 본갈비 3+1 최초❤️5만원대! 총1.2kg✨호텔특제 양념갈비 8인분 (✨1인분 7,375원꼴! / [300g,2인분] x 총 4팩  / ✨초이스등급 본갈비 / ❣️워커힐 </v>
      </c>
      <c r="D1521">
        <f>정규화데이터!D1521</f>
        <v>143790</v>
      </c>
      <c r="E1521" s="16" t="str">
        <f>정규화데이터!E1521</f>
        <v>SKU001</v>
      </c>
      <c r="F1521" s="3">
        <f>정규화데이터!F1521</f>
        <v>1</v>
      </c>
      <c r="G1521" s="3">
        <f>정규화데이터!G1521</f>
        <v>41363.636363636302</v>
      </c>
      <c r="H1521" s="3">
        <f>정규화데이터!H1521</f>
        <v>45499.999999999935</v>
      </c>
      <c r="I1521" s="3">
        <f>정규화데이터!I1521</f>
        <v>45500</v>
      </c>
      <c r="J1521" s="3">
        <f>정규화데이터!J1521</f>
        <v>41363.636363636302</v>
      </c>
      <c r="K1521" s="25">
        <f>정규화데이터!K1521</f>
        <v>30748</v>
      </c>
      <c r="L1521" s="25">
        <f>정규화데이터!L1521</f>
        <v>30748</v>
      </c>
      <c r="M1521" s="21">
        <f t="shared" si="46"/>
        <v>10615.636363636302</v>
      </c>
      <c r="N1521" s="52">
        <f t="shared" si="47"/>
        <v>0.25664175824175711</v>
      </c>
    </row>
    <row r="1522" spans="1:14" x14ac:dyDescent="0.3">
      <c r="A1522" t="str">
        <f>정규화데이터!A1522</f>
        <v>리씽크</v>
      </c>
      <c r="B1522">
        <f>정규화데이터!B1522</f>
        <v>2.0260210175539999E+18</v>
      </c>
      <c r="C1522" t="str">
        <f>정규화데이터!C1522</f>
        <v xml:space="preserve">워커힐 본갈비 3+1 최초❤️5만원대! 총1.2kg✨호텔특제 양념갈비 8인분 (✨1인분 7,375원꼴! / [300g,2인분] x 총 4팩  / ✨초이스등급 본갈비 / ❣️워커힐 </v>
      </c>
      <c r="D1522">
        <f>정규화데이터!D1522</f>
        <v>143790</v>
      </c>
      <c r="E1522" s="16" t="str">
        <f>정규화데이터!E1522</f>
        <v>SKU001</v>
      </c>
      <c r="F1522" s="3">
        <f>정규화데이터!F1522</f>
        <v>1</v>
      </c>
      <c r="G1522" s="3">
        <f>정규화데이터!G1522</f>
        <v>41363.636363636302</v>
      </c>
      <c r="H1522" s="3">
        <f>정규화데이터!H1522</f>
        <v>45499.999999999935</v>
      </c>
      <c r="I1522" s="3">
        <f>정규화데이터!I1522</f>
        <v>45500</v>
      </c>
      <c r="J1522" s="3">
        <f>정규화데이터!J1522</f>
        <v>41363.636363636302</v>
      </c>
      <c r="K1522" s="25">
        <f>정규화데이터!K1522</f>
        <v>30748</v>
      </c>
      <c r="L1522" s="25">
        <f>정규화데이터!L1522</f>
        <v>30748</v>
      </c>
      <c r="M1522" s="21">
        <f t="shared" si="46"/>
        <v>10615.636363636302</v>
      </c>
      <c r="N1522" s="52">
        <f t="shared" si="47"/>
        <v>0.25664175824175711</v>
      </c>
    </row>
    <row r="1523" spans="1:14" x14ac:dyDescent="0.3">
      <c r="A1523" t="str">
        <f>정규화데이터!A1523</f>
        <v>리씽크</v>
      </c>
      <c r="B1523">
        <f>정규화데이터!B1523</f>
        <v>2.0260210141758999E+18</v>
      </c>
      <c r="C1523" t="str">
        <f>정규화데이터!C1523</f>
        <v xml:space="preserve">워커힐 본갈비 3+1 최초❤️5만원대! 총1.2kg✨호텔특제 양념갈비 8인분 (✨1인분 7,375원꼴! / [300g,2인분] x 총 4팩  / ✨초이스등급 본갈비 / ❣️워커힐 </v>
      </c>
      <c r="D1523">
        <f>정규화데이터!D1523</f>
        <v>143790</v>
      </c>
      <c r="E1523" s="16" t="str">
        <f>정규화데이터!E1523</f>
        <v>SKU001</v>
      </c>
      <c r="F1523" s="3">
        <f>정규화데이터!F1523</f>
        <v>1</v>
      </c>
      <c r="G1523" s="3">
        <f>정규화데이터!G1523</f>
        <v>41363.636363636302</v>
      </c>
      <c r="H1523" s="3">
        <f>정규화데이터!H1523</f>
        <v>45499.999999999935</v>
      </c>
      <c r="I1523" s="3">
        <f>정규화데이터!I1523</f>
        <v>45500</v>
      </c>
      <c r="J1523" s="3">
        <f>정규화데이터!J1523</f>
        <v>41363.636363636302</v>
      </c>
      <c r="K1523" s="25">
        <f>정규화데이터!K1523</f>
        <v>30748</v>
      </c>
      <c r="L1523" s="25">
        <f>정규화데이터!L1523</f>
        <v>30748</v>
      </c>
      <c r="M1523" s="21">
        <f t="shared" si="46"/>
        <v>10615.636363636302</v>
      </c>
      <c r="N1523" s="52">
        <f t="shared" si="47"/>
        <v>0.25664175824175711</v>
      </c>
    </row>
    <row r="1524" spans="1:14" x14ac:dyDescent="0.3">
      <c r="A1524" t="str">
        <f>정규화데이터!A1524</f>
        <v>리씽크</v>
      </c>
      <c r="B1524">
        <f>정규화데이터!B1524</f>
        <v>2.0260210122407401E+18</v>
      </c>
      <c r="C1524" t="str">
        <f>정규화데이터!C1524</f>
        <v xml:space="preserve">워커힐 본갈비 3+1 최초❤️5만원대! 총1.2kg✨호텔특제 양념갈비 8인분 (✨1인분 7,375원꼴! / [300g,2인분] x 총 4팩  / ✨초이스등급 본갈비 / ❣️워커힐 </v>
      </c>
      <c r="D1524">
        <f>정규화데이터!D1524</f>
        <v>143790</v>
      </c>
      <c r="E1524" s="16" t="str">
        <f>정규화데이터!E1524</f>
        <v>SKU001</v>
      </c>
      <c r="F1524" s="3">
        <f>정규화데이터!F1524</f>
        <v>1</v>
      </c>
      <c r="G1524" s="3">
        <f>정규화데이터!G1524</f>
        <v>41363.636363636302</v>
      </c>
      <c r="H1524" s="3">
        <f>정규화데이터!H1524</f>
        <v>45499.999999999935</v>
      </c>
      <c r="I1524" s="3">
        <f>정규화데이터!I1524</f>
        <v>45500</v>
      </c>
      <c r="J1524" s="3">
        <f>정규화데이터!J1524</f>
        <v>41363.636363636302</v>
      </c>
      <c r="K1524" s="25">
        <f>정규화데이터!K1524</f>
        <v>30748</v>
      </c>
      <c r="L1524" s="25">
        <f>정규화데이터!L1524</f>
        <v>30748</v>
      </c>
      <c r="M1524" s="21">
        <f t="shared" si="46"/>
        <v>10615.636363636302</v>
      </c>
      <c r="N1524" s="52">
        <f t="shared" si="47"/>
        <v>0.25664175824175711</v>
      </c>
    </row>
    <row r="1525" spans="1:14" x14ac:dyDescent="0.3">
      <c r="A1525" t="str">
        <f>정규화데이터!A1525</f>
        <v>리씽크</v>
      </c>
      <c r="B1525">
        <f>정규화데이터!B1525</f>
        <v>2.0260210111835699E+18</v>
      </c>
      <c r="C1525" t="str">
        <f>정규화데이터!C1525</f>
        <v xml:space="preserve">워커힐 본갈비 3+1 최초❤️5만원대! 총1.2kg✨호텔특제 양념갈비 8인분 (✨1인분 7,375원꼴! / [300g,2인분] x 총 4팩  / ✨초이스등급 본갈비 / ❣️워커힐 </v>
      </c>
      <c r="D1525">
        <f>정규화데이터!D1525</f>
        <v>143790</v>
      </c>
      <c r="E1525" s="16" t="str">
        <f>정규화데이터!E1525</f>
        <v>SKU001</v>
      </c>
      <c r="F1525" s="3">
        <f>정규화데이터!F1525</f>
        <v>2</v>
      </c>
      <c r="G1525" s="3">
        <f>정규화데이터!G1525</f>
        <v>41363.636363636353</v>
      </c>
      <c r="H1525" s="3">
        <f>정규화데이터!H1525</f>
        <v>91000</v>
      </c>
      <c r="I1525" s="3">
        <f>정규화데이터!I1525</f>
        <v>91000</v>
      </c>
      <c r="J1525" s="3">
        <f>정규화데이터!J1525</f>
        <v>82727.272727272706</v>
      </c>
      <c r="K1525" s="25">
        <f>정규화데이터!K1525</f>
        <v>30748</v>
      </c>
      <c r="L1525" s="25">
        <f>정규화데이터!L1525</f>
        <v>61496</v>
      </c>
      <c r="M1525" s="21">
        <f t="shared" si="46"/>
        <v>21231.272727272706</v>
      </c>
      <c r="N1525" s="52">
        <f t="shared" si="47"/>
        <v>0.25664175824175806</v>
      </c>
    </row>
    <row r="1526" spans="1:14" x14ac:dyDescent="0.3">
      <c r="A1526" t="str">
        <f>정규화데이터!A1526</f>
        <v>리씽크</v>
      </c>
      <c r="B1526">
        <f>정규화데이터!B1526</f>
        <v>2.0260210111528801E+18</v>
      </c>
      <c r="C1526" t="str">
        <f>정규화데이터!C1526</f>
        <v xml:space="preserve">워커힐 본갈비 3+1 최초❤️5만원대! 총1.2kg✨호텔특제 양념갈비 8인분 (✨1인분 7,375원꼴! / [300g,2인분] x 총 4팩  / ✨초이스등급 본갈비 / ❣️워커힐 </v>
      </c>
      <c r="D1526">
        <f>정규화데이터!D1526</f>
        <v>143790</v>
      </c>
      <c r="E1526" s="16" t="str">
        <f>정규화데이터!E1526</f>
        <v>SKU001</v>
      </c>
      <c r="F1526" s="3">
        <f>정규화데이터!F1526</f>
        <v>1</v>
      </c>
      <c r="G1526" s="3">
        <f>정규화데이터!G1526</f>
        <v>41363.636363636302</v>
      </c>
      <c r="H1526" s="3">
        <f>정규화데이터!H1526</f>
        <v>45499.999999999935</v>
      </c>
      <c r="I1526" s="3">
        <f>정규화데이터!I1526</f>
        <v>45500</v>
      </c>
      <c r="J1526" s="3">
        <f>정규화데이터!J1526</f>
        <v>41363.636363636302</v>
      </c>
      <c r="K1526" s="25">
        <f>정규화데이터!K1526</f>
        <v>30748</v>
      </c>
      <c r="L1526" s="25">
        <f>정규화데이터!L1526</f>
        <v>30748</v>
      </c>
      <c r="M1526" s="21">
        <f t="shared" si="46"/>
        <v>10615.636363636302</v>
      </c>
      <c r="N1526" s="52">
        <f t="shared" si="47"/>
        <v>0.25664175824175711</v>
      </c>
    </row>
    <row r="1527" spans="1:14" x14ac:dyDescent="0.3">
      <c r="A1527" t="str">
        <f>정규화데이터!A1527</f>
        <v>리씽크</v>
      </c>
      <c r="B1527">
        <f>정규화데이터!B1527</f>
        <v>2.0260211093647301E+18</v>
      </c>
      <c r="C1527" t="str">
        <f>정규화데이터!C1527</f>
        <v xml:space="preserve">워커힐 본갈비 3+1 최초❤️5만원대! 총1.2kg✨호텔특제 양념갈비 8인분 (✨1인분 7,375원꼴! / [300g,2인분] x 총 4팩  / ✨초이스등급 본갈비 / ❣️워커힐 </v>
      </c>
      <c r="D1527">
        <f>정규화데이터!D1527</f>
        <v>143812</v>
      </c>
      <c r="E1527" s="16" t="str">
        <f>정규화데이터!E1527</f>
        <v>SKU001</v>
      </c>
      <c r="F1527" s="3">
        <f>정규화데이터!F1527</f>
        <v>1</v>
      </c>
      <c r="G1527" s="3">
        <f>정규화데이터!G1527</f>
        <v>41363.636363636302</v>
      </c>
      <c r="H1527" s="3">
        <f>정규화데이터!H1527</f>
        <v>45499.999999999935</v>
      </c>
      <c r="I1527" s="3">
        <f>정규화데이터!I1527</f>
        <v>45500</v>
      </c>
      <c r="J1527" s="3">
        <f>정규화데이터!J1527</f>
        <v>41363.636363636302</v>
      </c>
      <c r="K1527" s="25">
        <f>정규화데이터!K1527</f>
        <v>15374</v>
      </c>
      <c r="L1527" s="25">
        <f>정규화데이터!L1527</f>
        <v>15374</v>
      </c>
      <c r="M1527" s="21">
        <f t="shared" si="46"/>
        <v>25989.636363636302</v>
      </c>
      <c r="N1527" s="52">
        <f t="shared" si="47"/>
        <v>0.62832087912087853</v>
      </c>
    </row>
    <row r="1528" spans="1:14" x14ac:dyDescent="0.3">
      <c r="A1528" t="str">
        <f>정규화데이터!A1528</f>
        <v>리씽크</v>
      </c>
      <c r="B1528">
        <f>정규화데이터!B1528</f>
        <v>2.02602110819517E+18</v>
      </c>
      <c r="C1528" t="str">
        <f>정규화데이터!C1528</f>
        <v xml:space="preserve">워커힐 본갈비 3+1 최초❤️5만원대! 총1.2kg✨호텔특제 양념갈비 8인분 (✨1인분 7,375원꼴! / [300g,2인분] x 총 4팩  / ✨초이스등급 본갈비 / ❣️워커힐 </v>
      </c>
      <c r="D1528">
        <f>정규화데이터!D1528</f>
        <v>143812</v>
      </c>
      <c r="E1528" s="16" t="str">
        <f>정규화데이터!E1528</f>
        <v>SKU001</v>
      </c>
      <c r="F1528" s="3">
        <f>정규화데이터!F1528</f>
        <v>2</v>
      </c>
      <c r="G1528" s="3">
        <f>정규화데이터!G1528</f>
        <v>41363.636363636353</v>
      </c>
      <c r="H1528" s="3">
        <f>정규화데이터!H1528</f>
        <v>91000</v>
      </c>
      <c r="I1528" s="3">
        <f>정규화데이터!I1528</f>
        <v>91000</v>
      </c>
      <c r="J1528" s="3">
        <f>정규화데이터!J1528</f>
        <v>82727.272727272706</v>
      </c>
      <c r="K1528" s="25">
        <f>정규화데이터!K1528</f>
        <v>15374</v>
      </c>
      <c r="L1528" s="25">
        <f>정규화데이터!L1528</f>
        <v>30748</v>
      </c>
      <c r="M1528" s="21">
        <f t="shared" si="46"/>
        <v>51979.272727272706</v>
      </c>
      <c r="N1528" s="52">
        <f t="shared" si="47"/>
        <v>0.62832087912087897</v>
      </c>
    </row>
    <row r="1529" spans="1:14" x14ac:dyDescent="0.3">
      <c r="A1529" t="str">
        <f>정규화데이터!A1529</f>
        <v>리씽크</v>
      </c>
      <c r="B1529">
        <f>정규화데이터!B1529</f>
        <v>2.02602110815502E+18</v>
      </c>
      <c r="C1529" t="str">
        <f>정규화데이터!C1529</f>
        <v xml:space="preserve">워커힐 본갈비 3+1 최초❤️5만원대! 총1.2kg✨호텔특제 양념갈비 8인분 (✨1인분 7,375원꼴! / [300g,2인분] x 총 4팩  / ✨초이스등급 본갈비 / ❣️워커힐 </v>
      </c>
      <c r="D1529">
        <f>정규화데이터!D1529</f>
        <v>143812</v>
      </c>
      <c r="E1529" s="16" t="str">
        <f>정규화데이터!E1529</f>
        <v>SKU001</v>
      </c>
      <c r="F1529" s="3">
        <f>정규화데이터!F1529</f>
        <v>1</v>
      </c>
      <c r="G1529" s="3">
        <f>정규화데이터!G1529</f>
        <v>41363.636363636302</v>
      </c>
      <c r="H1529" s="3">
        <f>정규화데이터!H1529</f>
        <v>45499.999999999935</v>
      </c>
      <c r="I1529" s="3">
        <f>정규화데이터!I1529</f>
        <v>45500</v>
      </c>
      <c r="J1529" s="3">
        <f>정규화데이터!J1529</f>
        <v>41363.636363636302</v>
      </c>
      <c r="K1529" s="25">
        <f>정규화데이터!K1529</f>
        <v>15374</v>
      </c>
      <c r="L1529" s="25">
        <f>정규화데이터!L1529</f>
        <v>15374</v>
      </c>
      <c r="M1529" s="21">
        <f t="shared" si="46"/>
        <v>25989.636363636302</v>
      </c>
      <c r="N1529" s="52">
        <f t="shared" si="47"/>
        <v>0.62832087912087853</v>
      </c>
    </row>
    <row r="1530" spans="1:14" x14ac:dyDescent="0.3">
      <c r="A1530" t="str">
        <f>정규화데이터!A1530</f>
        <v>리씽크</v>
      </c>
      <c r="B1530">
        <f>정규화데이터!B1530</f>
        <v>2.02602110746018E+18</v>
      </c>
      <c r="C1530" t="str">
        <f>정규화데이터!C1530</f>
        <v xml:space="preserve">워커힐 본갈비 3+1 최초❤️5만원대! 총1.2kg✨호텔특제 양념갈비 8인분 (✨1인분 7,375원꼴! / [300g,2인분] x 총 4팩  / ✨초이스등급 본갈비 / ❣️워커힐 </v>
      </c>
      <c r="D1530">
        <f>정규화데이터!D1530</f>
        <v>143812</v>
      </c>
      <c r="E1530" s="16" t="str">
        <f>정규화데이터!E1530</f>
        <v>SKU001</v>
      </c>
      <c r="F1530" s="3">
        <f>정규화데이터!F1530</f>
        <v>1</v>
      </c>
      <c r="G1530" s="3">
        <f>정규화데이터!G1530</f>
        <v>41363.636363636302</v>
      </c>
      <c r="H1530" s="3">
        <f>정규화데이터!H1530</f>
        <v>45499.999999999935</v>
      </c>
      <c r="I1530" s="3">
        <f>정규화데이터!I1530</f>
        <v>45500</v>
      </c>
      <c r="J1530" s="3">
        <f>정규화데이터!J1530</f>
        <v>41363.636363636302</v>
      </c>
      <c r="K1530" s="25">
        <f>정규화데이터!K1530</f>
        <v>15374</v>
      </c>
      <c r="L1530" s="25">
        <f>정규화데이터!L1530</f>
        <v>15374</v>
      </c>
      <c r="M1530" s="21">
        <f t="shared" si="46"/>
        <v>25989.636363636302</v>
      </c>
      <c r="N1530" s="52">
        <f t="shared" si="47"/>
        <v>0.62832087912087853</v>
      </c>
    </row>
    <row r="1531" spans="1:14" x14ac:dyDescent="0.3">
      <c r="A1531" t="str">
        <f>정규화데이터!A1531</f>
        <v>리씽크</v>
      </c>
      <c r="B1531">
        <f>정규화데이터!B1531</f>
        <v>2.02602102307346E+18</v>
      </c>
      <c r="C1531" t="str">
        <f>정규화데이터!C1531</f>
        <v xml:space="preserve">워커힐 본갈비 3+1 최초❤️5만원대! 총1.2kg✨호텔특제 양념갈비 8인분 (✨1인분 7,375원꼴! / [300g,2인분] x 총 4팩  / ✨초이스등급 본갈비 / ❣️워커힐 </v>
      </c>
      <c r="D1531">
        <f>정규화데이터!D1531</f>
        <v>143812</v>
      </c>
      <c r="E1531" s="16" t="str">
        <f>정규화데이터!E1531</f>
        <v>SKU001</v>
      </c>
      <c r="F1531" s="3">
        <f>정규화데이터!F1531</f>
        <v>1</v>
      </c>
      <c r="G1531" s="3">
        <f>정규화데이터!G1531</f>
        <v>41363.636363636302</v>
      </c>
      <c r="H1531" s="3">
        <f>정규화데이터!H1531</f>
        <v>45499.999999999935</v>
      </c>
      <c r="I1531" s="3">
        <f>정규화데이터!I1531</f>
        <v>45500</v>
      </c>
      <c r="J1531" s="3">
        <f>정규화데이터!J1531</f>
        <v>41363.636363636302</v>
      </c>
      <c r="K1531" s="25">
        <f>정규화데이터!K1531</f>
        <v>15374</v>
      </c>
      <c r="L1531" s="25">
        <f>정규화데이터!L1531</f>
        <v>15374</v>
      </c>
      <c r="M1531" s="21">
        <f t="shared" si="46"/>
        <v>25989.636363636302</v>
      </c>
      <c r="N1531" s="52">
        <f t="shared" si="47"/>
        <v>0.62832087912087853</v>
      </c>
    </row>
    <row r="1532" spans="1:14" x14ac:dyDescent="0.3">
      <c r="A1532" t="str">
        <f>정규화데이터!A1532</f>
        <v>리씽크</v>
      </c>
      <c r="B1532">
        <f>정규화데이터!B1532</f>
        <v>2.02602102207504E+18</v>
      </c>
      <c r="C1532" t="str">
        <f>정규화데이터!C1532</f>
        <v xml:space="preserve">워커힐 본갈비 3+1 최초❤️5만원대! 총1.2kg✨호텔특제 양념갈비 8인분 (✨1인분 7,375원꼴! / [300g,2인분] x 총 4팩  / ✨초이스등급 본갈비 / ❣️워커힐 </v>
      </c>
      <c r="D1532">
        <f>정규화데이터!D1532</f>
        <v>143812</v>
      </c>
      <c r="E1532" s="16" t="str">
        <f>정규화데이터!E1532</f>
        <v>SKU001</v>
      </c>
      <c r="F1532" s="3">
        <f>정규화데이터!F1532</f>
        <v>3</v>
      </c>
      <c r="G1532" s="3">
        <f>정규화데이터!G1532</f>
        <v>41363.636363636331</v>
      </c>
      <c r="H1532" s="3">
        <f>정규화데이터!H1532</f>
        <v>136499.99999999991</v>
      </c>
      <c r="I1532" s="3">
        <f>정규화데이터!I1532</f>
        <v>136500</v>
      </c>
      <c r="J1532" s="3">
        <f>정규화데이터!J1532</f>
        <v>124090.909090909</v>
      </c>
      <c r="K1532" s="25">
        <f>정규화데이터!K1532</f>
        <v>15374</v>
      </c>
      <c r="L1532" s="25">
        <f>정규화데이터!L1532</f>
        <v>46122</v>
      </c>
      <c r="M1532" s="21">
        <f t="shared" si="46"/>
        <v>77968.909090909001</v>
      </c>
      <c r="N1532" s="52">
        <f t="shared" si="47"/>
        <v>0.62832087912087886</v>
      </c>
    </row>
    <row r="1533" spans="1:14" x14ac:dyDescent="0.3">
      <c r="A1533" t="str">
        <f>정규화데이터!A1533</f>
        <v>리씽크</v>
      </c>
      <c r="B1533">
        <f>정규화데이터!B1533</f>
        <v>2.0260210212955799E+18</v>
      </c>
      <c r="C1533" t="str">
        <f>정규화데이터!C1533</f>
        <v xml:space="preserve">워커힐 본갈비 3+1 최초❤️5만원대! 총1.2kg✨호텔특제 양념갈비 8인분 (✨1인분 7,375원꼴! / [300g,2인분] x 총 4팩  / ✨초이스등급 본갈비 / ❣️워커힐 </v>
      </c>
      <c r="D1533">
        <f>정규화데이터!D1533</f>
        <v>143812</v>
      </c>
      <c r="E1533" s="16" t="str">
        <f>정규화데이터!E1533</f>
        <v>SKU001</v>
      </c>
      <c r="F1533" s="3">
        <f>정규화데이터!F1533</f>
        <v>1</v>
      </c>
      <c r="G1533" s="3">
        <f>정규화데이터!G1533</f>
        <v>41363.636363636302</v>
      </c>
      <c r="H1533" s="3">
        <f>정규화데이터!H1533</f>
        <v>45499.999999999935</v>
      </c>
      <c r="I1533" s="3">
        <f>정규화데이터!I1533</f>
        <v>45500</v>
      </c>
      <c r="J1533" s="3">
        <f>정규화데이터!J1533</f>
        <v>41363.636363636302</v>
      </c>
      <c r="K1533" s="25">
        <f>정규화데이터!K1533</f>
        <v>15374</v>
      </c>
      <c r="L1533" s="25">
        <f>정규화데이터!L1533</f>
        <v>15374</v>
      </c>
      <c r="M1533" s="21">
        <f t="shared" si="46"/>
        <v>25989.636363636302</v>
      </c>
      <c r="N1533" s="52">
        <f t="shared" si="47"/>
        <v>0.62832087912087853</v>
      </c>
    </row>
    <row r="1534" spans="1:14" x14ac:dyDescent="0.3">
      <c r="A1534" t="str">
        <f>정규화데이터!A1534</f>
        <v>리씽크</v>
      </c>
      <c r="B1534">
        <f>정규화데이터!B1534</f>
        <v>2.02602102114354E+18</v>
      </c>
      <c r="C1534" t="str">
        <f>정규화데이터!C1534</f>
        <v xml:space="preserve">워커힐 본갈비 3+1 최초❤️5만원대! 총1.2kg✨호텔특제 양념갈비 8인분 (✨1인분 7,375원꼴! / [300g,2인분] x 총 4팩  / ✨초이스등급 본갈비 / ❣️워커힐 </v>
      </c>
      <c r="D1534">
        <f>정규화데이터!D1534</f>
        <v>143812</v>
      </c>
      <c r="E1534" s="16" t="str">
        <f>정규화데이터!E1534</f>
        <v>SKU001</v>
      </c>
      <c r="F1534" s="3">
        <f>정규화데이터!F1534</f>
        <v>1</v>
      </c>
      <c r="G1534" s="3">
        <f>정규화데이터!G1534</f>
        <v>41363.636363636302</v>
      </c>
      <c r="H1534" s="3">
        <f>정규화데이터!H1534</f>
        <v>45499.999999999935</v>
      </c>
      <c r="I1534" s="3">
        <f>정규화데이터!I1534</f>
        <v>45500</v>
      </c>
      <c r="J1534" s="3">
        <f>정규화데이터!J1534</f>
        <v>41363.636363636302</v>
      </c>
      <c r="K1534" s="25">
        <f>정규화데이터!K1534</f>
        <v>15374</v>
      </c>
      <c r="L1534" s="25">
        <f>정규화데이터!L1534</f>
        <v>15374</v>
      </c>
      <c r="M1534" s="21">
        <f t="shared" si="46"/>
        <v>25989.636363636302</v>
      </c>
      <c r="N1534" s="52">
        <f t="shared" si="47"/>
        <v>0.62832087912087853</v>
      </c>
    </row>
    <row r="1535" spans="1:14" x14ac:dyDescent="0.3">
      <c r="A1535" t="str">
        <f>정규화데이터!A1535</f>
        <v>리씽크</v>
      </c>
      <c r="B1535">
        <f>정규화데이터!B1535</f>
        <v>2.0260210191937001E+18</v>
      </c>
      <c r="C1535" t="str">
        <f>정규화데이터!C1535</f>
        <v xml:space="preserve">워커힐 본갈비 3+1 최초❤️5만원대! 총1.2kg✨호텔특제 양념갈비 8인분 (✨1인분 7,375원꼴! / [300g,2인분] x 총 4팩  / ✨초이스등급 본갈비 / ❣️워커힐 </v>
      </c>
      <c r="D1535">
        <f>정규화데이터!D1535</f>
        <v>143812</v>
      </c>
      <c r="E1535" s="16" t="str">
        <f>정규화데이터!E1535</f>
        <v>SKU001</v>
      </c>
      <c r="F1535" s="3">
        <f>정규화데이터!F1535</f>
        <v>1</v>
      </c>
      <c r="G1535" s="3">
        <f>정규화데이터!G1535</f>
        <v>41363.636363636302</v>
      </c>
      <c r="H1535" s="3">
        <f>정규화데이터!H1535</f>
        <v>45499.999999999935</v>
      </c>
      <c r="I1535" s="3">
        <f>정규화데이터!I1535</f>
        <v>45500</v>
      </c>
      <c r="J1535" s="3">
        <f>정규화데이터!J1535</f>
        <v>41363.636363636302</v>
      </c>
      <c r="K1535" s="25">
        <f>정규화데이터!K1535</f>
        <v>15374</v>
      </c>
      <c r="L1535" s="25">
        <f>정규화데이터!L1535</f>
        <v>15374</v>
      </c>
      <c r="M1535" s="21">
        <f t="shared" si="46"/>
        <v>25989.636363636302</v>
      </c>
      <c r="N1535" s="52">
        <f t="shared" si="47"/>
        <v>0.62832087912087853</v>
      </c>
    </row>
    <row r="1536" spans="1:14" x14ac:dyDescent="0.3">
      <c r="A1536" t="str">
        <f>정규화데이터!A1536</f>
        <v>리씽크</v>
      </c>
      <c r="B1536">
        <f>정규화데이터!B1536</f>
        <v>2.0260210191627E+18</v>
      </c>
      <c r="C1536" t="str">
        <f>정규화데이터!C1536</f>
        <v xml:space="preserve">워커힐 본갈비 3+1 최초❤️5만원대! 총1.2kg✨호텔특제 양념갈비 8인분 (✨1인분 7,375원꼴! / [300g,2인분] x 총 4팩  / ✨초이스등급 본갈비 / ❣️워커힐 </v>
      </c>
      <c r="D1536">
        <f>정규화데이터!D1536</f>
        <v>143812</v>
      </c>
      <c r="E1536" s="16" t="str">
        <f>정규화데이터!E1536</f>
        <v>SKU001</v>
      </c>
      <c r="F1536" s="3">
        <f>정규화데이터!F1536</f>
        <v>1</v>
      </c>
      <c r="G1536" s="3">
        <f>정규화데이터!G1536</f>
        <v>41363.636363636302</v>
      </c>
      <c r="H1536" s="3">
        <f>정규화데이터!H1536</f>
        <v>45499.999999999935</v>
      </c>
      <c r="I1536" s="3">
        <f>정규화데이터!I1536</f>
        <v>45500</v>
      </c>
      <c r="J1536" s="3">
        <f>정규화데이터!J1536</f>
        <v>41363.636363636302</v>
      </c>
      <c r="K1536" s="25">
        <f>정규화데이터!K1536</f>
        <v>15374</v>
      </c>
      <c r="L1536" s="25">
        <f>정규화데이터!L1536</f>
        <v>15374</v>
      </c>
      <c r="M1536" s="21">
        <f t="shared" si="46"/>
        <v>25989.636363636302</v>
      </c>
      <c r="N1536" s="52">
        <f t="shared" si="47"/>
        <v>0.62832087912087853</v>
      </c>
    </row>
    <row r="1537" spans="1:14" x14ac:dyDescent="0.3">
      <c r="A1537" t="str">
        <f>정규화데이터!A1537</f>
        <v>리씽크</v>
      </c>
      <c r="B1537">
        <f>정규화데이터!B1537</f>
        <v>2.0260210165845499E+18</v>
      </c>
      <c r="C1537" t="str">
        <f>정규화데이터!C1537</f>
        <v xml:space="preserve">워커힐 본갈비 3+1 최초❤️5만원대! 총1.2kg✨호텔특제 양념갈비 8인분 (✨1인분 7,375원꼴! / [300g,2인분] x 총 4팩  / ✨초이스등급 본갈비 / ❣️워커힐 </v>
      </c>
      <c r="D1537">
        <f>정규화데이터!D1537</f>
        <v>143812</v>
      </c>
      <c r="E1537" s="16" t="str">
        <f>정규화데이터!E1537</f>
        <v>SKU001</v>
      </c>
      <c r="F1537" s="3">
        <f>정규화데이터!F1537</f>
        <v>2</v>
      </c>
      <c r="G1537" s="3">
        <f>정규화데이터!G1537</f>
        <v>41363.636363636353</v>
      </c>
      <c r="H1537" s="3">
        <f>정규화데이터!H1537</f>
        <v>91000</v>
      </c>
      <c r="I1537" s="3">
        <f>정규화데이터!I1537</f>
        <v>91000</v>
      </c>
      <c r="J1537" s="3">
        <f>정규화데이터!J1537</f>
        <v>82727.272727272706</v>
      </c>
      <c r="K1537" s="25">
        <f>정규화데이터!K1537</f>
        <v>15374</v>
      </c>
      <c r="L1537" s="25">
        <f>정규화데이터!L1537</f>
        <v>30748</v>
      </c>
      <c r="M1537" s="21">
        <f t="shared" si="46"/>
        <v>51979.272727272706</v>
      </c>
      <c r="N1537" s="52">
        <f t="shared" si="47"/>
        <v>0.62832087912087897</v>
      </c>
    </row>
    <row r="1538" spans="1:14" x14ac:dyDescent="0.3">
      <c r="A1538" t="str">
        <f>정규화데이터!A1538</f>
        <v>리씽크</v>
      </c>
      <c r="B1538">
        <f>정규화데이터!B1538</f>
        <v>2.02602101139282E+18</v>
      </c>
      <c r="C1538" t="str">
        <f>정규화데이터!C1538</f>
        <v xml:space="preserve">워커힐 본갈비 3+1 최초❤️5만원대! 총1.2kg✨호텔특제 양념갈비 8인분 (✨1인분 7,375원꼴! / [300g,2인분] x 총 4팩  / ✨초이스등급 본갈비 / ❣️워커힐 </v>
      </c>
      <c r="D1538">
        <f>정규화데이터!D1538</f>
        <v>143812</v>
      </c>
      <c r="E1538" s="16" t="str">
        <f>정규화데이터!E1538</f>
        <v>SKU001</v>
      </c>
      <c r="F1538" s="3">
        <f>정규화데이터!F1538</f>
        <v>1</v>
      </c>
      <c r="G1538" s="3">
        <f>정규화데이터!G1538</f>
        <v>41363.636363636302</v>
      </c>
      <c r="H1538" s="3">
        <f>정규화데이터!H1538</f>
        <v>45499.999999999935</v>
      </c>
      <c r="I1538" s="3">
        <f>정규화데이터!I1538</f>
        <v>45500</v>
      </c>
      <c r="J1538" s="3">
        <f>정규화데이터!J1538</f>
        <v>41363.636363636302</v>
      </c>
      <c r="K1538" s="25">
        <f>정규화데이터!K1538</f>
        <v>15374</v>
      </c>
      <c r="L1538" s="25">
        <f>정규화데이터!L1538</f>
        <v>15374</v>
      </c>
      <c r="M1538" s="21">
        <f t="shared" si="46"/>
        <v>25989.636363636302</v>
      </c>
      <c r="N1538" s="52">
        <f t="shared" si="47"/>
        <v>0.62832087912087853</v>
      </c>
    </row>
    <row r="1539" spans="1:14" x14ac:dyDescent="0.3">
      <c r="A1539" t="str">
        <f>정규화데이터!A1539</f>
        <v>리씽크</v>
      </c>
      <c r="B1539">
        <f>정규화데이터!B1539</f>
        <v>2.0260211080026399E+18</v>
      </c>
      <c r="C1539" t="str">
        <f>정규화데이터!C1539</f>
        <v xml:space="preserve">워커힐 본갈비 3+1 최초❤️5만원대! 총1.2kg✨호텔특제 양념갈비 8인분 (✨1인분 7,375원꼴! / [300g,2인분] x 총 4팩  / ✨초이스등급 본갈비 / ❣️워커힐 </v>
      </c>
      <c r="D1539">
        <f>정규화데이터!D1539</f>
        <v>143790</v>
      </c>
      <c r="E1539" s="16" t="str">
        <f>정규화데이터!E1539</f>
        <v>SKU001</v>
      </c>
      <c r="F1539" s="3">
        <f>정규화데이터!F1539</f>
        <v>1</v>
      </c>
      <c r="G1539" s="3">
        <f>정규화데이터!G1539</f>
        <v>57272.727272727199</v>
      </c>
      <c r="H1539" s="3">
        <f>정규화데이터!H1539</f>
        <v>62999.999999999927</v>
      </c>
      <c r="I1539" s="3">
        <f>정규화데이터!I1539</f>
        <v>63000</v>
      </c>
      <c r="J1539" s="3">
        <f>정규화데이터!J1539</f>
        <v>57272.727272727199</v>
      </c>
      <c r="K1539" s="25">
        <f>정규화데이터!K1539</f>
        <v>30748</v>
      </c>
      <c r="L1539" s="25">
        <f>정규화데이터!L1539</f>
        <v>30748</v>
      </c>
      <c r="M1539" s="21">
        <f t="shared" ref="M1539:M1545" si="48">J1539-L1539</f>
        <v>26524.727272727199</v>
      </c>
      <c r="N1539" s="52">
        <f t="shared" ref="N1539:N1545" si="49">IF(J1539=0,0,M1539/J1539)</f>
        <v>0.46313015873015806</v>
      </c>
    </row>
    <row r="1540" spans="1:14" x14ac:dyDescent="0.3">
      <c r="A1540" t="str">
        <f>정규화데이터!A1540</f>
        <v>리씽크</v>
      </c>
      <c r="B1540">
        <f>정규화데이터!B1540</f>
        <v>2.0260211002741399E+18</v>
      </c>
      <c r="C1540" t="str">
        <f>정규화데이터!C1540</f>
        <v xml:space="preserve">워커힐 본갈비 3+1 최초❤️5만원대! 총1.2kg✨호텔특제 양념갈비 8인분 (✨1인분 7,375원꼴! / [300g,2인분] x 총 4팩  / ✨초이스등급 본갈비 / ❣️워커힐 </v>
      </c>
      <c r="D1540">
        <f>정규화데이터!D1540</f>
        <v>143790</v>
      </c>
      <c r="E1540" s="16" t="str">
        <f>정규화데이터!E1540</f>
        <v>SKU001</v>
      </c>
      <c r="F1540" s="3">
        <f>정규화데이터!F1540</f>
        <v>1</v>
      </c>
      <c r="G1540" s="3">
        <f>정규화데이터!G1540</f>
        <v>57272.727272727199</v>
      </c>
      <c r="H1540" s="3">
        <f>정규화데이터!H1540</f>
        <v>62999.999999999927</v>
      </c>
      <c r="I1540" s="3">
        <f>정규화데이터!I1540</f>
        <v>63000</v>
      </c>
      <c r="J1540" s="3">
        <f>정규화데이터!J1540</f>
        <v>57272.727272727199</v>
      </c>
      <c r="K1540" s="25">
        <f>정규화데이터!K1540</f>
        <v>30748</v>
      </c>
      <c r="L1540" s="25">
        <f>정규화데이터!L1540</f>
        <v>30748</v>
      </c>
      <c r="M1540" s="21">
        <f t="shared" si="48"/>
        <v>26524.727272727199</v>
      </c>
      <c r="N1540" s="52">
        <f t="shared" si="49"/>
        <v>0.46313015873015806</v>
      </c>
    </row>
    <row r="1541" spans="1:14" x14ac:dyDescent="0.3">
      <c r="A1541" t="str">
        <f>정규화데이터!A1541</f>
        <v>리씽크</v>
      </c>
      <c r="B1541">
        <f>정규화데이터!B1541</f>
        <v>2.0260210233352901E+18</v>
      </c>
      <c r="C1541" t="str">
        <f>정규화데이터!C1541</f>
        <v xml:space="preserve">워커힐 본갈비 3+1 최초❤️5만원대! 총1.2kg✨호텔특제 양념갈비 8인분 (✨1인분 7,375원꼴! / [300g,2인분] x 총 4팩  / ✨초이스등급 본갈비 / ❣️워커힐 </v>
      </c>
      <c r="D1541">
        <f>정규화데이터!D1541</f>
        <v>143790</v>
      </c>
      <c r="E1541" s="16" t="str">
        <f>정규화데이터!E1541</f>
        <v>SKU001</v>
      </c>
      <c r="F1541" s="3">
        <f>정규화데이터!F1541</f>
        <v>1</v>
      </c>
      <c r="G1541" s="3">
        <f>정규화데이터!G1541</f>
        <v>57272.727272727199</v>
      </c>
      <c r="H1541" s="3">
        <f>정규화데이터!H1541</f>
        <v>62999.999999999927</v>
      </c>
      <c r="I1541" s="3">
        <f>정규화데이터!I1541</f>
        <v>63000</v>
      </c>
      <c r="J1541" s="3">
        <f>정규화데이터!J1541</f>
        <v>57272.727272727199</v>
      </c>
      <c r="K1541" s="25">
        <f>정규화데이터!K1541</f>
        <v>30748</v>
      </c>
      <c r="L1541" s="25">
        <f>정규화데이터!L1541</f>
        <v>30748</v>
      </c>
      <c r="M1541" s="21">
        <f t="shared" si="48"/>
        <v>26524.727272727199</v>
      </c>
      <c r="N1541" s="52">
        <f t="shared" si="49"/>
        <v>0.46313015873015806</v>
      </c>
    </row>
    <row r="1542" spans="1:14" x14ac:dyDescent="0.3">
      <c r="A1542" t="str">
        <f>정규화데이터!A1542</f>
        <v>리씽크</v>
      </c>
      <c r="B1542">
        <f>정규화데이터!B1542</f>
        <v>2.02602102153071E+18</v>
      </c>
      <c r="C1542" t="str">
        <f>정규화데이터!C1542</f>
        <v xml:space="preserve">워커힐 본갈비 3+1 최초❤️5만원대! 총1.2kg✨호텔특제 양념갈비 8인분 (✨1인분 7,375원꼴! / [300g,2인분] x 총 4팩  / ✨초이스등급 본갈비 / ❣️워커힐 </v>
      </c>
      <c r="D1542">
        <f>정규화데이터!D1542</f>
        <v>143790</v>
      </c>
      <c r="E1542" s="16" t="str">
        <f>정규화데이터!E1542</f>
        <v>SKU001</v>
      </c>
      <c r="F1542" s="3">
        <f>정규화데이터!F1542</f>
        <v>1</v>
      </c>
      <c r="G1542" s="3">
        <f>정규화데이터!G1542</f>
        <v>57272.727272727199</v>
      </c>
      <c r="H1542" s="3">
        <f>정규화데이터!H1542</f>
        <v>62999.999999999927</v>
      </c>
      <c r="I1542" s="3">
        <f>정규화데이터!I1542</f>
        <v>63000</v>
      </c>
      <c r="J1542" s="3">
        <f>정규화데이터!J1542</f>
        <v>57272.727272727199</v>
      </c>
      <c r="K1542" s="25">
        <f>정규화데이터!K1542</f>
        <v>30748</v>
      </c>
      <c r="L1542" s="25">
        <f>정규화데이터!L1542</f>
        <v>30748</v>
      </c>
      <c r="M1542" s="21">
        <f t="shared" si="48"/>
        <v>26524.727272727199</v>
      </c>
      <c r="N1542" s="52">
        <f t="shared" si="49"/>
        <v>0.46313015873015806</v>
      </c>
    </row>
    <row r="1543" spans="1:14" x14ac:dyDescent="0.3">
      <c r="A1543" t="str">
        <f>정규화데이터!A1543</f>
        <v>리씽크</v>
      </c>
      <c r="B1543">
        <f>정규화데이터!B1543</f>
        <v>2.02602102010162E+18</v>
      </c>
      <c r="C1543" t="str">
        <f>정규화데이터!C1543</f>
        <v xml:space="preserve">워커힐 본갈비 3+1 최초❤️5만원대! 총1.2kg✨호텔특제 양념갈비 8인분 (✨1인분 7,375원꼴! / [300g,2인분] x 총 4팩  / ✨초이스등급 본갈비 / ❣️워커힐 </v>
      </c>
      <c r="D1543">
        <f>정규화데이터!D1543</f>
        <v>143790</v>
      </c>
      <c r="E1543" s="16" t="str">
        <f>정규화데이터!E1543</f>
        <v>SKU001</v>
      </c>
      <c r="F1543" s="3">
        <f>정규화데이터!F1543</f>
        <v>2</v>
      </c>
      <c r="G1543" s="3">
        <f>정규화데이터!G1543</f>
        <v>57272.727272727003</v>
      </c>
      <c r="H1543" s="3">
        <f>정규화데이터!H1543</f>
        <v>125999.99999999942</v>
      </c>
      <c r="I1543" s="3">
        <f>정규화데이터!I1543</f>
        <v>126000</v>
      </c>
      <c r="J1543" s="3">
        <f>정규화데이터!J1543</f>
        <v>114545.45454545401</v>
      </c>
      <c r="K1543" s="25">
        <f>정규화데이터!K1543</f>
        <v>30748</v>
      </c>
      <c r="L1543" s="25">
        <f>정규화데이터!L1543</f>
        <v>61496</v>
      </c>
      <c r="M1543" s="21">
        <f t="shared" si="48"/>
        <v>53049.454545454006</v>
      </c>
      <c r="N1543" s="52">
        <f t="shared" si="49"/>
        <v>0.46313015873015623</v>
      </c>
    </row>
    <row r="1544" spans="1:14" x14ac:dyDescent="0.3">
      <c r="A1544" t="str">
        <f>정규화데이터!A1544</f>
        <v>리씽크</v>
      </c>
      <c r="B1544">
        <f>정규화데이터!B1544</f>
        <v>2.02602101352161E+18</v>
      </c>
      <c r="C1544" t="str">
        <f>정규화데이터!C1544</f>
        <v xml:space="preserve">워커힐 본갈비 3+1 최초❤️5만원대! 총1.2kg✨호텔특제 양념갈비 8인분 (✨1인분 7,375원꼴! / [300g,2인분] x 총 4팩  / ✨초이스등급 본갈비 / ❣️워커힐 </v>
      </c>
      <c r="D1544">
        <f>정규화데이터!D1544</f>
        <v>143790</v>
      </c>
      <c r="E1544" s="16" t="str">
        <f>정규화데이터!E1544</f>
        <v>SKU001</v>
      </c>
      <c r="F1544" s="3">
        <f>정규화데이터!F1544</f>
        <v>1</v>
      </c>
      <c r="G1544" s="3">
        <f>정규화데이터!G1544</f>
        <v>57272.727272727199</v>
      </c>
      <c r="H1544" s="3">
        <f>정규화데이터!H1544</f>
        <v>62999.999999999927</v>
      </c>
      <c r="I1544" s="3">
        <f>정규화데이터!I1544</f>
        <v>63000</v>
      </c>
      <c r="J1544" s="3">
        <f>정규화데이터!J1544</f>
        <v>57272.727272727199</v>
      </c>
      <c r="K1544" s="25">
        <f>정규화데이터!K1544</f>
        <v>30748</v>
      </c>
      <c r="L1544" s="25">
        <f>정규화데이터!L1544</f>
        <v>30748</v>
      </c>
      <c r="M1544" s="21">
        <f t="shared" si="48"/>
        <v>26524.727272727199</v>
      </c>
      <c r="N1544" s="52">
        <f t="shared" si="49"/>
        <v>0.46313015873015806</v>
      </c>
    </row>
    <row r="1545" spans="1:14" x14ac:dyDescent="0.3">
      <c r="A1545" t="str">
        <f>정규화데이터!A1545</f>
        <v>리씽크</v>
      </c>
      <c r="B1545">
        <f>정규화데이터!B1545</f>
        <v>2.0260210112219899E+18</v>
      </c>
      <c r="C1545" t="str">
        <f>정규화데이터!C1545</f>
        <v xml:space="preserve">워커힐 본갈비 3+1 최초❤️5만원대! 총1.2kg✨호텔특제 양념갈비 8인분 (✨1인분 7,375원꼴! / [300g,2인분] x 총 4팩  / ✨초이스등급 본갈비 / ❣️워커힐 </v>
      </c>
      <c r="D1545">
        <f>정규화데이터!D1545</f>
        <v>143790</v>
      </c>
      <c r="E1545" s="16" t="str">
        <f>정규화데이터!E1545</f>
        <v>SKU001</v>
      </c>
      <c r="F1545" s="3">
        <f>정규화데이터!F1545</f>
        <v>1</v>
      </c>
      <c r="G1545" s="3">
        <f>정규화데이터!G1545</f>
        <v>57272.727272727199</v>
      </c>
      <c r="H1545" s="3">
        <f>정규화데이터!H1545</f>
        <v>62999.999999999927</v>
      </c>
      <c r="I1545" s="3">
        <f>정규화데이터!I1545</f>
        <v>63000</v>
      </c>
      <c r="J1545" s="3">
        <f>정규화데이터!J1545</f>
        <v>57272.727272727199</v>
      </c>
      <c r="K1545" s="25">
        <f>정규화데이터!K1545</f>
        <v>30748</v>
      </c>
      <c r="L1545" s="25">
        <f>정규화데이터!L1545</f>
        <v>30748</v>
      </c>
      <c r="M1545" s="21">
        <f t="shared" si="48"/>
        <v>26524.727272727199</v>
      </c>
      <c r="N1545" s="52">
        <f t="shared" si="49"/>
        <v>0.46313015873015806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5BCF-D57B-43A6-AB5F-2AF267852B61}">
  <dimension ref="A1:K10"/>
  <sheetViews>
    <sheetView showGridLines="0" tabSelected="1" workbookViewId="0">
      <selection activeCell="B2" sqref="B2"/>
    </sheetView>
  </sheetViews>
  <sheetFormatPr defaultRowHeight="16.5" x14ac:dyDescent="0.3"/>
  <cols>
    <col min="1" max="1" width="9.25" bestFit="1" customWidth="1"/>
    <col min="2" max="4" width="12.625" bestFit="1" customWidth="1"/>
    <col min="5" max="5" width="11.25" bestFit="1" customWidth="1"/>
    <col min="6" max="6" width="14.625" bestFit="1" customWidth="1"/>
    <col min="10" max="10" width="11.25" bestFit="1" customWidth="1"/>
  </cols>
  <sheetData>
    <row r="1" spans="1:11" x14ac:dyDescent="0.3">
      <c r="A1" s="29" t="s">
        <v>1789</v>
      </c>
      <c r="B1" s="1" t="s">
        <v>1793</v>
      </c>
      <c r="C1" s="1" t="s">
        <v>1794</v>
      </c>
      <c r="D1" s="1" t="s">
        <v>1795</v>
      </c>
      <c r="E1" s="6" t="s">
        <v>1796</v>
      </c>
      <c r="F1" s="6" t="s">
        <v>1797</v>
      </c>
      <c r="G1" s="6" t="s">
        <v>1798</v>
      </c>
      <c r="H1" s="6" t="s">
        <v>1799</v>
      </c>
      <c r="I1" s="6" t="s">
        <v>1800</v>
      </c>
      <c r="J1" s="32" t="s">
        <v>1790</v>
      </c>
      <c r="K1" s="32" t="s">
        <v>6</v>
      </c>
    </row>
    <row r="2" spans="1:11" x14ac:dyDescent="0.3">
      <c r="A2" s="2" t="s">
        <v>1791</v>
      </c>
      <c r="B2" s="25">
        <v>2400</v>
      </c>
      <c r="C2" s="33">
        <v>0</v>
      </c>
      <c r="D2" s="25">
        <v>1000</v>
      </c>
      <c r="E2" s="25">
        <v>850</v>
      </c>
      <c r="F2" s="25">
        <v>100</v>
      </c>
      <c r="G2" s="25">
        <v>100</v>
      </c>
      <c r="H2" s="25">
        <v>600</v>
      </c>
      <c r="I2" s="25">
        <v>0</v>
      </c>
      <c r="J2" s="26">
        <v>46065</v>
      </c>
      <c r="K2" t="s">
        <v>1801</v>
      </c>
    </row>
    <row r="4" spans="1:11" ht="17.25" x14ac:dyDescent="0.3">
      <c r="A4" s="34" t="s">
        <v>1802</v>
      </c>
    </row>
    <row r="6" spans="1:11" x14ac:dyDescent="0.3">
      <c r="A6" s="35" t="s">
        <v>1803</v>
      </c>
      <c r="B6" t="s">
        <v>1806</v>
      </c>
    </row>
    <row r="8" spans="1:11" ht="17.25" x14ac:dyDescent="0.3">
      <c r="A8" s="36" t="s">
        <v>1804</v>
      </c>
    </row>
    <row r="10" spans="1:11" x14ac:dyDescent="0.3">
      <c r="A10" s="7" t="s">
        <v>1805</v>
      </c>
      <c r="B10" t="s">
        <v>1807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AA40-8790-4798-911E-132A16A0EADB}">
  <dimension ref="A1:AN16"/>
  <sheetViews>
    <sheetView topLeftCell="U1" workbookViewId="0">
      <selection activeCell="AK22" sqref="AK22"/>
    </sheetView>
  </sheetViews>
  <sheetFormatPr defaultRowHeight="16.5" x14ac:dyDescent="0.3"/>
  <sheetData>
    <row r="1" spans="1:40" x14ac:dyDescent="0.3">
      <c r="A1" t="s">
        <v>2516</v>
      </c>
      <c r="B1" t="s">
        <v>2517</v>
      </c>
      <c r="C1" t="s">
        <v>38</v>
      </c>
      <c r="D1" t="s">
        <v>2518</v>
      </c>
      <c r="E1" t="s">
        <v>2519</v>
      </c>
      <c r="F1" t="s">
        <v>2520</v>
      </c>
      <c r="G1" t="s">
        <v>2521</v>
      </c>
      <c r="H1" t="s">
        <v>2522</v>
      </c>
      <c r="I1" t="s">
        <v>2523</v>
      </c>
      <c r="J1" t="s">
        <v>2524</v>
      </c>
      <c r="K1" t="s">
        <v>2525</v>
      </c>
      <c r="L1" t="s">
        <v>2526</v>
      </c>
      <c r="M1" t="s">
        <v>2527</v>
      </c>
      <c r="N1" t="s">
        <v>2528</v>
      </c>
      <c r="O1" t="s">
        <v>2529</v>
      </c>
      <c r="P1" t="s">
        <v>2530</v>
      </c>
      <c r="Q1" t="s">
        <v>2531</v>
      </c>
      <c r="R1" t="s">
        <v>2532</v>
      </c>
      <c r="S1" t="s">
        <v>2533</v>
      </c>
      <c r="T1" t="s">
        <v>2534</v>
      </c>
      <c r="U1" t="s">
        <v>1786</v>
      </c>
      <c r="V1" t="s">
        <v>2535</v>
      </c>
      <c r="W1" t="s">
        <v>2536</v>
      </c>
      <c r="X1" t="s">
        <v>2537</v>
      </c>
      <c r="Y1" t="s">
        <v>2538</v>
      </c>
      <c r="Z1" t="s">
        <v>2539</v>
      </c>
      <c r="AA1" t="s">
        <v>2540</v>
      </c>
      <c r="AB1" t="s">
        <v>2541</v>
      </c>
      <c r="AC1" t="s">
        <v>2542</v>
      </c>
      <c r="AD1" t="s">
        <v>2543</v>
      </c>
      <c r="AE1" t="s">
        <v>2544</v>
      </c>
      <c r="AF1" t="s">
        <v>2545</v>
      </c>
      <c r="AG1" t="s">
        <v>2546</v>
      </c>
      <c r="AH1" t="s">
        <v>2547</v>
      </c>
      <c r="AI1" t="s">
        <v>2548</v>
      </c>
      <c r="AJ1" t="s">
        <v>2549</v>
      </c>
      <c r="AK1" t="s">
        <v>2550</v>
      </c>
      <c r="AL1" t="s">
        <v>1674</v>
      </c>
      <c r="AM1" t="s">
        <v>2551</v>
      </c>
      <c r="AN1" t="s">
        <v>2552</v>
      </c>
    </row>
    <row r="2" spans="1:40" x14ac:dyDescent="0.3">
      <c r="A2">
        <v>1</v>
      </c>
      <c r="B2">
        <v>651343802793997</v>
      </c>
      <c r="C2">
        <v>12100169248866</v>
      </c>
      <c r="D2" t="s">
        <v>2553</v>
      </c>
      <c r="F2" t="s">
        <v>2554</v>
      </c>
      <c r="H2" s="26">
        <v>46058</v>
      </c>
      <c r="J2" s="50">
        <v>46057.870208333334</v>
      </c>
      <c r="K2" t="s">
        <v>2555</v>
      </c>
      <c r="L2" t="s">
        <v>2556</v>
      </c>
      <c r="M2" t="s">
        <v>2557</v>
      </c>
      <c r="N2">
        <v>9354612220</v>
      </c>
      <c r="O2">
        <v>94659124876</v>
      </c>
      <c r="P2" t="s">
        <v>2558</v>
      </c>
      <c r="S2">
        <v>20900</v>
      </c>
      <c r="T2" t="s">
        <v>2559</v>
      </c>
      <c r="U2">
        <v>0</v>
      </c>
      <c r="V2">
        <v>0</v>
      </c>
      <c r="W2">
        <v>1</v>
      </c>
      <c r="X2">
        <v>20900</v>
      </c>
      <c r="Y2" t="s">
        <v>2560</v>
      </c>
      <c r="Z2" t="s">
        <v>2561</v>
      </c>
      <c r="AA2" t="s">
        <v>2560</v>
      </c>
      <c r="AB2" t="s">
        <v>2561</v>
      </c>
      <c r="AC2">
        <v>10021</v>
      </c>
      <c r="AD2" t="s">
        <v>2562</v>
      </c>
      <c r="AE2" t="s">
        <v>2563</v>
      </c>
      <c r="AM2" t="s">
        <v>2564</v>
      </c>
      <c r="AN2" t="s">
        <v>2565</v>
      </c>
    </row>
    <row r="3" spans="1:40" x14ac:dyDescent="0.3">
      <c r="A3">
        <v>2</v>
      </c>
      <c r="B3">
        <v>651376581296215</v>
      </c>
      <c r="C3">
        <v>28100169339326</v>
      </c>
      <c r="D3" t="s">
        <v>2553</v>
      </c>
      <c r="F3" t="s">
        <v>2554</v>
      </c>
      <c r="H3" s="26">
        <v>46058</v>
      </c>
      <c r="J3" s="50">
        <v>46057.9606712963</v>
      </c>
      <c r="K3" t="s">
        <v>2555</v>
      </c>
      <c r="L3" t="s">
        <v>2556</v>
      </c>
      <c r="M3" t="s">
        <v>2557</v>
      </c>
      <c r="N3">
        <v>9354612220</v>
      </c>
      <c r="O3">
        <v>94659124876</v>
      </c>
      <c r="P3" t="s">
        <v>2558</v>
      </c>
      <c r="S3">
        <v>20900</v>
      </c>
      <c r="T3" t="s">
        <v>2559</v>
      </c>
      <c r="U3">
        <v>0</v>
      </c>
      <c r="V3">
        <v>0</v>
      </c>
      <c r="W3">
        <v>1</v>
      </c>
      <c r="X3">
        <v>20900</v>
      </c>
      <c r="Y3" t="s">
        <v>2566</v>
      </c>
      <c r="Z3" t="s">
        <v>2567</v>
      </c>
      <c r="AA3" t="s">
        <v>2566</v>
      </c>
      <c r="AB3" t="s">
        <v>2567</v>
      </c>
      <c r="AC3">
        <v>2535</v>
      </c>
      <c r="AD3" t="s">
        <v>2568</v>
      </c>
      <c r="AE3" t="s">
        <v>2563</v>
      </c>
      <c r="AM3" t="s">
        <v>2569</v>
      </c>
      <c r="AN3" t="s">
        <v>2565</v>
      </c>
    </row>
    <row r="4" spans="1:40" x14ac:dyDescent="0.3">
      <c r="A4">
        <v>3</v>
      </c>
      <c r="B4">
        <v>651516109013044</v>
      </c>
      <c r="C4">
        <v>30100169868577</v>
      </c>
      <c r="D4" t="s">
        <v>2553</v>
      </c>
      <c r="F4" t="s">
        <v>2554</v>
      </c>
      <c r="H4" s="26">
        <v>46059</v>
      </c>
      <c r="J4" s="50">
        <v>46058.345706018517</v>
      </c>
      <c r="K4" t="s">
        <v>2555</v>
      </c>
      <c r="L4" t="s">
        <v>2556</v>
      </c>
      <c r="M4" t="s">
        <v>2557</v>
      </c>
      <c r="N4">
        <v>9354612220</v>
      </c>
      <c r="O4">
        <v>94659124876</v>
      </c>
      <c r="P4" t="s">
        <v>2558</v>
      </c>
      <c r="S4">
        <v>62700</v>
      </c>
      <c r="T4" t="s">
        <v>2559</v>
      </c>
      <c r="U4">
        <v>0</v>
      </c>
      <c r="V4">
        <v>0</v>
      </c>
      <c r="W4">
        <v>3</v>
      </c>
      <c r="X4">
        <v>20900</v>
      </c>
      <c r="Y4" t="s">
        <v>2570</v>
      </c>
      <c r="Z4" t="s">
        <v>2571</v>
      </c>
      <c r="AA4" t="s">
        <v>2570</v>
      </c>
      <c r="AB4" t="s">
        <v>2571</v>
      </c>
      <c r="AC4">
        <v>31168</v>
      </c>
      <c r="AD4" t="s">
        <v>2572</v>
      </c>
      <c r="AE4" t="s">
        <v>2563</v>
      </c>
      <c r="AM4" t="s">
        <v>2564</v>
      </c>
      <c r="AN4" t="s">
        <v>2565</v>
      </c>
    </row>
    <row r="5" spans="1:40" x14ac:dyDescent="0.3">
      <c r="A5">
        <v>1</v>
      </c>
      <c r="B5">
        <v>651643817082938</v>
      </c>
      <c r="C5">
        <v>19100169693948</v>
      </c>
      <c r="D5" t="s">
        <v>2553</v>
      </c>
      <c r="F5" t="s">
        <v>2554</v>
      </c>
      <c r="H5" s="26">
        <v>46062</v>
      </c>
      <c r="J5" s="50">
        <v>46058.698101851849</v>
      </c>
      <c r="K5" t="s">
        <v>2555</v>
      </c>
      <c r="L5" t="s">
        <v>2556</v>
      </c>
      <c r="M5" t="s">
        <v>2557</v>
      </c>
      <c r="N5">
        <v>9354612220</v>
      </c>
      <c r="O5">
        <v>94659124876</v>
      </c>
      <c r="P5" t="s">
        <v>2558</v>
      </c>
      <c r="S5">
        <v>20900</v>
      </c>
      <c r="T5" t="s">
        <v>2559</v>
      </c>
      <c r="U5">
        <v>0</v>
      </c>
      <c r="V5">
        <v>0</v>
      </c>
      <c r="W5">
        <v>1</v>
      </c>
      <c r="X5">
        <v>20900</v>
      </c>
      <c r="Y5" t="s">
        <v>2573</v>
      </c>
      <c r="Z5" t="s">
        <v>2574</v>
      </c>
      <c r="AA5" t="s">
        <v>2573</v>
      </c>
      <c r="AB5" t="s">
        <v>2574</v>
      </c>
      <c r="AC5">
        <v>25919</v>
      </c>
      <c r="AD5" t="s">
        <v>2575</v>
      </c>
      <c r="AE5" t="s">
        <v>2563</v>
      </c>
      <c r="AM5" t="s">
        <v>2564</v>
      </c>
      <c r="AN5" t="s">
        <v>2565</v>
      </c>
    </row>
    <row r="6" spans="1:40" x14ac:dyDescent="0.3">
      <c r="A6">
        <v>2</v>
      </c>
      <c r="B6">
        <v>651742110662698</v>
      </c>
      <c r="C6">
        <v>26100169614931</v>
      </c>
      <c r="D6" t="s">
        <v>2553</v>
      </c>
      <c r="F6" t="s">
        <v>2554</v>
      </c>
      <c r="H6" s="26">
        <v>46062</v>
      </c>
      <c r="J6" s="50">
        <v>46058.969236111108</v>
      </c>
      <c r="K6" t="s">
        <v>2555</v>
      </c>
      <c r="L6" t="s">
        <v>2576</v>
      </c>
      <c r="M6" t="s">
        <v>2577</v>
      </c>
      <c r="N6">
        <v>9354612220</v>
      </c>
      <c r="O6">
        <v>94659124877</v>
      </c>
      <c r="P6" t="s">
        <v>2578</v>
      </c>
      <c r="S6">
        <v>40000</v>
      </c>
      <c r="T6" t="s">
        <v>2559</v>
      </c>
      <c r="U6">
        <v>0</v>
      </c>
      <c r="V6">
        <v>0</v>
      </c>
      <c r="W6">
        <v>1</v>
      </c>
      <c r="X6">
        <v>40000</v>
      </c>
      <c r="Y6" t="s">
        <v>2579</v>
      </c>
      <c r="Z6" t="s">
        <v>2580</v>
      </c>
      <c r="AA6" t="s">
        <v>2579</v>
      </c>
      <c r="AB6" t="s">
        <v>2580</v>
      </c>
      <c r="AC6">
        <v>1402</v>
      </c>
      <c r="AD6" t="s">
        <v>2581</v>
      </c>
      <c r="AE6" t="s">
        <v>2563</v>
      </c>
      <c r="AM6" t="s">
        <v>2564</v>
      </c>
      <c r="AN6" t="s">
        <v>2565</v>
      </c>
    </row>
    <row r="7" spans="1:40" x14ac:dyDescent="0.3">
      <c r="A7">
        <v>1</v>
      </c>
      <c r="B7">
        <v>652449983266836</v>
      </c>
      <c r="C7">
        <v>7100170513612</v>
      </c>
      <c r="D7" t="s">
        <v>2553</v>
      </c>
      <c r="F7" t="s">
        <v>2554</v>
      </c>
      <c r="H7" s="26">
        <v>46064</v>
      </c>
      <c r="J7" s="50">
        <v>46060.922696759262</v>
      </c>
      <c r="K7" t="s">
        <v>2555</v>
      </c>
      <c r="L7" t="s">
        <v>2582</v>
      </c>
      <c r="M7" t="s">
        <v>2583</v>
      </c>
      <c r="N7">
        <v>9361402632</v>
      </c>
      <c r="O7">
        <v>94659124878</v>
      </c>
      <c r="P7" t="s">
        <v>2584</v>
      </c>
      <c r="S7">
        <v>78000</v>
      </c>
      <c r="T7" t="s">
        <v>2559</v>
      </c>
      <c r="U7">
        <v>0</v>
      </c>
      <c r="V7">
        <v>0</v>
      </c>
      <c r="W7">
        <v>1</v>
      </c>
      <c r="X7">
        <v>78000</v>
      </c>
      <c r="Y7" t="s">
        <v>2585</v>
      </c>
      <c r="Z7" t="s">
        <v>2586</v>
      </c>
      <c r="AA7" t="s">
        <v>2585</v>
      </c>
      <c r="AB7" t="s">
        <v>2586</v>
      </c>
      <c r="AC7">
        <v>8291</v>
      </c>
      <c r="AD7" t="s">
        <v>2587</v>
      </c>
      <c r="AE7" t="s">
        <v>2563</v>
      </c>
      <c r="AM7" t="s">
        <v>2569</v>
      </c>
      <c r="AN7" t="s">
        <v>2565</v>
      </c>
    </row>
    <row r="8" spans="1:40" x14ac:dyDescent="0.3">
      <c r="A8">
        <v>2</v>
      </c>
      <c r="B8">
        <v>652750438154320</v>
      </c>
      <c r="C8">
        <v>32100170207333</v>
      </c>
      <c r="D8" t="s">
        <v>2553</v>
      </c>
      <c r="F8" t="s">
        <v>2554</v>
      </c>
      <c r="H8" s="26">
        <v>46064</v>
      </c>
      <c r="J8" s="50">
        <v>46061.751793981479</v>
      </c>
      <c r="K8" t="s">
        <v>2555</v>
      </c>
      <c r="L8" t="s">
        <v>2582</v>
      </c>
      <c r="M8" t="s">
        <v>2583</v>
      </c>
      <c r="N8">
        <v>9361402632</v>
      </c>
      <c r="O8">
        <v>94659124878</v>
      </c>
      <c r="P8" t="s">
        <v>2584</v>
      </c>
      <c r="S8">
        <v>78000</v>
      </c>
      <c r="T8" t="s">
        <v>2559</v>
      </c>
      <c r="U8">
        <v>0</v>
      </c>
      <c r="V8">
        <v>0</v>
      </c>
      <c r="W8">
        <v>1</v>
      </c>
      <c r="X8">
        <v>78000</v>
      </c>
      <c r="Y8" t="s">
        <v>2588</v>
      </c>
      <c r="Z8" t="s">
        <v>2589</v>
      </c>
      <c r="AA8" t="s">
        <v>2588</v>
      </c>
      <c r="AB8" t="s">
        <v>2589</v>
      </c>
      <c r="AC8">
        <v>5209</v>
      </c>
      <c r="AD8" t="s">
        <v>2590</v>
      </c>
      <c r="AE8" t="s">
        <v>2563</v>
      </c>
      <c r="AM8" t="s">
        <v>2564</v>
      </c>
      <c r="AN8" t="s">
        <v>2565</v>
      </c>
    </row>
    <row r="9" spans="1:40" x14ac:dyDescent="0.3">
      <c r="A9">
        <v>1</v>
      </c>
      <c r="B9">
        <v>653046421766198</v>
      </c>
      <c r="C9">
        <v>18100170248996</v>
      </c>
      <c r="D9" t="s">
        <v>2553</v>
      </c>
      <c r="F9" t="s">
        <v>2554</v>
      </c>
      <c r="H9" s="26">
        <v>46064</v>
      </c>
      <c r="J9" s="50">
        <v>46062.549432870372</v>
      </c>
      <c r="K9" t="s">
        <v>2555</v>
      </c>
      <c r="L9" t="s">
        <v>2576</v>
      </c>
      <c r="M9" t="s">
        <v>2577</v>
      </c>
      <c r="N9">
        <v>9354612220</v>
      </c>
      <c r="O9">
        <v>94659124877</v>
      </c>
      <c r="P9" t="s">
        <v>2578</v>
      </c>
      <c r="S9">
        <v>40000</v>
      </c>
      <c r="T9" t="s">
        <v>2559</v>
      </c>
      <c r="U9">
        <v>0</v>
      </c>
      <c r="V9">
        <v>0</v>
      </c>
      <c r="W9">
        <v>1</v>
      </c>
      <c r="X9">
        <v>40000</v>
      </c>
      <c r="Y9" t="s">
        <v>2591</v>
      </c>
      <c r="Z9" t="s">
        <v>2592</v>
      </c>
      <c r="AA9" t="s">
        <v>2591</v>
      </c>
      <c r="AB9" t="s">
        <v>2592</v>
      </c>
      <c r="AC9">
        <v>4420</v>
      </c>
      <c r="AD9" t="s">
        <v>2593</v>
      </c>
      <c r="AE9" t="s">
        <v>2563</v>
      </c>
      <c r="AM9" t="s">
        <v>2594</v>
      </c>
      <c r="AN9" t="s">
        <v>2565</v>
      </c>
    </row>
    <row r="10" spans="1:40" x14ac:dyDescent="0.3">
      <c r="A10">
        <v>1</v>
      </c>
      <c r="B10">
        <v>653459095158797</v>
      </c>
      <c r="C10">
        <v>9100170443201</v>
      </c>
      <c r="D10" t="s">
        <v>2553</v>
      </c>
      <c r="F10" t="s">
        <v>2554</v>
      </c>
      <c r="H10" s="26">
        <v>46065</v>
      </c>
      <c r="J10" s="50">
        <v>46063.707314814812</v>
      </c>
      <c r="K10" t="s">
        <v>2555</v>
      </c>
      <c r="L10" t="s">
        <v>2582</v>
      </c>
      <c r="M10" t="s">
        <v>2583</v>
      </c>
      <c r="N10">
        <v>9361402632</v>
      </c>
      <c r="O10">
        <v>94659124878</v>
      </c>
      <c r="P10" t="s">
        <v>2584</v>
      </c>
      <c r="S10">
        <v>78000</v>
      </c>
      <c r="T10" t="s">
        <v>2559</v>
      </c>
      <c r="U10">
        <v>0</v>
      </c>
      <c r="V10">
        <v>0</v>
      </c>
      <c r="W10">
        <v>1</v>
      </c>
      <c r="X10">
        <v>78000</v>
      </c>
      <c r="Y10" t="s">
        <v>2595</v>
      </c>
      <c r="Z10" t="s">
        <v>2596</v>
      </c>
      <c r="AA10" t="s">
        <v>2595</v>
      </c>
      <c r="AB10" t="s">
        <v>2596</v>
      </c>
      <c r="AC10">
        <v>3978</v>
      </c>
      <c r="AD10" t="s">
        <v>2597</v>
      </c>
      <c r="AE10" t="s">
        <v>2563</v>
      </c>
      <c r="AM10" t="s">
        <v>2564</v>
      </c>
      <c r="AN10" t="s">
        <v>2565</v>
      </c>
    </row>
    <row r="11" spans="1:40" x14ac:dyDescent="0.3">
      <c r="A11">
        <v>2</v>
      </c>
      <c r="B11">
        <v>653472424656948</v>
      </c>
      <c r="C11">
        <v>9100170453124</v>
      </c>
      <c r="D11" t="s">
        <v>2553</v>
      </c>
      <c r="F11" t="s">
        <v>2554</v>
      </c>
      <c r="H11" s="26">
        <v>46065</v>
      </c>
      <c r="J11" s="50">
        <v>46063.744108796294</v>
      </c>
      <c r="K11" t="s">
        <v>2555</v>
      </c>
      <c r="L11" t="s">
        <v>2582</v>
      </c>
      <c r="M11" t="s">
        <v>2583</v>
      </c>
      <c r="N11">
        <v>9361402632</v>
      </c>
      <c r="O11">
        <v>94659124878</v>
      </c>
      <c r="P11" t="s">
        <v>2584</v>
      </c>
      <c r="S11">
        <v>78000</v>
      </c>
      <c r="T11" t="s">
        <v>2559</v>
      </c>
      <c r="U11">
        <v>0</v>
      </c>
      <c r="V11">
        <v>0</v>
      </c>
      <c r="W11">
        <v>1</v>
      </c>
      <c r="X11">
        <v>78000</v>
      </c>
      <c r="Y11" t="s">
        <v>2598</v>
      </c>
      <c r="Z11" t="s">
        <v>2599</v>
      </c>
      <c r="AA11" t="s">
        <v>2598</v>
      </c>
      <c r="AB11" t="s">
        <v>2599</v>
      </c>
      <c r="AC11">
        <v>10423</v>
      </c>
      <c r="AD11" t="s">
        <v>2600</v>
      </c>
      <c r="AE11" t="s">
        <v>2563</v>
      </c>
      <c r="AM11" t="s">
        <v>2564</v>
      </c>
      <c r="AN11" t="s">
        <v>2565</v>
      </c>
    </row>
    <row r="12" spans="1:40" x14ac:dyDescent="0.3">
      <c r="A12">
        <v>3</v>
      </c>
      <c r="B12">
        <v>653527206477885</v>
      </c>
      <c r="C12">
        <v>16100171241527</v>
      </c>
      <c r="D12" t="s">
        <v>2553</v>
      </c>
      <c r="F12" t="s">
        <v>2554</v>
      </c>
      <c r="H12" s="26">
        <v>46065</v>
      </c>
      <c r="J12" s="50">
        <v>46063.895243055558</v>
      </c>
      <c r="K12" t="s">
        <v>2555</v>
      </c>
      <c r="L12" t="s">
        <v>2576</v>
      </c>
      <c r="M12" t="s">
        <v>2577</v>
      </c>
      <c r="N12">
        <v>9354612220</v>
      </c>
      <c r="O12">
        <v>94659124877</v>
      </c>
      <c r="P12" t="s">
        <v>2578</v>
      </c>
      <c r="S12">
        <v>40000</v>
      </c>
      <c r="T12" t="s">
        <v>2559</v>
      </c>
      <c r="U12">
        <v>0</v>
      </c>
      <c r="V12">
        <v>0</v>
      </c>
      <c r="W12">
        <v>1</v>
      </c>
      <c r="X12">
        <v>40000</v>
      </c>
      <c r="Y12" t="s">
        <v>2601</v>
      </c>
      <c r="Z12" t="s">
        <v>2602</v>
      </c>
      <c r="AA12" t="s">
        <v>2601</v>
      </c>
      <c r="AB12" t="s">
        <v>2602</v>
      </c>
      <c r="AC12">
        <v>13928</v>
      </c>
      <c r="AD12" t="s">
        <v>2603</v>
      </c>
      <c r="AE12" t="s">
        <v>2604</v>
      </c>
      <c r="AM12" t="s">
        <v>2564</v>
      </c>
      <c r="AN12" t="s">
        <v>2565</v>
      </c>
    </row>
    <row r="13" spans="1:40" x14ac:dyDescent="0.3">
      <c r="A13">
        <v>1</v>
      </c>
      <c r="B13">
        <v>653724598698045</v>
      </c>
      <c r="C13">
        <v>32100170791524</v>
      </c>
      <c r="D13" t="s">
        <v>2553</v>
      </c>
      <c r="F13" t="s">
        <v>2554</v>
      </c>
      <c r="H13" s="26">
        <v>46066</v>
      </c>
      <c r="J13" s="50">
        <v>46064.439965277779</v>
      </c>
      <c r="K13" t="s">
        <v>2555</v>
      </c>
      <c r="L13" t="s">
        <v>2582</v>
      </c>
      <c r="M13" t="s">
        <v>2583</v>
      </c>
      <c r="N13">
        <v>9361402632</v>
      </c>
      <c r="O13">
        <v>94659124878</v>
      </c>
      <c r="P13" t="s">
        <v>2584</v>
      </c>
      <c r="S13">
        <v>78000</v>
      </c>
      <c r="T13" t="s">
        <v>2559</v>
      </c>
      <c r="U13">
        <v>0</v>
      </c>
      <c r="V13">
        <v>0</v>
      </c>
      <c r="W13">
        <v>1</v>
      </c>
      <c r="X13">
        <v>78000</v>
      </c>
      <c r="Y13" t="s">
        <v>2605</v>
      </c>
      <c r="Z13" t="s">
        <v>2606</v>
      </c>
      <c r="AA13" t="s">
        <v>2605</v>
      </c>
      <c r="AB13" t="s">
        <v>2606</v>
      </c>
      <c r="AC13">
        <v>5507</v>
      </c>
      <c r="AD13" t="s">
        <v>2607</v>
      </c>
      <c r="AE13" t="s">
        <v>2563</v>
      </c>
      <c r="AM13" t="s">
        <v>2564</v>
      </c>
      <c r="AN13" t="s">
        <v>2565</v>
      </c>
    </row>
    <row r="14" spans="1:40" x14ac:dyDescent="0.3">
      <c r="A14">
        <v>1</v>
      </c>
      <c r="B14">
        <v>653802805805124</v>
      </c>
      <c r="C14">
        <v>6100170728171</v>
      </c>
      <c r="D14" t="s">
        <v>2553</v>
      </c>
      <c r="F14" t="s">
        <v>2554</v>
      </c>
      <c r="H14" s="26">
        <v>46066</v>
      </c>
      <c r="J14" s="50">
        <v>46064.655659722222</v>
      </c>
      <c r="K14" t="s">
        <v>2555</v>
      </c>
      <c r="L14" t="s">
        <v>2576</v>
      </c>
      <c r="M14" t="s">
        <v>2577</v>
      </c>
      <c r="N14">
        <v>9354612220</v>
      </c>
      <c r="O14">
        <v>94659124877</v>
      </c>
      <c r="P14" t="s">
        <v>2578</v>
      </c>
      <c r="S14">
        <v>40000</v>
      </c>
      <c r="T14" t="s">
        <v>2559</v>
      </c>
      <c r="U14">
        <v>0</v>
      </c>
      <c r="V14">
        <v>0</v>
      </c>
      <c r="W14">
        <v>1</v>
      </c>
      <c r="X14">
        <v>40000</v>
      </c>
      <c r="Y14" t="s">
        <v>2608</v>
      </c>
      <c r="Z14" t="s">
        <v>2609</v>
      </c>
      <c r="AA14" t="s">
        <v>2608</v>
      </c>
      <c r="AB14" t="s">
        <v>2609</v>
      </c>
      <c r="AC14">
        <v>10422</v>
      </c>
      <c r="AD14" t="s">
        <v>2610</v>
      </c>
      <c r="AE14" t="s">
        <v>2611</v>
      </c>
      <c r="AM14" t="s">
        <v>2594</v>
      </c>
      <c r="AN14" t="s">
        <v>2565</v>
      </c>
    </row>
    <row r="15" spans="1:40" x14ac:dyDescent="0.3">
      <c r="A15">
        <v>2</v>
      </c>
      <c r="B15">
        <v>653809915150372</v>
      </c>
      <c r="C15">
        <v>17100170827220</v>
      </c>
      <c r="D15" t="s">
        <v>2553</v>
      </c>
      <c r="F15" t="s">
        <v>2554</v>
      </c>
      <c r="H15" s="26">
        <v>46066</v>
      </c>
      <c r="J15" s="50">
        <v>46064.675393518519</v>
      </c>
      <c r="K15" t="s">
        <v>2555</v>
      </c>
      <c r="L15" t="s">
        <v>2576</v>
      </c>
      <c r="M15" t="s">
        <v>2577</v>
      </c>
      <c r="N15">
        <v>9354612220</v>
      </c>
      <c r="O15">
        <v>94659124877</v>
      </c>
      <c r="P15" t="s">
        <v>2578</v>
      </c>
      <c r="S15">
        <v>80000</v>
      </c>
      <c r="T15" t="s">
        <v>2559</v>
      </c>
      <c r="U15">
        <v>0</v>
      </c>
      <c r="V15">
        <v>0</v>
      </c>
      <c r="W15">
        <v>2</v>
      </c>
      <c r="X15">
        <v>40000</v>
      </c>
      <c r="Y15" t="s">
        <v>2612</v>
      </c>
      <c r="Z15" t="s">
        <v>2613</v>
      </c>
      <c r="AA15" t="s">
        <v>2612</v>
      </c>
      <c r="AB15" t="s">
        <v>2613</v>
      </c>
      <c r="AC15">
        <v>3020</v>
      </c>
      <c r="AD15" t="s">
        <v>2614</v>
      </c>
      <c r="AE15" t="s">
        <v>2615</v>
      </c>
      <c r="AM15" t="s">
        <v>2564</v>
      </c>
      <c r="AN15" t="s">
        <v>2565</v>
      </c>
    </row>
    <row r="16" spans="1:40" x14ac:dyDescent="0.3">
      <c r="A16">
        <v>3</v>
      </c>
      <c r="B16">
        <v>653823005442088</v>
      </c>
      <c r="C16">
        <v>20100171016693</v>
      </c>
      <c r="D16" t="s">
        <v>2553</v>
      </c>
      <c r="F16" t="s">
        <v>2554</v>
      </c>
      <c r="H16" s="26">
        <v>46066</v>
      </c>
      <c r="J16" s="50">
        <v>46064.711504629631</v>
      </c>
      <c r="K16" t="s">
        <v>2555</v>
      </c>
      <c r="L16" t="s">
        <v>2556</v>
      </c>
      <c r="M16" t="s">
        <v>2557</v>
      </c>
      <c r="N16">
        <v>9361402619</v>
      </c>
      <c r="O16">
        <v>94659124876</v>
      </c>
      <c r="P16" t="s">
        <v>2558</v>
      </c>
      <c r="S16">
        <v>20900</v>
      </c>
      <c r="T16" t="s">
        <v>2559</v>
      </c>
      <c r="U16">
        <v>0</v>
      </c>
      <c r="V16">
        <v>0</v>
      </c>
      <c r="W16">
        <v>1</v>
      </c>
      <c r="X16">
        <v>20900</v>
      </c>
      <c r="Y16" t="s">
        <v>2616</v>
      </c>
      <c r="Z16" t="s">
        <v>2617</v>
      </c>
      <c r="AA16" t="s">
        <v>2616</v>
      </c>
      <c r="AB16" t="s">
        <v>2617</v>
      </c>
      <c r="AC16">
        <v>7291</v>
      </c>
      <c r="AD16" t="s">
        <v>2618</v>
      </c>
      <c r="AE16" t="s">
        <v>2563</v>
      </c>
      <c r="AM16" t="s">
        <v>2564</v>
      </c>
      <c r="AN16" t="s">
        <v>2565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1AD2-E5D7-44ED-86DB-839016DE403B}">
  <dimension ref="A1:BT5"/>
  <sheetViews>
    <sheetView topLeftCell="AA1" workbookViewId="0">
      <selection activeCell="AJ3" sqref="AJ3"/>
    </sheetView>
  </sheetViews>
  <sheetFormatPr defaultRowHeight="16.5" x14ac:dyDescent="0.3"/>
  <sheetData>
    <row r="1" spans="1:72" x14ac:dyDescent="0.3">
      <c r="A1" t="s">
        <v>2619</v>
      </c>
      <c r="B1" t="s">
        <v>38</v>
      </c>
      <c r="C1" t="s">
        <v>2620</v>
      </c>
      <c r="D1" t="s">
        <v>2621</v>
      </c>
      <c r="E1" t="s">
        <v>2622</v>
      </c>
      <c r="F1" t="s">
        <v>2623</v>
      </c>
      <c r="G1" t="s">
        <v>2624</v>
      </c>
      <c r="H1" t="s">
        <v>2518</v>
      </c>
      <c r="I1" t="s">
        <v>2625</v>
      </c>
      <c r="J1" t="s">
        <v>2626</v>
      </c>
      <c r="K1" t="s">
        <v>2627</v>
      </c>
      <c r="L1" t="s">
        <v>2628</v>
      </c>
      <c r="M1" t="s">
        <v>2629</v>
      </c>
      <c r="N1" t="s">
        <v>2630</v>
      </c>
      <c r="O1" t="s">
        <v>2631</v>
      </c>
      <c r="P1" t="s">
        <v>2632</v>
      </c>
      <c r="Q1" t="s">
        <v>2633</v>
      </c>
      <c r="R1" t="s">
        <v>2551</v>
      </c>
      <c r="S1" t="s">
        <v>2634</v>
      </c>
      <c r="T1" t="s">
        <v>2635</v>
      </c>
      <c r="U1" t="s">
        <v>77</v>
      </c>
      <c r="V1" t="s">
        <v>2636</v>
      </c>
      <c r="W1" t="s">
        <v>2637</v>
      </c>
      <c r="X1" t="s">
        <v>2638</v>
      </c>
      <c r="Y1" t="s">
        <v>2639</v>
      </c>
      <c r="Z1" t="s">
        <v>2640</v>
      </c>
      <c r="AA1" t="s">
        <v>2641</v>
      </c>
      <c r="AB1" t="s">
        <v>2642</v>
      </c>
      <c r="AC1" t="s">
        <v>2643</v>
      </c>
      <c r="AD1" t="s">
        <v>2644</v>
      </c>
      <c r="AE1" t="s">
        <v>2645</v>
      </c>
      <c r="AF1" t="s">
        <v>2646</v>
      </c>
      <c r="AG1" t="s">
        <v>2647</v>
      </c>
      <c r="AH1" t="s">
        <v>2648</v>
      </c>
      <c r="AI1" t="s">
        <v>2649</v>
      </c>
      <c r="AJ1" t="s">
        <v>2650</v>
      </c>
      <c r="AK1" t="s">
        <v>2651</v>
      </c>
      <c r="AL1" t="s">
        <v>2652</v>
      </c>
      <c r="AM1" t="s">
        <v>2653</v>
      </c>
      <c r="AN1" t="s">
        <v>2654</v>
      </c>
      <c r="AO1" t="s">
        <v>2655</v>
      </c>
      <c r="AP1" t="s">
        <v>2656</v>
      </c>
      <c r="AQ1" t="s">
        <v>2657</v>
      </c>
      <c r="AR1" t="s">
        <v>2658</v>
      </c>
      <c r="AS1" t="s">
        <v>2659</v>
      </c>
      <c r="AT1" t="s">
        <v>2660</v>
      </c>
      <c r="AU1" t="s">
        <v>2661</v>
      </c>
      <c r="AV1" t="s">
        <v>2662</v>
      </c>
      <c r="AW1" t="s">
        <v>2663</v>
      </c>
      <c r="AX1" t="s">
        <v>2664</v>
      </c>
      <c r="AY1" t="s">
        <v>2665</v>
      </c>
      <c r="AZ1" t="s">
        <v>2666</v>
      </c>
      <c r="BA1" t="s">
        <v>2667</v>
      </c>
      <c r="BB1" t="s">
        <v>2668</v>
      </c>
      <c r="BC1" t="s">
        <v>2542</v>
      </c>
      <c r="BD1" t="s">
        <v>2544</v>
      </c>
      <c r="BE1" t="s">
        <v>2669</v>
      </c>
      <c r="BF1" t="s">
        <v>2670</v>
      </c>
      <c r="BG1" t="s">
        <v>2671</v>
      </c>
      <c r="BH1" t="s">
        <v>2672</v>
      </c>
      <c r="BI1" t="s">
        <v>2673</v>
      </c>
      <c r="BJ1" t="s">
        <v>2674</v>
      </c>
      <c r="BK1" t="s">
        <v>2675</v>
      </c>
      <c r="BL1" t="s">
        <v>2676</v>
      </c>
      <c r="BM1" t="s">
        <v>2677</v>
      </c>
      <c r="BN1" t="s">
        <v>2678</v>
      </c>
      <c r="BO1" t="s">
        <v>2679</v>
      </c>
      <c r="BP1" t="s">
        <v>2680</v>
      </c>
      <c r="BQ1" t="s">
        <v>2681</v>
      </c>
      <c r="BR1" t="s">
        <v>2682</v>
      </c>
      <c r="BS1" t="s">
        <v>2683</v>
      </c>
      <c r="BT1" t="s">
        <v>2684</v>
      </c>
    </row>
    <row r="2" spans="1:72" x14ac:dyDescent="0.3">
      <c r="A2">
        <v>2026020586412210</v>
      </c>
      <c r="B2">
        <v>2026020586548500</v>
      </c>
      <c r="C2" t="s">
        <v>2685</v>
      </c>
      <c r="E2" t="s">
        <v>2553</v>
      </c>
      <c r="F2" t="s">
        <v>2686</v>
      </c>
      <c r="G2" t="s">
        <v>2686</v>
      </c>
      <c r="J2" s="50">
        <v>46058.380254629628</v>
      </c>
      <c r="K2" t="s">
        <v>2687</v>
      </c>
      <c r="L2" t="s">
        <v>2688</v>
      </c>
      <c r="M2" t="s">
        <v>2689</v>
      </c>
      <c r="N2" t="s">
        <v>2688</v>
      </c>
      <c r="O2" t="s">
        <v>2690</v>
      </c>
      <c r="P2" t="s">
        <v>2691</v>
      </c>
      <c r="Q2" t="s">
        <v>2692</v>
      </c>
      <c r="R2" t="s">
        <v>2693</v>
      </c>
      <c r="S2" s="50">
        <v>46058.378981481481</v>
      </c>
      <c r="T2">
        <v>13026511254</v>
      </c>
      <c r="U2" t="s">
        <v>2694</v>
      </c>
      <c r="V2" t="s">
        <v>2695</v>
      </c>
      <c r="W2" t="s">
        <v>2696</v>
      </c>
      <c r="X2" t="s">
        <v>2696</v>
      </c>
      <c r="AA2">
        <v>1</v>
      </c>
      <c r="AB2">
        <v>0</v>
      </c>
      <c r="AC2">
        <v>45800</v>
      </c>
      <c r="AD2">
        <v>11900</v>
      </c>
      <c r="AE2">
        <v>11900</v>
      </c>
      <c r="AF2">
        <v>11900</v>
      </c>
      <c r="AG2">
        <v>33900</v>
      </c>
      <c r="AH2">
        <v>33900</v>
      </c>
      <c r="AJ2" s="50">
        <v>46058.379687499997</v>
      </c>
      <c r="AK2" s="50">
        <v>46063.999988425923</v>
      </c>
      <c r="AN2" t="s">
        <v>2559</v>
      </c>
      <c r="AO2">
        <v>2026020512542320</v>
      </c>
      <c r="AP2" t="s">
        <v>2697</v>
      </c>
      <c r="AQ2">
        <v>0</v>
      </c>
      <c r="AR2">
        <v>0</v>
      </c>
      <c r="AS2">
        <v>0</v>
      </c>
      <c r="AT2" t="s">
        <v>2698</v>
      </c>
      <c r="AW2" t="s">
        <v>2699</v>
      </c>
      <c r="AY2" t="s">
        <v>2700</v>
      </c>
      <c r="AZ2" t="s">
        <v>2701</v>
      </c>
      <c r="BA2" t="s">
        <v>2702</v>
      </c>
      <c r="BB2" t="s">
        <v>2699</v>
      </c>
      <c r="BC2">
        <v>8279</v>
      </c>
      <c r="BE2" t="s">
        <v>2703</v>
      </c>
      <c r="BF2" t="s">
        <v>2704</v>
      </c>
      <c r="BG2">
        <v>-1230</v>
      </c>
      <c r="BH2">
        <v>-1017</v>
      </c>
      <c r="BI2">
        <v>31653</v>
      </c>
      <c r="BK2" s="50">
        <v>46058.378900462965</v>
      </c>
    </row>
    <row r="3" spans="1:72" x14ac:dyDescent="0.3">
      <c r="A3">
        <v>2026020586046790</v>
      </c>
      <c r="B3">
        <v>2026020586295070</v>
      </c>
      <c r="C3" t="s">
        <v>2685</v>
      </c>
      <c r="E3" t="s">
        <v>2553</v>
      </c>
      <c r="F3" t="s">
        <v>2686</v>
      </c>
      <c r="G3" t="s">
        <v>2686</v>
      </c>
      <c r="J3" s="50">
        <v>46058.380254629628</v>
      </c>
      <c r="K3" t="s">
        <v>2687</v>
      </c>
      <c r="L3" t="s">
        <v>2705</v>
      </c>
      <c r="M3" t="s">
        <v>2706</v>
      </c>
      <c r="N3" t="s">
        <v>2705</v>
      </c>
      <c r="O3" t="s">
        <v>2690</v>
      </c>
      <c r="P3" t="s">
        <v>2691</v>
      </c>
      <c r="Q3" t="s">
        <v>2692</v>
      </c>
      <c r="R3" t="s">
        <v>2693</v>
      </c>
      <c r="S3" s="50">
        <v>46058.370868055557</v>
      </c>
      <c r="T3">
        <v>13026511253</v>
      </c>
      <c r="U3" t="s">
        <v>2707</v>
      </c>
      <c r="V3" t="s">
        <v>2695</v>
      </c>
      <c r="W3" t="s">
        <v>2696</v>
      </c>
      <c r="X3" t="s">
        <v>2696</v>
      </c>
      <c r="AA3">
        <v>1</v>
      </c>
      <c r="AB3">
        <v>0</v>
      </c>
      <c r="AC3">
        <v>22900</v>
      </c>
      <c r="AD3">
        <v>5100</v>
      </c>
      <c r="AE3">
        <v>5100</v>
      </c>
      <c r="AF3">
        <v>5100</v>
      </c>
      <c r="AG3">
        <v>17800</v>
      </c>
      <c r="AH3">
        <v>17800</v>
      </c>
      <c r="AJ3" s="50">
        <v>46058.375648148147</v>
      </c>
      <c r="AK3" s="50">
        <v>46063.999988425923</v>
      </c>
      <c r="AN3" t="s">
        <v>2559</v>
      </c>
      <c r="AO3">
        <v>2026020512493880</v>
      </c>
      <c r="AP3" t="s">
        <v>2697</v>
      </c>
      <c r="AQ3">
        <v>0</v>
      </c>
      <c r="AR3">
        <v>0</v>
      </c>
      <c r="AS3">
        <v>0</v>
      </c>
      <c r="AT3" t="s">
        <v>2708</v>
      </c>
      <c r="AW3" t="s">
        <v>2709</v>
      </c>
      <c r="AY3" t="s">
        <v>2710</v>
      </c>
      <c r="AZ3" t="s">
        <v>2711</v>
      </c>
      <c r="BA3" t="s">
        <v>2712</v>
      </c>
      <c r="BB3" t="s">
        <v>2709</v>
      </c>
      <c r="BC3">
        <v>2533</v>
      </c>
      <c r="BE3" t="s">
        <v>2703</v>
      </c>
      <c r="BF3" t="s">
        <v>2704</v>
      </c>
      <c r="BG3">
        <v>-646</v>
      </c>
      <c r="BH3">
        <v>-534</v>
      </c>
      <c r="BI3">
        <v>16620</v>
      </c>
      <c r="BK3" s="50">
        <v>46058.370787037034</v>
      </c>
    </row>
    <row r="4" spans="1:72" x14ac:dyDescent="0.3">
      <c r="A4">
        <v>2026020477087660</v>
      </c>
      <c r="B4">
        <v>2026020480361830</v>
      </c>
      <c r="C4" t="s">
        <v>2685</v>
      </c>
      <c r="E4" t="s">
        <v>2553</v>
      </c>
      <c r="F4" t="s">
        <v>2686</v>
      </c>
      <c r="G4" t="s">
        <v>2686</v>
      </c>
      <c r="J4" s="50">
        <v>46058.380254629628</v>
      </c>
      <c r="K4" t="s">
        <v>2687</v>
      </c>
      <c r="L4" t="s">
        <v>2566</v>
      </c>
      <c r="M4" t="s">
        <v>2713</v>
      </c>
      <c r="N4" t="s">
        <v>2566</v>
      </c>
      <c r="O4" t="s">
        <v>2690</v>
      </c>
      <c r="P4" t="s">
        <v>2691</v>
      </c>
      <c r="Q4" t="s">
        <v>2692</v>
      </c>
      <c r="R4" t="s">
        <v>2714</v>
      </c>
      <c r="S4" s="50">
        <v>46057.952418981484</v>
      </c>
      <c r="T4">
        <v>13026511253</v>
      </c>
      <c r="U4" t="s">
        <v>2707</v>
      </c>
      <c r="V4" t="s">
        <v>2695</v>
      </c>
      <c r="W4" t="s">
        <v>2696</v>
      </c>
      <c r="X4" t="s">
        <v>2696</v>
      </c>
      <c r="AA4">
        <v>1</v>
      </c>
      <c r="AB4">
        <v>0</v>
      </c>
      <c r="AC4">
        <v>22900</v>
      </c>
      <c r="AD4">
        <v>5100</v>
      </c>
      <c r="AE4">
        <v>5100</v>
      </c>
      <c r="AF4">
        <v>5100</v>
      </c>
      <c r="AG4">
        <v>17800</v>
      </c>
      <c r="AH4">
        <v>17800</v>
      </c>
      <c r="AJ4" s="50">
        <v>46058.375648148147</v>
      </c>
      <c r="AK4" s="50">
        <v>46062.999988425923</v>
      </c>
      <c r="AN4" t="s">
        <v>2559</v>
      </c>
      <c r="AO4">
        <v>2026020411359520</v>
      </c>
      <c r="AP4" t="s">
        <v>2697</v>
      </c>
      <c r="AQ4">
        <v>0</v>
      </c>
      <c r="AR4">
        <v>0</v>
      </c>
      <c r="AS4">
        <v>0</v>
      </c>
      <c r="AT4" t="s">
        <v>2708</v>
      </c>
      <c r="AW4" t="s">
        <v>2715</v>
      </c>
      <c r="AY4" t="s">
        <v>2716</v>
      </c>
      <c r="AZ4" t="s">
        <v>2717</v>
      </c>
      <c r="BA4" t="s">
        <v>2718</v>
      </c>
      <c r="BB4" t="s">
        <v>2715</v>
      </c>
      <c r="BC4">
        <v>2535</v>
      </c>
      <c r="BE4" t="s">
        <v>2703</v>
      </c>
      <c r="BF4" t="s">
        <v>2704</v>
      </c>
      <c r="BG4">
        <v>-646</v>
      </c>
      <c r="BH4">
        <v>-534</v>
      </c>
      <c r="BI4">
        <v>16620</v>
      </c>
      <c r="BK4" s="50">
        <v>46057.952268518522</v>
      </c>
    </row>
    <row r="5" spans="1:72" x14ac:dyDescent="0.3">
      <c r="A5">
        <v>2026020662700250</v>
      </c>
      <c r="B5">
        <v>2026020641602910</v>
      </c>
      <c r="C5" t="s">
        <v>2685</v>
      </c>
      <c r="E5" t="s">
        <v>2553</v>
      </c>
      <c r="F5" t="s">
        <v>2686</v>
      </c>
      <c r="G5" t="s">
        <v>2686</v>
      </c>
      <c r="H5" t="s">
        <v>2553</v>
      </c>
      <c r="J5" s="50">
        <v>46062.376793981479</v>
      </c>
      <c r="K5" t="s">
        <v>2687</v>
      </c>
      <c r="L5" t="s">
        <v>2719</v>
      </c>
      <c r="M5" t="s">
        <v>2720</v>
      </c>
      <c r="N5" t="s">
        <v>2719</v>
      </c>
      <c r="O5" t="s">
        <v>2690</v>
      </c>
      <c r="P5" t="s">
        <v>2691</v>
      </c>
      <c r="Q5" t="s">
        <v>2692</v>
      </c>
      <c r="R5" t="s">
        <v>2714</v>
      </c>
      <c r="S5" s="50">
        <v>46059.746493055558</v>
      </c>
      <c r="T5">
        <v>13026511254</v>
      </c>
      <c r="U5" t="s">
        <v>2694</v>
      </c>
      <c r="V5" t="s">
        <v>2695</v>
      </c>
      <c r="W5" t="s">
        <v>2696</v>
      </c>
      <c r="X5" t="s">
        <v>2696</v>
      </c>
      <c r="AA5">
        <v>1</v>
      </c>
      <c r="AB5">
        <v>0</v>
      </c>
      <c r="AC5">
        <v>45800</v>
      </c>
      <c r="AD5">
        <v>11900</v>
      </c>
      <c r="AE5">
        <v>11900</v>
      </c>
      <c r="AF5">
        <v>11900</v>
      </c>
      <c r="AG5">
        <v>33900</v>
      </c>
      <c r="AH5">
        <v>33900</v>
      </c>
      <c r="AJ5" s="50">
        <v>46062.376574074071</v>
      </c>
      <c r="AK5" s="50">
        <v>46064.999988425923</v>
      </c>
      <c r="AN5" t="s">
        <v>2559</v>
      </c>
      <c r="AO5">
        <v>2026020621050720</v>
      </c>
      <c r="AP5" t="s">
        <v>2697</v>
      </c>
      <c r="AQ5">
        <v>0</v>
      </c>
      <c r="AR5">
        <v>0</v>
      </c>
      <c r="AS5">
        <v>0</v>
      </c>
      <c r="AT5" t="s">
        <v>2698</v>
      </c>
      <c r="AW5" t="s">
        <v>2721</v>
      </c>
      <c r="AY5" t="s">
        <v>2722</v>
      </c>
      <c r="AZ5" t="s">
        <v>2723</v>
      </c>
      <c r="BA5" t="s">
        <v>2724</v>
      </c>
      <c r="BB5" t="s">
        <v>2721</v>
      </c>
      <c r="BC5">
        <v>10543</v>
      </c>
      <c r="BE5" t="s">
        <v>2703</v>
      </c>
      <c r="BF5" t="s">
        <v>2704</v>
      </c>
      <c r="BG5">
        <v>-1230</v>
      </c>
      <c r="BH5">
        <v>-1017</v>
      </c>
      <c r="BI5">
        <v>31653</v>
      </c>
      <c r="BK5" s="50">
        <v>46059.746423611112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3479-C91D-461A-B278-B6EBD0E187C4}">
  <dimension ref="A1:AU6"/>
  <sheetViews>
    <sheetView workbookViewId="0">
      <selection activeCell="N22" sqref="N22"/>
    </sheetView>
  </sheetViews>
  <sheetFormatPr defaultRowHeight="16.5" x14ac:dyDescent="0.3"/>
  <sheetData>
    <row r="1" spans="1:47" x14ac:dyDescent="0.3">
      <c r="A1" t="s">
        <v>2725</v>
      </c>
      <c r="B1" t="s">
        <v>2726</v>
      </c>
      <c r="C1" t="s">
        <v>2631</v>
      </c>
      <c r="D1" t="s">
        <v>38</v>
      </c>
      <c r="E1" t="s">
        <v>2674</v>
      </c>
      <c r="F1" t="s">
        <v>2727</v>
      </c>
      <c r="G1" t="s">
        <v>77</v>
      </c>
      <c r="H1" t="s">
        <v>2728</v>
      </c>
      <c r="I1" t="s">
        <v>2641</v>
      </c>
      <c r="J1" t="s">
        <v>2624</v>
      </c>
      <c r="K1" t="s">
        <v>2729</v>
      </c>
      <c r="L1" t="s">
        <v>2625</v>
      </c>
      <c r="M1" t="s">
        <v>2730</v>
      </c>
      <c r="N1" t="s">
        <v>2731</v>
      </c>
      <c r="O1" t="s">
        <v>2732</v>
      </c>
      <c r="P1" t="s">
        <v>2733</v>
      </c>
      <c r="Q1" t="s">
        <v>2734</v>
      </c>
      <c r="R1" t="s">
        <v>2735</v>
      </c>
      <c r="S1" t="s">
        <v>2542</v>
      </c>
      <c r="T1" t="s">
        <v>2544</v>
      </c>
      <c r="U1" t="s">
        <v>2736</v>
      </c>
      <c r="V1" t="s">
        <v>2737</v>
      </c>
      <c r="W1" t="s">
        <v>2738</v>
      </c>
      <c r="X1" t="s">
        <v>2524</v>
      </c>
      <c r="Y1" t="s">
        <v>2739</v>
      </c>
      <c r="Z1" t="s">
        <v>2740</v>
      </c>
      <c r="AA1" t="s">
        <v>2741</v>
      </c>
      <c r="AB1" t="s">
        <v>2742</v>
      </c>
      <c r="AC1" t="s">
        <v>2743</v>
      </c>
      <c r="AD1" t="s">
        <v>2744</v>
      </c>
      <c r="AE1" t="s">
        <v>2745</v>
      </c>
      <c r="AF1" t="s">
        <v>2746</v>
      </c>
      <c r="AG1" t="s">
        <v>2747</v>
      </c>
      <c r="AH1" t="s">
        <v>67</v>
      </c>
      <c r="AI1" t="s">
        <v>2748</v>
      </c>
      <c r="AJ1" t="s">
        <v>2749</v>
      </c>
      <c r="AK1" t="s">
        <v>2750</v>
      </c>
      <c r="AL1" t="s">
        <v>2751</v>
      </c>
      <c r="AM1" t="s">
        <v>2752</v>
      </c>
      <c r="AN1" t="s">
        <v>2753</v>
      </c>
      <c r="AO1" t="s">
        <v>2754</v>
      </c>
      <c r="AP1" t="s">
        <v>2755</v>
      </c>
      <c r="AQ1" t="s">
        <v>2756</v>
      </c>
      <c r="AR1" t="s">
        <v>2757</v>
      </c>
      <c r="AS1" t="s">
        <v>2758</v>
      </c>
      <c r="AT1" t="s">
        <v>2759</v>
      </c>
      <c r="AU1" t="s">
        <v>2760</v>
      </c>
    </row>
    <row r="2" spans="1:47" x14ac:dyDescent="0.3">
      <c r="A2">
        <v>2698095127</v>
      </c>
      <c r="B2" s="50">
        <v>46064.413460648146</v>
      </c>
      <c r="C2" t="s">
        <v>2761</v>
      </c>
      <c r="D2">
        <v>3242789909</v>
      </c>
      <c r="F2">
        <v>691542495</v>
      </c>
      <c r="G2" t="s">
        <v>2707</v>
      </c>
      <c r="I2">
        <v>1</v>
      </c>
      <c r="J2" t="s">
        <v>2762</v>
      </c>
      <c r="M2" t="s">
        <v>2763</v>
      </c>
      <c r="N2">
        <v>1074706174</v>
      </c>
      <c r="O2" t="s">
        <v>2715</v>
      </c>
      <c r="R2" t="s">
        <v>2764</v>
      </c>
      <c r="S2">
        <v>2535</v>
      </c>
      <c r="X2" s="50">
        <v>46064.413449074076</v>
      </c>
      <c r="Y2">
        <v>22900</v>
      </c>
      <c r="Z2">
        <v>0</v>
      </c>
      <c r="AA2">
        <v>2500</v>
      </c>
      <c r="AB2">
        <v>2000</v>
      </c>
      <c r="AC2">
        <v>18400</v>
      </c>
      <c r="AD2">
        <v>607</v>
      </c>
      <c r="AE2">
        <v>0</v>
      </c>
      <c r="AF2">
        <v>0</v>
      </c>
      <c r="AG2">
        <v>0</v>
      </c>
      <c r="AH2" t="s">
        <v>2765</v>
      </c>
      <c r="AI2" t="s">
        <v>2766</v>
      </c>
      <c r="AK2" t="s">
        <v>2708</v>
      </c>
      <c r="AM2">
        <v>982886524</v>
      </c>
      <c r="AN2" t="s">
        <v>2767</v>
      </c>
      <c r="AO2" t="s">
        <v>2768</v>
      </c>
      <c r="AP2">
        <v>0</v>
      </c>
      <c r="AQ2">
        <v>0</v>
      </c>
      <c r="AR2" t="s">
        <v>2769</v>
      </c>
      <c r="AT2" t="s">
        <v>2770</v>
      </c>
      <c r="AU2" t="s">
        <v>1682</v>
      </c>
    </row>
    <row r="3" spans="1:47" x14ac:dyDescent="0.3">
      <c r="A3">
        <v>2698153034</v>
      </c>
      <c r="B3" s="50">
        <v>46064.447025462963</v>
      </c>
      <c r="C3" t="s">
        <v>2761</v>
      </c>
      <c r="D3">
        <v>3242866950</v>
      </c>
      <c r="F3">
        <v>691542495</v>
      </c>
      <c r="G3" t="s">
        <v>2707</v>
      </c>
      <c r="I3">
        <v>2</v>
      </c>
      <c r="J3" t="s">
        <v>2762</v>
      </c>
      <c r="M3" t="s">
        <v>2771</v>
      </c>
      <c r="N3">
        <v>1075581194</v>
      </c>
      <c r="O3" t="s">
        <v>2772</v>
      </c>
      <c r="R3" t="s">
        <v>2773</v>
      </c>
      <c r="S3">
        <v>27404</v>
      </c>
      <c r="X3" s="50">
        <v>46064.447025462963</v>
      </c>
      <c r="Y3">
        <v>45800</v>
      </c>
      <c r="Z3">
        <v>0</v>
      </c>
      <c r="AA3">
        <v>6000</v>
      </c>
      <c r="AB3">
        <v>2000</v>
      </c>
      <c r="AC3">
        <v>37800</v>
      </c>
      <c r="AD3">
        <v>1247</v>
      </c>
      <c r="AE3">
        <v>0</v>
      </c>
      <c r="AF3">
        <v>0</v>
      </c>
      <c r="AG3">
        <v>0</v>
      </c>
      <c r="AH3" t="s">
        <v>2765</v>
      </c>
      <c r="AI3" t="s">
        <v>2766</v>
      </c>
      <c r="AK3" t="s">
        <v>2708</v>
      </c>
      <c r="AM3">
        <v>982914821</v>
      </c>
      <c r="AN3" t="s">
        <v>2767</v>
      </c>
      <c r="AO3" t="s">
        <v>2768</v>
      </c>
      <c r="AP3">
        <v>0</v>
      </c>
      <c r="AQ3">
        <v>0</v>
      </c>
      <c r="AT3" t="s">
        <v>2770</v>
      </c>
      <c r="AU3" t="s">
        <v>1682</v>
      </c>
    </row>
    <row r="4" spans="1:47" x14ac:dyDescent="0.3">
      <c r="A4">
        <v>2698218645</v>
      </c>
      <c r="B4" s="50">
        <v>46064.486087962963</v>
      </c>
      <c r="C4" t="s">
        <v>2761</v>
      </c>
      <c r="D4">
        <v>3242952358</v>
      </c>
      <c r="F4">
        <v>691542495</v>
      </c>
      <c r="G4" t="s">
        <v>2707</v>
      </c>
      <c r="I4">
        <v>1</v>
      </c>
      <c r="J4" t="s">
        <v>2762</v>
      </c>
      <c r="M4" t="s">
        <v>2763</v>
      </c>
      <c r="N4">
        <v>1041786174</v>
      </c>
      <c r="O4" t="s">
        <v>2774</v>
      </c>
      <c r="R4" t="s">
        <v>2775</v>
      </c>
      <c r="S4">
        <v>2535</v>
      </c>
      <c r="X4" s="50">
        <v>46064.486076388886</v>
      </c>
      <c r="Y4">
        <v>22900</v>
      </c>
      <c r="Z4">
        <v>0</v>
      </c>
      <c r="AA4">
        <v>2000</v>
      </c>
      <c r="AB4">
        <v>2000</v>
      </c>
      <c r="AC4">
        <v>18900</v>
      </c>
      <c r="AD4">
        <v>623</v>
      </c>
      <c r="AE4">
        <v>0</v>
      </c>
      <c r="AF4">
        <v>0</v>
      </c>
      <c r="AG4">
        <v>0</v>
      </c>
      <c r="AH4" t="s">
        <v>2765</v>
      </c>
      <c r="AI4" t="s">
        <v>2766</v>
      </c>
      <c r="AK4" t="s">
        <v>2708</v>
      </c>
      <c r="AM4">
        <v>982946696</v>
      </c>
      <c r="AN4" t="s">
        <v>2767</v>
      </c>
      <c r="AO4" t="s">
        <v>2768</v>
      </c>
      <c r="AP4">
        <v>0</v>
      </c>
      <c r="AQ4">
        <v>0</v>
      </c>
      <c r="AT4" t="s">
        <v>2770</v>
      </c>
      <c r="AU4" t="s">
        <v>1682</v>
      </c>
    </row>
    <row r="5" spans="1:47" x14ac:dyDescent="0.3">
      <c r="A5">
        <v>2698226324</v>
      </c>
      <c r="B5" s="50">
        <v>46064.491076388891</v>
      </c>
      <c r="C5" t="s">
        <v>2761</v>
      </c>
      <c r="D5">
        <v>3242962470</v>
      </c>
      <c r="F5">
        <v>691542495</v>
      </c>
      <c r="G5" t="s">
        <v>2707</v>
      </c>
      <c r="I5">
        <v>2</v>
      </c>
      <c r="J5" t="s">
        <v>2762</v>
      </c>
      <c r="M5" t="s">
        <v>2776</v>
      </c>
      <c r="N5">
        <v>1047130595</v>
      </c>
      <c r="O5" t="s">
        <v>2777</v>
      </c>
      <c r="P5">
        <v>1047130595</v>
      </c>
      <c r="Q5" t="s">
        <v>2777</v>
      </c>
      <c r="R5" t="s">
        <v>2778</v>
      </c>
      <c r="S5">
        <v>27416</v>
      </c>
      <c r="X5" s="50">
        <v>46064.491064814814</v>
      </c>
      <c r="Y5">
        <v>45800</v>
      </c>
      <c r="Z5">
        <v>0</v>
      </c>
      <c r="AA5">
        <v>6000</v>
      </c>
      <c r="AB5">
        <v>2000</v>
      </c>
      <c r="AC5">
        <v>37800</v>
      </c>
      <c r="AD5">
        <v>1247</v>
      </c>
      <c r="AE5">
        <v>0</v>
      </c>
      <c r="AF5">
        <v>0</v>
      </c>
      <c r="AG5">
        <v>0</v>
      </c>
      <c r="AH5" t="s">
        <v>2765</v>
      </c>
      <c r="AI5" t="s">
        <v>2766</v>
      </c>
      <c r="AK5" t="s">
        <v>2708</v>
      </c>
      <c r="AM5">
        <v>982950567</v>
      </c>
      <c r="AN5" t="s">
        <v>2767</v>
      </c>
      <c r="AO5" t="s">
        <v>2768</v>
      </c>
      <c r="AP5">
        <v>0</v>
      </c>
      <c r="AQ5">
        <v>0</v>
      </c>
      <c r="AT5" t="s">
        <v>2770</v>
      </c>
      <c r="AU5" t="s">
        <v>1682</v>
      </c>
    </row>
    <row r="6" spans="1:47" x14ac:dyDescent="0.3">
      <c r="A6">
        <v>2698235082</v>
      </c>
      <c r="B6" s="50">
        <v>46064.496944444443</v>
      </c>
      <c r="C6" t="s">
        <v>2761</v>
      </c>
      <c r="D6">
        <v>3242973875</v>
      </c>
      <c r="F6">
        <v>691542495</v>
      </c>
      <c r="G6" t="s">
        <v>2707</v>
      </c>
      <c r="I6">
        <v>2</v>
      </c>
      <c r="J6" t="s">
        <v>2762</v>
      </c>
      <c r="M6" t="s">
        <v>2779</v>
      </c>
      <c r="N6">
        <v>1033292563</v>
      </c>
      <c r="O6" t="s">
        <v>2780</v>
      </c>
      <c r="R6" t="s">
        <v>2781</v>
      </c>
      <c r="S6">
        <v>7751</v>
      </c>
      <c r="X6" s="50">
        <v>46064.496944444443</v>
      </c>
      <c r="Y6">
        <v>45800</v>
      </c>
      <c r="Z6">
        <v>0</v>
      </c>
      <c r="AA6">
        <v>4000</v>
      </c>
      <c r="AB6">
        <v>2000</v>
      </c>
      <c r="AC6">
        <v>39800</v>
      </c>
      <c r="AD6">
        <v>1313</v>
      </c>
      <c r="AE6">
        <v>0</v>
      </c>
      <c r="AF6">
        <v>0</v>
      </c>
      <c r="AG6">
        <v>0</v>
      </c>
      <c r="AH6" t="s">
        <v>2765</v>
      </c>
      <c r="AI6" t="s">
        <v>2766</v>
      </c>
      <c r="AK6" t="s">
        <v>2708</v>
      </c>
      <c r="AM6">
        <v>982954794</v>
      </c>
      <c r="AN6" t="s">
        <v>2767</v>
      </c>
      <c r="AO6" t="s">
        <v>2768</v>
      </c>
      <c r="AP6">
        <v>0</v>
      </c>
      <c r="AQ6">
        <v>0</v>
      </c>
      <c r="AT6" t="s">
        <v>2770</v>
      </c>
      <c r="AU6" t="s">
        <v>1682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6D5B-F79C-4D77-987A-AD77A6FA2F9D}">
  <dimension ref="A1:Z641"/>
  <sheetViews>
    <sheetView topLeftCell="H1" workbookViewId="0">
      <selection activeCell="U9" sqref="U9"/>
    </sheetView>
  </sheetViews>
  <sheetFormatPr defaultRowHeight="16.5" x14ac:dyDescent="0.3"/>
  <sheetData>
    <row r="1" spans="1:26" x14ac:dyDescent="0.3">
      <c r="A1" t="s">
        <v>2524</v>
      </c>
      <c r="B1" t="s">
        <v>38</v>
      </c>
      <c r="C1" t="s">
        <v>2782</v>
      </c>
      <c r="D1" t="s">
        <v>2783</v>
      </c>
      <c r="E1" t="s">
        <v>2784</v>
      </c>
      <c r="F1" t="s">
        <v>2785</v>
      </c>
      <c r="G1" t="s">
        <v>2786</v>
      </c>
      <c r="H1" t="s">
        <v>2787</v>
      </c>
      <c r="I1" t="s">
        <v>2542</v>
      </c>
      <c r="J1" t="s">
        <v>2788</v>
      </c>
      <c r="K1" t="s">
        <v>2789</v>
      </c>
      <c r="L1" t="s">
        <v>77</v>
      </c>
      <c r="M1" t="s">
        <v>2790</v>
      </c>
      <c r="N1" t="s">
        <v>2791</v>
      </c>
      <c r="O1" t="s">
        <v>2792</v>
      </c>
      <c r="P1" t="s">
        <v>2793</v>
      </c>
      <c r="Q1" t="s">
        <v>85</v>
      </c>
      <c r="R1" t="s">
        <v>2794</v>
      </c>
      <c r="S1" t="s">
        <v>2795</v>
      </c>
      <c r="T1" t="s">
        <v>2796</v>
      </c>
      <c r="U1" t="s">
        <v>2518</v>
      </c>
      <c r="V1" t="s">
        <v>2519</v>
      </c>
      <c r="W1" t="s">
        <v>2797</v>
      </c>
      <c r="X1" t="s">
        <v>2798</v>
      </c>
      <c r="Y1" t="s">
        <v>2799</v>
      </c>
      <c r="Z1" t="s">
        <v>2800</v>
      </c>
    </row>
    <row r="2" spans="1:26" x14ac:dyDescent="0.3">
      <c r="A2" s="50">
        <v>46058.458078703705</v>
      </c>
      <c r="B2">
        <v>2.0260205105831501E+18</v>
      </c>
      <c r="C2" t="s">
        <v>2801</v>
      </c>
      <c r="D2" t="s">
        <v>2802</v>
      </c>
      <c r="E2" t="s">
        <v>2802</v>
      </c>
      <c r="F2" t="s">
        <v>2801</v>
      </c>
      <c r="G2" t="s">
        <v>2802</v>
      </c>
      <c r="H2" t="s">
        <v>2802</v>
      </c>
      <c r="I2">
        <v>13993</v>
      </c>
      <c r="J2" t="s">
        <v>2803</v>
      </c>
      <c r="K2" t="s">
        <v>2803</v>
      </c>
      <c r="L2" t="s">
        <v>2804</v>
      </c>
      <c r="M2" t="s">
        <v>2805</v>
      </c>
      <c r="N2">
        <v>54363</v>
      </c>
      <c r="O2">
        <v>45500</v>
      </c>
      <c r="P2">
        <v>1</v>
      </c>
      <c r="Q2">
        <v>0</v>
      </c>
      <c r="S2">
        <v>143790</v>
      </c>
      <c r="T2" t="s">
        <v>2806</v>
      </c>
      <c r="U2" t="s">
        <v>2807</v>
      </c>
      <c r="W2">
        <v>0</v>
      </c>
      <c r="X2">
        <v>45500</v>
      </c>
      <c r="Y2">
        <v>41363.636363636302</v>
      </c>
      <c r="Z2" s="26">
        <v>46058</v>
      </c>
    </row>
    <row r="3" spans="1:26" x14ac:dyDescent="0.3">
      <c r="A3" s="50">
        <v>46058.446886574071</v>
      </c>
      <c r="B3">
        <v>2.02602051039395E+18</v>
      </c>
      <c r="C3" t="s">
        <v>2808</v>
      </c>
      <c r="D3" t="s">
        <v>2809</v>
      </c>
      <c r="E3" t="s">
        <v>2809</v>
      </c>
      <c r="F3" t="s">
        <v>2808</v>
      </c>
      <c r="G3" t="s">
        <v>2809</v>
      </c>
      <c r="H3" t="s">
        <v>2809</v>
      </c>
      <c r="I3">
        <v>48414</v>
      </c>
      <c r="J3" t="s">
        <v>2810</v>
      </c>
      <c r="K3" t="s">
        <v>2810</v>
      </c>
      <c r="L3" t="s">
        <v>2804</v>
      </c>
      <c r="M3" t="s">
        <v>2805</v>
      </c>
      <c r="N3">
        <v>54363</v>
      </c>
      <c r="O3">
        <v>45500</v>
      </c>
      <c r="P3">
        <v>1</v>
      </c>
      <c r="Q3">
        <v>0</v>
      </c>
      <c r="R3" t="s">
        <v>2811</v>
      </c>
      <c r="S3">
        <v>143790</v>
      </c>
      <c r="T3" t="s">
        <v>2812</v>
      </c>
      <c r="U3" t="s">
        <v>2807</v>
      </c>
      <c r="W3">
        <v>0</v>
      </c>
      <c r="X3">
        <v>45500</v>
      </c>
      <c r="Y3">
        <v>41363.636363636302</v>
      </c>
      <c r="Z3" s="26">
        <v>46058</v>
      </c>
    </row>
    <row r="4" spans="1:26" x14ac:dyDescent="0.3">
      <c r="A4" s="50">
        <v>46058.444618055553</v>
      </c>
      <c r="B4">
        <v>2.0260205103855301E+18</v>
      </c>
      <c r="C4" t="s">
        <v>2813</v>
      </c>
      <c r="D4" t="s">
        <v>2814</v>
      </c>
      <c r="E4" t="s">
        <v>2814</v>
      </c>
      <c r="F4" t="s">
        <v>2813</v>
      </c>
      <c r="G4" t="s">
        <v>2814</v>
      </c>
      <c r="H4" t="s">
        <v>2814</v>
      </c>
      <c r="I4">
        <v>22779</v>
      </c>
      <c r="J4" t="s">
        <v>2815</v>
      </c>
      <c r="K4" t="s">
        <v>2815</v>
      </c>
      <c r="L4" t="s">
        <v>2804</v>
      </c>
      <c r="M4" t="s">
        <v>2805</v>
      </c>
      <c r="N4">
        <v>54363</v>
      </c>
      <c r="O4">
        <v>45500</v>
      </c>
      <c r="P4">
        <v>1</v>
      </c>
      <c r="Q4">
        <v>0</v>
      </c>
      <c r="S4">
        <v>143790</v>
      </c>
      <c r="T4" t="s">
        <v>2816</v>
      </c>
      <c r="U4" t="s">
        <v>2807</v>
      </c>
      <c r="W4">
        <v>0</v>
      </c>
      <c r="X4">
        <v>45500</v>
      </c>
      <c r="Y4">
        <v>41363.636363636302</v>
      </c>
      <c r="Z4" s="26">
        <v>46058</v>
      </c>
    </row>
    <row r="5" spans="1:26" x14ac:dyDescent="0.3">
      <c r="A5" s="50">
        <v>46058.435613425929</v>
      </c>
      <c r="B5">
        <v>2.0260205102430001E+18</v>
      </c>
      <c r="C5" t="s">
        <v>2817</v>
      </c>
      <c r="D5" t="s">
        <v>2818</v>
      </c>
      <c r="E5" t="s">
        <v>2818</v>
      </c>
      <c r="F5" t="s">
        <v>2817</v>
      </c>
      <c r="G5" t="s">
        <v>2818</v>
      </c>
      <c r="H5" t="s">
        <v>2818</v>
      </c>
      <c r="I5">
        <v>3438</v>
      </c>
      <c r="J5" t="s">
        <v>2819</v>
      </c>
      <c r="K5" t="s">
        <v>2819</v>
      </c>
      <c r="L5" t="s">
        <v>2804</v>
      </c>
      <c r="M5" t="s">
        <v>2805</v>
      </c>
      <c r="N5">
        <v>54363</v>
      </c>
      <c r="O5">
        <v>45500</v>
      </c>
      <c r="P5">
        <v>1</v>
      </c>
      <c r="Q5">
        <v>0</v>
      </c>
      <c r="S5">
        <v>143790</v>
      </c>
      <c r="T5" t="s">
        <v>2820</v>
      </c>
      <c r="U5" t="s">
        <v>2807</v>
      </c>
      <c r="W5">
        <v>0</v>
      </c>
      <c r="X5">
        <v>45500</v>
      </c>
      <c r="Y5">
        <v>41363.636363636302</v>
      </c>
      <c r="Z5" s="26">
        <v>46058</v>
      </c>
    </row>
    <row r="6" spans="1:26" x14ac:dyDescent="0.3">
      <c r="A6" s="50">
        <v>46058.435393518521</v>
      </c>
      <c r="B6">
        <v>2.0260205102414999E+18</v>
      </c>
      <c r="C6" t="s">
        <v>2821</v>
      </c>
      <c r="D6" t="s">
        <v>2822</v>
      </c>
      <c r="E6" t="s">
        <v>2822</v>
      </c>
      <c r="F6" t="s">
        <v>2821</v>
      </c>
      <c r="G6" t="s">
        <v>2822</v>
      </c>
      <c r="H6" t="s">
        <v>2822</v>
      </c>
      <c r="I6">
        <v>31971</v>
      </c>
      <c r="J6" t="s">
        <v>2823</v>
      </c>
      <c r="K6" t="s">
        <v>2823</v>
      </c>
      <c r="L6" t="s">
        <v>2804</v>
      </c>
      <c r="M6" t="s">
        <v>2805</v>
      </c>
      <c r="N6">
        <v>54363</v>
      </c>
      <c r="O6">
        <v>45500</v>
      </c>
      <c r="P6">
        <v>1</v>
      </c>
      <c r="Q6">
        <v>0</v>
      </c>
      <c r="S6">
        <v>143790</v>
      </c>
      <c r="T6" t="s">
        <v>2824</v>
      </c>
      <c r="U6" t="s">
        <v>2807</v>
      </c>
      <c r="W6">
        <v>0</v>
      </c>
      <c r="X6">
        <v>45500</v>
      </c>
      <c r="Y6">
        <v>41363.636363636302</v>
      </c>
      <c r="Z6" s="26">
        <v>46058</v>
      </c>
    </row>
    <row r="7" spans="1:26" x14ac:dyDescent="0.3">
      <c r="A7" s="50">
        <v>46058.433437500003</v>
      </c>
      <c r="B7">
        <v>2.02602051023325E+18</v>
      </c>
      <c r="C7" t="s">
        <v>2825</v>
      </c>
      <c r="D7" t="s">
        <v>2826</v>
      </c>
      <c r="E7" t="s">
        <v>2826</v>
      </c>
      <c r="F7" t="s">
        <v>2825</v>
      </c>
      <c r="G7" t="s">
        <v>2826</v>
      </c>
      <c r="H7" t="s">
        <v>2826</v>
      </c>
      <c r="I7">
        <v>6276</v>
      </c>
      <c r="J7" t="s">
        <v>2827</v>
      </c>
      <c r="K7" t="s">
        <v>2827</v>
      </c>
      <c r="L7" t="s">
        <v>2804</v>
      </c>
      <c r="M7" t="s">
        <v>2805</v>
      </c>
      <c r="N7">
        <v>54363</v>
      </c>
      <c r="O7">
        <v>45500</v>
      </c>
      <c r="P7">
        <v>1</v>
      </c>
      <c r="Q7">
        <v>0</v>
      </c>
      <c r="S7">
        <v>143790</v>
      </c>
      <c r="T7" t="s">
        <v>2828</v>
      </c>
      <c r="U7" t="s">
        <v>2807</v>
      </c>
      <c r="W7">
        <v>0</v>
      </c>
      <c r="X7">
        <v>45500</v>
      </c>
      <c r="Y7">
        <v>41363.636363636302</v>
      </c>
      <c r="Z7" s="26">
        <v>46058</v>
      </c>
    </row>
    <row r="8" spans="1:26" x14ac:dyDescent="0.3">
      <c r="A8" s="50">
        <v>46058.431203703702</v>
      </c>
      <c r="B8">
        <v>2.0260205101943401E+18</v>
      </c>
      <c r="C8" t="s">
        <v>2829</v>
      </c>
      <c r="D8" t="s">
        <v>2830</v>
      </c>
      <c r="E8" t="s">
        <v>2830</v>
      </c>
      <c r="F8" t="s">
        <v>2829</v>
      </c>
      <c r="G8" t="s">
        <v>2830</v>
      </c>
      <c r="H8" t="s">
        <v>2830</v>
      </c>
      <c r="I8">
        <v>13595</v>
      </c>
      <c r="J8" t="s">
        <v>2831</v>
      </c>
      <c r="K8" t="s">
        <v>2831</v>
      </c>
      <c r="L8" t="s">
        <v>2804</v>
      </c>
      <c r="M8" t="s">
        <v>2805</v>
      </c>
      <c r="N8">
        <v>108726</v>
      </c>
      <c r="O8">
        <v>45500</v>
      </c>
      <c r="P8">
        <v>2</v>
      </c>
      <c r="Q8">
        <v>0</v>
      </c>
      <c r="S8">
        <v>143790</v>
      </c>
      <c r="T8" t="s">
        <v>2832</v>
      </c>
      <c r="U8" t="s">
        <v>2807</v>
      </c>
      <c r="W8">
        <v>0</v>
      </c>
      <c r="X8">
        <v>91000</v>
      </c>
      <c r="Y8">
        <v>82727.272727272706</v>
      </c>
      <c r="Z8" s="26">
        <v>46058</v>
      </c>
    </row>
    <row r="9" spans="1:26" x14ac:dyDescent="0.3">
      <c r="A9" s="50">
        <v>46058.426168981481</v>
      </c>
      <c r="B9">
        <v>2.02602051008162E+18</v>
      </c>
      <c r="C9" t="s">
        <v>2833</v>
      </c>
      <c r="D9" t="s">
        <v>2834</v>
      </c>
      <c r="E9" t="s">
        <v>2834</v>
      </c>
      <c r="F9" t="s">
        <v>2833</v>
      </c>
      <c r="G9" t="s">
        <v>2835</v>
      </c>
      <c r="H9" t="s">
        <v>2835</v>
      </c>
      <c r="I9">
        <v>4969</v>
      </c>
      <c r="J9" t="s">
        <v>2836</v>
      </c>
      <c r="K9" t="s">
        <v>2836</v>
      </c>
      <c r="L9" t="s">
        <v>2804</v>
      </c>
      <c r="M9" t="s">
        <v>2805</v>
      </c>
      <c r="N9">
        <v>54363</v>
      </c>
      <c r="O9">
        <v>45500</v>
      </c>
      <c r="P9">
        <v>1</v>
      </c>
      <c r="Q9">
        <v>0</v>
      </c>
      <c r="R9" t="s">
        <v>2837</v>
      </c>
      <c r="S9">
        <v>143790</v>
      </c>
      <c r="T9" t="s">
        <v>2838</v>
      </c>
      <c r="U9" t="s">
        <v>2807</v>
      </c>
      <c r="W9">
        <v>0</v>
      </c>
      <c r="X9">
        <v>45500</v>
      </c>
      <c r="Y9">
        <v>41363.636363636302</v>
      </c>
      <c r="Z9" s="26">
        <v>46058</v>
      </c>
    </row>
    <row r="10" spans="1:26" x14ac:dyDescent="0.3">
      <c r="A10" s="50">
        <v>46058.419004629628</v>
      </c>
      <c r="B10">
        <v>2.0260205100247401E+18</v>
      </c>
      <c r="C10" t="s">
        <v>2839</v>
      </c>
      <c r="D10" t="s">
        <v>2840</v>
      </c>
      <c r="E10" t="s">
        <v>2840</v>
      </c>
      <c r="F10" t="s">
        <v>2839</v>
      </c>
      <c r="G10" t="s">
        <v>2840</v>
      </c>
      <c r="H10" t="s">
        <v>2840</v>
      </c>
      <c r="I10">
        <v>2095</v>
      </c>
      <c r="J10" t="s">
        <v>2841</v>
      </c>
      <c r="K10" t="s">
        <v>2841</v>
      </c>
      <c r="L10" t="s">
        <v>2804</v>
      </c>
      <c r="M10" t="s">
        <v>2805</v>
      </c>
      <c r="N10">
        <v>54363</v>
      </c>
      <c r="O10">
        <v>45500</v>
      </c>
      <c r="P10">
        <v>1</v>
      </c>
      <c r="Q10">
        <v>0</v>
      </c>
      <c r="S10">
        <v>143790</v>
      </c>
      <c r="T10" t="s">
        <v>2842</v>
      </c>
      <c r="U10" t="s">
        <v>2807</v>
      </c>
      <c r="W10">
        <v>0</v>
      </c>
      <c r="X10">
        <v>45500</v>
      </c>
      <c r="Y10">
        <v>41363.636363636302</v>
      </c>
      <c r="Z10" s="26">
        <v>46058</v>
      </c>
    </row>
    <row r="11" spans="1:26" x14ac:dyDescent="0.3">
      <c r="A11" s="50">
        <v>46058.411851851852</v>
      </c>
      <c r="B11">
        <v>2.0260205095056499E+18</v>
      </c>
      <c r="C11" t="s">
        <v>2843</v>
      </c>
      <c r="D11" t="s">
        <v>2844</v>
      </c>
      <c r="E11" t="s">
        <v>2844</v>
      </c>
      <c r="F11" t="s">
        <v>2843</v>
      </c>
      <c r="G11" t="s">
        <v>2844</v>
      </c>
      <c r="H11" t="s">
        <v>2844</v>
      </c>
      <c r="I11">
        <v>54406</v>
      </c>
      <c r="J11" t="s">
        <v>2845</v>
      </c>
      <c r="K11" t="s">
        <v>2845</v>
      </c>
      <c r="L11" t="s">
        <v>2804</v>
      </c>
      <c r="M11" t="s">
        <v>2805</v>
      </c>
      <c r="N11">
        <v>54363</v>
      </c>
      <c r="O11">
        <v>45500</v>
      </c>
      <c r="P11">
        <v>1</v>
      </c>
      <c r="Q11">
        <v>0</v>
      </c>
      <c r="R11" t="s">
        <v>2846</v>
      </c>
      <c r="S11">
        <v>143790</v>
      </c>
      <c r="T11" t="s">
        <v>2847</v>
      </c>
      <c r="U11" t="s">
        <v>2807</v>
      </c>
      <c r="W11">
        <v>0</v>
      </c>
      <c r="X11">
        <v>45500</v>
      </c>
      <c r="Y11">
        <v>41363.636363636302</v>
      </c>
      <c r="Z11" s="26">
        <v>46058</v>
      </c>
    </row>
    <row r="12" spans="1:26" x14ac:dyDescent="0.3">
      <c r="A12" s="50">
        <v>46058.408692129633</v>
      </c>
      <c r="B12">
        <v>2.0260205094735601E+18</v>
      </c>
      <c r="C12" t="s">
        <v>2848</v>
      </c>
      <c r="D12" t="s">
        <v>2849</v>
      </c>
      <c r="E12" t="s">
        <v>2849</v>
      </c>
      <c r="F12" t="s">
        <v>2848</v>
      </c>
      <c r="G12" t="s">
        <v>2849</v>
      </c>
      <c r="H12" t="s">
        <v>2849</v>
      </c>
      <c r="I12">
        <v>55357</v>
      </c>
      <c r="J12" t="s">
        <v>2850</v>
      </c>
      <c r="K12" t="s">
        <v>2850</v>
      </c>
      <c r="L12" t="s">
        <v>2804</v>
      </c>
      <c r="M12" t="s">
        <v>2805</v>
      </c>
      <c r="N12">
        <v>54363</v>
      </c>
      <c r="O12">
        <v>45500</v>
      </c>
      <c r="P12">
        <v>1</v>
      </c>
      <c r="Q12">
        <v>0</v>
      </c>
      <c r="S12">
        <v>143790</v>
      </c>
      <c r="T12" t="s">
        <v>2851</v>
      </c>
      <c r="U12" t="s">
        <v>2807</v>
      </c>
      <c r="W12">
        <v>0</v>
      </c>
      <c r="X12">
        <v>45500</v>
      </c>
      <c r="Y12">
        <v>41363.636363636302</v>
      </c>
      <c r="Z12" s="26">
        <v>46058</v>
      </c>
    </row>
    <row r="13" spans="1:26" x14ac:dyDescent="0.3">
      <c r="A13" s="50">
        <v>46058.406134259261</v>
      </c>
      <c r="B13">
        <v>2.0260205094305999E+18</v>
      </c>
      <c r="C13" t="s">
        <v>2852</v>
      </c>
      <c r="D13" t="s">
        <v>2853</v>
      </c>
      <c r="E13" t="s">
        <v>2853</v>
      </c>
      <c r="F13" t="s">
        <v>2852</v>
      </c>
      <c r="G13" t="s">
        <v>2853</v>
      </c>
      <c r="H13" t="s">
        <v>2853</v>
      </c>
      <c r="I13">
        <v>16582</v>
      </c>
      <c r="J13" t="s">
        <v>2854</v>
      </c>
      <c r="K13" t="s">
        <v>2854</v>
      </c>
      <c r="L13" t="s">
        <v>2804</v>
      </c>
      <c r="M13" t="s">
        <v>2805</v>
      </c>
      <c r="N13">
        <v>54363</v>
      </c>
      <c r="O13">
        <v>45500</v>
      </c>
      <c r="P13">
        <v>1</v>
      </c>
      <c r="Q13">
        <v>0</v>
      </c>
      <c r="S13">
        <v>143790</v>
      </c>
      <c r="T13" t="s">
        <v>2855</v>
      </c>
      <c r="U13" t="s">
        <v>2807</v>
      </c>
      <c r="W13">
        <v>0</v>
      </c>
      <c r="X13">
        <v>45500</v>
      </c>
      <c r="Y13">
        <v>41363.636363636302</v>
      </c>
      <c r="Z13" s="26">
        <v>46058</v>
      </c>
    </row>
    <row r="14" spans="1:26" x14ac:dyDescent="0.3">
      <c r="A14" s="50">
        <v>46058.405601851853</v>
      </c>
      <c r="B14">
        <v>2.0260205094337001E+18</v>
      </c>
      <c r="C14" t="s">
        <v>2856</v>
      </c>
      <c r="D14" t="s">
        <v>2857</v>
      </c>
      <c r="E14" t="s">
        <v>2857</v>
      </c>
      <c r="F14" t="s">
        <v>2856</v>
      </c>
      <c r="G14" t="s">
        <v>2857</v>
      </c>
      <c r="H14" t="s">
        <v>2857</v>
      </c>
      <c r="I14">
        <v>17336</v>
      </c>
      <c r="J14" t="s">
        <v>2858</v>
      </c>
      <c r="K14" t="s">
        <v>2858</v>
      </c>
      <c r="L14" t="s">
        <v>2804</v>
      </c>
      <c r="M14" t="s">
        <v>2805</v>
      </c>
      <c r="N14">
        <v>54363</v>
      </c>
      <c r="O14">
        <v>45500</v>
      </c>
      <c r="P14">
        <v>1</v>
      </c>
      <c r="Q14">
        <v>0</v>
      </c>
      <c r="S14">
        <v>143790</v>
      </c>
      <c r="T14" t="s">
        <v>2859</v>
      </c>
      <c r="U14" t="s">
        <v>2807</v>
      </c>
      <c r="W14">
        <v>0</v>
      </c>
      <c r="X14">
        <v>45500</v>
      </c>
      <c r="Y14">
        <v>41363.636363636302</v>
      </c>
      <c r="Z14" s="26">
        <v>46058</v>
      </c>
    </row>
    <row r="15" spans="1:26" x14ac:dyDescent="0.3">
      <c r="A15" s="50">
        <v>46058.40519675926</v>
      </c>
      <c r="B15">
        <v>2.0260205094230899E+18</v>
      </c>
      <c r="C15" t="s">
        <v>2860</v>
      </c>
      <c r="D15" t="s">
        <v>2861</v>
      </c>
      <c r="E15" t="s">
        <v>2861</v>
      </c>
      <c r="F15" t="s">
        <v>2860</v>
      </c>
      <c r="G15" t="s">
        <v>2861</v>
      </c>
      <c r="H15" t="s">
        <v>2861</v>
      </c>
      <c r="I15">
        <v>8257</v>
      </c>
      <c r="J15" t="s">
        <v>2862</v>
      </c>
      <c r="K15" t="s">
        <v>2862</v>
      </c>
      <c r="L15" t="s">
        <v>2804</v>
      </c>
      <c r="M15" t="s">
        <v>2805</v>
      </c>
      <c r="N15">
        <v>54363</v>
      </c>
      <c r="O15">
        <v>45500</v>
      </c>
      <c r="P15">
        <v>1</v>
      </c>
      <c r="Q15">
        <v>0</v>
      </c>
      <c r="S15">
        <v>143790</v>
      </c>
      <c r="T15" t="s">
        <v>2863</v>
      </c>
      <c r="U15" t="s">
        <v>2807</v>
      </c>
      <c r="W15">
        <v>0</v>
      </c>
      <c r="X15">
        <v>45500</v>
      </c>
      <c r="Y15">
        <v>41363.636363636302</v>
      </c>
      <c r="Z15" s="26">
        <v>46058</v>
      </c>
    </row>
    <row r="16" spans="1:26" x14ac:dyDescent="0.3">
      <c r="A16" s="50">
        <v>46058.40483796296</v>
      </c>
      <c r="B16">
        <v>2.0260205093831501E+18</v>
      </c>
      <c r="C16" t="s">
        <v>2864</v>
      </c>
      <c r="D16" t="s">
        <v>2865</v>
      </c>
      <c r="E16" t="s">
        <v>2865</v>
      </c>
      <c r="F16" t="s">
        <v>2864</v>
      </c>
      <c r="G16" t="s">
        <v>2865</v>
      </c>
      <c r="H16" t="s">
        <v>2865</v>
      </c>
      <c r="I16">
        <v>42833</v>
      </c>
      <c r="J16" t="s">
        <v>2866</v>
      </c>
      <c r="K16" t="s">
        <v>2866</v>
      </c>
      <c r="L16" t="s">
        <v>2804</v>
      </c>
      <c r="M16" t="s">
        <v>2805</v>
      </c>
      <c r="N16">
        <v>108726</v>
      </c>
      <c r="O16">
        <v>45500</v>
      </c>
      <c r="P16">
        <v>2</v>
      </c>
      <c r="Q16">
        <v>0</v>
      </c>
      <c r="S16">
        <v>143790</v>
      </c>
      <c r="T16" t="s">
        <v>2867</v>
      </c>
      <c r="U16" t="s">
        <v>2807</v>
      </c>
      <c r="W16">
        <v>0</v>
      </c>
      <c r="X16">
        <v>91000</v>
      </c>
      <c r="Y16">
        <v>82727.272727272706</v>
      </c>
      <c r="Z16" s="26">
        <v>46058</v>
      </c>
    </row>
    <row r="17" spans="1:26" x14ac:dyDescent="0.3">
      <c r="A17" s="50">
        <v>46058.399409722224</v>
      </c>
      <c r="B17">
        <v>2.0260205093328599E+18</v>
      </c>
      <c r="C17" t="s">
        <v>2868</v>
      </c>
      <c r="D17" t="s">
        <v>2869</v>
      </c>
      <c r="E17" t="s">
        <v>2869</v>
      </c>
      <c r="F17" t="s">
        <v>2868</v>
      </c>
      <c r="G17" t="s">
        <v>2869</v>
      </c>
      <c r="H17" t="s">
        <v>2869</v>
      </c>
      <c r="I17">
        <v>10909</v>
      </c>
      <c r="J17" t="s">
        <v>2870</v>
      </c>
      <c r="K17" t="s">
        <v>2870</v>
      </c>
      <c r="L17" t="s">
        <v>2804</v>
      </c>
      <c r="M17" t="s">
        <v>2805</v>
      </c>
      <c r="N17">
        <v>54363</v>
      </c>
      <c r="O17">
        <v>45500</v>
      </c>
      <c r="P17">
        <v>1</v>
      </c>
      <c r="Q17">
        <v>0</v>
      </c>
      <c r="S17">
        <v>143790</v>
      </c>
      <c r="T17" t="s">
        <v>2871</v>
      </c>
      <c r="U17" t="s">
        <v>2807</v>
      </c>
      <c r="W17">
        <v>0</v>
      </c>
      <c r="X17">
        <v>45500</v>
      </c>
      <c r="Y17">
        <v>41363.636363636302</v>
      </c>
      <c r="Z17" s="26">
        <v>46058</v>
      </c>
    </row>
    <row r="18" spans="1:26" x14ac:dyDescent="0.3">
      <c r="A18" s="50">
        <v>46058.396469907406</v>
      </c>
      <c r="B18">
        <v>2.0260205093010601E+18</v>
      </c>
      <c r="C18" t="s">
        <v>2872</v>
      </c>
      <c r="D18" t="s">
        <v>2873</v>
      </c>
      <c r="E18" t="s">
        <v>2873</v>
      </c>
      <c r="F18" t="s">
        <v>2872</v>
      </c>
      <c r="G18" t="s">
        <v>2873</v>
      </c>
      <c r="H18" t="s">
        <v>2873</v>
      </c>
      <c r="I18">
        <v>41091</v>
      </c>
      <c r="J18" t="s">
        <v>2874</v>
      </c>
      <c r="K18" t="s">
        <v>2874</v>
      </c>
      <c r="L18" t="s">
        <v>2804</v>
      </c>
      <c r="M18" t="s">
        <v>2805</v>
      </c>
      <c r="N18">
        <v>54363</v>
      </c>
      <c r="O18">
        <v>45500</v>
      </c>
      <c r="P18">
        <v>1</v>
      </c>
      <c r="Q18">
        <v>0</v>
      </c>
      <c r="S18">
        <v>143790</v>
      </c>
      <c r="T18" t="s">
        <v>2875</v>
      </c>
      <c r="U18" t="s">
        <v>2807</v>
      </c>
      <c r="W18">
        <v>0</v>
      </c>
      <c r="X18">
        <v>45500</v>
      </c>
      <c r="Y18">
        <v>41363.636363636302</v>
      </c>
      <c r="Z18" s="26">
        <v>46058</v>
      </c>
    </row>
    <row r="19" spans="1:26" x14ac:dyDescent="0.3">
      <c r="A19" s="50">
        <v>46058.39335648148</v>
      </c>
      <c r="B19">
        <v>2.02602050925264E+18</v>
      </c>
      <c r="C19" t="s">
        <v>2876</v>
      </c>
      <c r="D19" t="s">
        <v>2877</v>
      </c>
      <c r="E19" t="s">
        <v>2877</v>
      </c>
      <c r="F19" t="s">
        <v>2876</v>
      </c>
      <c r="G19" t="s">
        <v>2877</v>
      </c>
      <c r="H19" t="s">
        <v>2877</v>
      </c>
      <c r="I19">
        <v>31090</v>
      </c>
      <c r="J19" t="s">
        <v>2878</v>
      </c>
      <c r="K19" t="s">
        <v>2878</v>
      </c>
      <c r="L19" t="s">
        <v>2804</v>
      </c>
      <c r="M19" t="s">
        <v>2805</v>
      </c>
      <c r="N19">
        <v>54363</v>
      </c>
      <c r="O19">
        <v>45500</v>
      </c>
      <c r="P19">
        <v>1</v>
      </c>
      <c r="Q19">
        <v>0</v>
      </c>
      <c r="S19">
        <v>143790</v>
      </c>
      <c r="T19" t="s">
        <v>2879</v>
      </c>
      <c r="U19" t="s">
        <v>2807</v>
      </c>
      <c r="W19">
        <v>0</v>
      </c>
      <c r="X19">
        <v>45500</v>
      </c>
      <c r="Y19">
        <v>41363.636363636302</v>
      </c>
      <c r="Z19" s="26">
        <v>46058</v>
      </c>
    </row>
    <row r="20" spans="1:26" x14ac:dyDescent="0.3">
      <c r="A20" s="50">
        <v>46058.388842592591</v>
      </c>
      <c r="B20">
        <v>2.02602050919327E+18</v>
      </c>
      <c r="C20" t="s">
        <v>2880</v>
      </c>
      <c r="D20" t="s">
        <v>2881</v>
      </c>
      <c r="E20" t="s">
        <v>2881</v>
      </c>
      <c r="F20" t="s">
        <v>2880</v>
      </c>
      <c r="G20" t="s">
        <v>2881</v>
      </c>
      <c r="H20" t="s">
        <v>2881</v>
      </c>
      <c r="I20">
        <v>3357</v>
      </c>
      <c r="J20" t="s">
        <v>2882</v>
      </c>
      <c r="K20" t="s">
        <v>2882</v>
      </c>
      <c r="L20" t="s">
        <v>2804</v>
      </c>
      <c r="M20" t="s">
        <v>2805</v>
      </c>
      <c r="N20">
        <v>54363</v>
      </c>
      <c r="O20">
        <v>45500</v>
      </c>
      <c r="P20">
        <v>1</v>
      </c>
      <c r="Q20">
        <v>0</v>
      </c>
      <c r="S20">
        <v>143790</v>
      </c>
      <c r="T20" t="s">
        <v>2883</v>
      </c>
      <c r="U20" t="s">
        <v>2807</v>
      </c>
      <c r="W20">
        <v>0</v>
      </c>
      <c r="X20">
        <v>45500</v>
      </c>
      <c r="Y20">
        <v>41363.636363636302</v>
      </c>
      <c r="Z20" s="26">
        <v>46058</v>
      </c>
    </row>
    <row r="21" spans="1:26" x14ac:dyDescent="0.3">
      <c r="A21" s="50">
        <v>46058.387696759259</v>
      </c>
      <c r="B21">
        <v>2.0260205091626299E+18</v>
      </c>
      <c r="C21" t="s">
        <v>2884</v>
      </c>
      <c r="D21" t="s">
        <v>2885</v>
      </c>
      <c r="E21" t="s">
        <v>2885</v>
      </c>
      <c r="F21" t="s">
        <v>2884</v>
      </c>
      <c r="G21" t="s">
        <v>2885</v>
      </c>
      <c r="H21" t="s">
        <v>2885</v>
      </c>
      <c r="I21">
        <v>33475</v>
      </c>
      <c r="J21" t="s">
        <v>2886</v>
      </c>
      <c r="K21" t="s">
        <v>2886</v>
      </c>
      <c r="L21" t="s">
        <v>2804</v>
      </c>
      <c r="M21" t="s">
        <v>2805</v>
      </c>
      <c r="N21">
        <v>54363</v>
      </c>
      <c r="O21">
        <v>45500</v>
      </c>
      <c r="P21">
        <v>1</v>
      </c>
      <c r="Q21">
        <v>0</v>
      </c>
      <c r="S21">
        <v>143790</v>
      </c>
      <c r="T21" t="s">
        <v>2887</v>
      </c>
      <c r="U21" t="s">
        <v>2807</v>
      </c>
      <c r="W21">
        <v>0</v>
      </c>
      <c r="X21">
        <v>45500</v>
      </c>
      <c r="Y21">
        <v>41363.636363636302</v>
      </c>
      <c r="Z21" s="26">
        <v>46058</v>
      </c>
    </row>
    <row r="22" spans="1:26" x14ac:dyDescent="0.3">
      <c r="A22" s="50">
        <v>46058.38548611111</v>
      </c>
      <c r="B22">
        <v>2.0260205091303199E+18</v>
      </c>
      <c r="C22" t="s">
        <v>2888</v>
      </c>
      <c r="D22" t="s">
        <v>2889</v>
      </c>
      <c r="E22" t="s">
        <v>2889</v>
      </c>
      <c r="F22" t="s">
        <v>2890</v>
      </c>
      <c r="G22" t="s">
        <v>2891</v>
      </c>
      <c r="H22" t="s">
        <v>2891</v>
      </c>
      <c r="I22">
        <v>26346</v>
      </c>
      <c r="J22" t="s">
        <v>2892</v>
      </c>
      <c r="K22" t="s">
        <v>2892</v>
      </c>
      <c r="L22" t="s">
        <v>2804</v>
      </c>
      <c r="M22" t="s">
        <v>2805</v>
      </c>
      <c r="N22">
        <v>54363</v>
      </c>
      <c r="O22">
        <v>45500</v>
      </c>
      <c r="P22">
        <v>1</v>
      </c>
      <c r="Q22">
        <v>0</v>
      </c>
      <c r="S22">
        <v>143790</v>
      </c>
      <c r="T22" t="s">
        <v>2893</v>
      </c>
      <c r="U22" t="s">
        <v>2807</v>
      </c>
      <c r="W22">
        <v>0</v>
      </c>
      <c r="X22">
        <v>45500</v>
      </c>
      <c r="Y22">
        <v>41363.636363636302</v>
      </c>
      <c r="Z22" s="26">
        <v>46058</v>
      </c>
    </row>
    <row r="23" spans="1:26" x14ac:dyDescent="0.3">
      <c r="A23" s="50">
        <v>46058.385254629633</v>
      </c>
      <c r="B23">
        <v>2.0260205091251999E+18</v>
      </c>
      <c r="C23" t="s">
        <v>2894</v>
      </c>
      <c r="D23" t="s">
        <v>2895</v>
      </c>
      <c r="E23" t="s">
        <v>2895</v>
      </c>
      <c r="F23" t="s">
        <v>2896</v>
      </c>
      <c r="G23" t="s">
        <v>2895</v>
      </c>
      <c r="H23" t="s">
        <v>2895</v>
      </c>
      <c r="I23">
        <v>13544</v>
      </c>
      <c r="J23" t="s">
        <v>2897</v>
      </c>
      <c r="K23" t="s">
        <v>2897</v>
      </c>
      <c r="L23" t="s">
        <v>2804</v>
      </c>
      <c r="M23" t="s">
        <v>2805</v>
      </c>
      <c r="N23">
        <v>54363</v>
      </c>
      <c r="O23">
        <v>45500</v>
      </c>
      <c r="P23">
        <v>1</v>
      </c>
      <c r="Q23">
        <v>0</v>
      </c>
      <c r="S23">
        <v>143790</v>
      </c>
      <c r="T23" t="s">
        <v>2898</v>
      </c>
      <c r="U23" t="s">
        <v>2807</v>
      </c>
      <c r="W23">
        <v>0</v>
      </c>
      <c r="X23">
        <v>45500</v>
      </c>
      <c r="Y23">
        <v>41363.636363636302</v>
      </c>
      <c r="Z23" s="26">
        <v>46058</v>
      </c>
    </row>
    <row r="24" spans="1:26" x14ac:dyDescent="0.3">
      <c r="A24" s="50">
        <v>46058.381967592592</v>
      </c>
      <c r="B24">
        <v>2.0260205090842701E+18</v>
      </c>
      <c r="C24" t="s">
        <v>2899</v>
      </c>
      <c r="D24" t="s">
        <v>2900</v>
      </c>
      <c r="E24" t="s">
        <v>2900</v>
      </c>
      <c r="F24" t="s">
        <v>2899</v>
      </c>
      <c r="G24" t="s">
        <v>2900</v>
      </c>
      <c r="H24" t="s">
        <v>2900</v>
      </c>
      <c r="I24">
        <v>3903</v>
      </c>
      <c r="J24" t="s">
        <v>2901</v>
      </c>
      <c r="K24" t="s">
        <v>2901</v>
      </c>
      <c r="L24" t="s">
        <v>2804</v>
      </c>
      <c r="M24" t="s">
        <v>2805</v>
      </c>
      <c r="N24">
        <v>54363</v>
      </c>
      <c r="O24">
        <v>45500</v>
      </c>
      <c r="P24">
        <v>1</v>
      </c>
      <c r="Q24">
        <v>0</v>
      </c>
      <c r="S24">
        <v>143790</v>
      </c>
      <c r="T24" t="s">
        <v>2902</v>
      </c>
      <c r="U24" t="s">
        <v>2807</v>
      </c>
      <c r="W24">
        <v>0</v>
      </c>
      <c r="X24">
        <v>45500</v>
      </c>
      <c r="Y24">
        <v>41363.636363636302</v>
      </c>
      <c r="Z24" s="26">
        <v>46058</v>
      </c>
    </row>
    <row r="25" spans="1:26" x14ac:dyDescent="0.3">
      <c r="A25" s="50">
        <v>46058.38140046296</v>
      </c>
      <c r="B25">
        <v>2.0260205090740301E+18</v>
      </c>
      <c r="C25" t="s">
        <v>2903</v>
      </c>
      <c r="D25" t="s">
        <v>2904</v>
      </c>
      <c r="E25" t="s">
        <v>2904</v>
      </c>
      <c r="F25" t="s">
        <v>2903</v>
      </c>
      <c r="G25" t="s">
        <v>2904</v>
      </c>
      <c r="H25" t="s">
        <v>2904</v>
      </c>
      <c r="I25">
        <v>16828</v>
      </c>
      <c r="J25" t="s">
        <v>2905</v>
      </c>
      <c r="K25" t="s">
        <v>2905</v>
      </c>
      <c r="L25" t="s">
        <v>2804</v>
      </c>
      <c r="M25" t="s">
        <v>2805</v>
      </c>
      <c r="N25">
        <v>54363</v>
      </c>
      <c r="O25">
        <v>45500</v>
      </c>
      <c r="P25">
        <v>1</v>
      </c>
      <c r="Q25">
        <v>0</v>
      </c>
      <c r="S25">
        <v>143790</v>
      </c>
      <c r="T25" t="s">
        <v>2906</v>
      </c>
      <c r="U25" t="s">
        <v>2807</v>
      </c>
      <c r="W25">
        <v>0</v>
      </c>
      <c r="X25">
        <v>45500</v>
      </c>
      <c r="Y25">
        <v>41363.636363636302</v>
      </c>
      <c r="Z25" s="26">
        <v>46058</v>
      </c>
    </row>
    <row r="26" spans="1:26" x14ac:dyDescent="0.3">
      <c r="A26" s="50">
        <v>46058.379108796296</v>
      </c>
      <c r="B26">
        <v>2.0260205090347699E+18</v>
      </c>
      <c r="C26" t="s">
        <v>2907</v>
      </c>
      <c r="D26" t="s">
        <v>2908</v>
      </c>
      <c r="E26" t="s">
        <v>2908</v>
      </c>
      <c r="F26" t="s">
        <v>2907</v>
      </c>
      <c r="G26" t="s">
        <v>2908</v>
      </c>
      <c r="H26" t="s">
        <v>2908</v>
      </c>
      <c r="I26">
        <v>16822</v>
      </c>
      <c r="J26" t="s">
        <v>2909</v>
      </c>
      <c r="K26" t="s">
        <v>2909</v>
      </c>
      <c r="L26" t="s">
        <v>2804</v>
      </c>
      <c r="M26" t="s">
        <v>2805</v>
      </c>
      <c r="N26">
        <v>54363</v>
      </c>
      <c r="O26">
        <v>45500</v>
      </c>
      <c r="P26">
        <v>1</v>
      </c>
      <c r="Q26">
        <v>0</v>
      </c>
      <c r="S26">
        <v>143790</v>
      </c>
      <c r="T26" t="s">
        <v>2910</v>
      </c>
      <c r="U26" t="s">
        <v>2807</v>
      </c>
      <c r="W26">
        <v>0</v>
      </c>
      <c r="X26">
        <v>45500</v>
      </c>
      <c r="Y26">
        <v>41363.636363636302</v>
      </c>
      <c r="Z26" s="26">
        <v>46058</v>
      </c>
    </row>
    <row r="27" spans="1:26" x14ac:dyDescent="0.3">
      <c r="A27" s="50">
        <v>46058.377303240741</v>
      </c>
      <c r="B27">
        <v>2.02602050900546E+18</v>
      </c>
      <c r="C27" t="s">
        <v>2911</v>
      </c>
      <c r="D27" t="s">
        <v>2912</v>
      </c>
      <c r="E27" t="s">
        <v>2912</v>
      </c>
      <c r="F27" t="s">
        <v>2911</v>
      </c>
      <c r="G27" t="s">
        <v>2912</v>
      </c>
      <c r="H27" t="s">
        <v>2912</v>
      </c>
      <c r="I27">
        <v>5224</v>
      </c>
      <c r="J27" t="s">
        <v>2913</v>
      </c>
      <c r="K27" t="s">
        <v>2913</v>
      </c>
      <c r="L27" t="s">
        <v>2804</v>
      </c>
      <c r="M27" t="s">
        <v>2805</v>
      </c>
      <c r="N27">
        <v>108726</v>
      </c>
      <c r="O27">
        <v>45500</v>
      </c>
      <c r="P27">
        <v>2</v>
      </c>
      <c r="Q27">
        <v>0</v>
      </c>
      <c r="R27" t="s">
        <v>2914</v>
      </c>
      <c r="S27">
        <v>143790</v>
      </c>
      <c r="T27" t="s">
        <v>2915</v>
      </c>
      <c r="U27" t="s">
        <v>2807</v>
      </c>
      <c r="W27">
        <v>0</v>
      </c>
      <c r="X27">
        <v>91000</v>
      </c>
      <c r="Y27">
        <v>82727.272727272706</v>
      </c>
      <c r="Z27" s="26">
        <v>46058</v>
      </c>
    </row>
    <row r="28" spans="1:26" x14ac:dyDescent="0.3">
      <c r="A28" s="50">
        <v>46058.376250000001</v>
      </c>
      <c r="B28">
        <v>2.0260205090016499E+18</v>
      </c>
      <c r="C28" t="s">
        <v>2916</v>
      </c>
      <c r="D28" t="s">
        <v>2917</v>
      </c>
      <c r="E28" t="s">
        <v>2917</v>
      </c>
      <c r="F28" t="s">
        <v>2916</v>
      </c>
      <c r="G28" t="s">
        <v>2917</v>
      </c>
      <c r="H28" t="s">
        <v>2917</v>
      </c>
      <c r="I28">
        <v>16868</v>
      </c>
      <c r="J28" t="s">
        <v>2918</v>
      </c>
      <c r="K28" t="s">
        <v>2918</v>
      </c>
      <c r="L28" t="s">
        <v>2804</v>
      </c>
      <c r="M28" t="s">
        <v>2805</v>
      </c>
      <c r="N28">
        <v>54363</v>
      </c>
      <c r="O28">
        <v>45500</v>
      </c>
      <c r="P28">
        <v>1</v>
      </c>
      <c r="Q28">
        <v>0</v>
      </c>
      <c r="S28">
        <v>143790</v>
      </c>
      <c r="T28" t="s">
        <v>2919</v>
      </c>
      <c r="U28" t="s">
        <v>2807</v>
      </c>
      <c r="W28">
        <v>0</v>
      </c>
      <c r="X28">
        <v>45500</v>
      </c>
      <c r="Y28">
        <v>41363.636363636302</v>
      </c>
      <c r="Z28" s="26">
        <v>46058</v>
      </c>
    </row>
    <row r="29" spans="1:26" x14ac:dyDescent="0.3">
      <c r="A29" s="50">
        <v>46058.373402777775</v>
      </c>
      <c r="B29">
        <v>2.02602050837278E+18</v>
      </c>
      <c r="C29" t="s">
        <v>2920</v>
      </c>
      <c r="D29" t="s">
        <v>2921</v>
      </c>
      <c r="E29" t="s">
        <v>2921</v>
      </c>
      <c r="F29" t="s">
        <v>2922</v>
      </c>
      <c r="G29" t="s">
        <v>2921</v>
      </c>
      <c r="H29" t="s">
        <v>2921</v>
      </c>
      <c r="I29">
        <v>57161</v>
      </c>
      <c r="J29" t="s">
        <v>2923</v>
      </c>
      <c r="K29" t="s">
        <v>2923</v>
      </c>
      <c r="L29" t="s">
        <v>2804</v>
      </c>
      <c r="M29" t="s">
        <v>2805</v>
      </c>
      <c r="N29">
        <v>163089</v>
      </c>
      <c r="O29">
        <v>45500</v>
      </c>
      <c r="P29">
        <v>3</v>
      </c>
      <c r="Q29">
        <v>0</v>
      </c>
      <c r="R29" t="s">
        <v>2924</v>
      </c>
      <c r="S29">
        <v>143790</v>
      </c>
      <c r="T29" t="s">
        <v>2925</v>
      </c>
      <c r="U29" t="s">
        <v>2807</v>
      </c>
      <c r="W29">
        <v>0</v>
      </c>
      <c r="X29">
        <v>136500</v>
      </c>
      <c r="Y29">
        <v>124090.909090909</v>
      </c>
      <c r="Z29" s="26">
        <v>46058</v>
      </c>
    </row>
    <row r="30" spans="1:26" x14ac:dyDescent="0.3">
      <c r="A30" s="50">
        <v>46058.372210648151</v>
      </c>
      <c r="B30">
        <v>2.02602050854272E+18</v>
      </c>
      <c r="C30" t="s">
        <v>2926</v>
      </c>
      <c r="D30" t="s">
        <v>2927</v>
      </c>
      <c r="E30" t="s">
        <v>2927</v>
      </c>
      <c r="F30" t="s">
        <v>2926</v>
      </c>
      <c r="G30" t="s">
        <v>2927</v>
      </c>
      <c r="H30" t="s">
        <v>2927</v>
      </c>
      <c r="I30">
        <v>48288</v>
      </c>
      <c r="J30" t="s">
        <v>2928</v>
      </c>
      <c r="K30" t="s">
        <v>2928</v>
      </c>
      <c r="L30" t="s">
        <v>2804</v>
      </c>
      <c r="M30" t="s">
        <v>2805</v>
      </c>
      <c r="N30">
        <v>54363</v>
      </c>
      <c r="O30">
        <v>45500</v>
      </c>
      <c r="P30">
        <v>1</v>
      </c>
      <c r="Q30">
        <v>0</v>
      </c>
      <c r="R30" t="s">
        <v>2929</v>
      </c>
      <c r="S30">
        <v>143790</v>
      </c>
      <c r="T30" t="s">
        <v>2930</v>
      </c>
      <c r="U30" t="s">
        <v>2807</v>
      </c>
      <c r="W30">
        <v>0</v>
      </c>
      <c r="X30">
        <v>45500</v>
      </c>
      <c r="Y30">
        <v>41363.636363636302</v>
      </c>
      <c r="Z30" s="26">
        <v>46058</v>
      </c>
    </row>
    <row r="31" spans="1:26" x14ac:dyDescent="0.3">
      <c r="A31" s="50">
        <v>46058.372141203705</v>
      </c>
      <c r="B31">
        <v>2.0260205085447501E+18</v>
      </c>
      <c r="C31" t="s">
        <v>2931</v>
      </c>
      <c r="D31" t="s">
        <v>2932</v>
      </c>
      <c r="E31" t="s">
        <v>2932</v>
      </c>
      <c r="F31" t="s">
        <v>2931</v>
      </c>
      <c r="G31" t="s">
        <v>2932</v>
      </c>
      <c r="H31" t="s">
        <v>2932</v>
      </c>
      <c r="I31">
        <v>5846</v>
      </c>
      <c r="J31" t="s">
        <v>2933</v>
      </c>
      <c r="K31" t="s">
        <v>2933</v>
      </c>
      <c r="L31" t="s">
        <v>2804</v>
      </c>
      <c r="M31" t="s">
        <v>2805</v>
      </c>
      <c r="N31">
        <v>54363</v>
      </c>
      <c r="O31">
        <v>45500</v>
      </c>
      <c r="P31">
        <v>1</v>
      </c>
      <c r="Q31">
        <v>0</v>
      </c>
      <c r="R31" t="s">
        <v>2934</v>
      </c>
      <c r="S31">
        <v>143790</v>
      </c>
      <c r="T31" t="s">
        <v>2935</v>
      </c>
      <c r="U31" t="s">
        <v>2807</v>
      </c>
      <c r="W31">
        <v>0</v>
      </c>
      <c r="X31">
        <v>45500</v>
      </c>
      <c r="Y31">
        <v>41363.636363636302</v>
      </c>
      <c r="Z31" s="26">
        <v>46058</v>
      </c>
    </row>
    <row r="32" spans="1:26" x14ac:dyDescent="0.3">
      <c r="A32" s="50">
        <v>46058.368680555555</v>
      </c>
      <c r="B32">
        <v>2.02602050847137E+18</v>
      </c>
      <c r="C32" t="s">
        <v>2926</v>
      </c>
      <c r="D32" t="s">
        <v>2927</v>
      </c>
      <c r="E32" t="s">
        <v>2927</v>
      </c>
      <c r="F32" t="s">
        <v>2936</v>
      </c>
      <c r="G32" t="s">
        <v>2937</v>
      </c>
      <c r="H32" t="s">
        <v>2937</v>
      </c>
      <c r="I32">
        <v>50650</v>
      </c>
      <c r="J32" t="s">
        <v>2938</v>
      </c>
      <c r="K32" t="s">
        <v>2938</v>
      </c>
      <c r="L32" t="s">
        <v>2804</v>
      </c>
      <c r="M32" t="s">
        <v>2805</v>
      </c>
      <c r="N32">
        <v>54363</v>
      </c>
      <c r="O32">
        <v>45500</v>
      </c>
      <c r="P32">
        <v>1</v>
      </c>
      <c r="Q32">
        <v>0</v>
      </c>
      <c r="S32">
        <v>143790</v>
      </c>
      <c r="T32" t="s">
        <v>2939</v>
      </c>
      <c r="U32" t="s">
        <v>2807</v>
      </c>
      <c r="W32">
        <v>0</v>
      </c>
      <c r="X32">
        <v>45500</v>
      </c>
      <c r="Y32">
        <v>41363.636363636302</v>
      </c>
      <c r="Z32" s="26">
        <v>46058</v>
      </c>
    </row>
    <row r="33" spans="1:26" x14ac:dyDescent="0.3">
      <c r="A33" s="50">
        <v>46058.368275462963</v>
      </c>
      <c r="B33">
        <v>2.02602050849389E+18</v>
      </c>
      <c r="C33" t="s">
        <v>2940</v>
      </c>
      <c r="D33" t="s">
        <v>2941</v>
      </c>
      <c r="E33" t="s">
        <v>2941</v>
      </c>
      <c r="F33" t="s">
        <v>2940</v>
      </c>
      <c r="G33" t="s">
        <v>2941</v>
      </c>
      <c r="H33" t="s">
        <v>2941</v>
      </c>
      <c r="I33">
        <v>2719</v>
      </c>
      <c r="J33" t="s">
        <v>2942</v>
      </c>
      <c r="K33" t="s">
        <v>2942</v>
      </c>
      <c r="L33" t="s">
        <v>2804</v>
      </c>
      <c r="M33" t="s">
        <v>2805</v>
      </c>
      <c r="N33">
        <v>54363</v>
      </c>
      <c r="O33">
        <v>45500</v>
      </c>
      <c r="P33">
        <v>1</v>
      </c>
      <c r="Q33">
        <v>0</v>
      </c>
      <c r="S33">
        <v>143790</v>
      </c>
      <c r="T33" t="s">
        <v>2943</v>
      </c>
      <c r="U33" t="s">
        <v>2807</v>
      </c>
      <c r="W33">
        <v>0</v>
      </c>
      <c r="X33">
        <v>45500</v>
      </c>
      <c r="Y33">
        <v>41363.636363636302</v>
      </c>
      <c r="Z33" s="26">
        <v>46058</v>
      </c>
    </row>
    <row r="34" spans="1:26" x14ac:dyDescent="0.3">
      <c r="A34" s="50">
        <v>46058.367766203701</v>
      </c>
      <c r="B34">
        <v>2.02602050848349E+18</v>
      </c>
      <c r="C34" t="s">
        <v>2944</v>
      </c>
      <c r="D34" t="s">
        <v>2945</v>
      </c>
      <c r="E34" t="s">
        <v>2945</v>
      </c>
      <c r="F34" t="s">
        <v>2944</v>
      </c>
      <c r="G34" t="s">
        <v>2945</v>
      </c>
      <c r="H34" t="s">
        <v>2945</v>
      </c>
      <c r="I34">
        <v>13539</v>
      </c>
      <c r="J34" t="s">
        <v>2946</v>
      </c>
      <c r="K34" t="s">
        <v>2946</v>
      </c>
      <c r="L34" t="s">
        <v>2804</v>
      </c>
      <c r="M34" t="s">
        <v>2805</v>
      </c>
      <c r="N34">
        <v>54363</v>
      </c>
      <c r="O34">
        <v>45500</v>
      </c>
      <c r="P34">
        <v>1</v>
      </c>
      <c r="Q34">
        <v>0</v>
      </c>
      <c r="S34">
        <v>143790</v>
      </c>
      <c r="T34" t="s">
        <v>2947</v>
      </c>
      <c r="U34" t="s">
        <v>2807</v>
      </c>
      <c r="W34">
        <v>0</v>
      </c>
      <c r="X34">
        <v>45500</v>
      </c>
      <c r="Y34">
        <v>41363.636363636302</v>
      </c>
      <c r="Z34" s="26">
        <v>46058</v>
      </c>
    </row>
    <row r="35" spans="1:26" x14ac:dyDescent="0.3">
      <c r="A35" s="50">
        <v>46058.366157407407</v>
      </c>
      <c r="B35">
        <v>2.0260205084509901E+18</v>
      </c>
      <c r="C35" t="s">
        <v>2948</v>
      </c>
      <c r="D35" t="s">
        <v>2949</v>
      </c>
      <c r="E35" t="s">
        <v>2949</v>
      </c>
      <c r="F35" t="s">
        <v>2948</v>
      </c>
      <c r="G35" t="s">
        <v>2949</v>
      </c>
      <c r="H35" t="s">
        <v>2949</v>
      </c>
      <c r="I35">
        <v>16517</v>
      </c>
      <c r="J35" t="s">
        <v>2950</v>
      </c>
      <c r="K35" t="s">
        <v>2950</v>
      </c>
      <c r="L35" t="s">
        <v>2804</v>
      </c>
      <c r="M35" t="s">
        <v>2805</v>
      </c>
      <c r="N35">
        <v>54363</v>
      </c>
      <c r="O35">
        <v>45500</v>
      </c>
      <c r="P35">
        <v>1</v>
      </c>
      <c r="Q35">
        <v>0</v>
      </c>
      <c r="S35">
        <v>143790</v>
      </c>
      <c r="T35" t="s">
        <v>2951</v>
      </c>
      <c r="U35" t="s">
        <v>2807</v>
      </c>
      <c r="W35">
        <v>0</v>
      </c>
      <c r="X35">
        <v>45500</v>
      </c>
      <c r="Y35">
        <v>41363.636363636302</v>
      </c>
      <c r="Z35" s="26">
        <v>46058</v>
      </c>
    </row>
    <row r="36" spans="1:26" x14ac:dyDescent="0.3">
      <c r="A36" s="50">
        <v>46058.365891203706</v>
      </c>
      <c r="B36">
        <v>2.02602050842125E+18</v>
      </c>
      <c r="C36" t="s">
        <v>2952</v>
      </c>
      <c r="D36" t="s">
        <v>2953</v>
      </c>
      <c r="E36" t="s">
        <v>2953</v>
      </c>
      <c r="F36" t="s">
        <v>2952</v>
      </c>
      <c r="G36" t="s">
        <v>2953</v>
      </c>
      <c r="H36" t="s">
        <v>2953</v>
      </c>
      <c r="I36">
        <v>5274</v>
      </c>
      <c r="J36" t="s">
        <v>2954</v>
      </c>
      <c r="K36" t="s">
        <v>2954</v>
      </c>
      <c r="L36" t="s">
        <v>2804</v>
      </c>
      <c r="M36" t="s">
        <v>2805</v>
      </c>
      <c r="N36">
        <v>54363</v>
      </c>
      <c r="O36">
        <v>45500</v>
      </c>
      <c r="P36">
        <v>1</v>
      </c>
      <c r="Q36">
        <v>0</v>
      </c>
      <c r="R36" t="s">
        <v>2955</v>
      </c>
      <c r="S36">
        <v>143790</v>
      </c>
      <c r="T36" t="s">
        <v>2956</v>
      </c>
      <c r="U36" t="s">
        <v>2807</v>
      </c>
      <c r="W36">
        <v>0</v>
      </c>
      <c r="X36">
        <v>45500</v>
      </c>
      <c r="Y36">
        <v>41363.636363636302</v>
      </c>
      <c r="Z36" s="26">
        <v>46058</v>
      </c>
    </row>
    <row r="37" spans="1:26" x14ac:dyDescent="0.3">
      <c r="A37" s="50">
        <v>46058.364247685182</v>
      </c>
      <c r="B37">
        <v>2.02602050843263E+18</v>
      </c>
      <c r="C37" t="s">
        <v>2957</v>
      </c>
      <c r="D37" t="s">
        <v>2958</v>
      </c>
      <c r="E37" t="s">
        <v>2958</v>
      </c>
      <c r="F37" t="s">
        <v>2959</v>
      </c>
      <c r="G37" t="s">
        <v>2958</v>
      </c>
      <c r="H37" t="s">
        <v>2958</v>
      </c>
      <c r="I37">
        <v>16822</v>
      </c>
      <c r="J37" t="s">
        <v>2960</v>
      </c>
      <c r="K37" t="s">
        <v>2960</v>
      </c>
      <c r="L37" t="s">
        <v>2804</v>
      </c>
      <c r="M37" t="s">
        <v>2805</v>
      </c>
      <c r="N37">
        <v>54363</v>
      </c>
      <c r="O37">
        <v>45500</v>
      </c>
      <c r="P37">
        <v>1</v>
      </c>
      <c r="Q37">
        <v>0</v>
      </c>
      <c r="S37">
        <v>143790</v>
      </c>
      <c r="T37" t="s">
        <v>2961</v>
      </c>
      <c r="U37" t="s">
        <v>2807</v>
      </c>
      <c r="W37">
        <v>0</v>
      </c>
      <c r="X37">
        <v>45500</v>
      </c>
      <c r="Y37">
        <v>41363.636363636302</v>
      </c>
      <c r="Z37" s="26">
        <v>46058</v>
      </c>
    </row>
    <row r="38" spans="1:26" x14ac:dyDescent="0.3">
      <c r="A38" s="50">
        <v>46058.362870370373</v>
      </c>
      <c r="B38">
        <v>2.0260205083347999E+18</v>
      </c>
      <c r="C38" t="s">
        <v>2962</v>
      </c>
      <c r="D38" t="s">
        <v>2963</v>
      </c>
      <c r="E38" t="s">
        <v>2963</v>
      </c>
      <c r="F38" t="s">
        <v>2964</v>
      </c>
      <c r="G38" t="s">
        <v>2965</v>
      </c>
      <c r="H38" t="s">
        <v>2965</v>
      </c>
      <c r="I38">
        <v>63090</v>
      </c>
      <c r="J38" t="s">
        <v>2966</v>
      </c>
      <c r="K38" t="s">
        <v>2966</v>
      </c>
      <c r="L38" t="s">
        <v>2804</v>
      </c>
      <c r="M38" t="s">
        <v>2805</v>
      </c>
      <c r="N38">
        <v>54363</v>
      </c>
      <c r="O38">
        <v>45500</v>
      </c>
      <c r="P38">
        <v>1</v>
      </c>
      <c r="Q38">
        <v>0</v>
      </c>
      <c r="S38">
        <v>143790</v>
      </c>
      <c r="T38" t="s">
        <v>2967</v>
      </c>
      <c r="U38" t="s">
        <v>2807</v>
      </c>
      <c r="W38">
        <v>0</v>
      </c>
      <c r="X38">
        <v>45500</v>
      </c>
      <c r="Y38">
        <v>41363.636363636302</v>
      </c>
      <c r="Z38" s="26">
        <v>46058</v>
      </c>
    </row>
    <row r="39" spans="1:26" x14ac:dyDescent="0.3">
      <c r="A39" s="50">
        <v>46058.362372685187</v>
      </c>
      <c r="B39">
        <v>2.0260205083925499E+18</v>
      </c>
      <c r="C39" t="s">
        <v>2968</v>
      </c>
      <c r="D39" t="s">
        <v>2969</v>
      </c>
      <c r="E39" t="s">
        <v>2969</v>
      </c>
      <c r="F39" t="s">
        <v>2968</v>
      </c>
      <c r="G39" t="s">
        <v>2969</v>
      </c>
      <c r="H39" t="s">
        <v>2969</v>
      </c>
      <c r="I39">
        <v>6714</v>
      </c>
      <c r="J39" t="s">
        <v>2970</v>
      </c>
      <c r="K39" t="s">
        <v>2970</v>
      </c>
      <c r="L39" t="s">
        <v>2804</v>
      </c>
      <c r="M39" t="s">
        <v>2805</v>
      </c>
      <c r="N39">
        <v>54363</v>
      </c>
      <c r="O39">
        <v>45500</v>
      </c>
      <c r="P39">
        <v>1</v>
      </c>
      <c r="Q39">
        <v>0</v>
      </c>
      <c r="S39">
        <v>143790</v>
      </c>
      <c r="T39" t="s">
        <v>2971</v>
      </c>
      <c r="U39" t="s">
        <v>2807</v>
      </c>
      <c r="W39">
        <v>0</v>
      </c>
      <c r="X39">
        <v>45500</v>
      </c>
      <c r="Y39">
        <v>41363.636363636302</v>
      </c>
      <c r="Z39" s="26">
        <v>46058</v>
      </c>
    </row>
    <row r="40" spans="1:26" x14ac:dyDescent="0.3">
      <c r="A40" s="50">
        <v>46058.360451388886</v>
      </c>
      <c r="B40">
        <v>2.02602050835165E+18</v>
      </c>
      <c r="C40" t="s">
        <v>2972</v>
      </c>
      <c r="D40" t="s">
        <v>2973</v>
      </c>
      <c r="E40" t="s">
        <v>2973</v>
      </c>
      <c r="F40" t="s">
        <v>2974</v>
      </c>
      <c r="G40" t="s">
        <v>2973</v>
      </c>
      <c r="H40" t="s">
        <v>2973</v>
      </c>
      <c r="I40">
        <v>14596</v>
      </c>
      <c r="J40" t="s">
        <v>2975</v>
      </c>
      <c r="K40" t="s">
        <v>2975</v>
      </c>
      <c r="L40" t="s">
        <v>2804</v>
      </c>
      <c r="M40" t="s">
        <v>2805</v>
      </c>
      <c r="N40">
        <v>108726</v>
      </c>
      <c r="O40">
        <v>45500</v>
      </c>
      <c r="P40">
        <v>2</v>
      </c>
      <c r="Q40">
        <v>0</v>
      </c>
      <c r="S40">
        <v>143790</v>
      </c>
      <c r="T40" t="s">
        <v>2976</v>
      </c>
      <c r="U40" t="s">
        <v>2807</v>
      </c>
      <c r="W40">
        <v>0</v>
      </c>
      <c r="X40">
        <v>91000</v>
      </c>
      <c r="Y40">
        <v>82727.272727272706</v>
      </c>
      <c r="Z40" s="26">
        <v>46058</v>
      </c>
    </row>
    <row r="41" spans="1:26" x14ac:dyDescent="0.3">
      <c r="A41" s="50">
        <v>46058.359768518516</v>
      </c>
      <c r="B41">
        <v>2.02602050836337E+18</v>
      </c>
      <c r="C41" t="s">
        <v>2977</v>
      </c>
      <c r="D41" t="s">
        <v>2978</v>
      </c>
      <c r="E41" t="s">
        <v>2978</v>
      </c>
      <c r="F41" t="s">
        <v>2977</v>
      </c>
      <c r="G41" t="s">
        <v>2978</v>
      </c>
      <c r="H41" t="s">
        <v>2978</v>
      </c>
      <c r="I41">
        <v>16021</v>
      </c>
      <c r="J41" t="s">
        <v>2979</v>
      </c>
      <c r="K41" t="s">
        <v>2979</v>
      </c>
      <c r="L41" t="s">
        <v>2804</v>
      </c>
      <c r="M41" t="s">
        <v>2805</v>
      </c>
      <c r="N41">
        <v>54363</v>
      </c>
      <c r="O41">
        <v>45500</v>
      </c>
      <c r="P41">
        <v>1</v>
      </c>
      <c r="Q41">
        <v>0</v>
      </c>
      <c r="S41">
        <v>143790</v>
      </c>
      <c r="T41" t="s">
        <v>2980</v>
      </c>
      <c r="U41" t="s">
        <v>2807</v>
      </c>
      <c r="W41">
        <v>0</v>
      </c>
      <c r="X41">
        <v>45500</v>
      </c>
      <c r="Y41">
        <v>41363.636363636302</v>
      </c>
      <c r="Z41" s="26">
        <v>46058</v>
      </c>
    </row>
    <row r="42" spans="1:26" x14ac:dyDescent="0.3">
      <c r="A42" s="50">
        <v>46058.359317129631</v>
      </c>
      <c r="B42">
        <v>2.02602050833106E+18</v>
      </c>
      <c r="C42" t="s">
        <v>2981</v>
      </c>
      <c r="D42" t="s">
        <v>2982</v>
      </c>
      <c r="E42" t="s">
        <v>2982</v>
      </c>
      <c r="F42" t="s">
        <v>2981</v>
      </c>
      <c r="G42" t="s">
        <v>2982</v>
      </c>
      <c r="H42" t="s">
        <v>2982</v>
      </c>
      <c r="I42">
        <v>31091</v>
      </c>
      <c r="J42" t="s">
        <v>2983</v>
      </c>
      <c r="K42" t="s">
        <v>2983</v>
      </c>
      <c r="L42" t="s">
        <v>2804</v>
      </c>
      <c r="M42" t="s">
        <v>2805</v>
      </c>
      <c r="N42">
        <v>54363</v>
      </c>
      <c r="O42">
        <v>45500</v>
      </c>
      <c r="P42">
        <v>1</v>
      </c>
      <c r="Q42">
        <v>0</v>
      </c>
      <c r="S42">
        <v>143790</v>
      </c>
      <c r="T42" t="s">
        <v>2984</v>
      </c>
      <c r="U42" t="s">
        <v>2807</v>
      </c>
      <c r="W42">
        <v>0</v>
      </c>
      <c r="X42">
        <v>45500</v>
      </c>
      <c r="Y42">
        <v>41363.636363636302</v>
      </c>
      <c r="Z42" s="26">
        <v>46058</v>
      </c>
    </row>
    <row r="43" spans="1:26" x14ac:dyDescent="0.3">
      <c r="A43" s="50">
        <v>46058.356527777774</v>
      </c>
      <c r="B43">
        <v>2.0260205083219E+18</v>
      </c>
      <c r="C43" t="s">
        <v>2985</v>
      </c>
      <c r="D43" t="s">
        <v>2986</v>
      </c>
      <c r="E43" t="s">
        <v>2986</v>
      </c>
      <c r="F43" t="s">
        <v>2985</v>
      </c>
      <c r="G43" t="s">
        <v>2986</v>
      </c>
      <c r="H43" t="s">
        <v>2986</v>
      </c>
      <c r="I43">
        <v>3911</v>
      </c>
      <c r="J43" t="s">
        <v>2987</v>
      </c>
      <c r="K43" t="s">
        <v>2987</v>
      </c>
      <c r="L43" t="s">
        <v>2804</v>
      </c>
      <c r="M43" t="s">
        <v>2805</v>
      </c>
      <c r="N43">
        <v>54363</v>
      </c>
      <c r="O43">
        <v>45500</v>
      </c>
      <c r="P43">
        <v>1</v>
      </c>
      <c r="Q43">
        <v>0</v>
      </c>
      <c r="S43">
        <v>143790</v>
      </c>
      <c r="T43" t="s">
        <v>2988</v>
      </c>
      <c r="U43" t="s">
        <v>2807</v>
      </c>
      <c r="W43">
        <v>0</v>
      </c>
      <c r="X43">
        <v>45500</v>
      </c>
      <c r="Y43">
        <v>41363.636363636302</v>
      </c>
      <c r="Z43" s="26">
        <v>46058</v>
      </c>
    </row>
    <row r="44" spans="1:26" x14ac:dyDescent="0.3">
      <c r="A44" s="50">
        <v>46058.356527777774</v>
      </c>
      <c r="B44">
        <v>2.02602050833026E+18</v>
      </c>
      <c r="C44" t="s">
        <v>2989</v>
      </c>
      <c r="D44" t="s">
        <v>2990</v>
      </c>
      <c r="E44" t="s">
        <v>2990</v>
      </c>
      <c r="F44" t="s">
        <v>2989</v>
      </c>
      <c r="G44" t="s">
        <v>2990</v>
      </c>
      <c r="H44" t="s">
        <v>2990</v>
      </c>
      <c r="I44">
        <v>13544</v>
      </c>
      <c r="J44" t="s">
        <v>2991</v>
      </c>
      <c r="K44" t="s">
        <v>2991</v>
      </c>
      <c r="L44" t="s">
        <v>2804</v>
      </c>
      <c r="M44" t="s">
        <v>2805</v>
      </c>
      <c r="N44">
        <v>54363</v>
      </c>
      <c r="O44">
        <v>45500</v>
      </c>
      <c r="P44">
        <v>1</v>
      </c>
      <c r="Q44">
        <v>0</v>
      </c>
      <c r="S44">
        <v>143790</v>
      </c>
      <c r="T44" t="s">
        <v>2992</v>
      </c>
      <c r="U44" t="s">
        <v>2807</v>
      </c>
      <c r="W44">
        <v>0</v>
      </c>
      <c r="X44">
        <v>45500</v>
      </c>
      <c r="Y44">
        <v>41363.636363636302</v>
      </c>
      <c r="Z44" s="26">
        <v>46058</v>
      </c>
    </row>
    <row r="45" spans="1:26" x14ac:dyDescent="0.3">
      <c r="A45" s="50">
        <v>46058.355173611111</v>
      </c>
      <c r="B45">
        <v>2.02602050830125E+18</v>
      </c>
      <c r="C45" t="s">
        <v>2993</v>
      </c>
      <c r="D45" t="s">
        <v>2994</v>
      </c>
      <c r="E45" t="s">
        <v>2994</v>
      </c>
      <c r="F45" t="s">
        <v>2993</v>
      </c>
      <c r="G45" t="s">
        <v>2994</v>
      </c>
      <c r="H45" t="s">
        <v>2994</v>
      </c>
      <c r="I45">
        <v>13379</v>
      </c>
      <c r="J45" t="s">
        <v>2995</v>
      </c>
      <c r="K45" t="s">
        <v>2995</v>
      </c>
      <c r="L45" t="s">
        <v>2804</v>
      </c>
      <c r="M45" t="s">
        <v>2805</v>
      </c>
      <c r="N45">
        <v>54363</v>
      </c>
      <c r="O45">
        <v>45500</v>
      </c>
      <c r="P45">
        <v>1</v>
      </c>
      <c r="Q45">
        <v>0</v>
      </c>
      <c r="S45">
        <v>143790</v>
      </c>
      <c r="T45" t="s">
        <v>2996</v>
      </c>
      <c r="U45" t="s">
        <v>2807</v>
      </c>
      <c r="W45">
        <v>0</v>
      </c>
      <c r="X45">
        <v>45500</v>
      </c>
      <c r="Y45">
        <v>41363.636363636302</v>
      </c>
      <c r="Z45" s="26">
        <v>46058</v>
      </c>
    </row>
    <row r="46" spans="1:26" x14ac:dyDescent="0.3">
      <c r="A46" s="50">
        <v>46058.354270833333</v>
      </c>
      <c r="B46">
        <v>2.0260205082946701E+18</v>
      </c>
      <c r="C46" t="s">
        <v>2997</v>
      </c>
      <c r="D46" t="s">
        <v>2998</v>
      </c>
      <c r="E46" t="s">
        <v>2998</v>
      </c>
      <c r="F46" t="s">
        <v>2997</v>
      </c>
      <c r="G46" t="s">
        <v>2998</v>
      </c>
      <c r="H46" t="s">
        <v>2998</v>
      </c>
      <c r="I46">
        <v>46017</v>
      </c>
      <c r="J46" t="s">
        <v>2999</v>
      </c>
      <c r="K46" t="s">
        <v>2999</v>
      </c>
      <c r="L46" t="s">
        <v>2804</v>
      </c>
      <c r="M46" t="s">
        <v>2805</v>
      </c>
      <c r="N46">
        <v>54363</v>
      </c>
      <c r="O46">
        <v>45500</v>
      </c>
      <c r="P46">
        <v>1</v>
      </c>
      <c r="Q46">
        <v>0</v>
      </c>
      <c r="S46">
        <v>143790</v>
      </c>
      <c r="T46" t="s">
        <v>3000</v>
      </c>
      <c r="U46" t="s">
        <v>2807</v>
      </c>
      <c r="W46">
        <v>0</v>
      </c>
      <c r="X46">
        <v>45500</v>
      </c>
      <c r="Y46">
        <v>41363.636363636302</v>
      </c>
      <c r="Z46" s="26">
        <v>46058</v>
      </c>
    </row>
    <row r="47" spans="1:26" x14ac:dyDescent="0.3">
      <c r="A47" s="50">
        <v>46058.354143518518</v>
      </c>
      <c r="B47">
        <v>2.0260205082545001E+18</v>
      </c>
      <c r="C47" t="s">
        <v>3001</v>
      </c>
      <c r="D47" t="s">
        <v>3002</v>
      </c>
      <c r="E47" t="s">
        <v>3002</v>
      </c>
      <c r="F47" t="s">
        <v>3001</v>
      </c>
      <c r="G47" t="s">
        <v>3002</v>
      </c>
      <c r="H47" t="s">
        <v>3002</v>
      </c>
      <c r="I47">
        <v>47748</v>
      </c>
      <c r="J47" t="s">
        <v>3003</v>
      </c>
      <c r="K47" t="s">
        <v>3003</v>
      </c>
      <c r="L47" t="s">
        <v>2804</v>
      </c>
      <c r="M47" t="s">
        <v>2805</v>
      </c>
      <c r="N47">
        <v>54363</v>
      </c>
      <c r="O47">
        <v>45500</v>
      </c>
      <c r="P47">
        <v>1</v>
      </c>
      <c r="Q47">
        <v>0</v>
      </c>
      <c r="S47">
        <v>143790</v>
      </c>
      <c r="T47" t="s">
        <v>3004</v>
      </c>
      <c r="U47" t="s">
        <v>2807</v>
      </c>
      <c r="W47">
        <v>0</v>
      </c>
      <c r="X47">
        <v>45500</v>
      </c>
      <c r="Y47">
        <v>41363.636363636302</v>
      </c>
      <c r="Z47" s="26">
        <v>46058</v>
      </c>
    </row>
    <row r="48" spans="1:26" x14ac:dyDescent="0.3">
      <c r="A48" s="50">
        <v>46058.354039351849</v>
      </c>
      <c r="B48">
        <v>2.02602050828414E+18</v>
      </c>
      <c r="C48" t="s">
        <v>3005</v>
      </c>
      <c r="D48" t="s">
        <v>3006</v>
      </c>
      <c r="E48" t="s">
        <v>3006</v>
      </c>
      <c r="F48" t="s">
        <v>3005</v>
      </c>
      <c r="G48" t="s">
        <v>3006</v>
      </c>
      <c r="H48" t="s">
        <v>3006</v>
      </c>
      <c r="I48">
        <v>21434</v>
      </c>
      <c r="J48" t="s">
        <v>3007</v>
      </c>
      <c r="K48" t="s">
        <v>3007</v>
      </c>
      <c r="L48" t="s">
        <v>2804</v>
      </c>
      <c r="M48" t="s">
        <v>2805</v>
      </c>
      <c r="N48">
        <v>54363</v>
      </c>
      <c r="O48">
        <v>45500</v>
      </c>
      <c r="P48">
        <v>1</v>
      </c>
      <c r="Q48">
        <v>0</v>
      </c>
      <c r="S48">
        <v>143790</v>
      </c>
      <c r="T48" t="s">
        <v>3008</v>
      </c>
      <c r="U48" t="s">
        <v>2807</v>
      </c>
      <c r="W48">
        <v>0</v>
      </c>
      <c r="X48">
        <v>45500</v>
      </c>
      <c r="Y48">
        <v>41363.636363636302</v>
      </c>
      <c r="Z48" s="26">
        <v>46058</v>
      </c>
    </row>
    <row r="49" spans="1:26" x14ac:dyDescent="0.3">
      <c r="A49" s="50">
        <v>46058.353668981479</v>
      </c>
      <c r="B49">
        <v>2.02602050823519E+18</v>
      </c>
      <c r="C49" t="s">
        <v>3009</v>
      </c>
      <c r="D49" t="s">
        <v>3010</v>
      </c>
      <c r="E49" t="s">
        <v>3010</v>
      </c>
      <c r="F49" t="s">
        <v>3009</v>
      </c>
      <c r="G49" t="s">
        <v>3010</v>
      </c>
      <c r="H49" t="s">
        <v>3010</v>
      </c>
      <c r="I49">
        <v>7046</v>
      </c>
      <c r="J49" t="s">
        <v>3011</v>
      </c>
      <c r="K49" t="s">
        <v>3011</v>
      </c>
      <c r="L49" t="s">
        <v>2804</v>
      </c>
      <c r="M49" t="s">
        <v>2805</v>
      </c>
      <c r="N49">
        <v>54363</v>
      </c>
      <c r="O49">
        <v>45500</v>
      </c>
      <c r="P49">
        <v>1</v>
      </c>
      <c r="Q49">
        <v>0</v>
      </c>
      <c r="R49" t="s">
        <v>2837</v>
      </c>
      <c r="S49">
        <v>143790</v>
      </c>
      <c r="T49" t="s">
        <v>3012</v>
      </c>
      <c r="U49" t="s">
        <v>2807</v>
      </c>
      <c r="W49">
        <v>0</v>
      </c>
      <c r="X49">
        <v>45500</v>
      </c>
      <c r="Y49">
        <v>41363.636363636302</v>
      </c>
      <c r="Z49" s="26">
        <v>46058</v>
      </c>
    </row>
    <row r="50" spans="1:26" x14ac:dyDescent="0.3">
      <c r="A50" s="50">
        <v>46058.34952546296</v>
      </c>
      <c r="B50">
        <v>2.0260205081959099E+18</v>
      </c>
      <c r="C50" t="s">
        <v>3013</v>
      </c>
      <c r="D50" t="s">
        <v>3014</v>
      </c>
      <c r="E50" t="s">
        <v>3014</v>
      </c>
      <c r="F50" t="s">
        <v>3013</v>
      </c>
      <c r="G50" t="s">
        <v>3014</v>
      </c>
      <c r="H50" t="s">
        <v>3014</v>
      </c>
      <c r="I50">
        <v>10391</v>
      </c>
      <c r="J50" t="s">
        <v>3015</v>
      </c>
      <c r="K50" t="s">
        <v>3015</v>
      </c>
      <c r="L50" t="s">
        <v>2804</v>
      </c>
      <c r="M50" t="s">
        <v>2805</v>
      </c>
      <c r="N50">
        <v>54363</v>
      </c>
      <c r="O50">
        <v>45500</v>
      </c>
      <c r="P50">
        <v>1</v>
      </c>
      <c r="Q50">
        <v>0</v>
      </c>
      <c r="S50">
        <v>143790</v>
      </c>
      <c r="T50" t="s">
        <v>3016</v>
      </c>
      <c r="U50" t="s">
        <v>2807</v>
      </c>
      <c r="W50">
        <v>0</v>
      </c>
      <c r="X50">
        <v>45500</v>
      </c>
      <c r="Y50">
        <v>41363.636363636302</v>
      </c>
      <c r="Z50" s="26">
        <v>46058</v>
      </c>
    </row>
    <row r="51" spans="1:26" x14ac:dyDescent="0.3">
      <c r="A51" s="50">
        <v>46058.349074074074</v>
      </c>
      <c r="B51">
        <v>2.0260205081955999E+18</v>
      </c>
      <c r="C51" t="s">
        <v>3017</v>
      </c>
      <c r="D51" t="s">
        <v>3018</v>
      </c>
      <c r="E51" t="s">
        <v>3018</v>
      </c>
      <c r="F51" t="s">
        <v>3017</v>
      </c>
      <c r="G51" t="s">
        <v>3018</v>
      </c>
      <c r="H51" t="s">
        <v>3018</v>
      </c>
      <c r="I51">
        <v>23026</v>
      </c>
      <c r="J51" t="s">
        <v>3019</v>
      </c>
      <c r="K51" t="s">
        <v>3019</v>
      </c>
      <c r="L51" t="s">
        <v>2804</v>
      </c>
      <c r="M51" t="s">
        <v>2805</v>
      </c>
      <c r="N51">
        <v>54363</v>
      </c>
      <c r="O51">
        <v>45500</v>
      </c>
      <c r="P51">
        <v>1</v>
      </c>
      <c r="Q51">
        <v>0</v>
      </c>
      <c r="R51" t="s">
        <v>3020</v>
      </c>
      <c r="S51">
        <v>143790</v>
      </c>
      <c r="T51" t="s">
        <v>3021</v>
      </c>
      <c r="U51" t="s">
        <v>2807</v>
      </c>
      <c r="W51">
        <v>0</v>
      </c>
      <c r="X51">
        <v>45500</v>
      </c>
      <c r="Y51">
        <v>41363.636363636302</v>
      </c>
      <c r="Z51" s="26">
        <v>46058</v>
      </c>
    </row>
    <row r="52" spans="1:26" x14ac:dyDescent="0.3">
      <c r="A52" s="50">
        <v>46058.348263888889</v>
      </c>
      <c r="B52">
        <v>2.0260205082016E+18</v>
      </c>
      <c r="C52" t="s">
        <v>3022</v>
      </c>
      <c r="D52" t="s">
        <v>3023</v>
      </c>
      <c r="E52" t="s">
        <v>3023</v>
      </c>
      <c r="F52" t="s">
        <v>3022</v>
      </c>
      <c r="G52" t="s">
        <v>3023</v>
      </c>
      <c r="H52" t="s">
        <v>3023</v>
      </c>
      <c r="I52">
        <v>16035</v>
      </c>
      <c r="J52" t="s">
        <v>3024</v>
      </c>
      <c r="K52" t="s">
        <v>3024</v>
      </c>
      <c r="L52" t="s">
        <v>2804</v>
      </c>
      <c r="M52" t="s">
        <v>2805</v>
      </c>
      <c r="N52">
        <v>108726</v>
      </c>
      <c r="O52">
        <v>45500</v>
      </c>
      <c r="P52">
        <v>2</v>
      </c>
      <c r="Q52">
        <v>0</v>
      </c>
      <c r="S52">
        <v>143790</v>
      </c>
      <c r="T52" t="s">
        <v>3025</v>
      </c>
      <c r="U52" t="s">
        <v>2807</v>
      </c>
      <c r="W52">
        <v>0</v>
      </c>
      <c r="X52">
        <v>91000</v>
      </c>
      <c r="Y52">
        <v>82727.272727272706</v>
      </c>
      <c r="Z52" s="26">
        <v>46058</v>
      </c>
    </row>
    <row r="53" spans="1:26" x14ac:dyDescent="0.3">
      <c r="A53" s="50">
        <v>46058.346770833334</v>
      </c>
      <c r="B53">
        <v>2.0260205081637901E+18</v>
      </c>
      <c r="C53" t="s">
        <v>3026</v>
      </c>
      <c r="D53" t="s">
        <v>3027</v>
      </c>
      <c r="E53" t="s">
        <v>3027</v>
      </c>
      <c r="F53" t="s">
        <v>3026</v>
      </c>
      <c r="G53" t="s">
        <v>3027</v>
      </c>
      <c r="H53" t="s">
        <v>3027</v>
      </c>
      <c r="I53">
        <v>51001</v>
      </c>
      <c r="J53" t="s">
        <v>3028</v>
      </c>
      <c r="K53" t="s">
        <v>3028</v>
      </c>
      <c r="L53" t="s">
        <v>2804</v>
      </c>
      <c r="M53" t="s">
        <v>2805</v>
      </c>
      <c r="N53">
        <v>54363</v>
      </c>
      <c r="O53">
        <v>45500</v>
      </c>
      <c r="P53">
        <v>1</v>
      </c>
      <c r="Q53">
        <v>0</v>
      </c>
      <c r="S53">
        <v>143790</v>
      </c>
      <c r="T53" t="s">
        <v>3029</v>
      </c>
      <c r="U53" t="s">
        <v>2807</v>
      </c>
      <c r="W53">
        <v>0</v>
      </c>
      <c r="X53">
        <v>45500</v>
      </c>
      <c r="Y53">
        <v>41363.636363636302</v>
      </c>
      <c r="Z53" s="26">
        <v>46058</v>
      </c>
    </row>
    <row r="54" spans="1:26" x14ac:dyDescent="0.3">
      <c r="A54" s="50">
        <v>46058.346018518518</v>
      </c>
      <c r="B54">
        <v>2.02602050817439E+18</v>
      </c>
      <c r="C54" t="s">
        <v>3030</v>
      </c>
      <c r="D54" t="s">
        <v>3031</v>
      </c>
      <c r="E54" t="s">
        <v>3031</v>
      </c>
      <c r="F54" t="s">
        <v>3030</v>
      </c>
      <c r="G54" t="s">
        <v>3031</v>
      </c>
      <c r="H54" t="s">
        <v>3031</v>
      </c>
      <c r="I54">
        <v>7584</v>
      </c>
      <c r="J54" t="s">
        <v>3032</v>
      </c>
      <c r="K54" t="s">
        <v>3032</v>
      </c>
      <c r="L54" t="s">
        <v>2804</v>
      </c>
      <c r="M54" t="s">
        <v>2805</v>
      </c>
      <c r="N54">
        <v>54363</v>
      </c>
      <c r="O54">
        <v>45500</v>
      </c>
      <c r="P54">
        <v>1</v>
      </c>
      <c r="Q54">
        <v>0</v>
      </c>
      <c r="S54">
        <v>143790</v>
      </c>
      <c r="T54" t="s">
        <v>3033</v>
      </c>
      <c r="U54" t="s">
        <v>2807</v>
      </c>
      <c r="W54">
        <v>0</v>
      </c>
      <c r="X54">
        <v>45500</v>
      </c>
      <c r="Y54">
        <v>41363.636363636302</v>
      </c>
      <c r="Z54" s="26">
        <v>46058</v>
      </c>
    </row>
    <row r="55" spans="1:26" x14ac:dyDescent="0.3">
      <c r="A55" s="50">
        <v>46058.345277777778</v>
      </c>
      <c r="B55">
        <v>2.0260205081316201E+18</v>
      </c>
      <c r="C55" t="s">
        <v>3034</v>
      </c>
      <c r="D55" t="s">
        <v>3035</v>
      </c>
      <c r="E55" t="s">
        <v>3035</v>
      </c>
      <c r="F55" t="s">
        <v>3034</v>
      </c>
      <c r="G55" t="s">
        <v>3035</v>
      </c>
      <c r="H55" t="s">
        <v>3035</v>
      </c>
      <c r="I55">
        <v>34074</v>
      </c>
      <c r="J55" t="s">
        <v>3036</v>
      </c>
      <c r="K55" t="s">
        <v>3036</v>
      </c>
      <c r="L55" t="s">
        <v>2804</v>
      </c>
      <c r="M55" t="s">
        <v>2805</v>
      </c>
      <c r="N55">
        <v>54363</v>
      </c>
      <c r="O55">
        <v>45500</v>
      </c>
      <c r="P55">
        <v>1</v>
      </c>
      <c r="Q55">
        <v>0</v>
      </c>
      <c r="S55">
        <v>143790</v>
      </c>
      <c r="T55" t="s">
        <v>3037</v>
      </c>
      <c r="U55" t="s">
        <v>2807</v>
      </c>
      <c r="W55">
        <v>0</v>
      </c>
      <c r="X55">
        <v>45500</v>
      </c>
      <c r="Y55">
        <v>41363.636363636302</v>
      </c>
      <c r="Z55" s="26">
        <v>46058</v>
      </c>
    </row>
    <row r="56" spans="1:26" x14ac:dyDescent="0.3">
      <c r="A56" s="50">
        <v>46058.344976851855</v>
      </c>
      <c r="B56">
        <v>2.0260205081550899E+18</v>
      </c>
      <c r="C56" t="s">
        <v>3038</v>
      </c>
      <c r="D56" t="s">
        <v>3039</v>
      </c>
      <c r="E56" t="s">
        <v>3039</v>
      </c>
      <c r="F56" t="s">
        <v>3038</v>
      </c>
      <c r="G56" t="s">
        <v>3039</v>
      </c>
      <c r="H56" t="s">
        <v>3039</v>
      </c>
      <c r="I56">
        <v>16693</v>
      </c>
      <c r="J56" t="s">
        <v>3040</v>
      </c>
      <c r="K56" t="s">
        <v>3040</v>
      </c>
      <c r="L56" t="s">
        <v>2804</v>
      </c>
      <c r="M56" t="s">
        <v>2805</v>
      </c>
      <c r="N56">
        <v>54363</v>
      </c>
      <c r="O56">
        <v>45500</v>
      </c>
      <c r="P56">
        <v>1</v>
      </c>
      <c r="Q56">
        <v>0</v>
      </c>
      <c r="S56">
        <v>143790</v>
      </c>
      <c r="T56" t="s">
        <v>3041</v>
      </c>
      <c r="U56" t="s">
        <v>2807</v>
      </c>
      <c r="W56">
        <v>0</v>
      </c>
      <c r="X56">
        <v>45500</v>
      </c>
      <c r="Y56">
        <v>41363.636363636302</v>
      </c>
      <c r="Z56" s="26">
        <v>46058</v>
      </c>
    </row>
    <row r="57" spans="1:26" x14ac:dyDescent="0.3">
      <c r="A57" s="50">
        <v>46058.344386574077</v>
      </c>
      <c r="B57">
        <v>2.02602050814254E+18</v>
      </c>
      <c r="C57" t="s">
        <v>3042</v>
      </c>
      <c r="D57" t="s">
        <v>3043</v>
      </c>
      <c r="E57" t="s">
        <v>3043</v>
      </c>
      <c r="F57" t="s">
        <v>3044</v>
      </c>
      <c r="G57" t="s">
        <v>3045</v>
      </c>
      <c r="H57" t="s">
        <v>3045</v>
      </c>
      <c r="I57">
        <v>49520</v>
      </c>
      <c r="J57" t="s">
        <v>3046</v>
      </c>
      <c r="K57" t="s">
        <v>3046</v>
      </c>
      <c r="L57" t="s">
        <v>2804</v>
      </c>
      <c r="M57" t="s">
        <v>2805</v>
      </c>
      <c r="N57">
        <v>54363</v>
      </c>
      <c r="O57">
        <v>45500</v>
      </c>
      <c r="P57">
        <v>1</v>
      </c>
      <c r="Q57">
        <v>0</v>
      </c>
      <c r="R57" t="s">
        <v>3047</v>
      </c>
      <c r="S57">
        <v>143790</v>
      </c>
      <c r="T57" t="s">
        <v>3048</v>
      </c>
      <c r="U57" t="s">
        <v>2807</v>
      </c>
      <c r="W57">
        <v>0</v>
      </c>
      <c r="X57">
        <v>45500</v>
      </c>
      <c r="Y57">
        <v>41363.636363636302</v>
      </c>
      <c r="Z57" s="26">
        <v>46058</v>
      </c>
    </row>
    <row r="58" spans="1:26" x14ac:dyDescent="0.3">
      <c r="A58" s="50">
        <v>46058.343807870369</v>
      </c>
      <c r="B58">
        <v>2.02602050814271E+18</v>
      </c>
      <c r="C58" t="s">
        <v>3049</v>
      </c>
      <c r="D58" t="s">
        <v>3050</v>
      </c>
      <c r="E58" t="s">
        <v>3050</v>
      </c>
      <c r="F58" t="s">
        <v>3049</v>
      </c>
      <c r="G58" t="s">
        <v>3050</v>
      </c>
      <c r="H58" t="s">
        <v>3050</v>
      </c>
      <c r="I58">
        <v>21553</v>
      </c>
      <c r="J58" t="s">
        <v>3051</v>
      </c>
      <c r="K58" t="s">
        <v>3051</v>
      </c>
      <c r="L58" t="s">
        <v>2804</v>
      </c>
      <c r="M58" t="s">
        <v>2805</v>
      </c>
      <c r="N58">
        <v>54363</v>
      </c>
      <c r="O58">
        <v>45500</v>
      </c>
      <c r="P58">
        <v>1</v>
      </c>
      <c r="Q58">
        <v>0</v>
      </c>
      <c r="S58">
        <v>143790</v>
      </c>
      <c r="T58" t="s">
        <v>3052</v>
      </c>
      <c r="U58" t="s">
        <v>2807</v>
      </c>
      <c r="W58">
        <v>0</v>
      </c>
      <c r="X58">
        <v>45500</v>
      </c>
      <c r="Y58">
        <v>41363.636363636302</v>
      </c>
      <c r="Z58" s="26">
        <v>46058</v>
      </c>
    </row>
    <row r="59" spans="1:26" x14ac:dyDescent="0.3">
      <c r="A59" s="50">
        <v>46058.343032407407</v>
      </c>
      <c r="B59">
        <v>2.0260205081336499E+18</v>
      </c>
      <c r="C59" t="s">
        <v>3042</v>
      </c>
      <c r="D59" t="s">
        <v>3043</v>
      </c>
      <c r="E59" t="s">
        <v>3043</v>
      </c>
      <c r="F59" t="s">
        <v>3042</v>
      </c>
      <c r="G59" t="s">
        <v>3043</v>
      </c>
      <c r="H59" t="s">
        <v>3043</v>
      </c>
      <c r="I59">
        <v>13599</v>
      </c>
      <c r="J59" t="s">
        <v>3053</v>
      </c>
      <c r="K59" t="s">
        <v>3053</v>
      </c>
      <c r="L59" t="s">
        <v>2804</v>
      </c>
      <c r="M59" t="s">
        <v>2805</v>
      </c>
      <c r="N59">
        <v>54363</v>
      </c>
      <c r="O59">
        <v>45500</v>
      </c>
      <c r="P59">
        <v>1</v>
      </c>
      <c r="Q59">
        <v>0</v>
      </c>
      <c r="S59">
        <v>143790</v>
      </c>
      <c r="T59" t="s">
        <v>3054</v>
      </c>
      <c r="U59" t="s">
        <v>2807</v>
      </c>
      <c r="W59">
        <v>0</v>
      </c>
      <c r="X59">
        <v>45500</v>
      </c>
      <c r="Y59">
        <v>41363.636363636302</v>
      </c>
      <c r="Z59" s="26">
        <v>46058</v>
      </c>
    </row>
    <row r="60" spans="1:26" x14ac:dyDescent="0.3">
      <c r="A60" s="50">
        <v>46058.343009259261</v>
      </c>
      <c r="B60">
        <v>2.02602050813342E+18</v>
      </c>
      <c r="C60" t="s">
        <v>3055</v>
      </c>
      <c r="D60" t="s">
        <v>3056</v>
      </c>
      <c r="E60" t="s">
        <v>3056</v>
      </c>
      <c r="F60" t="s">
        <v>3057</v>
      </c>
      <c r="G60" t="s">
        <v>3056</v>
      </c>
      <c r="H60" t="s">
        <v>3056</v>
      </c>
      <c r="I60">
        <v>28123</v>
      </c>
      <c r="J60" t="s">
        <v>3058</v>
      </c>
      <c r="K60" t="s">
        <v>3058</v>
      </c>
      <c r="L60" t="s">
        <v>2804</v>
      </c>
      <c r="M60" t="s">
        <v>2805</v>
      </c>
      <c r="N60">
        <v>54363</v>
      </c>
      <c r="O60">
        <v>45500</v>
      </c>
      <c r="P60">
        <v>1</v>
      </c>
      <c r="Q60">
        <v>0</v>
      </c>
      <c r="S60">
        <v>143790</v>
      </c>
      <c r="T60" t="s">
        <v>3059</v>
      </c>
      <c r="U60" t="s">
        <v>2807</v>
      </c>
      <c r="W60">
        <v>0</v>
      </c>
      <c r="X60">
        <v>45500</v>
      </c>
      <c r="Y60">
        <v>41363.636363636302</v>
      </c>
      <c r="Z60" s="26">
        <v>46058</v>
      </c>
    </row>
    <row r="61" spans="1:26" x14ac:dyDescent="0.3">
      <c r="A61" s="50">
        <v>46058.342453703706</v>
      </c>
      <c r="B61">
        <v>2.02602050809534E+18</v>
      </c>
      <c r="C61" t="s">
        <v>3060</v>
      </c>
      <c r="D61" t="s">
        <v>3061</v>
      </c>
      <c r="E61" t="s">
        <v>3061</v>
      </c>
      <c r="F61" t="s">
        <v>3060</v>
      </c>
      <c r="G61" t="s">
        <v>3062</v>
      </c>
      <c r="H61" t="s">
        <v>3062</v>
      </c>
      <c r="I61">
        <v>14706</v>
      </c>
      <c r="J61" t="s">
        <v>3063</v>
      </c>
      <c r="K61" t="s">
        <v>3063</v>
      </c>
      <c r="L61" t="s">
        <v>2804</v>
      </c>
      <c r="M61" t="s">
        <v>2805</v>
      </c>
      <c r="N61">
        <v>54363</v>
      </c>
      <c r="O61">
        <v>45500</v>
      </c>
      <c r="P61">
        <v>1</v>
      </c>
      <c r="Q61">
        <v>0</v>
      </c>
      <c r="R61" t="s">
        <v>3064</v>
      </c>
      <c r="S61">
        <v>143790</v>
      </c>
      <c r="T61" t="s">
        <v>3065</v>
      </c>
      <c r="U61" t="s">
        <v>2807</v>
      </c>
      <c r="W61">
        <v>0</v>
      </c>
      <c r="X61">
        <v>45500</v>
      </c>
      <c r="Y61">
        <v>41363.636363636302</v>
      </c>
      <c r="Z61" s="26">
        <v>46058</v>
      </c>
    </row>
    <row r="62" spans="1:26" x14ac:dyDescent="0.3">
      <c r="A62" s="50">
        <v>46058.342395833337</v>
      </c>
      <c r="B62">
        <v>2.02602050811037E+18</v>
      </c>
      <c r="C62" t="s">
        <v>3066</v>
      </c>
      <c r="D62" t="s">
        <v>3067</v>
      </c>
      <c r="E62" t="s">
        <v>3067</v>
      </c>
      <c r="F62" t="s">
        <v>3068</v>
      </c>
      <c r="G62" t="s">
        <v>3069</v>
      </c>
      <c r="H62" t="s">
        <v>3069</v>
      </c>
      <c r="I62">
        <v>46765</v>
      </c>
      <c r="J62" t="s">
        <v>3070</v>
      </c>
      <c r="K62" t="s">
        <v>3070</v>
      </c>
      <c r="L62" t="s">
        <v>2804</v>
      </c>
      <c r="M62" t="s">
        <v>2805</v>
      </c>
      <c r="N62">
        <v>54363</v>
      </c>
      <c r="O62">
        <v>45500</v>
      </c>
      <c r="P62">
        <v>1</v>
      </c>
      <c r="Q62">
        <v>0</v>
      </c>
      <c r="S62">
        <v>143790</v>
      </c>
      <c r="T62" t="s">
        <v>3071</v>
      </c>
      <c r="U62" t="s">
        <v>2807</v>
      </c>
      <c r="W62">
        <v>0</v>
      </c>
      <c r="X62">
        <v>45500</v>
      </c>
      <c r="Y62">
        <v>41363.636363636302</v>
      </c>
      <c r="Z62" s="26">
        <v>46058</v>
      </c>
    </row>
    <row r="63" spans="1:26" x14ac:dyDescent="0.3">
      <c r="A63" s="50">
        <v>46058.341608796298</v>
      </c>
      <c r="B63">
        <v>2.02602050811315E+18</v>
      </c>
      <c r="C63" t="s">
        <v>3072</v>
      </c>
      <c r="D63" t="s">
        <v>3073</v>
      </c>
      <c r="E63" t="s">
        <v>3073</v>
      </c>
      <c r="F63" t="s">
        <v>3072</v>
      </c>
      <c r="G63" t="s">
        <v>3073</v>
      </c>
      <c r="H63" t="s">
        <v>3073</v>
      </c>
      <c r="I63">
        <v>1707</v>
      </c>
      <c r="J63" t="s">
        <v>3074</v>
      </c>
      <c r="K63" t="s">
        <v>3074</v>
      </c>
      <c r="L63" t="s">
        <v>2804</v>
      </c>
      <c r="M63" t="s">
        <v>2805</v>
      </c>
      <c r="N63">
        <v>54363</v>
      </c>
      <c r="O63">
        <v>45500</v>
      </c>
      <c r="P63">
        <v>1</v>
      </c>
      <c r="Q63">
        <v>0</v>
      </c>
      <c r="S63">
        <v>143790</v>
      </c>
      <c r="T63" t="s">
        <v>3075</v>
      </c>
      <c r="U63" t="s">
        <v>2807</v>
      </c>
      <c r="W63">
        <v>0</v>
      </c>
      <c r="X63">
        <v>45500</v>
      </c>
      <c r="Y63">
        <v>41363.636363636302</v>
      </c>
      <c r="Z63" s="26">
        <v>46058</v>
      </c>
    </row>
    <row r="64" spans="1:26" x14ac:dyDescent="0.3">
      <c r="A64" s="50">
        <v>46058.340578703705</v>
      </c>
      <c r="B64">
        <v>2.0260205080940301E+18</v>
      </c>
      <c r="C64" t="s">
        <v>3076</v>
      </c>
      <c r="D64" t="s">
        <v>3077</v>
      </c>
      <c r="E64" t="s">
        <v>3077</v>
      </c>
      <c r="F64" t="s">
        <v>3076</v>
      </c>
      <c r="G64" t="s">
        <v>3077</v>
      </c>
      <c r="H64" t="s">
        <v>3077</v>
      </c>
      <c r="I64">
        <v>11479</v>
      </c>
      <c r="J64" t="s">
        <v>3078</v>
      </c>
      <c r="K64" t="s">
        <v>3078</v>
      </c>
      <c r="L64" t="s">
        <v>2804</v>
      </c>
      <c r="M64" t="s">
        <v>2805</v>
      </c>
      <c r="N64">
        <v>54363</v>
      </c>
      <c r="O64">
        <v>45500</v>
      </c>
      <c r="P64">
        <v>1</v>
      </c>
      <c r="Q64">
        <v>0</v>
      </c>
      <c r="S64">
        <v>143790</v>
      </c>
      <c r="T64" t="s">
        <v>3079</v>
      </c>
      <c r="U64" t="s">
        <v>2807</v>
      </c>
      <c r="W64">
        <v>0</v>
      </c>
      <c r="X64">
        <v>45500</v>
      </c>
      <c r="Y64">
        <v>41363.636363636302</v>
      </c>
      <c r="Z64" s="26">
        <v>46058</v>
      </c>
    </row>
    <row r="65" spans="1:26" x14ac:dyDescent="0.3">
      <c r="A65" s="50">
        <v>46058.340567129628</v>
      </c>
      <c r="B65">
        <v>2.0260205075842801E+18</v>
      </c>
      <c r="C65" t="s">
        <v>3080</v>
      </c>
      <c r="D65" t="s">
        <v>3081</v>
      </c>
      <c r="E65" t="s">
        <v>3081</v>
      </c>
      <c r="F65" t="s">
        <v>3080</v>
      </c>
      <c r="G65" t="s">
        <v>3081</v>
      </c>
      <c r="H65" t="s">
        <v>3081</v>
      </c>
      <c r="I65">
        <v>6270</v>
      </c>
      <c r="J65" t="s">
        <v>3082</v>
      </c>
      <c r="K65" t="s">
        <v>3082</v>
      </c>
      <c r="L65" t="s">
        <v>2804</v>
      </c>
      <c r="M65" t="s">
        <v>2805</v>
      </c>
      <c r="N65">
        <v>54363</v>
      </c>
      <c r="O65">
        <v>45500</v>
      </c>
      <c r="P65">
        <v>1</v>
      </c>
      <c r="Q65">
        <v>0</v>
      </c>
      <c r="S65">
        <v>143790</v>
      </c>
      <c r="T65" t="s">
        <v>3083</v>
      </c>
      <c r="U65" t="s">
        <v>2807</v>
      </c>
      <c r="W65">
        <v>0</v>
      </c>
      <c r="X65">
        <v>45500</v>
      </c>
      <c r="Y65">
        <v>41363.636363636302</v>
      </c>
      <c r="Z65" s="26">
        <v>46058</v>
      </c>
    </row>
    <row r="66" spans="1:26" x14ac:dyDescent="0.3">
      <c r="A66" s="50">
        <v>46058.340543981481</v>
      </c>
      <c r="B66">
        <v>2.02602050806224E+18</v>
      </c>
      <c r="C66" t="s">
        <v>3066</v>
      </c>
      <c r="D66" t="s">
        <v>3067</v>
      </c>
      <c r="E66" t="s">
        <v>3067</v>
      </c>
      <c r="F66" t="s">
        <v>3084</v>
      </c>
      <c r="G66" t="s">
        <v>3085</v>
      </c>
      <c r="H66" t="s">
        <v>3085</v>
      </c>
      <c r="I66">
        <v>49514</v>
      </c>
      <c r="J66" t="s">
        <v>3086</v>
      </c>
      <c r="K66" t="s">
        <v>3086</v>
      </c>
      <c r="L66" t="s">
        <v>2804</v>
      </c>
      <c r="M66" t="s">
        <v>2805</v>
      </c>
      <c r="N66">
        <v>54363</v>
      </c>
      <c r="O66">
        <v>45500</v>
      </c>
      <c r="P66">
        <v>1</v>
      </c>
      <c r="Q66">
        <v>0</v>
      </c>
      <c r="R66" t="s">
        <v>3087</v>
      </c>
      <c r="S66">
        <v>143790</v>
      </c>
      <c r="T66" t="s">
        <v>3088</v>
      </c>
      <c r="U66" t="s">
        <v>2807</v>
      </c>
      <c r="W66">
        <v>0</v>
      </c>
      <c r="X66">
        <v>45500</v>
      </c>
      <c r="Y66">
        <v>41363.636363636302</v>
      </c>
      <c r="Z66" s="26">
        <v>46058</v>
      </c>
    </row>
    <row r="67" spans="1:26" x14ac:dyDescent="0.3">
      <c r="A67" s="50">
        <v>46058.340243055558</v>
      </c>
      <c r="B67">
        <v>2.0260205080821601E+18</v>
      </c>
      <c r="C67" t="s">
        <v>3089</v>
      </c>
      <c r="D67" t="s">
        <v>3090</v>
      </c>
      <c r="E67" t="s">
        <v>3090</v>
      </c>
      <c r="F67" t="s">
        <v>3089</v>
      </c>
      <c r="G67" t="s">
        <v>3090</v>
      </c>
      <c r="H67" t="s">
        <v>3090</v>
      </c>
      <c r="I67">
        <v>2598</v>
      </c>
      <c r="J67" t="s">
        <v>3091</v>
      </c>
      <c r="K67" t="s">
        <v>3091</v>
      </c>
      <c r="L67" t="s">
        <v>2804</v>
      </c>
      <c r="M67" t="s">
        <v>2805</v>
      </c>
      <c r="N67">
        <v>54363</v>
      </c>
      <c r="O67">
        <v>45500</v>
      </c>
      <c r="P67">
        <v>1</v>
      </c>
      <c r="Q67">
        <v>0</v>
      </c>
      <c r="S67">
        <v>143790</v>
      </c>
      <c r="T67" t="s">
        <v>3092</v>
      </c>
      <c r="U67" t="s">
        <v>2807</v>
      </c>
      <c r="W67">
        <v>0</v>
      </c>
      <c r="X67">
        <v>45500</v>
      </c>
      <c r="Y67">
        <v>41363.636363636302</v>
      </c>
      <c r="Z67" s="26">
        <v>46058</v>
      </c>
    </row>
    <row r="68" spans="1:26" x14ac:dyDescent="0.3">
      <c r="A68" s="50">
        <v>46058.340173611112</v>
      </c>
      <c r="B68">
        <v>2.0260205080858801E+18</v>
      </c>
      <c r="C68" t="s">
        <v>3093</v>
      </c>
      <c r="D68" t="s">
        <v>3094</v>
      </c>
      <c r="E68" t="s">
        <v>3094</v>
      </c>
      <c r="F68" t="s">
        <v>3093</v>
      </c>
      <c r="G68" t="s">
        <v>3094</v>
      </c>
      <c r="H68" t="s">
        <v>3094</v>
      </c>
      <c r="I68">
        <v>6784</v>
      </c>
      <c r="J68" t="s">
        <v>3095</v>
      </c>
      <c r="K68" t="s">
        <v>3095</v>
      </c>
      <c r="L68" t="s">
        <v>2804</v>
      </c>
      <c r="M68" t="s">
        <v>2805</v>
      </c>
      <c r="N68">
        <v>54363</v>
      </c>
      <c r="O68">
        <v>45500</v>
      </c>
      <c r="P68">
        <v>1</v>
      </c>
      <c r="Q68">
        <v>0</v>
      </c>
      <c r="S68">
        <v>143790</v>
      </c>
      <c r="T68" t="s">
        <v>3096</v>
      </c>
      <c r="U68" t="s">
        <v>2807</v>
      </c>
      <c r="W68">
        <v>0</v>
      </c>
      <c r="X68">
        <v>45500</v>
      </c>
      <c r="Y68">
        <v>41363.636363636302</v>
      </c>
      <c r="Z68" s="26">
        <v>46058</v>
      </c>
    </row>
    <row r="69" spans="1:26" x14ac:dyDescent="0.3">
      <c r="A69" s="50">
        <v>46058.340127314812</v>
      </c>
      <c r="B69">
        <v>2.0260205080038899E+18</v>
      </c>
      <c r="C69" t="s">
        <v>3097</v>
      </c>
      <c r="D69" t="s">
        <v>3098</v>
      </c>
      <c r="E69" t="s">
        <v>3098</v>
      </c>
      <c r="F69" t="s">
        <v>3099</v>
      </c>
      <c r="G69" t="s">
        <v>3100</v>
      </c>
      <c r="H69" t="s">
        <v>3100</v>
      </c>
      <c r="I69">
        <v>17943</v>
      </c>
      <c r="J69" t="s">
        <v>3101</v>
      </c>
      <c r="K69" t="s">
        <v>3101</v>
      </c>
      <c r="L69" t="s">
        <v>2804</v>
      </c>
      <c r="M69" t="s">
        <v>2805</v>
      </c>
      <c r="N69">
        <v>54363</v>
      </c>
      <c r="O69">
        <v>45500</v>
      </c>
      <c r="P69">
        <v>1</v>
      </c>
      <c r="Q69">
        <v>0</v>
      </c>
      <c r="S69">
        <v>143790</v>
      </c>
      <c r="T69" t="s">
        <v>3102</v>
      </c>
      <c r="U69" t="s">
        <v>2807</v>
      </c>
      <c r="W69">
        <v>0</v>
      </c>
      <c r="X69">
        <v>45500</v>
      </c>
      <c r="Y69">
        <v>41363.636363636302</v>
      </c>
      <c r="Z69" s="26">
        <v>46058</v>
      </c>
    </row>
    <row r="70" spans="1:26" x14ac:dyDescent="0.3">
      <c r="A70" s="50">
        <v>46058.339768518519</v>
      </c>
      <c r="B70">
        <v>2.02602050808482E+18</v>
      </c>
      <c r="C70" t="s">
        <v>3103</v>
      </c>
      <c r="D70" t="s">
        <v>3104</v>
      </c>
      <c r="E70" t="s">
        <v>3104</v>
      </c>
      <c r="F70" t="s">
        <v>3103</v>
      </c>
      <c r="G70" t="s">
        <v>3104</v>
      </c>
      <c r="H70" t="s">
        <v>3104</v>
      </c>
      <c r="I70">
        <v>22376</v>
      </c>
      <c r="J70" t="s">
        <v>3105</v>
      </c>
      <c r="K70" t="s">
        <v>3105</v>
      </c>
      <c r="L70" t="s">
        <v>2804</v>
      </c>
      <c r="M70" t="s">
        <v>2805</v>
      </c>
      <c r="N70">
        <v>54363</v>
      </c>
      <c r="O70">
        <v>45500</v>
      </c>
      <c r="P70">
        <v>1</v>
      </c>
      <c r="Q70">
        <v>0</v>
      </c>
      <c r="S70">
        <v>143790</v>
      </c>
      <c r="T70" t="s">
        <v>3106</v>
      </c>
      <c r="U70" t="s">
        <v>2807</v>
      </c>
      <c r="W70">
        <v>0</v>
      </c>
      <c r="X70">
        <v>45500</v>
      </c>
      <c r="Y70">
        <v>41363.636363636302</v>
      </c>
      <c r="Z70" s="26">
        <v>46058</v>
      </c>
    </row>
    <row r="71" spans="1:26" x14ac:dyDescent="0.3">
      <c r="A71" s="50">
        <v>46058.33935185185</v>
      </c>
      <c r="B71">
        <v>2.0260205075952E+18</v>
      </c>
      <c r="C71" t="s">
        <v>3107</v>
      </c>
      <c r="D71" t="s">
        <v>3108</v>
      </c>
      <c r="E71" t="s">
        <v>3108</v>
      </c>
      <c r="F71" t="s">
        <v>3107</v>
      </c>
      <c r="G71" t="s">
        <v>3108</v>
      </c>
      <c r="H71" t="s">
        <v>3108</v>
      </c>
      <c r="I71">
        <v>17058</v>
      </c>
      <c r="J71" t="s">
        <v>3109</v>
      </c>
      <c r="K71" t="s">
        <v>3109</v>
      </c>
      <c r="L71" t="s">
        <v>2804</v>
      </c>
      <c r="M71" t="s">
        <v>2805</v>
      </c>
      <c r="N71">
        <v>54363</v>
      </c>
      <c r="O71">
        <v>45500</v>
      </c>
      <c r="P71">
        <v>1</v>
      </c>
      <c r="Q71">
        <v>0</v>
      </c>
      <c r="R71" t="s">
        <v>3110</v>
      </c>
      <c r="S71">
        <v>143790</v>
      </c>
      <c r="T71" t="s">
        <v>3111</v>
      </c>
      <c r="U71" t="s">
        <v>2807</v>
      </c>
      <c r="W71">
        <v>0</v>
      </c>
      <c r="X71">
        <v>45500</v>
      </c>
      <c r="Y71">
        <v>41363.636363636302</v>
      </c>
      <c r="Z71" s="26">
        <v>46058</v>
      </c>
    </row>
    <row r="72" spans="1:26" x14ac:dyDescent="0.3">
      <c r="A72" s="50">
        <v>46058.339317129627</v>
      </c>
      <c r="B72">
        <v>2.0260205080814899E+18</v>
      </c>
      <c r="C72" t="s">
        <v>3093</v>
      </c>
      <c r="D72" t="s">
        <v>3094</v>
      </c>
      <c r="E72" t="s">
        <v>3094</v>
      </c>
      <c r="F72" t="s">
        <v>3093</v>
      </c>
      <c r="G72" t="s">
        <v>3094</v>
      </c>
      <c r="H72" t="s">
        <v>3094</v>
      </c>
      <c r="I72">
        <v>2712</v>
      </c>
      <c r="J72" t="s">
        <v>3112</v>
      </c>
      <c r="K72" t="s">
        <v>3112</v>
      </c>
      <c r="L72" t="s">
        <v>2804</v>
      </c>
      <c r="M72" t="s">
        <v>2805</v>
      </c>
      <c r="N72">
        <v>54363</v>
      </c>
      <c r="O72">
        <v>45500</v>
      </c>
      <c r="P72">
        <v>1</v>
      </c>
      <c r="Q72">
        <v>0</v>
      </c>
      <c r="S72">
        <v>143790</v>
      </c>
      <c r="T72" t="s">
        <v>3113</v>
      </c>
      <c r="U72" t="s">
        <v>2807</v>
      </c>
      <c r="W72">
        <v>0</v>
      </c>
      <c r="X72">
        <v>45500</v>
      </c>
      <c r="Y72">
        <v>41363.636363636302</v>
      </c>
      <c r="Z72" s="26">
        <v>46058</v>
      </c>
    </row>
    <row r="73" spans="1:26" x14ac:dyDescent="0.3">
      <c r="A73" s="50">
        <v>46058.339178240742</v>
      </c>
      <c r="B73">
        <v>2.02602050807247E+18</v>
      </c>
      <c r="C73" t="s">
        <v>3114</v>
      </c>
      <c r="D73" t="s">
        <v>3115</v>
      </c>
      <c r="E73" t="s">
        <v>3115</v>
      </c>
      <c r="F73" t="s">
        <v>3114</v>
      </c>
      <c r="G73" t="s">
        <v>3115</v>
      </c>
      <c r="H73" t="s">
        <v>3115</v>
      </c>
      <c r="I73">
        <v>18439</v>
      </c>
      <c r="J73" t="s">
        <v>3116</v>
      </c>
      <c r="K73" t="s">
        <v>3116</v>
      </c>
      <c r="L73" t="s">
        <v>2804</v>
      </c>
      <c r="M73" t="s">
        <v>2805</v>
      </c>
      <c r="N73">
        <v>54363</v>
      </c>
      <c r="O73">
        <v>45500</v>
      </c>
      <c r="P73">
        <v>1</v>
      </c>
      <c r="Q73">
        <v>0</v>
      </c>
      <c r="S73">
        <v>143790</v>
      </c>
      <c r="T73" t="s">
        <v>3117</v>
      </c>
      <c r="U73" t="s">
        <v>2807</v>
      </c>
      <c r="W73">
        <v>0</v>
      </c>
      <c r="X73">
        <v>45500</v>
      </c>
      <c r="Y73">
        <v>41363.636363636302</v>
      </c>
      <c r="Z73" s="26">
        <v>46058</v>
      </c>
    </row>
    <row r="74" spans="1:26" x14ac:dyDescent="0.3">
      <c r="A74" s="50">
        <v>46058.338796296295</v>
      </c>
      <c r="B74">
        <v>2.02602050805293E+18</v>
      </c>
      <c r="C74" t="s">
        <v>3118</v>
      </c>
      <c r="D74" t="s">
        <v>3119</v>
      </c>
      <c r="E74" t="s">
        <v>3119</v>
      </c>
      <c r="F74" t="s">
        <v>3118</v>
      </c>
      <c r="G74" t="s">
        <v>3119</v>
      </c>
      <c r="H74" t="s">
        <v>3119</v>
      </c>
      <c r="I74">
        <v>16704</v>
      </c>
      <c r="J74" t="s">
        <v>3120</v>
      </c>
      <c r="K74" t="s">
        <v>3120</v>
      </c>
      <c r="L74" t="s">
        <v>2804</v>
      </c>
      <c r="M74" t="s">
        <v>2805</v>
      </c>
      <c r="N74">
        <v>54363</v>
      </c>
      <c r="O74">
        <v>45500</v>
      </c>
      <c r="P74">
        <v>1</v>
      </c>
      <c r="Q74">
        <v>0</v>
      </c>
      <c r="R74" t="s">
        <v>3121</v>
      </c>
      <c r="S74">
        <v>143790</v>
      </c>
      <c r="T74" t="s">
        <v>3122</v>
      </c>
      <c r="U74" t="s">
        <v>2807</v>
      </c>
      <c r="W74">
        <v>0</v>
      </c>
      <c r="X74">
        <v>45500</v>
      </c>
      <c r="Y74">
        <v>41363.636363636302</v>
      </c>
      <c r="Z74" s="26">
        <v>46058</v>
      </c>
    </row>
    <row r="75" spans="1:26" x14ac:dyDescent="0.3">
      <c r="A75" s="50">
        <v>46058.337754629632</v>
      </c>
      <c r="B75">
        <v>2.0260205080437801E+18</v>
      </c>
      <c r="C75" t="s">
        <v>3123</v>
      </c>
      <c r="D75" t="s">
        <v>3124</v>
      </c>
      <c r="E75" t="s">
        <v>3124</v>
      </c>
      <c r="F75" t="s">
        <v>3125</v>
      </c>
      <c r="G75" t="s">
        <v>3126</v>
      </c>
      <c r="H75" t="s">
        <v>3126</v>
      </c>
      <c r="I75">
        <v>6578</v>
      </c>
      <c r="J75" t="s">
        <v>3127</v>
      </c>
      <c r="K75" t="s">
        <v>3127</v>
      </c>
      <c r="L75" t="s">
        <v>2804</v>
      </c>
      <c r="M75" t="s">
        <v>2805</v>
      </c>
      <c r="N75">
        <v>54363</v>
      </c>
      <c r="O75">
        <v>45500</v>
      </c>
      <c r="P75">
        <v>1</v>
      </c>
      <c r="Q75">
        <v>0</v>
      </c>
      <c r="S75">
        <v>143790</v>
      </c>
      <c r="T75" t="s">
        <v>3128</v>
      </c>
      <c r="U75" t="s">
        <v>2807</v>
      </c>
      <c r="W75">
        <v>0</v>
      </c>
      <c r="X75">
        <v>45500</v>
      </c>
      <c r="Y75">
        <v>41363.636363636302</v>
      </c>
      <c r="Z75" s="26">
        <v>46058</v>
      </c>
    </row>
    <row r="76" spans="1:26" x14ac:dyDescent="0.3">
      <c r="A76" s="50">
        <v>46058.337569444448</v>
      </c>
      <c r="B76">
        <v>2.02602050803357E+18</v>
      </c>
      <c r="C76" t="s">
        <v>3129</v>
      </c>
      <c r="D76" t="s">
        <v>3130</v>
      </c>
      <c r="E76" t="s">
        <v>3130</v>
      </c>
      <c r="F76" t="s">
        <v>3129</v>
      </c>
      <c r="G76" t="s">
        <v>3130</v>
      </c>
      <c r="H76" t="s">
        <v>3130</v>
      </c>
      <c r="I76">
        <v>22879</v>
      </c>
      <c r="J76" t="s">
        <v>3131</v>
      </c>
      <c r="K76" t="s">
        <v>3131</v>
      </c>
      <c r="L76" t="s">
        <v>2804</v>
      </c>
      <c r="M76" t="s">
        <v>2805</v>
      </c>
      <c r="N76">
        <v>54363</v>
      </c>
      <c r="O76">
        <v>45500</v>
      </c>
      <c r="P76">
        <v>1</v>
      </c>
      <c r="Q76">
        <v>0</v>
      </c>
      <c r="S76">
        <v>143790</v>
      </c>
      <c r="T76" t="s">
        <v>3132</v>
      </c>
      <c r="U76" t="s">
        <v>2807</v>
      </c>
      <c r="W76">
        <v>0</v>
      </c>
      <c r="X76">
        <v>45500</v>
      </c>
      <c r="Y76">
        <v>41363.636363636302</v>
      </c>
      <c r="Z76" s="26">
        <v>46058</v>
      </c>
    </row>
    <row r="77" spans="1:26" x14ac:dyDescent="0.3">
      <c r="A77" s="50">
        <v>46058.337546296294</v>
      </c>
      <c r="B77">
        <v>2.0260205080325601E+18</v>
      </c>
      <c r="C77" t="s">
        <v>3133</v>
      </c>
      <c r="D77" t="s">
        <v>3134</v>
      </c>
      <c r="E77" t="s">
        <v>3134</v>
      </c>
      <c r="F77" t="s">
        <v>3133</v>
      </c>
      <c r="G77" t="s">
        <v>3134</v>
      </c>
      <c r="H77" t="s">
        <v>3134</v>
      </c>
      <c r="I77">
        <v>31733</v>
      </c>
      <c r="J77" t="s">
        <v>3135</v>
      </c>
      <c r="K77" t="s">
        <v>3135</v>
      </c>
      <c r="L77" t="s">
        <v>2804</v>
      </c>
      <c r="M77" t="s">
        <v>2805</v>
      </c>
      <c r="N77">
        <v>54363</v>
      </c>
      <c r="O77">
        <v>45500</v>
      </c>
      <c r="P77">
        <v>1</v>
      </c>
      <c r="Q77">
        <v>0</v>
      </c>
      <c r="S77">
        <v>143790</v>
      </c>
      <c r="T77" t="s">
        <v>3136</v>
      </c>
      <c r="U77" t="s">
        <v>2807</v>
      </c>
      <c r="W77">
        <v>0</v>
      </c>
      <c r="X77">
        <v>45500</v>
      </c>
      <c r="Y77">
        <v>41363.636363636302</v>
      </c>
      <c r="Z77" s="26">
        <v>46058</v>
      </c>
    </row>
    <row r="78" spans="1:26" x14ac:dyDescent="0.3">
      <c r="A78" s="50">
        <v>46058.337418981479</v>
      </c>
      <c r="B78">
        <v>2.0260205080509599E+18</v>
      </c>
      <c r="C78" t="s">
        <v>3137</v>
      </c>
      <c r="D78" t="s">
        <v>3138</v>
      </c>
      <c r="E78" t="s">
        <v>3138</v>
      </c>
      <c r="F78" t="s">
        <v>3137</v>
      </c>
      <c r="G78" t="s">
        <v>3138</v>
      </c>
      <c r="H78" t="s">
        <v>3138</v>
      </c>
      <c r="I78">
        <v>18032</v>
      </c>
      <c r="J78" t="s">
        <v>3139</v>
      </c>
      <c r="K78" t="s">
        <v>3139</v>
      </c>
      <c r="L78" t="s">
        <v>2804</v>
      </c>
      <c r="M78" t="s">
        <v>2805</v>
      </c>
      <c r="N78">
        <v>54363</v>
      </c>
      <c r="O78">
        <v>45500</v>
      </c>
      <c r="P78">
        <v>1</v>
      </c>
      <c r="Q78">
        <v>0</v>
      </c>
      <c r="S78">
        <v>143790</v>
      </c>
      <c r="T78" t="s">
        <v>3140</v>
      </c>
      <c r="U78" t="s">
        <v>2807</v>
      </c>
      <c r="W78">
        <v>0</v>
      </c>
      <c r="X78">
        <v>45500</v>
      </c>
      <c r="Y78">
        <v>41363.636363636302</v>
      </c>
      <c r="Z78" s="26">
        <v>46058</v>
      </c>
    </row>
    <row r="79" spans="1:26" x14ac:dyDescent="0.3">
      <c r="A79" s="50">
        <v>46058.337337962963</v>
      </c>
      <c r="B79">
        <v>2.02602050759391E+18</v>
      </c>
      <c r="C79" t="s">
        <v>3141</v>
      </c>
      <c r="D79" t="s">
        <v>3142</v>
      </c>
      <c r="E79" t="s">
        <v>3142</v>
      </c>
      <c r="F79" t="s">
        <v>3141</v>
      </c>
      <c r="G79" t="s">
        <v>3142</v>
      </c>
      <c r="H79" t="s">
        <v>3142</v>
      </c>
      <c r="I79">
        <v>6216</v>
      </c>
      <c r="J79" t="s">
        <v>3143</v>
      </c>
      <c r="K79" t="s">
        <v>3143</v>
      </c>
      <c r="L79" t="s">
        <v>2804</v>
      </c>
      <c r="M79" t="s">
        <v>2805</v>
      </c>
      <c r="N79">
        <v>54363</v>
      </c>
      <c r="O79">
        <v>45500</v>
      </c>
      <c r="P79">
        <v>1</v>
      </c>
      <c r="Q79">
        <v>0</v>
      </c>
      <c r="S79">
        <v>143790</v>
      </c>
      <c r="T79" t="s">
        <v>3144</v>
      </c>
      <c r="U79" t="s">
        <v>2807</v>
      </c>
      <c r="W79">
        <v>0</v>
      </c>
      <c r="X79">
        <v>45500</v>
      </c>
      <c r="Y79">
        <v>41363.636363636302</v>
      </c>
      <c r="Z79" s="26">
        <v>46058</v>
      </c>
    </row>
    <row r="80" spans="1:26" x14ac:dyDescent="0.3">
      <c r="A80" s="50">
        <v>46058.337337962963</v>
      </c>
      <c r="B80">
        <v>2.02602050805121E+18</v>
      </c>
      <c r="C80" t="s">
        <v>3145</v>
      </c>
      <c r="D80" t="s">
        <v>3146</v>
      </c>
      <c r="E80" t="s">
        <v>3146</v>
      </c>
      <c r="F80" t="s">
        <v>3145</v>
      </c>
      <c r="G80" t="s">
        <v>3146</v>
      </c>
      <c r="H80" t="s">
        <v>3146</v>
      </c>
      <c r="I80">
        <v>13339</v>
      </c>
      <c r="J80" t="s">
        <v>3147</v>
      </c>
      <c r="K80" t="s">
        <v>3147</v>
      </c>
      <c r="L80" t="s">
        <v>2804</v>
      </c>
      <c r="M80" t="s">
        <v>2805</v>
      </c>
      <c r="N80">
        <v>108726</v>
      </c>
      <c r="O80">
        <v>45500</v>
      </c>
      <c r="P80">
        <v>2</v>
      </c>
      <c r="Q80">
        <v>0</v>
      </c>
      <c r="S80">
        <v>143790</v>
      </c>
      <c r="T80" t="s">
        <v>3148</v>
      </c>
      <c r="U80" t="s">
        <v>2807</v>
      </c>
      <c r="W80">
        <v>0</v>
      </c>
      <c r="X80">
        <v>91000</v>
      </c>
      <c r="Y80">
        <v>82727.272727272706</v>
      </c>
      <c r="Z80" s="26">
        <v>46058</v>
      </c>
    </row>
    <row r="81" spans="1:26" x14ac:dyDescent="0.3">
      <c r="A81" s="50">
        <v>46058.336782407408</v>
      </c>
      <c r="B81">
        <v>2.02602050804273E+18</v>
      </c>
      <c r="C81" t="s">
        <v>3149</v>
      </c>
      <c r="D81" t="s">
        <v>3150</v>
      </c>
      <c r="E81" t="s">
        <v>3150</v>
      </c>
      <c r="F81" t="s">
        <v>3149</v>
      </c>
      <c r="G81" t="s">
        <v>3150</v>
      </c>
      <c r="H81" t="s">
        <v>3150</v>
      </c>
      <c r="I81">
        <v>3180</v>
      </c>
      <c r="J81" t="s">
        <v>3151</v>
      </c>
      <c r="K81" t="s">
        <v>3151</v>
      </c>
      <c r="L81" t="s">
        <v>2804</v>
      </c>
      <c r="M81" t="s">
        <v>2805</v>
      </c>
      <c r="N81">
        <v>54363</v>
      </c>
      <c r="O81">
        <v>45500</v>
      </c>
      <c r="P81">
        <v>1</v>
      </c>
      <c r="Q81">
        <v>0</v>
      </c>
      <c r="S81">
        <v>143790</v>
      </c>
      <c r="T81" t="s">
        <v>3152</v>
      </c>
      <c r="U81" t="s">
        <v>2807</v>
      </c>
      <c r="W81">
        <v>0</v>
      </c>
      <c r="X81">
        <v>45500</v>
      </c>
      <c r="Y81">
        <v>41363.636363636302</v>
      </c>
      <c r="Z81" s="26">
        <v>46058</v>
      </c>
    </row>
    <row r="82" spans="1:26" x14ac:dyDescent="0.3">
      <c r="A82" s="50">
        <v>46058.335949074077</v>
      </c>
      <c r="B82">
        <v>2.0260205080136599E+18</v>
      </c>
      <c r="C82" t="s">
        <v>3153</v>
      </c>
      <c r="D82" t="s">
        <v>3154</v>
      </c>
      <c r="E82" t="s">
        <v>3154</v>
      </c>
      <c r="F82" t="s">
        <v>3155</v>
      </c>
      <c r="G82" t="s">
        <v>3154</v>
      </c>
      <c r="H82" t="s">
        <v>3154</v>
      </c>
      <c r="I82">
        <v>14346</v>
      </c>
      <c r="J82" t="s">
        <v>3156</v>
      </c>
      <c r="K82" t="s">
        <v>3156</v>
      </c>
      <c r="L82" t="s">
        <v>2804</v>
      </c>
      <c r="M82" t="s">
        <v>2805</v>
      </c>
      <c r="N82">
        <v>54363</v>
      </c>
      <c r="O82">
        <v>45500</v>
      </c>
      <c r="P82">
        <v>1</v>
      </c>
      <c r="Q82">
        <v>0</v>
      </c>
      <c r="S82">
        <v>143790</v>
      </c>
      <c r="T82" t="s">
        <v>3157</v>
      </c>
      <c r="U82" t="s">
        <v>2807</v>
      </c>
      <c r="W82">
        <v>0</v>
      </c>
      <c r="X82">
        <v>45500</v>
      </c>
      <c r="Y82">
        <v>41363.636363636302</v>
      </c>
      <c r="Z82" s="26">
        <v>46058</v>
      </c>
    </row>
    <row r="83" spans="1:26" x14ac:dyDescent="0.3">
      <c r="A83" s="50">
        <v>46058.335914351854</v>
      </c>
      <c r="B83">
        <v>2.0260205075619599E+18</v>
      </c>
      <c r="C83" t="s">
        <v>3158</v>
      </c>
      <c r="D83" t="s">
        <v>3159</v>
      </c>
      <c r="E83" t="s">
        <v>3159</v>
      </c>
      <c r="F83" t="s">
        <v>3158</v>
      </c>
      <c r="G83" t="s">
        <v>3159</v>
      </c>
      <c r="H83" t="s">
        <v>3159</v>
      </c>
      <c r="I83">
        <v>15596</v>
      </c>
      <c r="J83" t="s">
        <v>3160</v>
      </c>
      <c r="K83" t="s">
        <v>3160</v>
      </c>
      <c r="L83" t="s">
        <v>2804</v>
      </c>
      <c r="M83" t="s">
        <v>2805</v>
      </c>
      <c r="N83">
        <v>54363</v>
      </c>
      <c r="O83">
        <v>45500</v>
      </c>
      <c r="P83">
        <v>1</v>
      </c>
      <c r="Q83">
        <v>0</v>
      </c>
      <c r="S83">
        <v>143790</v>
      </c>
      <c r="T83" t="s">
        <v>3161</v>
      </c>
      <c r="U83" t="s">
        <v>2807</v>
      </c>
      <c r="W83">
        <v>0</v>
      </c>
      <c r="X83">
        <v>45500</v>
      </c>
      <c r="Y83">
        <v>41363.636363636302</v>
      </c>
      <c r="Z83" s="26">
        <v>46058</v>
      </c>
    </row>
    <row r="84" spans="1:26" x14ac:dyDescent="0.3">
      <c r="A84" s="50">
        <v>46058.335833333331</v>
      </c>
      <c r="B84">
        <v>2.02602050802594E+18</v>
      </c>
      <c r="C84" t="s">
        <v>3162</v>
      </c>
      <c r="D84" t="s">
        <v>3163</v>
      </c>
      <c r="E84" t="s">
        <v>3163</v>
      </c>
      <c r="F84" t="s">
        <v>3162</v>
      </c>
      <c r="G84" t="s">
        <v>3163</v>
      </c>
      <c r="H84" t="s">
        <v>3163</v>
      </c>
      <c r="I84">
        <v>6289</v>
      </c>
      <c r="J84" t="s">
        <v>3164</v>
      </c>
      <c r="K84" t="s">
        <v>3164</v>
      </c>
      <c r="L84" t="s">
        <v>2804</v>
      </c>
      <c r="M84" t="s">
        <v>2805</v>
      </c>
      <c r="N84">
        <v>54363</v>
      </c>
      <c r="O84">
        <v>45500</v>
      </c>
      <c r="P84">
        <v>1</v>
      </c>
      <c r="Q84">
        <v>0</v>
      </c>
      <c r="S84">
        <v>143790</v>
      </c>
      <c r="T84" t="s">
        <v>3165</v>
      </c>
      <c r="U84" t="s">
        <v>2807</v>
      </c>
      <c r="W84">
        <v>0</v>
      </c>
      <c r="X84">
        <v>45500</v>
      </c>
      <c r="Y84">
        <v>41363.636363636302</v>
      </c>
      <c r="Z84" s="26">
        <v>46058</v>
      </c>
    </row>
    <row r="85" spans="1:26" x14ac:dyDescent="0.3">
      <c r="A85" s="50">
        <v>46058.335706018515</v>
      </c>
      <c r="B85">
        <v>2.0260205080005499E+18</v>
      </c>
      <c r="C85" t="s">
        <v>3066</v>
      </c>
      <c r="D85" t="s">
        <v>3067</v>
      </c>
      <c r="E85" t="s">
        <v>3067</v>
      </c>
      <c r="F85" t="s">
        <v>3166</v>
      </c>
      <c r="G85" t="s">
        <v>3167</v>
      </c>
      <c r="H85" t="s">
        <v>3167</v>
      </c>
      <c r="I85">
        <v>50322</v>
      </c>
      <c r="J85" t="s">
        <v>3168</v>
      </c>
      <c r="K85" t="s">
        <v>3168</v>
      </c>
      <c r="L85" t="s">
        <v>2804</v>
      </c>
      <c r="M85" t="s">
        <v>2805</v>
      </c>
      <c r="N85">
        <v>54363</v>
      </c>
      <c r="O85">
        <v>45500</v>
      </c>
      <c r="P85">
        <v>1</v>
      </c>
      <c r="Q85">
        <v>0</v>
      </c>
      <c r="R85" t="s">
        <v>3169</v>
      </c>
      <c r="S85">
        <v>143790</v>
      </c>
      <c r="T85" t="s">
        <v>3170</v>
      </c>
      <c r="U85" t="s">
        <v>2807</v>
      </c>
      <c r="W85">
        <v>0</v>
      </c>
      <c r="X85">
        <v>45500</v>
      </c>
      <c r="Y85">
        <v>41363.636363636302</v>
      </c>
      <c r="Z85" s="26">
        <v>46058</v>
      </c>
    </row>
    <row r="86" spans="1:26" x14ac:dyDescent="0.3">
      <c r="A86" s="50">
        <v>46058.335682870369</v>
      </c>
      <c r="B86">
        <v>2.0260205080255099E+18</v>
      </c>
      <c r="C86" t="s">
        <v>3171</v>
      </c>
      <c r="D86" t="s">
        <v>3172</v>
      </c>
      <c r="E86" t="s">
        <v>3172</v>
      </c>
      <c r="F86" t="s">
        <v>3171</v>
      </c>
      <c r="G86" t="s">
        <v>3172</v>
      </c>
      <c r="H86" t="s">
        <v>3172</v>
      </c>
      <c r="I86">
        <v>55084</v>
      </c>
      <c r="J86" t="s">
        <v>3173</v>
      </c>
      <c r="K86" t="s">
        <v>3173</v>
      </c>
      <c r="L86" t="s">
        <v>2804</v>
      </c>
      <c r="M86" t="s">
        <v>2805</v>
      </c>
      <c r="N86">
        <v>54363</v>
      </c>
      <c r="O86">
        <v>45500</v>
      </c>
      <c r="P86">
        <v>1</v>
      </c>
      <c r="Q86">
        <v>0</v>
      </c>
      <c r="R86" t="s">
        <v>3174</v>
      </c>
      <c r="S86">
        <v>143790</v>
      </c>
      <c r="T86" t="s">
        <v>3175</v>
      </c>
      <c r="U86" t="s">
        <v>2807</v>
      </c>
      <c r="W86">
        <v>0</v>
      </c>
      <c r="X86">
        <v>45500</v>
      </c>
      <c r="Y86">
        <v>41363.636363636302</v>
      </c>
      <c r="Z86" s="26">
        <v>46058</v>
      </c>
    </row>
    <row r="87" spans="1:26" x14ac:dyDescent="0.3">
      <c r="A87" s="50">
        <v>46058.3356712963</v>
      </c>
      <c r="B87">
        <v>2.0260205080119601E+18</v>
      </c>
      <c r="C87" t="s">
        <v>3176</v>
      </c>
      <c r="D87" t="s">
        <v>3177</v>
      </c>
      <c r="E87" t="s">
        <v>3177</v>
      </c>
      <c r="F87" t="s">
        <v>3178</v>
      </c>
      <c r="G87" t="s">
        <v>3179</v>
      </c>
      <c r="H87" t="s">
        <v>3179</v>
      </c>
      <c r="I87">
        <v>51024</v>
      </c>
      <c r="J87" t="s">
        <v>3180</v>
      </c>
      <c r="K87" t="s">
        <v>3180</v>
      </c>
      <c r="L87" t="s">
        <v>2804</v>
      </c>
      <c r="M87" t="s">
        <v>2805</v>
      </c>
      <c r="N87">
        <v>54363</v>
      </c>
      <c r="O87">
        <v>45500</v>
      </c>
      <c r="P87">
        <v>1</v>
      </c>
      <c r="Q87">
        <v>0</v>
      </c>
      <c r="S87">
        <v>143790</v>
      </c>
      <c r="T87" t="s">
        <v>3181</v>
      </c>
      <c r="U87" t="s">
        <v>2807</v>
      </c>
      <c r="W87">
        <v>0</v>
      </c>
      <c r="X87">
        <v>45500</v>
      </c>
      <c r="Y87">
        <v>41363.636363636302</v>
      </c>
      <c r="Z87" s="26">
        <v>46058</v>
      </c>
    </row>
    <row r="88" spans="1:26" x14ac:dyDescent="0.3">
      <c r="A88" s="50">
        <v>46058.335416666669</v>
      </c>
      <c r="B88">
        <v>2.02602050801263E+18</v>
      </c>
      <c r="C88" t="s">
        <v>3182</v>
      </c>
      <c r="D88" t="s">
        <v>3183</v>
      </c>
      <c r="E88" t="s">
        <v>3183</v>
      </c>
      <c r="F88" t="s">
        <v>3182</v>
      </c>
      <c r="G88" t="s">
        <v>3183</v>
      </c>
      <c r="H88" t="s">
        <v>3183</v>
      </c>
      <c r="I88">
        <v>31467</v>
      </c>
      <c r="J88" t="s">
        <v>3184</v>
      </c>
      <c r="K88" t="s">
        <v>3184</v>
      </c>
      <c r="L88" t="s">
        <v>2804</v>
      </c>
      <c r="M88" t="s">
        <v>2805</v>
      </c>
      <c r="N88">
        <v>54363</v>
      </c>
      <c r="O88">
        <v>45500</v>
      </c>
      <c r="P88">
        <v>1</v>
      </c>
      <c r="Q88">
        <v>0</v>
      </c>
      <c r="R88" t="s">
        <v>3185</v>
      </c>
      <c r="S88">
        <v>143790</v>
      </c>
      <c r="T88" t="s">
        <v>3186</v>
      </c>
      <c r="U88" t="s">
        <v>2807</v>
      </c>
      <c r="W88">
        <v>0</v>
      </c>
      <c r="X88">
        <v>45500</v>
      </c>
      <c r="Y88">
        <v>41363.636363636302</v>
      </c>
      <c r="Z88" s="26">
        <v>46058</v>
      </c>
    </row>
    <row r="89" spans="1:26" x14ac:dyDescent="0.3">
      <c r="A89" s="50">
        <v>46058.335243055553</v>
      </c>
      <c r="B89">
        <v>2.0260205075728E+18</v>
      </c>
      <c r="C89" t="s">
        <v>3187</v>
      </c>
      <c r="D89" t="s">
        <v>3188</v>
      </c>
      <c r="E89" t="s">
        <v>3188</v>
      </c>
      <c r="F89" t="s">
        <v>3187</v>
      </c>
      <c r="G89" t="s">
        <v>3188</v>
      </c>
      <c r="H89" t="s">
        <v>3188</v>
      </c>
      <c r="I89">
        <v>52353</v>
      </c>
      <c r="J89" t="s">
        <v>3189</v>
      </c>
      <c r="K89" t="s">
        <v>3189</v>
      </c>
      <c r="L89" t="s">
        <v>2804</v>
      </c>
      <c r="M89" t="s">
        <v>2805</v>
      </c>
      <c r="N89">
        <v>54363</v>
      </c>
      <c r="O89">
        <v>45500</v>
      </c>
      <c r="P89">
        <v>1</v>
      </c>
      <c r="Q89">
        <v>0</v>
      </c>
      <c r="R89" t="s">
        <v>3190</v>
      </c>
      <c r="S89">
        <v>143790</v>
      </c>
      <c r="T89" t="s">
        <v>3191</v>
      </c>
      <c r="U89" t="s">
        <v>2807</v>
      </c>
      <c r="W89">
        <v>0</v>
      </c>
      <c r="X89">
        <v>45500</v>
      </c>
      <c r="Y89">
        <v>41363.636363636302</v>
      </c>
      <c r="Z89" s="26">
        <v>46058</v>
      </c>
    </row>
    <row r="90" spans="1:26" x14ac:dyDescent="0.3">
      <c r="A90" s="50">
        <v>46058.33520833333</v>
      </c>
      <c r="B90">
        <v>2.02602050801231E+18</v>
      </c>
      <c r="C90" t="s">
        <v>3192</v>
      </c>
      <c r="D90" t="s">
        <v>3193</v>
      </c>
      <c r="E90" t="s">
        <v>3193</v>
      </c>
      <c r="F90" t="s">
        <v>3192</v>
      </c>
      <c r="G90" t="s">
        <v>3193</v>
      </c>
      <c r="H90" t="s">
        <v>3193</v>
      </c>
      <c r="I90">
        <v>3333</v>
      </c>
      <c r="J90" t="s">
        <v>3194</v>
      </c>
      <c r="K90" t="s">
        <v>3194</v>
      </c>
      <c r="L90" t="s">
        <v>2804</v>
      </c>
      <c r="M90" t="s">
        <v>2805</v>
      </c>
      <c r="N90">
        <v>54363</v>
      </c>
      <c r="O90">
        <v>45500</v>
      </c>
      <c r="P90">
        <v>1</v>
      </c>
      <c r="Q90">
        <v>0</v>
      </c>
      <c r="R90" t="s">
        <v>3195</v>
      </c>
      <c r="S90">
        <v>143790</v>
      </c>
      <c r="T90" t="s">
        <v>3196</v>
      </c>
      <c r="U90" t="s">
        <v>2807</v>
      </c>
      <c r="W90">
        <v>0</v>
      </c>
      <c r="X90">
        <v>45500</v>
      </c>
      <c r="Y90">
        <v>41363.636363636302</v>
      </c>
      <c r="Z90" s="26">
        <v>46058</v>
      </c>
    </row>
    <row r="91" spans="1:26" x14ac:dyDescent="0.3">
      <c r="A91" s="50">
        <v>46058.335069444445</v>
      </c>
      <c r="B91">
        <v>2.0260205080028401E+18</v>
      </c>
      <c r="C91" t="s">
        <v>3197</v>
      </c>
      <c r="D91" t="s">
        <v>3198</v>
      </c>
      <c r="E91" t="s">
        <v>3198</v>
      </c>
      <c r="F91" t="s">
        <v>3197</v>
      </c>
      <c r="G91" t="s">
        <v>3198</v>
      </c>
      <c r="H91" t="s">
        <v>3198</v>
      </c>
      <c r="I91">
        <v>16699</v>
      </c>
      <c r="J91" t="s">
        <v>3199</v>
      </c>
      <c r="K91" t="s">
        <v>3199</v>
      </c>
      <c r="L91" t="s">
        <v>2804</v>
      </c>
      <c r="M91" t="s">
        <v>2805</v>
      </c>
      <c r="N91">
        <v>54363</v>
      </c>
      <c r="O91">
        <v>45500</v>
      </c>
      <c r="P91">
        <v>1</v>
      </c>
      <c r="Q91">
        <v>0</v>
      </c>
      <c r="S91">
        <v>143790</v>
      </c>
      <c r="T91" t="s">
        <v>3200</v>
      </c>
      <c r="U91" t="s">
        <v>2807</v>
      </c>
      <c r="W91">
        <v>0</v>
      </c>
      <c r="X91">
        <v>45500</v>
      </c>
      <c r="Y91">
        <v>41363.636363636302</v>
      </c>
      <c r="Z91" s="26">
        <v>46058</v>
      </c>
    </row>
    <row r="92" spans="1:26" x14ac:dyDescent="0.3">
      <c r="A92" s="50">
        <v>46058.334976851853</v>
      </c>
      <c r="B92">
        <v>2.02602050759584E+18</v>
      </c>
      <c r="C92" t="s">
        <v>3201</v>
      </c>
      <c r="D92" t="s">
        <v>3202</v>
      </c>
      <c r="E92" t="s">
        <v>3202</v>
      </c>
      <c r="F92" t="s">
        <v>3201</v>
      </c>
      <c r="G92" t="s">
        <v>3202</v>
      </c>
      <c r="H92" t="s">
        <v>3202</v>
      </c>
      <c r="I92">
        <v>18480</v>
      </c>
      <c r="J92" t="s">
        <v>3203</v>
      </c>
      <c r="K92" t="s">
        <v>3203</v>
      </c>
      <c r="L92" t="s">
        <v>2804</v>
      </c>
      <c r="M92" t="s">
        <v>2805</v>
      </c>
      <c r="N92">
        <v>54363</v>
      </c>
      <c r="O92">
        <v>45500</v>
      </c>
      <c r="P92">
        <v>1</v>
      </c>
      <c r="Q92">
        <v>0</v>
      </c>
      <c r="S92">
        <v>143790</v>
      </c>
      <c r="T92" t="s">
        <v>3204</v>
      </c>
      <c r="U92" t="s">
        <v>2807</v>
      </c>
      <c r="W92">
        <v>0</v>
      </c>
      <c r="X92">
        <v>45500</v>
      </c>
      <c r="Y92">
        <v>41363.636363636302</v>
      </c>
      <c r="Z92" s="26">
        <v>46058</v>
      </c>
    </row>
    <row r="93" spans="1:26" x14ac:dyDescent="0.3">
      <c r="A93" s="50">
        <v>46058.334675925929</v>
      </c>
      <c r="B93">
        <v>2.0260205080057001E+18</v>
      </c>
      <c r="C93" t="s">
        <v>3205</v>
      </c>
      <c r="D93" t="s">
        <v>3206</v>
      </c>
      <c r="E93" t="s">
        <v>3206</v>
      </c>
      <c r="F93" t="s">
        <v>3205</v>
      </c>
      <c r="G93" t="s">
        <v>3207</v>
      </c>
      <c r="H93" t="s">
        <v>3207</v>
      </c>
      <c r="I93">
        <v>10579</v>
      </c>
      <c r="J93" t="s">
        <v>3208</v>
      </c>
      <c r="K93" t="s">
        <v>3208</v>
      </c>
      <c r="L93" t="s">
        <v>2804</v>
      </c>
      <c r="M93" t="s">
        <v>2805</v>
      </c>
      <c r="N93">
        <v>54363</v>
      </c>
      <c r="O93">
        <v>45500</v>
      </c>
      <c r="P93">
        <v>1</v>
      </c>
      <c r="Q93">
        <v>0</v>
      </c>
      <c r="S93">
        <v>143790</v>
      </c>
      <c r="T93" t="s">
        <v>3209</v>
      </c>
      <c r="U93" t="s">
        <v>2807</v>
      </c>
      <c r="W93">
        <v>0</v>
      </c>
      <c r="X93">
        <v>45500</v>
      </c>
      <c r="Y93">
        <v>41363.636363636302</v>
      </c>
      <c r="Z93" s="26">
        <v>46058</v>
      </c>
    </row>
    <row r="94" spans="1:26" x14ac:dyDescent="0.3">
      <c r="A94" s="50">
        <v>46058.334594907406</v>
      </c>
      <c r="B94">
        <v>2.02602050757519E+18</v>
      </c>
      <c r="C94" t="s">
        <v>3210</v>
      </c>
      <c r="D94" t="s">
        <v>3211</v>
      </c>
      <c r="E94" t="s">
        <v>3211</v>
      </c>
      <c r="F94" t="s">
        <v>3210</v>
      </c>
      <c r="G94" t="s">
        <v>3211</v>
      </c>
      <c r="H94" t="s">
        <v>3211</v>
      </c>
      <c r="I94">
        <v>16281</v>
      </c>
      <c r="J94" t="s">
        <v>3212</v>
      </c>
      <c r="K94" t="s">
        <v>3212</v>
      </c>
      <c r="L94" t="s">
        <v>2804</v>
      </c>
      <c r="M94" t="s">
        <v>2805</v>
      </c>
      <c r="N94">
        <v>54363</v>
      </c>
      <c r="O94">
        <v>45500</v>
      </c>
      <c r="P94">
        <v>1</v>
      </c>
      <c r="Q94">
        <v>0</v>
      </c>
      <c r="S94">
        <v>143790</v>
      </c>
      <c r="T94" t="s">
        <v>3213</v>
      </c>
      <c r="U94" t="s">
        <v>2807</v>
      </c>
      <c r="W94">
        <v>0</v>
      </c>
      <c r="X94">
        <v>45500</v>
      </c>
      <c r="Y94">
        <v>41363.636363636302</v>
      </c>
      <c r="Z94" s="26">
        <v>46058</v>
      </c>
    </row>
    <row r="95" spans="1:26" x14ac:dyDescent="0.3">
      <c r="A95" s="50">
        <v>46058.334548611114</v>
      </c>
      <c r="B95">
        <v>2.0260205080053901E+18</v>
      </c>
      <c r="C95" t="s">
        <v>3214</v>
      </c>
      <c r="D95" t="s">
        <v>3215</v>
      </c>
      <c r="E95" t="s">
        <v>3215</v>
      </c>
      <c r="F95" t="s">
        <v>3214</v>
      </c>
      <c r="G95" t="s">
        <v>3215</v>
      </c>
      <c r="H95" t="s">
        <v>3215</v>
      </c>
      <c r="I95">
        <v>16809</v>
      </c>
      <c r="J95" t="s">
        <v>3216</v>
      </c>
      <c r="K95" t="s">
        <v>3216</v>
      </c>
      <c r="L95" t="s">
        <v>2804</v>
      </c>
      <c r="M95" t="s">
        <v>2805</v>
      </c>
      <c r="N95">
        <v>54363</v>
      </c>
      <c r="O95">
        <v>45500</v>
      </c>
      <c r="P95">
        <v>1</v>
      </c>
      <c r="Q95">
        <v>0</v>
      </c>
      <c r="S95">
        <v>143790</v>
      </c>
      <c r="T95" t="s">
        <v>3217</v>
      </c>
      <c r="U95" t="s">
        <v>2807</v>
      </c>
      <c r="W95">
        <v>0</v>
      </c>
      <c r="X95">
        <v>45500</v>
      </c>
      <c r="Y95">
        <v>41363.636363636302</v>
      </c>
      <c r="Z95" s="26">
        <v>46058</v>
      </c>
    </row>
    <row r="96" spans="1:26" x14ac:dyDescent="0.3">
      <c r="A96" s="50">
        <v>46058.334490740737</v>
      </c>
      <c r="B96">
        <v>2.02602050759005E+18</v>
      </c>
      <c r="C96" t="s">
        <v>3218</v>
      </c>
      <c r="D96" t="s">
        <v>3219</v>
      </c>
      <c r="E96" t="s">
        <v>3219</v>
      </c>
      <c r="F96" t="s">
        <v>3218</v>
      </c>
      <c r="G96" t="s">
        <v>3219</v>
      </c>
      <c r="H96" t="s">
        <v>3219</v>
      </c>
      <c r="I96">
        <v>6360</v>
      </c>
      <c r="J96" t="s">
        <v>3220</v>
      </c>
      <c r="K96" t="s">
        <v>3220</v>
      </c>
      <c r="L96" t="s">
        <v>2804</v>
      </c>
      <c r="M96" t="s">
        <v>2805</v>
      </c>
      <c r="N96">
        <v>54363</v>
      </c>
      <c r="O96">
        <v>45500</v>
      </c>
      <c r="P96">
        <v>1</v>
      </c>
      <c r="Q96">
        <v>0</v>
      </c>
      <c r="S96">
        <v>143790</v>
      </c>
      <c r="T96" t="s">
        <v>3221</v>
      </c>
      <c r="U96" t="s">
        <v>2807</v>
      </c>
      <c r="W96">
        <v>0</v>
      </c>
      <c r="X96">
        <v>45500</v>
      </c>
      <c r="Y96">
        <v>41363.636363636302</v>
      </c>
      <c r="Z96" s="26">
        <v>46058</v>
      </c>
    </row>
    <row r="97" spans="1:26" x14ac:dyDescent="0.3">
      <c r="A97" s="50">
        <v>46058.334374999999</v>
      </c>
      <c r="B97">
        <v>2.0260205075738099E+18</v>
      </c>
      <c r="C97" t="s">
        <v>3222</v>
      </c>
      <c r="D97" t="s">
        <v>3223</v>
      </c>
      <c r="E97" t="s">
        <v>3223</v>
      </c>
      <c r="F97" t="s">
        <v>3222</v>
      </c>
      <c r="G97" t="s">
        <v>3223</v>
      </c>
      <c r="H97" t="s">
        <v>3223</v>
      </c>
      <c r="I97">
        <v>21070</v>
      </c>
      <c r="J97" t="s">
        <v>3224</v>
      </c>
      <c r="K97" t="s">
        <v>3224</v>
      </c>
      <c r="L97" t="s">
        <v>2804</v>
      </c>
      <c r="M97" t="s">
        <v>2805</v>
      </c>
      <c r="N97">
        <v>54363</v>
      </c>
      <c r="O97">
        <v>45500</v>
      </c>
      <c r="P97">
        <v>1</v>
      </c>
      <c r="Q97">
        <v>0</v>
      </c>
      <c r="R97" t="s">
        <v>3225</v>
      </c>
      <c r="S97">
        <v>143790</v>
      </c>
      <c r="T97" t="s">
        <v>3226</v>
      </c>
      <c r="U97" t="s">
        <v>2807</v>
      </c>
      <c r="W97">
        <v>0</v>
      </c>
      <c r="X97">
        <v>45500</v>
      </c>
      <c r="Y97">
        <v>41363.636363636302</v>
      </c>
      <c r="Z97" s="26">
        <v>46058</v>
      </c>
    </row>
    <row r="98" spans="1:26" x14ac:dyDescent="0.3">
      <c r="A98" s="50">
        <v>46058.334166666667</v>
      </c>
      <c r="B98">
        <v>2.0260205080035599E+18</v>
      </c>
      <c r="C98" t="s">
        <v>3227</v>
      </c>
      <c r="D98" t="s">
        <v>3228</v>
      </c>
      <c r="E98" t="s">
        <v>3228</v>
      </c>
      <c r="F98" t="s">
        <v>3227</v>
      </c>
      <c r="G98" t="s">
        <v>3228</v>
      </c>
      <c r="H98" t="s">
        <v>3228</v>
      </c>
      <c r="I98">
        <v>5501</v>
      </c>
      <c r="J98" t="s">
        <v>3229</v>
      </c>
      <c r="K98" t="s">
        <v>3229</v>
      </c>
      <c r="L98" t="s">
        <v>2804</v>
      </c>
      <c r="M98" t="s">
        <v>2805</v>
      </c>
      <c r="N98">
        <v>54363</v>
      </c>
      <c r="O98">
        <v>45500</v>
      </c>
      <c r="P98">
        <v>1</v>
      </c>
      <c r="Q98">
        <v>0</v>
      </c>
      <c r="S98">
        <v>143790</v>
      </c>
      <c r="T98" t="s">
        <v>3230</v>
      </c>
      <c r="U98" t="s">
        <v>2807</v>
      </c>
      <c r="W98">
        <v>0</v>
      </c>
      <c r="X98">
        <v>45500</v>
      </c>
      <c r="Y98">
        <v>41363.636363636302</v>
      </c>
      <c r="Z98" s="26">
        <v>46058</v>
      </c>
    </row>
    <row r="99" spans="1:26" x14ac:dyDescent="0.3">
      <c r="A99" s="50">
        <v>46058.334097222221</v>
      </c>
      <c r="B99">
        <v>2.0260205075910001E+18</v>
      </c>
      <c r="C99" t="s">
        <v>3231</v>
      </c>
      <c r="D99" t="s">
        <v>3232</v>
      </c>
      <c r="E99" t="s">
        <v>3232</v>
      </c>
      <c r="F99" t="s">
        <v>3233</v>
      </c>
      <c r="G99" t="s">
        <v>3232</v>
      </c>
      <c r="H99" t="s">
        <v>3232</v>
      </c>
      <c r="I99">
        <v>3505</v>
      </c>
      <c r="J99" t="s">
        <v>3234</v>
      </c>
      <c r="K99" t="s">
        <v>3234</v>
      </c>
      <c r="L99" t="s">
        <v>2804</v>
      </c>
      <c r="M99" t="s">
        <v>2805</v>
      </c>
      <c r="N99">
        <v>54363</v>
      </c>
      <c r="O99">
        <v>45500</v>
      </c>
      <c r="P99">
        <v>1</v>
      </c>
      <c r="Q99">
        <v>0</v>
      </c>
      <c r="S99">
        <v>143790</v>
      </c>
      <c r="T99" t="s">
        <v>3235</v>
      </c>
      <c r="U99" t="s">
        <v>2807</v>
      </c>
      <c r="W99">
        <v>0</v>
      </c>
      <c r="X99">
        <v>45500</v>
      </c>
      <c r="Y99">
        <v>41363.636363636302</v>
      </c>
      <c r="Z99" s="26">
        <v>46058</v>
      </c>
    </row>
    <row r="100" spans="1:26" x14ac:dyDescent="0.3">
      <c r="A100" s="50">
        <v>46058.334097222221</v>
      </c>
      <c r="B100">
        <v>2.02602050759598E+18</v>
      </c>
      <c r="C100" t="s">
        <v>3236</v>
      </c>
      <c r="D100" t="s">
        <v>3237</v>
      </c>
      <c r="E100" t="s">
        <v>3237</v>
      </c>
      <c r="F100" t="s">
        <v>3236</v>
      </c>
      <c r="G100" t="s">
        <v>3237</v>
      </c>
      <c r="H100" t="s">
        <v>3237</v>
      </c>
      <c r="I100">
        <v>6937</v>
      </c>
      <c r="J100" t="s">
        <v>3238</v>
      </c>
      <c r="K100" t="s">
        <v>3238</v>
      </c>
      <c r="L100" t="s">
        <v>2804</v>
      </c>
      <c r="M100" t="s">
        <v>2805</v>
      </c>
      <c r="N100">
        <v>54363</v>
      </c>
      <c r="O100">
        <v>45500</v>
      </c>
      <c r="P100">
        <v>1</v>
      </c>
      <c r="Q100">
        <v>0</v>
      </c>
      <c r="S100">
        <v>143790</v>
      </c>
      <c r="T100" t="s">
        <v>3239</v>
      </c>
      <c r="U100" t="s">
        <v>2807</v>
      </c>
      <c r="W100">
        <v>0</v>
      </c>
      <c r="X100">
        <v>45500</v>
      </c>
      <c r="Y100">
        <v>41363.636363636302</v>
      </c>
      <c r="Z100" s="26">
        <v>46058</v>
      </c>
    </row>
    <row r="101" spans="1:26" x14ac:dyDescent="0.3">
      <c r="A101" s="50">
        <v>46058.333854166667</v>
      </c>
      <c r="B101">
        <v>2.0260205075814899E+18</v>
      </c>
      <c r="C101" t="s">
        <v>3240</v>
      </c>
      <c r="D101" t="s">
        <v>3241</v>
      </c>
      <c r="E101" t="s">
        <v>3241</v>
      </c>
      <c r="F101" t="s">
        <v>3240</v>
      </c>
      <c r="G101" t="s">
        <v>3241</v>
      </c>
      <c r="H101" t="s">
        <v>3241</v>
      </c>
      <c r="I101">
        <v>10472</v>
      </c>
      <c r="J101" t="s">
        <v>3242</v>
      </c>
      <c r="K101" t="s">
        <v>3242</v>
      </c>
      <c r="L101" t="s">
        <v>2804</v>
      </c>
      <c r="M101" t="s">
        <v>2805</v>
      </c>
      <c r="N101">
        <v>54363</v>
      </c>
      <c r="O101">
        <v>45500</v>
      </c>
      <c r="P101">
        <v>1</v>
      </c>
      <c r="Q101">
        <v>0</v>
      </c>
      <c r="R101" t="s">
        <v>3243</v>
      </c>
      <c r="S101">
        <v>143790</v>
      </c>
      <c r="T101" t="s">
        <v>3244</v>
      </c>
      <c r="U101" t="s">
        <v>2807</v>
      </c>
      <c r="W101">
        <v>0</v>
      </c>
      <c r="X101">
        <v>45500</v>
      </c>
      <c r="Y101">
        <v>41363.636363636302</v>
      </c>
      <c r="Z101" s="26">
        <v>46058</v>
      </c>
    </row>
    <row r="102" spans="1:26" x14ac:dyDescent="0.3">
      <c r="A102" s="50">
        <v>46058.333854166667</v>
      </c>
      <c r="B102">
        <v>2.0260205075848E+18</v>
      </c>
      <c r="C102" t="s">
        <v>3245</v>
      </c>
      <c r="D102" t="s">
        <v>3246</v>
      </c>
      <c r="E102" t="s">
        <v>3246</v>
      </c>
      <c r="F102" t="s">
        <v>3247</v>
      </c>
      <c r="G102" t="s">
        <v>3248</v>
      </c>
      <c r="H102" t="s">
        <v>3248</v>
      </c>
      <c r="I102">
        <v>12786</v>
      </c>
      <c r="J102" t="s">
        <v>3249</v>
      </c>
      <c r="K102" t="s">
        <v>3249</v>
      </c>
      <c r="L102" t="s">
        <v>2804</v>
      </c>
      <c r="M102" t="s">
        <v>2805</v>
      </c>
      <c r="N102">
        <v>54363</v>
      </c>
      <c r="O102">
        <v>45500</v>
      </c>
      <c r="P102">
        <v>1</v>
      </c>
      <c r="Q102">
        <v>0</v>
      </c>
      <c r="R102" t="s">
        <v>3250</v>
      </c>
      <c r="S102">
        <v>143790</v>
      </c>
      <c r="T102" t="s">
        <v>3251</v>
      </c>
      <c r="U102" t="s">
        <v>2807</v>
      </c>
      <c r="W102">
        <v>0</v>
      </c>
      <c r="X102">
        <v>45500</v>
      </c>
      <c r="Y102">
        <v>41363.636363636302</v>
      </c>
      <c r="Z102" s="26">
        <v>46058</v>
      </c>
    </row>
    <row r="103" spans="1:26" x14ac:dyDescent="0.3">
      <c r="A103" s="50">
        <v>46058.333495370367</v>
      </c>
      <c r="B103">
        <v>2.0260205075729001E+18</v>
      </c>
      <c r="C103" t="s">
        <v>3252</v>
      </c>
      <c r="D103" t="s">
        <v>3253</v>
      </c>
      <c r="E103" t="s">
        <v>3253</v>
      </c>
      <c r="F103" t="s">
        <v>3252</v>
      </c>
      <c r="G103" t="s">
        <v>3253</v>
      </c>
      <c r="H103" t="s">
        <v>3253</v>
      </c>
      <c r="I103">
        <v>55079</v>
      </c>
      <c r="J103" t="s">
        <v>3254</v>
      </c>
      <c r="K103" t="s">
        <v>3254</v>
      </c>
      <c r="L103" t="s">
        <v>2804</v>
      </c>
      <c r="M103" t="s">
        <v>2805</v>
      </c>
      <c r="N103">
        <v>54363</v>
      </c>
      <c r="O103">
        <v>45500</v>
      </c>
      <c r="P103">
        <v>1</v>
      </c>
      <c r="Q103">
        <v>0</v>
      </c>
      <c r="R103" t="s">
        <v>3255</v>
      </c>
      <c r="S103">
        <v>143790</v>
      </c>
      <c r="T103" t="s">
        <v>3256</v>
      </c>
      <c r="U103" t="s">
        <v>2807</v>
      </c>
      <c r="W103">
        <v>0</v>
      </c>
      <c r="X103">
        <v>45500</v>
      </c>
      <c r="Y103">
        <v>41363.636363636302</v>
      </c>
      <c r="Z103" s="26">
        <v>46058</v>
      </c>
    </row>
    <row r="104" spans="1:26" x14ac:dyDescent="0.3">
      <c r="A104" s="50">
        <v>46058.333472222221</v>
      </c>
      <c r="B104">
        <v>2.02602050758032E+18</v>
      </c>
      <c r="C104" t="s">
        <v>3257</v>
      </c>
      <c r="D104" t="s">
        <v>3258</v>
      </c>
      <c r="E104" t="s">
        <v>3258</v>
      </c>
      <c r="F104" t="s">
        <v>3257</v>
      </c>
      <c r="G104" t="s">
        <v>3259</v>
      </c>
      <c r="H104" t="s">
        <v>3259</v>
      </c>
      <c r="I104">
        <v>58654</v>
      </c>
      <c r="J104" t="s">
        <v>3260</v>
      </c>
      <c r="K104" t="s">
        <v>3260</v>
      </c>
      <c r="L104" t="s">
        <v>2804</v>
      </c>
      <c r="M104" t="s">
        <v>2805</v>
      </c>
      <c r="N104">
        <v>54363</v>
      </c>
      <c r="O104">
        <v>45500</v>
      </c>
      <c r="P104">
        <v>1</v>
      </c>
      <c r="Q104">
        <v>0</v>
      </c>
      <c r="R104" t="s">
        <v>3261</v>
      </c>
      <c r="S104">
        <v>143790</v>
      </c>
      <c r="T104" t="s">
        <v>3262</v>
      </c>
      <c r="U104" t="s">
        <v>2807</v>
      </c>
      <c r="W104">
        <v>0</v>
      </c>
      <c r="X104">
        <v>45500</v>
      </c>
      <c r="Y104">
        <v>41363.636363636302</v>
      </c>
      <c r="Z104" s="26">
        <v>46058</v>
      </c>
    </row>
    <row r="105" spans="1:26" x14ac:dyDescent="0.3">
      <c r="A105" s="50">
        <v>46058.333414351851</v>
      </c>
      <c r="B105">
        <v>2.0260205075856E+18</v>
      </c>
      <c r="C105" t="s">
        <v>3263</v>
      </c>
      <c r="D105" t="s">
        <v>3264</v>
      </c>
      <c r="E105" t="s">
        <v>3264</v>
      </c>
      <c r="F105" t="s">
        <v>3263</v>
      </c>
      <c r="G105" t="s">
        <v>3264</v>
      </c>
      <c r="H105" t="s">
        <v>3264</v>
      </c>
      <c r="I105">
        <v>12285</v>
      </c>
      <c r="J105" t="s">
        <v>3265</v>
      </c>
      <c r="K105" t="s">
        <v>3265</v>
      </c>
      <c r="L105" t="s">
        <v>2804</v>
      </c>
      <c r="M105" t="s">
        <v>2805</v>
      </c>
      <c r="N105">
        <v>54363</v>
      </c>
      <c r="O105">
        <v>45500</v>
      </c>
      <c r="P105">
        <v>1</v>
      </c>
      <c r="Q105">
        <v>0</v>
      </c>
      <c r="S105">
        <v>143790</v>
      </c>
      <c r="T105" t="s">
        <v>3266</v>
      </c>
      <c r="U105" t="s">
        <v>2807</v>
      </c>
      <c r="W105">
        <v>0</v>
      </c>
      <c r="X105">
        <v>45500</v>
      </c>
      <c r="Y105">
        <v>41363.636363636302</v>
      </c>
      <c r="Z105" s="26">
        <v>46058</v>
      </c>
    </row>
    <row r="106" spans="1:26" x14ac:dyDescent="0.3">
      <c r="A106" s="50">
        <v>46058.333379629628</v>
      </c>
      <c r="B106">
        <v>2.0260205075712499E+18</v>
      </c>
      <c r="C106" t="s">
        <v>3267</v>
      </c>
      <c r="D106" t="s">
        <v>3268</v>
      </c>
      <c r="E106" t="s">
        <v>3268</v>
      </c>
      <c r="F106" t="s">
        <v>3267</v>
      </c>
      <c r="G106" t="s">
        <v>3268</v>
      </c>
      <c r="H106" t="s">
        <v>3268</v>
      </c>
      <c r="I106">
        <v>11189</v>
      </c>
      <c r="J106" t="s">
        <v>3269</v>
      </c>
      <c r="K106" t="s">
        <v>3269</v>
      </c>
      <c r="L106" t="s">
        <v>2804</v>
      </c>
      <c r="M106" t="s">
        <v>2805</v>
      </c>
      <c r="N106">
        <v>108726</v>
      </c>
      <c r="O106">
        <v>45500</v>
      </c>
      <c r="P106">
        <v>2</v>
      </c>
      <c r="Q106">
        <v>0</v>
      </c>
      <c r="R106" t="s">
        <v>3270</v>
      </c>
      <c r="S106">
        <v>143790</v>
      </c>
      <c r="T106" t="s">
        <v>3271</v>
      </c>
      <c r="U106" t="s">
        <v>2807</v>
      </c>
      <c r="W106">
        <v>0</v>
      </c>
      <c r="X106">
        <v>91000</v>
      </c>
      <c r="Y106">
        <v>82727.272727272706</v>
      </c>
      <c r="Z106" s="26">
        <v>46058</v>
      </c>
    </row>
    <row r="107" spans="1:26" x14ac:dyDescent="0.3">
      <c r="A107" s="50">
        <v>46058.333356481482</v>
      </c>
      <c r="B107">
        <v>2.0260205075755E+18</v>
      </c>
      <c r="C107" t="s">
        <v>3272</v>
      </c>
      <c r="D107" t="s">
        <v>3273</v>
      </c>
      <c r="E107" t="s">
        <v>3273</v>
      </c>
      <c r="F107" t="s">
        <v>3272</v>
      </c>
      <c r="G107" t="s">
        <v>3273</v>
      </c>
      <c r="H107" t="s">
        <v>3273</v>
      </c>
      <c r="I107">
        <v>12905</v>
      </c>
      <c r="J107" t="s">
        <v>3274</v>
      </c>
      <c r="K107" t="s">
        <v>3274</v>
      </c>
      <c r="L107" t="s">
        <v>2804</v>
      </c>
      <c r="M107" t="s">
        <v>2805</v>
      </c>
      <c r="N107">
        <v>54363</v>
      </c>
      <c r="O107">
        <v>45500</v>
      </c>
      <c r="P107">
        <v>1</v>
      </c>
      <c r="Q107">
        <v>0</v>
      </c>
      <c r="S107">
        <v>143790</v>
      </c>
      <c r="T107" t="s">
        <v>3275</v>
      </c>
      <c r="U107" t="s">
        <v>2807</v>
      </c>
      <c r="W107">
        <v>0</v>
      </c>
      <c r="X107">
        <v>45500</v>
      </c>
      <c r="Y107">
        <v>41363.636363636302</v>
      </c>
      <c r="Z107" s="26">
        <v>46058</v>
      </c>
    </row>
    <row r="108" spans="1:26" x14ac:dyDescent="0.3">
      <c r="A108" s="50">
        <v>46058.333194444444</v>
      </c>
      <c r="B108">
        <v>2.02602050759135E+18</v>
      </c>
      <c r="C108" t="s">
        <v>3276</v>
      </c>
      <c r="D108" t="s">
        <v>3277</v>
      </c>
      <c r="E108" t="s">
        <v>3277</v>
      </c>
      <c r="F108" t="s">
        <v>3278</v>
      </c>
      <c r="G108" t="s">
        <v>3277</v>
      </c>
      <c r="H108" t="s">
        <v>3277</v>
      </c>
      <c r="I108">
        <v>21982</v>
      </c>
      <c r="J108" t="s">
        <v>3279</v>
      </c>
      <c r="K108" t="s">
        <v>3279</v>
      </c>
      <c r="L108" t="s">
        <v>2804</v>
      </c>
      <c r="M108" t="s">
        <v>2805</v>
      </c>
      <c r="N108">
        <v>54363</v>
      </c>
      <c r="O108">
        <v>45500</v>
      </c>
      <c r="P108">
        <v>1</v>
      </c>
      <c r="Q108">
        <v>0</v>
      </c>
      <c r="S108">
        <v>143790</v>
      </c>
      <c r="T108" t="s">
        <v>3280</v>
      </c>
      <c r="U108" t="s">
        <v>2807</v>
      </c>
      <c r="W108">
        <v>0</v>
      </c>
      <c r="X108">
        <v>45500</v>
      </c>
      <c r="Y108">
        <v>41363.636363636302</v>
      </c>
      <c r="Z108" s="26">
        <v>46058</v>
      </c>
    </row>
    <row r="109" spans="1:26" x14ac:dyDescent="0.3">
      <c r="A109" s="50">
        <v>46058.33315972222</v>
      </c>
      <c r="B109">
        <v>2.02602050756174E+18</v>
      </c>
      <c r="C109" t="s">
        <v>3281</v>
      </c>
      <c r="D109" t="s">
        <v>3282</v>
      </c>
      <c r="E109" t="s">
        <v>3282</v>
      </c>
      <c r="F109" t="s">
        <v>3281</v>
      </c>
      <c r="G109" t="s">
        <v>3282</v>
      </c>
      <c r="H109" t="s">
        <v>3282</v>
      </c>
      <c r="I109">
        <v>5236</v>
      </c>
      <c r="J109" t="s">
        <v>3283</v>
      </c>
      <c r="K109" t="s">
        <v>3283</v>
      </c>
      <c r="L109" t="s">
        <v>2804</v>
      </c>
      <c r="M109" t="s">
        <v>2805</v>
      </c>
      <c r="N109">
        <v>108726</v>
      </c>
      <c r="O109">
        <v>45500</v>
      </c>
      <c r="P109">
        <v>2</v>
      </c>
      <c r="Q109">
        <v>0</v>
      </c>
      <c r="S109">
        <v>143790</v>
      </c>
      <c r="T109" t="s">
        <v>3284</v>
      </c>
      <c r="U109" t="s">
        <v>2807</v>
      </c>
      <c r="W109">
        <v>0</v>
      </c>
      <c r="X109">
        <v>91000</v>
      </c>
      <c r="Y109">
        <v>82727.272727272706</v>
      </c>
      <c r="Z109" s="26">
        <v>46058</v>
      </c>
    </row>
    <row r="110" spans="1:26" x14ac:dyDescent="0.3">
      <c r="A110" s="50">
        <v>46058.33315972222</v>
      </c>
      <c r="B110">
        <v>2.02602050758461E+18</v>
      </c>
      <c r="C110" t="s">
        <v>3285</v>
      </c>
      <c r="D110" t="s">
        <v>3286</v>
      </c>
      <c r="E110" t="s">
        <v>3286</v>
      </c>
      <c r="F110" t="s">
        <v>3285</v>
      </c>
      <c r="G110" t="s">
        <v>3286</v>
      </c>
      <c r="H110" t="s">
        <v>3286</v>
      </c>
      <c r="I110">
        <v>2117</v>
      </c>
      <c r="J110" t="s">
        <v>3287</v>
      </c>
      <c r="K110" t="s">
        <v>3287</v>
      </c>
      <c r="L110" t="s">
        <v>2804</v>
      </c>
      <c r="M110" t="s">
        <v>2805</v>
      </c>
      <c r="N110">
        <v>54363</v>
      </c>
      <c r="O110">
        <v>45500</v>
      </c>
      <c r="P110">
        <v>1</v>
      </c>
      <c r="Q110">
        <v>0</v>
      </c>
      <c r="S110">
        <v>143790</v>
      </c>
      <c r="T110" t="s">
        <v>3288</v>
      </c>
      <c r="U110" t="s">
        <v>2807</v>
      </c>
      <c r="W110">
        <v>0</v>
      </c>
      <c r="X110">
        <v>45500</v>
      </c>
      <c r="Y110">
        <v>41363.636363636302</v>
      </c>
      <c r="Z110" s="26">
        <v>46058</v>
      </c>
    </row>
    <row r="111" spans="1:26" x14ac:dyDescent="0.3">
      <c r="A111" s="50">
        <v>46058.333009259259</v>
      </c>
      <c r="B111">
        <v>2.0260205075730099E+18</v>
      </c>
      <c r="C111" t="s">
        <v>3289</v>
      </c>
      <c r="D111" t="s">
        <v>3290</v>
      </c>
      <c r="E111" t="s">
        <v>3290</v>
      </c>
      <c r="F111" t="s">
        <v>3289</v>
      </c>
      <c r="G111" t="s">
        <v>3290</v>
      </c>
      <c r="H111" t="s">
        <v>3290</v>
      </c>
      <c r="I111">
        <v>24414</v>
      </c>
      <c r="J111" t="s">
        <v>3291</v>
      </c>
      <c r="K111" t="s">
        <v>3291</v>
      </c>
      <c r="L111" t="s">
        <v>2804</v>
      </c>
      <c r="M111" t="s">
        <v>2805</v>
      </c>
      <c r="N111">
        <v>54363</v>
      </c>
      <c r="O111">
        <v>45500</v>
      </c>
      <c r="P111">
        <v>1</v>
      </c>
      <c r="Q111">
        <v>0</v>
      </c>
      <c r="S111">
        <v>143790</v>
      </c>
      <c r="T111" t="s">
        <v>3292</v>
      </c>
      <c r="U111" t="s">
        <v>2807</v>
      </c>
      <c r="W111">
        <v>0</v>
      </c>
      <c r="X111">
        <v>45500</v>
      </c>
      <c r="Y111">
        <v>41363.636363636302</v>
      </c>
      <c r="Z111" s="26">
        <v>46058</v>
      </c>
    </row>
    <row r="112" spans="1:26" x14ac:dyDescent="0.3">
      <c r="A112" s="50">
        <v>46058.333009259259</v>
      </c>
      <c r="B112">
        <v>2.02602050759039E+18</v>
      </c>
      <c r="C112" t="s">
        <v>3293</v>
      </c>
      <c r="D112" t="s">
        <v>3294</v>
      </c>
      <c r="E112" t="s">
        <v>3294</v>
      </c>
      <c r="F112" t="s">
        <v>3293</v>
      </c>
      <c r="G112" t="s">
        <v>3294</v>
      </c>
      <c r="H112" t="s">
        <v>3294</v>
      </c>
      <c r="I112">
        <v>12285</v>
      </c>
      <c r="J112" t="s">
        <v>3295</v>
      </c>
      <c r="K112" t="s">
        <v>3295</v>
      </c>
      <c r="L112" t="s">
        <v>2804</v>
      </c>
      <c r="M112" t="s">
        <v>2805</v>
      </c>
      <c r="N112">
        <v>54363</v>
      </c>
      <c r="O112">
        <v>45500</v>
      </c>
      <c r="P112">
        <v>1</v>
      </c>
      <c r="Q112">
        <v>0</v>
      </c>
      <c r="S112">
        <v>143790</v>
      </c>
      <c r="T112" t="s">
        <v>3296</v>
      </c>
      <c r="U112" t="s">
        <v>2807</v>
      </c>
      <c r="W112">
        <v>0</v>
      </c>
      <c r="X112">
        <v>45500</v>
      </c>
      <c r="Y112">
        <v>41363.636363636302</v>
      </c>
      <c r="Z112" s="26">
        <v>46058</v>
      </c>
    </row>
    <row r="113" spans="1:26" x14ac:dyDescent="0.3">
      <c r="A113" s="50">
        <v>46058.332870370374</v>
      </c>
      <c r="B113">
        <v>2.0260205075718001E+18</v>
      </c>
      <c r="C113" t="s">
        <v>3297</v>
      </c>
      <c r="D113" t="s">
        <v>3298</v>
      </c>
      <c r="E113" t="s">
        <v>3298</v>
      </c>
      <c r="F113" t="s">
        <v>3297</v>
      </c>
      <c r="G113" t="s">
        <v>3298</v>
      </c>
      <c r="H113" t="s">
        <v>3298</v>
      </c>
      <c r="I113">
        <v>6999</v>
      </c>
      <c r="J113" t="s">
        <v>3299</v>
      </c>
      <c r="K113" t="s">
        <v>3299</v>
      </c>
      <c r="L113" t="s">
        <v>2804</v>
      </c>
      <c r="M113" t="s">
        <v>2805</v>
      </c>
      <c r="N113">
        <v>54363</v>
      </c>
      <c r="O113">
        <v>45500</v>
      </c>
      <c r="P113">
        <v>1</v>
      </c>
      <c r="Q113">
        <v>0</v>
      </c>
      <c r="R113" t="s">
        <v>3300</v>
      </c>
      <c r="S113">
        <v>143790</v>
      </c>
      <c r="T113" t="s">
        <v>3301</v>
      </c>
      <c r="U113" t="s">
        <v>2807</v>
      </c>
      <c r="W113">
        <v>0</v>
      </c>
      <c r="X113">
        <v>45500</v>
      </c>
      <c r="Y113">
        <v>41363.636363636302</v>
      </c>
      <c r="Z113" s="26">
        <v>46058</v>
      </c>
    </row>
    <row r="114" spans="1:26" x14ac:dyDescent="0.3">
      <c r="A114" s="50">
        <v>46058.332870370374</v>
      </c>
      <c r="B114">
        <v>2.0260205075754801E+18</v>
      </c>
      <c r="C114" t="s">
        <v>3302</v>
      </c>
      <c r="D114" t="s">
        <v>3303</v>
      </c>
      <c r="E114" t="s">
        <v>3303</v>
      </c>
      <c r="F114" t="s">
        <v>3302</v>
      </c>
      <c r="G114" t="s">
        <v>3303</v>
      </c>
      <c r="H114" t="s">
        <v>3303</v>
      </c>
      <c r="I114">
        <v>16941</v>
      </c>
      <c r="J114" t="s">
        <v>3304</v>
      </c>
      <c r="K114" t="s">
        <v>3304</v>
      </c>
      <c r="L114" t="s">
        <v>2804</v>
      </c>
      <c r="M114" t="s">
        <v>2805</v>
      </c>
      <c r="N114">
        <v>54363</v>
      </c>
      <c r="O114">
        <v>45500</v>
      </c>
      <c r="P114">
        <v>1</v>
      </c>
      <c r="Q114">
        <v>0</v>
      </c>
      <c r="S114">
        <v>143790</v>
      </c>
      <c r="T114" t="s">
        <v>3305</v>
      </c>
      <c r="U114" t="s">
        <v>2807</v>
      </c>
      <c r="W114">
        <v>0</v>
      </c>
      <c r="X114">
        <v>45500</v>
      </c>
      <c r="Y114">
        <v>41363.636363636302</v>
      </c>
      <c r="Z114" s="26">
        <v>46058</v>
      </c>
    </row>
    <row r="115" spans="1:26" x14ac:dyDescent="0.3">
      <c r="A115" s="50">
        <v>46058.332835648151</v>
      </c>
      <c r="B115">
        <v>2.0260205075726999E+18</v>
      </c>
      <c r="C115" t="s">
        <v>3306</v>
      </c>
      <c r="D115" t="s">
        <v>3307</v>
      </c>
      <c r="E115" t="s">
        <v>3307</v>
      </c>
      <c r="F115" t="s">
        <v>3306</v>
      </c>
      <c r="G115" t="s">
        <v>3307</v>
      </c>
      <c r="H115" t="s">
        <v>3307</v>
      </c>
      <c r="I115">
        <v>50987</v>
      </c>
      <c r="J115" t="s">
        <v>3308</v>
      </c>
      <c r="K115" t="s">
        <v>3308</v>
      </c>
      <c r="L115" t="s">
        <v>2804</v>
      </c>
      <c r="M115" t="s">
        <v>2805</v>
      </c>
      <c r="N115">
        <v>108726</v>
      </c>
      <c r="O115">
        <v>45500</v>
      </c>
      <c r="P115">
        <v>2</v>
      </c>
      <c r="Q115">
        <v>0</v>
      </c>
      <c r="S115">
        <v>143790</v>
      </c>
      <c r="T115" t="s">
        <v>3309</v>
      </c>
      <c r="U115" t="s">
        <v>2807</v>
      </c>
      <c r="W115">
        <v>0</v>
      </c>
      <c r="X115">
        <v>91000</v>
      </c>
      <c r="Y115">
        <v>82727.272727272706</v>
      </c>
      <c r="Z115" s="26">
        <v>46058</v>
      </c>
    </row>
    <row r="116" spans="1:26" x14ac:dyDescent="0.3">
      <c r="A116" s="50">
        <v>46058.332789351851</v>
      </c>
      <c r="B116">
        <v>2.02602050756099E+18</v>
      </c>
      <c r="C116" t="s">
        <v>3310</v>
      </c>
      <c r="D116" t="s">
        <v>3311</v>
      </c>
      <c r="E116" t="s">
        <v>3311</v>
      </c>
      <c r="F116" t="s">
        <v>3310</v>
      </c>
      <c r="G116" t="s">
        <v>3311</v>
      </c>
      <c r="H116" t="s">
        <v>3311</v>
      </c>
      <c r="I116">
        <v>3730</v>
      </c>
      <c r="J116" t="s">
        <v>3312</v>
      </c>
      <c r="K116" t="s">
        <v>3312</v>
      </c>
      <c r="L116" t="s">
        <v>2804</v>
      </c>
      <c r="M116" t="s">
        <v>2805</v>
      </c>
      <c r="N116">
        <v>108726</v>
      </c>
      <c r="O116">
        <v>45500</v>
      </c>
      <c r="P116">
        <v>2</v>
      </c>
      <c r="Q116">
        <v>0</v>
      </c>
      <c r="S116">
        <v>143790</v>
      </c>
      <c r="T116" t="s">
        <v>3313</v>
      </c>
      <c r="U116" t="s">
        <v>2807</v>
      </c>
      <c r="W116">
        <v>0</v>
      </c>
      <c r="X116">
        <v>91000</v>
      </c>
      <c r="Y116">
        <v>82727.272727272706</v>
      </c>
      <c r="Z116" s="26">
        <v>46058</v>
      </c>
    </row>
    <row r="117" spans="1:26" x14ac:dyDescent="0.3">
      <c r="A117" s="50">
        <v>46058.332731481481</v>
      </c>
      <c r="B117">
        <v>2.02602050757472E+18</v>
      </c>
      <c r="C117" t="s">
        <v>3066</v>
      </c>
      <c r="D117" t="s">
        <v>3067</v>
      </c>
      <c r="E117" t="s">
        <v>3067</v>
      </c>
      <c r="F117" t="s">
        <v>3314</v>
      </c>
      <c r="G117" t="s">
        <v>3315</v>
      </c>
      <c r="H117" t="s">
        <v>3315</v>
      </c>
      <c r="I117">
        <v>44774</v>
      </c>
      <c r="J117" t="s">
        <v>3316</v>
      </c>
      <c r="K117" t="s">
        <v>3316</v>
      </c>
      <c r="L117" t="s">
        <v>2804</v>
      </c>
      <c r="M117" t="s">
        <v>2805</v>
      </c>
      <c r="N117">
        <v>54363</v>
      </c>
      <c r="O117">
        <v>45500</v>
      </c>
      <c r="P117">
        <v>1</v>
      </c>
      <c r="Q117">
        <v>0</v>
      </c>
      <c r="S117">
        <v>143790</v>
      </c>
      <c r="T117" t="s">
        <v>3317</v>
      </c>
      <c r="U117" t="s">
        <v>2807</v>
      </c>
      <c r="W117">
        <v>0</v>
      </c>
      <c r="X117">
        <v>45500</v>
      </c>
      <c r="Y117">
        <v>41363.636363636302</v>
      </c>
      <c r="Z117" s="26">
        <v>46058</v>
      </c>
    </row>
    <row r="118" spans="1:26" x14ac:dyDescent="0.3">
      <c r="A118" s="50">
        <v>46058.332662037035</v>
      </c>
      <c r="B118">
        <v>2.0260205075434601E+18</v>
      </c>
      <c r="C118" t="s">
        <v>3318</v>
      </c>
      <c r="D118" t="s">
        <v>3319</v>
      </c>
      <c r="E118" t="s">
        <v>3319</v>
      </c>
      <c r="F118" t="s">
        <v>3320</v>
      </c>
      <c r="G118" t="s">
        <v>3321</v>
      </c>
      <c r="H118" t="s">
        <v>3321</v>
      </c>
      <c r="I118">
        <v>36057</v>
      </c>
      <c r="J118" t="s">
        <v>3322</v>
      </c>
      <c r="K118" t="s">
        <v>3322</v>
      </c>
      <c r="L118" t="s">
        <v>2804</v>
      </c>
      <c r="M118" t="s">
        <v>2805</v>
      </c>
      <c r="N118">
        <v>54363</v>
      </c>
      <c r="O118">
        <v>45500</v>
      </c>
      <c r="P118">
        <v>1</v>
      </c>
      <c r="Q118">
        <v>0</v>
      </c>
      <c r="S118">
        <v>143790</v>
      </c>
      <c r="T118" t="s">
        <v>3323</v>
      </c>
      <c r="U118" t="s">
        <v>2807</v>
      </c>
      <c r="W118">
        <v>0</v>
      </c>
      <c r="X118">
        <v>45500</v>
      </c>
      <c r="Y118">
        <v>41363.636363636302</v>
      </c>
      <c r="Z118" s="26">
        <v>46058</v>
      </c>
    </row>
    <row r="119" spans="1:26" x14ac:dyDescent="0.3">
      <c r="A119" s="50">
        <v>46058.332627314812</v>
      </c>
      <c r="B119">
        <v>2.0260205075836301E+18</v>
      </c>
      <c r="C119" t="s">
        <v>3324</v>
      </c>
      <c r="D119" t="s">
        <v>3325</v>
      </c>
      <c r="E119" t="s">
        <v>3325</v>
      </c>
      <c r="F119" t="s">
        <v>3324</v>
      </c>
      <c r="G119" t="s">
        <v>3325</v>
      </c>
      <c r="H119" t="s">
        <v>3325</v>
      </c>
      <c r="I119">
        <v>6378</v>
      </c>
      <c r="J119" t="s">
        <v>3326</v>
      </c>
      <c r="K119" t="s">
        <v>3326</v>
      </c>
      <c r="L119" t="s">
        <v>2804</v>
      </c>
      <c r="M119" t="s">
        <v>2805</v>
      </c>
      <c r="N119">
        <v>54363</v>
      </c>
      <c r="O119">
        <v>45500</v>
      </c>
      <c r="P119">
        <v>1</v>
      </c>
      <c r="Q119">
        <v>0</v>
      </c>
      <c r="S119">
        <v>143790</v>
      </c>
      <c r="T119" t="s">
        <v>3327</v>
      </c>
      <c r="U119" t="s">
        <v>2807</v>
      </c>
      <c r="W119">
        <v>0</v>
      </c>
      <c r="X119">
        <v>45500</v>
      </c>
      <c r="Y119">
        <v>41363.636363636302</v>
      </c>
      <c r="Z119" s="26">
        <v>46058</v>
      </c>
    </row>
    <row r="120" spans="1:26" x14ac:dyDescent="0.3">
      <c r="A120" s="50">
        <v>46058.332592592589</v>
      </c>
      <c r="B120">
        <v>2.0260205075533399E+18</v>
      </c>
      <c r="C120" t="s">
        <v>3328</v>
      </c>
      <c r="D120" t="s">
        <v>3329</v>
      </c>
      <c r="E120" t="s">
        <v>3329</v>
      </c>
      <c r="F120" t="s">
        <v>3328</v>
      </c>
      <c r="G120" t="s">
        <v>3329</v>
      </c>
      <c r="H120" t="s">
        <v>3329</v>
      </c>
      <c r="I120">
        <v>55114</v>
      </c>
      <c r="J120" t="s">
        <v>3330</v>
      </c>
      <c r="K120" t="s">
        <v>3330</v>
      </c>
      <c r="L120" t="s">
        <v>2804</v>
      </c>
      <c r="M120" t="s">
        <v>2805</v>
      </c>
      <c r="N120">
        <v>54363</v>
      </c>
      <c r="O120">
        <v>45500</v>
      </c>
      <c r="P120">
        <v>1</v>
      </c>
      <c r="Q120">
        <v>0</v>
      </c>
      <c r="R120" t="s">
        <v>3331</v>
      </c>
      <c r="S120">
        <v>143790</v>
      </c>
      <c r="T120" t="s">
        <v>3332</v>
      </c>
      <c r="U120" t="s">
        <v>2807</v>
      </c>
      <c r="W120">
        <v>0</v>
      </c>
      <c r="X120">
        <v>45500</v>
      </c>
      <c r="Y120">
        <v>41363.636363636302</v>
      </c>
      <c r="Z120" s="26">
        <v>46058</v>
      </c>
    </row>
    <row r="121" spans="1:26" x14ac:dyDescent="0.3">
      <c r="A121" s="50">
        <v>46058.332546296297</v>
      </c>
      <c r="B121">
        <v>2.02602050757283E+18</v>
      </c>
      <c r="C121" t="s">
        <v>3333</v>
      </c>
      <c r="D121" t="s">
        <v>3334</v>
      </c>
      <c r="E121" t="s">
        <v>3334</v>
      </c>
      <c r="F121" t="s">
        <v>3333</v>
      </c>
      <c r="G121" t="s">
        <v>3334</v>
      </c>
      <c r="H121" t="s">
        <v>3334</v>
      </c>
      <c r="I121">
        <v>17079</v>
      </c>
      <c r="J121" t="s">
        <v>3335</v>
      </c>
      <c r="K121" t="s">
        <v>3335</v>
      </c>
      <c r="L121" t="s">
        <v>2804</v>
      </c>
      <c r="M121" t="s">
        <v>2805</v>
      </c>
      <c r="N121">
        <v>54363</v>
      </c>
      <c r="O121">
        <v>45500</v>
      </c>
      <c r="P121">
        <v>1</v>
      </c>
      <c r="Q121">
        <v>0</v>
      </c>
      <c r="S121">
        <v>143790</v>
      </c>
      <c r="T121" t="s">
        <v>3336</v>
      </c>
      <c r="U121" t="s">
        <v>2807</v>
      </c>
      <c r="W121">
        <v>0</v>
      </c>
      <c r="X121">
        <v>45500</v>
      </c>
      <c r="Y121">
        <v>41363.636363636302</v>
      </c>
      <c r="Z121" s="26">
        <v>46058</v>
      </c>
    </row>
    <row r="122" spans="1:26" x14ac:dyDescent="0.3">
      <c r="A122" s="50">
        <v>46058.332430555558</v>
      </c>
      <c r="B122">
        <v>2.0260205075816801E+18</v>
      </c>
      <c r="C122" t="s">
        <v>3337</v>
      </c>
      <c r="D122" t="s">
        <v>3338</v>
      </c>
      <c r="E122" t="s">
        <v>3338</v>
      </c>
      <c r="F122" t="s">
        <v>3337</v>
      </c>
      <c r="G122" t="s">
        <v>3338</v>
      </c>
      <c r="H122" t="s">
        <v>3338</v>
      </c>
      <c r="I122">
        <v>1752</v>
      </c>
      <c r="J122" t="s">
        <v>3339</v>
      </c>
      <c r="K122" t="s">
        <v>3339</v>
      </c>
      <c r="L122" t="s">
        <v>2804</v>
      </c>
      <c r="M122" t="s">
        <v>2805</v>
      </c>
      <c r="N122">
        <v>54363</v>
      </c>
      <c r="O122">
        <v>45500</v>
      </c>
      <c r="P122">
        <v>1</v>
      </c>
      <c r="Q122">
        <v>0</v>
      </c>
      <c r="S122">
        <v>143790</v>
      </c>
      <c r="T122" t="s">
        <v>3340</v>
      </c>
      <c r="U122" t="s">
        <v>2807</v>
      </c>
      <c r="W122">
        <v>0</v>
      </c>
      <c r="X122">
        <v>45500</v>
      </c>
      <c r="Y122">
        <v>41363.636363636302</v>
      </c>
      <c r="Z122" s="26">
        <v>46058</v>
      </c>
    </row>
    <row r="123" spans="1:26" x14ac:dyDescent="0.3">
      <c r="A123" s="50">
        <v>46058.332233796296</v>
      </c>
      <c r="B123">
        <v>2.0260205075549701E+18</v>
      </c>
      <c r="C123" t="s">
        <v>3245</v>
      </c>
      <c r="D123" t="s">
        <v>3246</v>
      </c>
      <c r="E123" t="s">
        <v>3246</v>
      </c>
      <c r="F123" t="s">
        <v>3341</v>
      </c>
      <c r="G123" t="s">
        <v>3342</v>
      </c>
      <c r="H123" t="s">
        <v>3342</v>
      </c>
      <c r="I123">
        <v>35377</v>
      </c>
      <c r="J123" t="s">
        <v>3343</v>
      </c>
      <c r="K123" t="s">
        <v>3343</v>
      </c>
      <c r="L123" t="s">
        <v>2804</v>
      </c>
      <c r="M123" t="s">
        <v>2805</v>
      </c>
      <c r="N123">
        <v>54363</v>
      </c>
      <c r="O123">
        <v>45500</v>
      </c>
      <c r="P123">
        <v>1</v>
      </c>
      <c r="Q123">
        <v>0</v>
      </c>
      <c r="R123" t="s">
        <v>3250</v>
      </c>
      <c r="S123">
        <v>143790</v>
      </c>
      <c r="T123" t="s">
        <v>3344</v>
      </c>
      <c r="U123" t="s">
        <v>2807</v>
      </c>
      <c r="W123">
        <v>0</v>
      </c>
      <c r="X123">
        <v>45500</v>
      </c>
      <c r="Y123">
        <v>41363.636363636302</v>
      </c>
      <c r="Z123" s="26">
        <v>46058</v>
      </c>
    </row>
    <row r="124" spans="1:26" x14ac:dyDescent="0.3">
      <c r="A124" s="50">
        <v>46058.332199074073</v>
      </c>
      <c r="B124">
        <v>2.0260205075636401E+18</v>
      </c>
      <c r="C124" t="s">
        <v>3345</v>
      </c>
      <c r="D124" t="s">
        <v>3346</v>
      </c>
      <c r="E124" t="s">
        <v>3346</v>
      </c>
      <c r="F124" t="s">
        <v>3345</v>
      </c>
      <c r="G124" t="s">
        <v>3346</v>
      </c>
      <c r="H124" t="s">
        <v>3346</v>
      </c>
      <c r="I124">
        <v>11744</v>
      </c>
      <c r="J124" t="s">
        <v>3347</v>
      </c>
      <c r="K124" t="s">
        <v>3347</v>
      </c>
      <c r="L124" t="s">
        <v>2804</v>
      </c>
      <c r="M124" t="s">
        <v>2805</v>
      </c>
      <c r="N124">
        <v>54363</v>
      </c>
      <c r="O124">
        <v>45500</v>
      </c>
      <c r="P124">
        <v>1</v>
      </c>
      <c r="Q124">
        <v>0</v>
      </c>
      <c r="S124">
        <v>143790</v>
      </c>
      <c r="T124" t="s">
        <v>3348</v>
      </c>
      <c r="U124" t="s">
        <v>2807</v>
      </c>
      <c r="W124">
        <v>0</v>
      </c>
      <c r="X124">
        <v>45500</v>
      </c>
      <c r="Y124">
        <v>41363.636363636302</v>
      </c>
      <c r="Z124" s="26">
        <v>46058</v>
      </c>
    </row>
    <row r="125" spans="1:26" x14ac:dyDescent="0.3">
      <c r="A125" s="50">
        <v>46058.332187499997</v>
      </c>
      <c r="B125">
        <v>2.02602050756433E+18</v>
      </c>
      <c r="C125" t="s">
        <v>3349</v>
      </c>
      <c r="D125" t="s">
        <v>3350</v>
      </c>
      <c r="E125" t="s">
        <v>3350</v>
      </c>
      <c r="F125" t="s">
        <v>3349</v>
      </c>
      <c r="G125" t="s">
        <v>3350</v>
      </c>
      <c r="H125" t="s">
        <v>3350</v>
      </c>
      <c r="I125">
        <v>13260</v>
      </c>
      <c r="J125" t="s">
        <v>3351</v>
      </c>
      <c r="K125" t="s">
        <v>3351</v>
      </c>
      <c r="L125" t="s">
        <v>2804</v>
      </c>
      <c r="M125" t="s">
        <v>2805</v>
      </c>
      <c r="N125">
        <v>54363</v>
      </c>
      <c r="O125">
        <v>45500</v>
      </c>
      <c r="P125">
        <v>1</v>
      </c>
      <c r="Q125">
        <v>0</v>
      </c>
      <c r="S125">
        <v>143790</v>
      </c>
      <c r="T125" t="s">
        <v>3352</v>
      </c>
      <c r="U125" t="s">
        <v>2807</v>
      </c>
      <c r="W125">
        <v>0</v>
      </c>
      <c r="X125">
        <v>45500</v>
      </c>
      <c r="Y125">
        <v>41363.636363636302</v>
      </c>
      <c r="Z125" s="26">
        <v>46058</v>
      </c>
    </row>
    <row r="126" spans="1:26" x14ac:dyDescent="0.3">
      <c r="A126" s="50">
        <v>46058.332083333335</v>
      </c>
      <c r="B126">
        <v>2.0260205075626099E+18</v>
      </c>
      <c r="C126" t="s">
        <v>3353</v>
      </c>
      <c r="D126" t="s">
        <v>3354</v>
      </c>
      <c r="E126" t="s">
        <v>3354</v>
      </c>
      <c r="F126" t="s">
        <v>3353</v>
      </c>
      <c r="G126" t="s">
        <v>3354</v>
      </c>
      <c r="H126" t="s">
        <v>3354</v>
      </c>
      <c r="I126">
        <v>28123</v>
      </c>
      <c r="J126" t="s">
        <v>3355</v>
      </c>
      <c r="K126" t="s">
        <v>3355</v>
      </c>
      <c r="L126" t="s">
        <v>2804</v>
      </c>
      <c r="M126" t="s">
        <v>2805</v>
      </c>
      <c r="N126">
        <v>54363</v>
      </c>
      <c r="O126">
        <v>45500</v>
      </c>
      <c r="P126">
        <v>1</v>
      </c>
      <c r="Q126">
        <v>0</v>
      </c>
      <c r="S126">
        <v>143790</v>
      </c>
      <c r="T126" t="s">
        <v>3356</v>
      </c>
      <c r="U126" t="s">
        <v>2807</v>
      </c>
      <c r="W126">
        <v>0</v>
      </c>
      <c r="X126">
        <v>45500</v>
      </c>
      <c r="Y126">
        <v>41363.636363636302</v>
      </c>
      <c r="Z126" s="26">
        <v>46058</v>
      </c>
    </row>
    <row r="127" spans="1:26" x14ac:dyDescent="0.3">
      <c r="A127" s="50">
        <v>46058.332071759258</v>
      </c>
      <c r="B127">
        <v>2.02602050757437E+18</v>
      </c>
      <c r="C127" t="s">
        <v>3357</v>
      </c>
      <c r="D127" t="s">
        <v>3358</v>
      </c>
      <c r="E127" t="s">
        <v>3358</v>
      </c>
      <c r="F127" t="s">
        <v>3357</v>
      </c>
      <c r="G127" t="s">
        <v>3358</v>
      </c>
      <c r="H127" t="s">
        <v>3358</v>
      </c>
      <c r="I127">
        <v>42637</v>
      </c>
      <c r="J127" t="s">
        <v>3359</v>
      </c>
      <c r="K127" t="s">
        <v>3359</v>
      </c>
      <c r="L127" t="s">
        <v>2804</v>
      </c>
      <c r="M127" t="s">
        <v>2805</v>
      </c>
      <c r="N127">
        <v>108726</v>
      </c>
      <c r="O127">
        <v>45500</v>
      </c>
      <c r="P127">
        <v>2</v>
      </c>
      <c r="Q127">
        <v>0</v>
      </c>
      <c r="S127">
        <v>143790</v>
      </c>
      <c r="T127" t="s">
        <v>3360</v>
      </c>
      <c r="U127" t="s">
        <v>2807</v>
      </c>
      <c r="W127">
        <v>0</v>
      </c>
      <c r="X127">
        <v>91000</v>
      </c>
      <c r="Y127">
        <v>82727.272727272706</v>
      </c>
      <c r="Z127" s="26">
        <v>46058</v>
      </c>
    </row>
    <row r="128" spans="1:26" x14ac:dyDescent="0.3">
      <c r="A128" s="50">
        <v>46058.331863425927</v>
      </c>
      <c r="B128">
        <v>2.0260205075616399E+18</v>
      </c>
      <c r="C128" t="s">
        <v>3361</v>
      </c>
      <c r="D128" t="s">
        <v>3362</v>
      </c>
      <c r="E128" t="s">
        <v>3362</v>
      </c>
      <c r="F128" t="s">
        <v>3361</v>
      </c>
      <c r="G128" t="s">
        <v>3362</v>
      </c>
      <c r="H128" t="s">
        <v>3362</v>
      </c>
      <c r="I128">
        <v>21321</v>
      </c>
      <c r="J128" t="s">
        <v>3363</v>
      </c>
      <c r="K128" t="s">
        <v>3363</v>
      </c>
      <c r="L128" t="s">
        <v>2804</v>
      </c>
      <c r="M128" t="s">
        <v>2805</v>
      </c>
      <c r="N128">
        <v>54363</v>
      </c>
      <c r="O128">
        <v>45500</v>
      </c>
      <c r="P128">
        <v>1</v>
      </c>
      <c r="Q128">
        <v>0</v>
      </c>
      <c r="R128" t="s">
        <v>3364</v>
      </c>
      <c r="S128">
        <v>143790</v>
      </c>
      <c r="T128" t="s">
        <v>3365</v>
      </c>
      <c r="U128" t="s">
        <v>2807</v>
      </c>
      <c r="W128">
        <v>0</v>
      </c>
      <c r="X128">
        <v>45500</v>
      </c>
      <c r="Y128">
        <v>41363.636363636302</v>
      </c>
      <c r="Z128" s="26">
        <v>46058</v>
      </c>
    </row>
    <row r="129" spans="1:26" x14ac:dyDescent="0.3">
      <c r="A129" s="50">
        <v>46058.331793981481</v>
      </c>
      <c r="B129">
        <v>2.0260205075559199E+18</v>
      </c>
      <c r="C129" t="s">
        <v>3366</v>
      </c>
      <c r="D129" t="s">
        <v>3367</v>
      </c>
      <c r="E129" t="s">
        <v>3367</v>
      </c>
      <c r="F129" t="s">
        <v>3368</v>
      </c>
      <c r="G129" t="s">
        <v>3367</v>
      </c>
      <c r="H129" t="s">
        <v>3367</v>
      </c>
      <c r="I129">
        <v>3320</v>
      </c>
      <c r="J129" t="s">
        <v>3369</v>
      </c>
      <c r="K129" t="s">
        <v>3369</v>
      </c>
      <c r="L129" t="s">
        <v>2804</v>
      </c>
      <c r="M129" t="s">
        <v>2805</v>
      </c>
      <c r="N129">
        <v>54363</v>
      </c>
      <c r="O129">
        <v>45500</v>
      </c>
      <c r="P129">
        <v>1</v>
      </c>
      <c r="Q129">
        <v>0</v>
      </c>
      <c r="R129" t="s">
        <v>3370</v>
      </c>
      <c r="S129">
        <v>143790</v>
      </c>
      <c r="T129" t="s">
        <v>3371</v>
      </c>
      <c r="U129" t="s">
        <v>2807</v>
      </c>
      <c r="W129">
        <v>0</v>
      </c>
      <c r="X129">
        <v>45500</v>
      </c>
      <c r="Y129">
        <v>41363.636363636302</v>
      </c>
      <c r="Z129" s="26">
        <v>46058</v>
      </c>
    </row>
    <row r="130" spans="1:26" x14ac:dyDescent="0.3">
      <c r="A130" s="50">
        <v>46058.331724537034</v>
      </c>
      <c r="B130">
        <v>2.02602050757123E+18</v>
      </c>
      <c r="C130" t="s">
        <v>3372</v>
      </c>
      <c r="D130" t="s">
        <v>3373</v>
      </c>
      <c r="E130" t="s">
        <v>3373</v>
      </c>
      <c r="F130" t="s">
        <v>3372</v>
      </c>
      <c r="G130" t="s">
        <v>3373</v>
      </c>
      <c r="H130" t="s">
        <v>3373</v>
      </c>
      <c r="I130">
        <v>27502</v>
      </c>
      <c r="J130" t="s">
        <v>3374</v>
      </c>
      <c r="K130" t="s">
        <v>3374</v>
      </c>
      <c r="L130" t="s">
        <v>2804</v>
      </c>
      <c r="M130" t="s">
        <v>2805</v>
      </c>
      <c r="N130">
        <v>54363</v>
      </c>
      <c r="O130">
        <v>45500</v>
      </c>
      <c r="P130">
        <v>1</v>
      </c>
      <c r="Q130">
        <v>0</v>
      </c>
      <c r="S130">
        <v>143790</v>
      </c>
      <c r="T130" t="s">
        <v>3375</v>
      </c>
      <c r="U130" t="s">
        <v>2807</v>
      </c>
      <c r="W130">
        <v>0</v>
      </c>
      <c r="X130">
        <v>45500</v>
      </c>
      <c r="Y130">
        <v>41363.636363636302</v>
      </c>
      <c r="Z130" s="26">
        <v>46058</v>
      </c>
    </row>
    <row r="131" spans="1:26" x14ac:dyDescent="0.3">
      <c r="A131" s="50">
        <v>46058.331678240742</v>
      </c>
      <c r="B131">
        <v>2.02602050756355E+18</v>
      </c>
      <c r="C131" t="s">
        <v>3376</v>
      </c>
      <c r="D131" t="s">
        <v>3377</v>
      </c>
      <c r="E131" t="s">
        <v>3377</v>
      </c>
      <c r="F131" t="s">
        <v>3376</v>
      </c>
      <c r="G131" t="s">
        <v>3377</v>
      </c>
      <c r="H131" t="s">
        <v>3377</v>
      </c>
      <c r="I131">
        <v>31161</v>
      </c>
      <c r="J131" t="s">
        <v>3378</v>
      </c>
      <c r="K131" t="s">
        <v>3378</v>
      </c>
      <c r="L131" t="s">
        <v>2804</v>
      </c>
      <c r="M131" t="s">
        <v>2805</v>
      </c>
      <c r="N131">
        <v>54363</v>
      </c>
      <c r="O131">
        <v>45500</v>
      </c>
      <c r="P131">
        <v>1</v>
      </c>
      <c r="Q131">
        <v>0</v>
      </c>
      <c r="S131">
        <v>143790</v>
      </c>
      <c r="T131" t="s">
        <v>3379</v>
      </c>
      <c r="U131" t="s">
        <v>2807</v>
      </c>
      <c r="W131">
        <v>0</v>
      </c>
      <c r="X131">
        <v>45500</v>
      </c>
      <c r="Y131">
        <v>41363.636363636302</v>
      </c>
      <c r="Z131" s="26">
        <v>46058</v>
      </c>
    </row>
    <row r="132" spans="1:26" x14ac:dyDescent="0.3">
      <c r="A132" s="50">
        <v>46058.331643518519</v>
      </c>
      <c r="B132">
        <v>2.0260205075546701E+18</v>
      </c>
      <c r="C132" t="s">
        <v>3380</v>
      </c>
      <c r="D132" t="s">
        <v>3381</v>
      </c>
      <c r="E132" t="s">
        <v>3381</v>
      </c>
      <c r="F132" t="s">
        <v>3380</v>
      </c>
      <c r="G132" t="s">
        <v>3381</v>
      </c>
      <c r="H132" t="s">
        <v>3381</v>
      </c>
      <c r="I132">
        <v>13914</v>
      </c>
      <c r="J132" t="s">
        <v>3382</v>
      </c>
      <c r="K132" t="s">
        <v>3382</v>
      </c>
      <c r="L132" t="s">
        <v>2804</v>
      </c>
      <c r="M132" t="s">
        <v>2805</v>
      </c>
      <c r="N132">
        <v>54363</v>
      </c>
      <c r="O132">
        <v>45500</v>
      </c>
      <c r="P132">
        <v>1</v>
      </c>
      <c r="Q132">
        <v>0</v>
      </c>
      <c r="R132" t="s">
        <v>3383</v>
      </c>
      <c r="S132">
        <v>143790</v>
      </c>
      <c r="T132" t="s">
        <v>3384</v>
      </c>
      <c r="U132" t="s">
        <v>2807</v>
      </c>
      <c r="W132">
        <v>0</v>
      </c>
      <c r="X132">
        <v>45500</v>
      </c>
      <c r="Y132">
        <v>41363.636363636302</v>
      </c>
      <c r="Z132" s="26">
        <v>46058</v>
      </c>
    </row>
    <row r="133" spans="1:26" x14ac:dyDescent="0.3">
      <c r="A133" s="50">
        <v>46058.331574074073</v>
      </c>
      <c r="B133">
        <v>2.0260205075626199E+18</v>
      </c>
      <c r="C133" t="s">
        <v>3385</v>
      </c>
      <c r="D133" t="s">
        <v>3386</v>
      </c>
      <c r="E133" t="s">
        <v>3386</v>
      </c>
      <c r="F133" t="s">
        <v>3385</v>
      </c>
      <c r="G133" t="s">
        <v>3386</v>
      </c>
      <c r="H133" t="s">
        <v>3386</v>
      </c>
      <c r="I133">
        <v>14039</v>
      </c>
      <c r="J133" t="s">
        <v>3387</v>
      </c>
      <c r="K133" t="s">
        <v>3387</v>
      </c>
      <c r="L133" t="s">
        <v>2804</v>
      </c>
      <c r="M133" t="s">
        <v>2805</v>
      </c>
      <c r="N133">
        <v>54363</v>
      </c>
      <c r="O133">
        <v>45500</v>
      </c>
      <c r="P133">
        <v>1</v>
      </c>
      <c r="Q133">
        <v>0</v>
      </c>
      <c r="S133">
        <v>143790</v>
      </c>
      <c r="T133" t="s">
        <v>3388</v>
      </c>
      <c r="U133" t="s">
        <v>2807</v>
      </c>
      <c r="W133">
        <v>0</v>
      </c>
      <c r="X133">
        <v>45500</v>
      </c>
      <c r="Y133">
        <v>41363.636363636302</v>
      </c>
      <c r="Z133" s="26">
        <v>46058</v>
      </c>
    </row>
    <row r="134" spans="1:26" x14ac:dyDescent="0.3">
      <c r="A134" s="50">
        <v>46058.331562500003</v>
      </c>
      <c r="B134">
        <v>2.02602050755297E+18</v>
      </c>
      <c r="C134" t="s">
        <v>3389</v>
      </c>
      <c r="D134" t="s">
        <v>3390</v>
      </c>
      <c r="E134" t="s">
        <v>3390</v>
      </c>
      <c r="F134" t="s">
        <v>3389</v>
      </c>
      <c r="G134" t="s">
        <v>3390</v>
      </c>
      <c r="H134" t="s">
        <v>3390</v>
      </c>
      <c r="I134">
        <v>31564</v>
      </c>
      <c r="J134" t="s">
        <v>3391</v>
      </c>
      <c r="K134" t="s">
        <v>3391</v>
      </c>
      <c r="L134" t="s">
        <v>2804</v>
      </c>
      <c r="M134" t="s">
        <v>2805</v>
      </c>
      <c r="N134">
        <v>108726</v>
      </c>
      <c r="O134">
        <v>45500</v>
      </c>
      <c r="P134">
        <v>2</v>
      </c>
      <c r="Q134">
        <v>0</v>
      </c>
      <c r="S134">
        <v>143790</v>
      </c>
      <c r="T134" t="s">
        <v>3392</v>
      </c>
      <c r="U134" t="s">
        <v>2807</v>
      </c>
      <c r="W134">
        <v>0</v>
      </c>
      <c r="X134">
        <v>91000</v>
      </c>
      <c r="Y134">
        <v>82727.272727272706</v>
      </c>
      <c r="Z134" s="26">
        <v>46058</v>
      </c>
    </row>
    <row r="135" spans="1:26" x14ac:dyDescent="0.3">
      <c r="A135" s="50">
        <v>46058.331400462965</v>
      </c>
      <c r="B135">
        <v>2.0260205075556201E+18</v>
      </c>
      <c r="C135" t="s">
        <v>3393</v>
      </c>
      <c r="D135" t="s">
        <v>3394</v>
      </c>
      <c r="E135" t="s">
        <v>3394</v>
      </c>
      <c r="F135" t="s">
        <v>3393</v>
      </c>
      <c r="G135" t="s">
        <v>3394</v>
      </c>
      <c r="H135" t="s">
        <v>3394</v>
      </c>
      <c r="I135">
        <v>18237</v>
      </c>
      <c r="J135" t="s">
        <v>3395</v>
      </c>
      <c r="K135" t="s">
        <v>3395</v>
      </c>
      <c r="L135" t="s">
        <v>2804</v>
      </c>
      <c r="M135" t="s">
        <v>2805</v>
      </c>
      <c r="N135">
        <v>217452</v>
      </c>
      <c r="O135">
        <v>45500</v>
      </c>
      <c r="P135">
        <v>4</v>
      </c>
      <c r="Q135">
        <v>0</v>
      </c>
      <c r="S135">
        <v>143790</v>
      </c>
      <c r="T135" t="s">
        <v>3396</v>
      </c>
      <c r="U135" t="s">
        <v>2807</v>
      </c>
      <c r="W135">
        <v>0</v>
      </c>
      <c r="X135">
        <v>182000</v>
      </c>
      <c r="Y135">
        <v>165454.545454545</v>
      </c>
      <c r="Z135" s="26">
        <v>46058</v>
      </c>
    </row>
    <row r="136" spans="1:26" x14ac:dyDescent="0.3">
      <c r="A136" s="50">
        <v>46058.331319444442</v>
      </c>
      <c r="B136">
        <v>2.0260205075624399E+18</v>
      </c>
      <c r="C136" t="s">
        <v>3397</v>
      </c>
      <c r="D136" t="s">
        <v>3398</v>
      </c>
      <c r="E136" t="s">
        <v>3398</v>
      </c>
      <c r="F136" t="s">
        <v>3397</v>
      </c>
      <c r="G136" t="s">
        <v>3398</v>
      </c>
      <c r="H136" t="s">
        <v>3398</v>
      </c>
      <c r="I136">
        <v>13571</v>
      </c>
      <c r="J136" t="s">
        <v>3399</v>
      </c>
      <c r="K136" t="s">
        <v>3399</v>
      </c>
      <c r="L136" t="s">
        <v>2804</v>
      </c>
      <c r="M136" t="s">
        <v>2805</v>
      </c>
      <c r="N136">
        <v>163089</v>
      </c>
      <c r="O136">
        <v>45500</v>
      </c>
      <c r="P136">
        <v>3</v>
      </c>
      <c r="Q136">
        <v>0</v>
      </c>
      <c r="S136">
        <v>143790</v>
      </c>
      <c r="T136" t="s">
        <v>3400</v>
      </c>
      <c r="U136" t="s">
        <v>2807</v>
      </c>
      <c r="W136">
        <v>0</v>
      </c>
      <c r="X136">
        <v>136500</v>
      </c>
      <c r="Y136">
        <v>124090.909090909</v>
      </c>
      <c r="Z136" s="26">
        <v>46058</v>
      </c>
    </row>
    <row r="137" spans="1:26" x14ac:dyDescent="0.3">
      <c r="A137" s="50">
        <v>46058.331319444442</v>
      </c>
      <c r="B137">
        <v>2.02602050756339E+18</v>
      </c>
      <c r="C137" t="s">
        <v>3401</v>
      </c>
      <c r="D137" t="s">
        <v>3402</v>
      </c>
      <c r="E137" t="s">
        <v>3402</v>
      </c>
      <c r="F137" t="s">
        <v>3401</v>
      </c>
      <c r="G137" t="s">
        <v>3402</v>
      </c>
      <c r="H137" t="s">
        <v>3402</v>
      </c>
      <c r="I137">
        <v>16686</v>
      </c>
      <c r="J137" t="s">
        <v>3403</v>
      </c>
      <c r="K137" t="s">
        <v>3403</v>
      </c>
      <c r="L137" t="s">
        <v>2804</v>
      </c>
      <c r="M137" t="s">
        <v>2805</v>
      </c>
      <c r="N137">
        <v>54363</v>
      </c>
      <c r="O137">
        <v>45500</v>
      </c>
      <c r="P137">
        <v>1</v>
      </c>
      <c r="Q137">
        <v>0</v>
      </c>
      <c r="S137">
        <v>143790</v>
      </c>
      <c r="T137" t="s">
        <v>3404</v>
      </c>
      <c r="U137" t="s">
        <v>2807</v>
      </c>
      <c r="W137">
        <v>0</v>
      </c>
      <c r="X137">
        <v>45500</v>
      </c>
      <c r="Y137">
        <v>41363.636363636302</v>
      </c>
      <c r="Z137" s="26">
        <v>46058</v>
      </c>
    </row>
    <row r="138" spans="1:26" x14ac:dyDescent="0.3">
      <c r="A138" s="50">
        <v>46058.331273148149</v>
      </c>
      <c r="B138">
        <v>2.02602050756192E+18</v>
      </c>
      <c r="C138" t="s">
        <v>3405</v>
      </c>
      <c r="D138" t="s">
        <v>3406</v>
      </c>
      <c r="E138" t="s">
        <v>3406</v>
      </c>
      <c r="F138" t="s">
        <v>3405</v>
      </c>
      <c r="G138" t="s">
        <v>3406</v>
      </c>
      <c r="H138" t="s">
        <v>3406</v>
      </c>
      <c r="I138">
        <v>31528</v>
      </c>
      <c r="J138" t="s">
        <v>3407</v>
      </c>
      <c r="K138" t="s">
        <v>3407</v>
      </c>
      <c r="L138" t="s">
        <v>2804</v>
      </c>
      <c r="M138" t="s">
        <v>2805</v>
      </c>
      <c r="N138">
        <v>54363</v>
      </c>
      <c r="O138">
        <v>45500</v>
      </c>
      <c r="P138">
        <v>1</v>
      </c>
      <c r="Q138">
        <v>0</v>
      </c>
      <c r="S138">
        <v>143790</v>
      </c>
      <c r="T138" t="s">
        <v>3408</v>
      </c>
      <c r="U138" t="s">
        <v>2807</v>
      </c>
      <c r="W138">
        <v>0</v>
      </c>
      <c r="X138">
        <v>45500</v>
      </c>
      <c r="Y138">
        <v>41363.636363636302</v>
      </c>
      <c r="Z138" s="26">
        <v>46058</v>
      </c>
    </row>
    <row r="139" spans="1:26" x14ac:dyDescent="0.3">
      <c r="A139" s="50">
        <v>46058.33121527778</v>
      </c>
      <c r="B139">
        <v>2.0260205075522501E+18</v>
      </c>
      <c r="C139" t="s">
        <v>3409</v>
      </c>
      <c r="D139" t="s">
        <v>3410</v>
      </c>
      <c r="E139" t="s">
        <v>3410</v>
      </c>
      <c r="F139" t="s">
        <v>3409</v>
      </c>
      <c r="G139" t="s">
        <v>3410</v>
      </c>
      <c r="H139" t="s">
        <v>3410</v>
      </c>
      <c r="I139">
        <v>31165</v>
      </c>
      <c r="J139" t="s">
        <v>3411</v>
      </c>
      <c r="K139" t="s">
        <v>3411</v>
      </c>
      <c r="L139" t="s">
        <v>2804</v>
      </c>
      <c r="M139" t="s">
        <v>2805</v>
      </c>
      <c r="N139">
        <v>54363</v>
      </c>
      <c r="O139">
        <v>45500</v>
      </c>
      <c r="P139">
        <v>1</v>
      </c>
      <c r="Q139">
        <v>0</v>
      </c>
      <c r="S139">
        <v>143790</v>
      </c>
      <c r="T139" t="s">
        <v>3412</v>
      </c>
      <c r="U139" t="s">
        <v>2807</v>
      </c>
      <c r="W139">
        <v>0</v>
      </c>
      <c r="X139">
        <v>45500</v>
      </c>
      <c r="Y139">
        <v>41363.636363636302</v>
      </c>
      <c r="Z139" s="26">
        <v>46058</v>
      </c>
    </row>
    <row r="140" spans="1:26" x14ac:dyDescent="0.3">
      <c r="A140" s="50">
        <v>46058.331192129626</v>
      </c>
      <c r="B140">
        <v>2.02602050754302E+18</v>
      </c>
      <c r="C140" t="s">
        <v>3413</v>
      </c>
      <c r="D140" t="s">
        <v>3414</v>
      </c>
      <c r="E140" t="s">
        <v>3414</v>
      </c>
      <c r="F140" t="s">
        <v>3413</v>
      </c>
      <c r="G140" t="s">
        <v>3414</v>
      </c>
      <c r="H140" t="s">
        <v>3414</v>
      </c>
      <c r="I140">
        <v>34023</v>
      </c>
      <c r="J140" t="s">
        <v>3415</v>
      </c>
      <c r="K140" t="s">
        <v>3415</v>
      </c>
      <c r="L140" t="s">
        <v>2804</v>
      </c>
      <c r="M140" t="s">
        <v>2805</v>
      </c>
      <c r="N140">
        <v>54363</v>
      </c>
      <c r="O140">
        <v>45500</v>
      </c>
      <c r="P140">
        <v>1</v>
      </c>
      <c r="Q140">
        <v>0</v>
      </c>
      <c r="S140">
        <v>143790</v>
      </c>
      <c r="T140" t="s">
        <v>3416</v>
      </c>
      <c r="U140" t="s">
        <v>2807</v>
      </c>
      <c r="W140">
        <v>0</v>
      </c>
      <c r="X140">
        <v>45500</v>
      </c>
      <c r="Y140">
        <v>41363.636363636302</v>
      </c>
      <c r="Z140" s="26">
        <v>46058</v>
      </c>
    </row>
    <row r="141" spans="1:26" x14ac:dyDescent="0.3">
      <c r="A141" s="50">
        <v>46058.331134259257</v>
      </c>
      <c r="B141">
        <v>2.0260205075541901E+18</v>
      </c>
      <c r="C141" t="s">
        <v>3417</v>
      </c>
      <c r="D141" t="s">
        <v>3418</v>
      </c>
      <c r="E141" t="s">
        <v>3418</v>
      </c>
      <c r="F141" t="s">
        <v>3417</v>
      </c>
      <c r="G141" t="s">
        <v>3418</v>
      </c>
      <c r="H141" t="s">
        <v>3418</v>
      </c>
      <c r="I141">
        <v>46526</v>
      </c>
      <c r="J141" t="s">
        <v>3419</v>
      </c>
      <c r="K141" t="s">
        <v>3419</v>
      </c>
      <c r="L141" t="s">
        <v>2804</v>
      </c>
      <c r="M141" t="s">
        <v>2805</v>
      </c>
      <c r="N141">
        <v>54363</v>
      </c>
      <c r="O141">
        <v>45500</v>
      </c>
      <c r="P141">
        <v>1</v>
      </c>
      <c r="Q141">
        <v>0</v>
      </c>
      <c r="S141">
        <v>143790</v>
      </c>
      <c r="T141" t="s">
        <v>3420</v>
      </c>
      <c r="U141" t="s">
        <v>2807</v>
      </c>
      <c r="W141">
        <v>0</v>
      </c>
      <c r="X141">
        <v>45500</v>
      </c>
      <c r="Y141">
        <v>41363.636363636302</v>
      </c>
      <c r="Z141" s="26">
        <v>46058</v>
      </c>
    </row>
    <row r="142" spans="1:26" x14ac:dyDescent="0.3">
      <c r="A142" s="50">
        <v>46058.331122685187</v>
      </c>
      <c r="B142">
        <v>2.0260205075630999E+18</v>
      </c>
      <c r="C142" t="s">
        <v>3421</v>
      </c>
      <c r="D142" t="s">
        <v>3422</v>
      </c>
      <c r="E142" t="s">
        <v>3422</v>
      </c>
      <c r="F142" t="s">
        <v>3421</v>
      </c>
      <c r="G142" t="s">
        <v>3422</v>
      </c>
      <c r="H142" t="s">
        <v>3422</v>
      </c>
      <c r="I142">
        <v>7964</v>
      </c>
      <c r="J142" t="s">
        <v>3423</v>
      </c>
      <c r="K142" t="s">
        <v>3423</v>
      </c>
      <c r="L142" t="s">
        <v>2804</v>
      </c>
      <c r="M142" t="s">
        <v>2805</v>
      </c>
      <c r="N142">
        <v>54363</v>
      </c>
      <c r="O142">
        <v>45500</v>
      </c>
      <c r="P142">
        <v>1</v>
      </c>
      <c r="Q142">
        <v>0</v>
      </c>
      <c r="S142">
        <v>143790</v>
      </c>
      <c r="T142" t="s">
        <v>3424</v>
      </c>
      <c r="U142" t="s">
        <v>2807</v>
      </c>
      <c r="W142">
        <v>0</v>
      </c>
      <c r="X142">
        <v>45500</v>
      </c>
      <c r="Y142">
        <v>41363.636363636302</v>
      </c>
      <c r="Z142" s="26">
        <v>46058</v>
      </c>
    </row>
    <row r="143" spans="1:26" x14ac:dyDescent="0.3">
      <c r="A143" s="50">
        <v>46058.331111111111</v>
      </c>
      <c r="B143">
        <v>2.02602050755311E+18</v>
      </c>
      <c r="C143" t="s">
        <v>3425</v>
      </c>
      <c r="D143" t="s">
        <v>3426</v>
      </c>
      <c r="E143" t="s">
        <v>3426</v>
      </c>
      <c r="F143" t="s">
        <v>3425</v>
      </c>
      <c r="G143" t="s">
        <v>3426</v>
      </c>
      <c r="H143" t="s">
        <v>3426</v>
      </c>
      <c r="I143">
        <v>16916</v>
      </c>
      <c r="J143" t="s">
        <v>3427</v>
      </c>
      <c r="K143" t="s">
        <v>3427</v>
      </c>
      <c r="L143" t="s">
        <v>2804</v>
      </c>
      <c r="M143" t="s">
        <v>2805</v>
      </c>
      <c r="N143">
        <v>54363</v>
      </c>
      <c r="O143">
        <v>45500</v>
      </c>
      <c r="P143">
        <v>1</v>
      </c>
      <c r="Q143">
        <v>0</v>
      </c>
      <c r="S143">
        <v>143790</v>
      </c>
      <c r="T143" t="s">
        <v>3428</v>
      </c>
      <c r="U143" t="s">
        <v>2807</v>
      </c>
      <c r="W143">
        <v>0</v>
      </c>
      <c r="X143">
        <v>45500</v>
      </c>
      <c r="Y143">
        <v>41363.636363636302</v>
      </c>
      <c r="Z143" s="26">
        <v>46058</v>
      </c>
    </row>
    <row r="144" spans="1:26" x14ac:dyDescent="0.3">
      <c r="A144" s="50">
        <v>46058.331087962964</v>
      </c>
      <c r="B144">
        <v>2.0260205075451899E+18</v>
      </c>
      <c r="C144" t="s">
        <v>3429</v>
      </c>
      <c r="D144" t="s">
        <v>3430</v>
      </c>
      <c r="E144" t="s">
        <v>3430</v>
      </c>
      <c r="F144" t="s">
        <v>3429</v>
      </c>
      <c r="G144" t="s">
        <v>3430</v>
      </c>
      <c r="H144" t="s">
        <v>3430</v>
      </c>
      <c r="I144">
        <v>48075</v>
      </c>
      <c r="J144" t="s">
        <v>3431</v>
      </c>
      <c r="K144" t="s">
        <v>3431</v>
      </c>
      <c r="L144" t="s">
        <v>2804</v>
      </c>
      <c r="M144" t="s">
        <v>2805</v>
      </c>
      <c r="N144">
        <v>54363</v>
      </c>
      <c r="O144">
        <v>45500</v>
      </c>
      <c r="P144">
        <v>1</v>
      </c>
      <c r="Q144">
        <v>0</v>
      </c>
      <c r="S144">
        <v>143790</v>
      </c>
      <c r="T144" t="s">
        <v>3432</v>
      </c>
      <c r="U144" t="s">
        <v>2807</v>
      </c>
      <c r="W144">
        <v>0</v>
      </c>
      <c r="X144">
        <v>45500</v>
      </c>
      <c r="Y144">
        <v>41363.636363636302</v>
      </c>
      <c r="Z144" s="26">
        <v>46058</v>
      </c>
    </row>
    <row r="145" spans="1:26" x14ac:dyDescent="0.3">
      <c r="A145" s="50">
        <v>46058.331053240741</v>
      </c>
      <c r="B145">
        <v>2.02602050755535E+18</v>
      </c>
      <c r="C145" t="s">
        <v>3433</v>
      </c>
      <c r="D145" t="s">
        <v>3434</v>
      </c>
      <c r="E145" t="s">
        <v>3434</v>
      </c>
      <c r="F145" t="s">
        <v>3433</v>
      </c>
      <c r="G145" t="s">
        <v>3434</v>
      </c>
      <c r="H145" t="s">
        <v>3434</v>
      </c>
      <c r="I145">
        <v>6025</v>
      </c>
      <c r="J145" t="s">
        <v>3435</v>
      </c>
      <c r="K145" t="s">
        <v>3435</v>
      </c>
      <c r="L145" t="s">
        <v>2804</v>
      </c>
      <c r="M145" t="s">
        <v>2805</v>
      </c>
      <c r="N145">
        <v>108726</v>
      </c>
      <c r="O145">
        <v>45500</v>
      </c>
      <c r="P145">
        <v>2</v>
      </c>
      <c r="Q145">
        <v>0</v>
      </c>
      <c r="S145">
        <v>143790</v>
      </c>
      <c r="T145" t="s">
        <v>3436</v>
      </c>
      <c r="U145" t="s">
        <v>2807</v>
      </c>
      <c r="W145">
        <v>0</v>
      </c>
      <c r="X145">
        <v>91000</v>
      </c>
      <c r="Y145">
        <v>82727.272727272706</v>
      </c>
      <c r="Z145" s="26">
        <v>46058</v>
      </c>
    </row>
    <row r="146" spans="1:26" x14ac:dyDescent="0.3">
      <c r="A146" s="50">
        <v>46058.330347222225</v>
      </c>
      <c r="B146">
        <v>2.0260205075420301E+18</v>
      </c>
      <c r="C146" t="s">
        <v>3437</v>
      </c>
      <c r="D146" t="s">
        <v>3438</v>
      </c>
      <c r="E146" t="s">
        <v>3438</v>
      </c>
      <c r="F146" t="s">
        <v>3437</v>
      </c>
      <c r="G146" t="s">
        <v>3438</v>
      </c>
      <c r="H146" t="s">
        <v>3438</v>
      </c>
      <c r="I146">
        <v>5507</v>
      </c>
      <c r="J146" t="s">
        <v>3439</v>
      </c>
      <c r="K146" t="s">
        <v>3439</v>
      </c>
      <c r="L146" t="s">
        <v>2804</v>
      </c>
      <c r="M146" t="s">
        <v>2805</v>
      </c>
      <c r="N146">
        <v>54363</v>
      </c>
      <c r="O146">
        <v>45500</v>
      </c>
      <c r="P146">
        <v>1</v>
      </c>
      <c r="Q146">
        <v>0</v>
      </c>
      <c r="S146">
        <v>143790</v>
      </c>
      <c r="T146" t="s">
        <v>3440</v>
      </c>
      <c r="U146" t="s">
        <v>2807</v>
      </c>
      <c r="W146">
        <v>0</v>
      </c>
      <c r="X146">
        <v>45500</v>
      </c>
      <c r="Y146">
        <v>41363.636363636302</v>
      </c>
      <c r="Z146" s="26">
        <v>46058</v>
      </c>
    </row>
    <row r="147" spans="1:26" x14ac:dyDescent="0.3">
      <c r="A147" s="50">
        <v>46058.330254629633</v>
      </c>
      <c r="B147">
        <v>2.02602050755038E+18</v>
      </c>
      <c r="C147" t="s">
        <v>3441</v>
      </c>
      <c r="D147" t="s">
        <v>3442</v>
      </c>
      <c r="E147" t="s">
        <v>3442</v>
      </c>
      <c r="F147" t="s">
        <v>3441</v>
      </c>
      <c r="G147" t="s">
        <v>3442</v>
      </c>
      <c r="H147" t="s">
        <v>3442</v>
      </c>
      <c r="I147">
        <v>36633</v>
      </c>
      <c r="J147" t="s">
        <v>3443</v>
      </c>
      <c r="K147" t="s">
        <v>3443</v>
      </c>
      <c r="L147" t="s">
        <v>2804</v>
      </c>
      <c r="M147" t="s">
        <v>2805</v>
      </c>
      <c r="N147">
        <v>54363</v>
      </c>
      <c r="O147">
        <v>45500</v>
      </c>
      <c r="P147">
        <v>1</v>
      </c>
      <c r="Q147">
        <v>0</v>
      </c>
      <c r="S147">
        <v>143790</v>
      </c>
      <c r="T147" t="s">
        <v>3444</v>
      </c>
      <c r="U147" t="s">
        <v>2807</v>
      </c>
      <c r="W147">
        <v>0</v>
      </c>
      <c r="X147">
        <v>45500</v>
      </c>
      <c r="Y147">
        <v>41363.636363636302</v>
      </c>
      <c r="Z147" s="26">
        <v>46058</v>
      </c>
    </row>
    <row r="148" spans="1:26" x14ac:dyDescent="0.3">
      <c r="A148" s="50">
        <v>46058.329976851855</v>
      </c>
      <c r="B148">
        <v>2.02602050754528E+18</v>
      </c>
      <c r="C148" t="s">
        <v>3445</v>
      </c>
      <c r="D148" t="s">
        <v>3446</v>
      </c>
      <c r="E148" t="s">
        <v>3446</v>
      </c>
      <c r="F148" t="s">
        <v>3445</v>
      </c>
      <c r="G148" t="s">
        <v>3446</v>
      </c>
      <c r="H148" t="s">
        <v>3446</v>
      </c>
      <c r="I148">
        <v>4315</v>
      </c>
      <c r="J148" t="s">
        <v>3447</v>
      </c>
      <c r="K148" t="s">
        <v>3447</v>
      </c>
      <c r="L148" t="s">
        <v>2804</v>
      </c>
      <c r="M148" t="s">
        <v>2805</v>
      </c>
      <c r="N148">
        <v>54363</v>
      </c>
      <c r="O148">
        <v>45500</v>
      </c>
      <c r="P148">
        <v>1</v>
      </c>
      <c r="Q148">
        <v>0</v>
      </c>
      <c r="S148">
        <v>143790</v>
      </c>
      <c r="T148" t="s">
        <v>3448</v>
      </c>
      <c r="U148" t="s">
        <v>2807</v>
      </c>
      <c r="W148">
        <v>0</v>
      </c>
      <c r="X148">
        <v>45500</v>
      </c>
      <c r="Y148">
        <v>41363.636363636302</v>
      </c>
      <c r="Z148" s="26">
        <v>46058</v>
      </c>
    </row>
    <row r="149" spans="1:26" x14ac:dyDescent="0.3">
      <c r="A149" s="50">
        <v>46058.329872685186</v>
      </c>
      <c r="B149">
        <v>2.0260205075422001E+18</v>
      </c>
      <c r="C149" t="s">
        <v>3449</v>
      </c>
      <c r="D149" t="s">
        <v>3450</v>
      </c>
      <c r="E149" t="s">
        <v>3450</v>
      </c>
      <c r="F149" t="s">
        <v>3449</v>
      </c>
      <c r="G149" t="s">
        <v>3450</v>
      </c>
      <c r="H149" t="s">
        <v>3450</v>
      </c>
      <c r="I149">
        <v>22868</v>
      </c>
      <c r="J149" t="s">
        <v>3451</v>
      </c>
      <c r="K149" t="s">
        <v>3451</v>
      </c>
      <c r="L149" t="s">
        <v>2804</v>
      </c>
      <c r="M149" t="s">
        <v>2805</v>
      </c>
      <c r="N149">
        <v>54363</v>
      </c>
      <c r="O149">
        <v>45500</v>
      </c>
      <c r="P149">
        <v>1</v>
      </c>
      <c r="Q149">
        <v>0</v>
      </c>
      <c r="S149">
        <v>143790</v>
      </c>
      <c r="T149" t="s">
        <v>3452</v>
      </c>
      <c r="U149" t="s">
        <v>2807</v>
      </c>
      <c r="W149">
        <v>0</v>
      </c>
      <c r="X149">
        <v>45500</v>
      </c>
      <c r="Y149">
        <v>41363.636363636302</v>
      </c>
      <c r="Z149" s="26">
        <v>46058</v>
      </c>
    </row>
    <row r="150" spans="1:26" x14ac:dyDescent="0.3">
      <c r="A150" s="50">
        <v>46058.329618055555</v>
      </c>
      <c r="B150">
        <v>2.02602050754016E+18</v>
      </c>
      <c r="C150" t="s">
        <v>3453</v>
      </c>
      <c r="D150" t="s">
        <v>3454</v>
      </c>
      <c r="E150" t="s">
        <v>3454</v>
      </c>
      <c r="F150" t="s">
        <v>3453</v>
      </c>
      <c r="G150" t="s">
        <v>3454</v>
      </c>
      <c r="H150" t="s">
        <v>3454</v>
      </c>
      <c r="I150">
        <v>47234</v>
      </c>
      <c r="J150" t="s">
        <v>3455</v>
      </c>
      <c r="K150" t="s">
        <v>3455</v>
      </c>
      <c r="L150" t="s">
        <v>2804</v>
      </c>
      <c r="M150" t="s">
        <v>2805</v>
      </c>
      <c r="N150">
        <v>54363</v>
      </c>
      <c r="O150">
        <v>45500</v>
      </c>
      <c r="P150">
        <v>1</v>
      </c>
      <c r="Q150">
        <v>0</v>
      </c>
      <c r="S150">
        <v>143790</v>
      </c>
      <c r="T150" t="s">
        <v>3456</v>
      </c>
      <c r="U150" t="s">
        <v>2807</v>
      </c>
      <c r="W150">
        <v>0</v>
      </c>
      <c r="X150">
        <v>45500</v>
      </c>
      <c r="Y150">
        <v>41363.636363636302</v>
      </c>
      <c r="Z150" s="26">
        <v>46058</v>
      </c>
    </row>
    <row r="151" spans="1:26" x14ac:dyDescent="0.3">
      <c r="A151" s="50">
        <v>46058.329594907409</v>
      </c>
      <c r="B151">
        <v>2.02602050754159E+18</v>
      </c>
      <c r="C151" t="s">
        <v>3457</v>
      </c>
      <c r="D151" t="s">
        <v>3458</v>
      </c>
      <c r="E151" t="s">
        <v>3458</v>
      </c>
      <c r="F151" t="s">
        <v>3457</v>
      </c>
      <c r="G151" t="s">
        <v>3458</v>
      </c>
      <c r="H151" t="s">
        <v>3458</v>
      </c>
      <c r="I151">
        <v>47894</v>
      </c>
      <c r="J151" t="s">
        <v>3459</v>
      </c>
      <c r="K151" t="s">
        <v>3459</v>
      </c>
      <c r="L151" t="s">
        <v>2804</v>
      </c>
      <c r="M151" t="s">
        <v>2805</v>
      </c>
      <c r="N151">
        <v>54363</v>
      </c>
      <c r="O151">
        <v>45500</v>
      </c>
      <c r="P151">
        <v>1</v>
      </c>
      <c r="Q151">
        <v>0</v>
      </c>
      <c r="S151">
        <v>143790</v>
      </c>
      <c r="T151" t="s">
        <v>3460</v>
      </c>
      <c r="U151" t="s">
        <v>2807</v>
      </c>
      <c r="W151">
        <v>0</v>
      </c>
      <c r="X151">
        <v>45500</v>
      </c>
      <c r="Y151">
        <v>41363.636363636302</v>
      </c>
      <c r="Z151" s="26">
        <v>46058</v>
      </c>
    </row>
    <row r="152" spans="1:26" x14ac:dyDescent="0.3">
      <c r="A152" s="50">
        <v>46058.325914351852</v>
      </c>
      <c r="B152">
        <v>2.0260205074431401E+18</v>
      </c>
      <c r="C152" t="s">
        <v>3461</v>
      </c>
      <c r="D152" t="s">
        <v>3462</v>
      </c>
      <c r="E152" t="s">
        <v>3462</v>
      </c>
      <c r="F152" t="s">
        <v>3461</v>
      </c>
      <c r="G152" t="s">
        <v>3463</v>
      </c>
      <c r="H152" t="s">
        <v>3463</v>
      </c>
      <c r="I152">
        <v>44641</v>
      </c>
      <c r="J152" t="s">
        <v>3464</v>
      </c>
      <c r="K152" t="s">
        <v>3464</v>
      </c>
      <c r="L152" t="s">
        <v>2804</v>
      </c>
      <c r="M152" t="s">
        <v>2805</v>
      </c>
      <c r="N152">
        <v>54363</v>
      </c>
      <c r="O152">
        <v>45500</v>
      </c>
      <c r="P152">
        <v>1</v>
      </c>
      <c r="Q152">
        <v>0</v>
      </c>
      <c r="R152" t="s">
        <v>3047</v>
      </c>
      <c r="S152">
        <v>143790</v>
      </c>
      <c r="T152" t="s">
        <v>3465</v>
      </c>
      <c r="U152" t="s">
        <v>2807</v>
      </c>
      <c r="W152">
        <v>0</v>
      </c>
      <c r="X152">
        <v>45500</v>
      </c>
      <c r="Y152">
        <v>41363.636363636302</v>
      </c>
      <c r="Z152" s="26">
        <v>46058</v>
      </c>
    </row>
    <row r="153" spans="1:26" x14ac:dyDescent="0.3">
      <c r="A153" s="50">
        <v>46058.321817129632</v>
      </c>
      <c r="B153">
        <v>2.02602050740414E+18</v>
      </c>
      <c r="C153" t="s">
        <v>3466</v>
      </c>
      <c r="D153" t="s">
        <v>3467</v>
      </c>
      <c r="E153" t="s">
        <v>3467</v>
      </c>
      <c r="F153" t="s">
        <v>3466</v>
      </c>
      <c r="G153" t="s">
        <v>3467</v>
      </c>
      <c r="H153" t="s">
        <v>3467</v>
      </c>
      <c r="I153">
        <v>21378</v>
      </c>
      <c r="J153" t="s">
        <v>3468</v>
      </c>
      <c r="K153" t="s">
        <v>3468</v>
      </c>
      <c r="L153" t="s">
        <v>2804</v>
      </c>
      <c r="M153" t="s">
        <v>2805</v>
      </c>
      <c r="N153">
        <v>54363</v>
      </c>
      <c r="O153">
        <v>45500</v>
      </c>
      <c r="P153">
        <v>1</v>
      </c>
      <c r="Q153">
        <v>0</v>
      </c>
      <c r="S153">
        <v>143790</v>
      </c>
      <c r="T153" t="s">
        <v>3469</v>
      </c>
      <c r="U153" t="s">
        <v>2807</v>
      </c>
      <c r="W153">
        <v>0</v>
      </c>
      <c r="X153">
        <v>45500</v>
      </c>
      <c r="Y153">
        <v>41363.636363636302</v>
      </c>
      <c r="Z153" s="26">
        <v>46058</v>
      </c>
    </row>
    <row r="154" spans="1:26" x14ac:dyDescent="0.3">
      <c r="A154" s="50">
        <v>46058.311562499999</v>
      </c>
      <c r="B154">
        <v>2.0260205072802199E+18</v>
      </c>
      <c r="C154" t="s">
        <v>3470</v>
      </c>
      <c r="D154" t="s">
        <v>3471</v>
      </c>
      <c r="E154" t="s">
        <v>3471</v>
      </c>
      <c r="F154" t="s">
        <v>3470</v>
      </c>
      <c r="G154" t="s">
        <v>3471</v>
      </c>
      <c r="H154" t="s">
        <v>3471</v>
      </c>
      <c r="I154">
        <v>63142</v>
      </c>
      <c r="J154" t="s">
        <v>3472</v>
      </c>
      <c r="K154" t="s">
        <v>3472</v>
      </c>
      <c r="L154" t="s">
        <v>2804</v>
      </c>
      <c r="M154" t="s">
        <v>2805</v>
      </c>
      <c r="N154">
        <v>54363</v>
      </c>
      <c r="O154">
        <v>45500</v>
      </c>
      <c r="P154">
        <v>1</v>
      </c>
      <c r="Q154">
        <v>0</v>
      </c>
      <c r="S154">
        <v>143790</v>
      </c>
      <c r="T154" t="s">
        <v>3473</v>
      </c>
      <c r="U154" t="s">
        <v>2807</v>
      </c>
      <c r="W154">
        <v>0</v>
      </c>
      <c r="X154">
        <v>45500</v>
      </c>
      <c r="Y154">
        <v>41363.636363636302</v>
      </c>
      <c r="Z154" s="26">
        <v>46058</v>
      </c>
    </row>
    <row r="155" spans="1:26" x14ac:dyDescent="0.3">
      <c r="A155" s="50">
        <v>46058.310219907406</v>
      </c>
      <c r="B155">
        <v>2.02602050723347E+18</v>
      </c>
      <c r="C155" t="s">
        <v>3474</v>
      </c>
      <c r="D155" t="s">
        <v>3475</v>
      </c>
      <c r="E155" t="s">
        <v>3475</v>
      </c>
      <c r="F155" t="s">
        <v>3476</v>
      </c>
      <c r="G155" t="s">
        <v>3477</v>
      </c>
      <c r="H155" t="s">
        <v>3477</v>
      </c>
      <c r="I155">
        <v>54619</v>
      </c>
      <c r="J155" t="s">
        <v>3478</v>
      </c>
      <c r="K155" t="s">
        <v>3478</v>
      </c>
      <c r="L155" t="s">
        <v>2804</v>
      </c>
      <c r="M155" t="s">
        <v>2805</v>
      </c>
      <c r="N155">
        <v>54363</v>
      </c>
      <c r="O155">
        <v>45500</v>
      </c>
      <c r="P155">
        <v>1</v>
      </c>
      <c r="Q155">
        <v>0</v>
      </c>
      <c r="S155">
        <v>143790</v>
      </c>
      <c r="T155" t="s">
        <v>3479</v>
      </c>
      <c r="U155" t="s">
        <v>2807</v>
      </c>
      <c r="W155">
        <v>0</v>
      </c>
      <c r="X155">
        <v>45500</v>
      </c>
      <c r="Y155">
        <v>41363.636363636302</v>
      </c>
      <c r="Z155" s="26">
        <v>46058</v>
      </c>
    </row>
    <row r="156" spans="1:26" x14ac:dyDescent="0.3">
      <c r="A156" s="50">
        <v>46058.308020833334</v>
      </c>
      <c r="B156">
        <v>2.0260205072136E+18</v>
      </c>
      <c r="C156" t="s">
        <v>3480</v>
      </c>
      <c r="D156" t="s">
        <v>3481</v>
      </c>
      <c r="E156" t="s">
        <v>3481</v>
      </c>
      <c r="F156" t="s">
        <v>3480</v>
      </c>
      <c r="G156" t="s">
        <v>3481</v>
      </c>
      <c r="H156" t="s">
        <v>3481</v>
      </c>
      <c r="I156">
        <v>15010</v>
      </c>
      <c r="J156" t="s">
        <v>3482</v>
      </c>
      <c r="K156" t="s">
        <v>3482</v>
      </c>
      <c r="L156" t="s">
        <v>2804</v>
      </c>
      <c r="M156" t="s">
        <v>2805</v>
      </c>
      <c r="N156">
        <v>54363</v>
      </c>
      <c r="O156">
        <v>45500</v>
      </c>
      <c r="P156">
        <v>1</v>
      </c>
      <c r="Q156">
        <v>0</v>
      </c>
      <c r="S156">
        <v>143790</v>
      </c>
      <c r="T156" t="s">
        <v>3483</v>
      </c>
      <c r="U156" t="s">
        <v>2807</v>
      </c>
      <c r="W156">
        <v>0</v>
      </c>
      <c r="X156">
        <v>45500</v>
      </c>
      <c r="Y156">
        <v>41363.636363636302</v>
      </c>
      <c r="Z156" s="26">
        <v>46058</v>
      </c>
    </row>
    <row r="157" spans="1:26" x14ac:dyDescent="0.3">
      <c r="A157" s="50">
        <v>46058.307835648149</v>
      </c>
      <c r="B157">
        <v>2.02602050720286E+18</v>
      </c>
      <c r="C157" t="s">
        <v>3484</v>
      </c>
      <c r="D157" t="s">
        <v>3485</v>
      </c>
      <c r="E157" t="s">
        <v>3485</v>
      </c>
      <c r="F157" t="s">
        <v>3484</v>
      </c>
      <c r="G157" t="s">
        <v>3485</v>
      </c>
      <c r="H157" t="s">
        <v>3485</v>
      </c>
      <c r="I157">
        <v>48751</v>
      </c>
      <c r="J157" t="s">
        <v>3486</v>
      </c>
      <c r="K157" t="s">
        <v>3486</v>
      </c>
      <c r="L157" t="s">
        <v>2804</v>
      </c>
      <c r="M157" t="s">
        <v>2805</v>
      </c>
      <c r="N157">
        <v>54363</v>
      </c>
      <c r="O157">
        <v>45500</v>
      </c>
      <c r="P157">
        <v>1</v>
      </c>
      <c r="Q157">
        <v>0</v>
      </c>
      <c r="S157">
        <v>143790</v>
      </c>
      <c r="T157" t="s">
        <v>3487</v>
      </c>
      <c r="U157" t="s">
        <v>2807</v>
      </c>
      <c r="W157">
        <v>0</v>
      </c>
      <c r="X157">
        <v>45500</v>
      </c>
      <c r="Y157">
        <v>41363.636363636302</v>
      </c>
      <c r="Z157" s="26">
        <v>46058</v>
      </c>
    </row>
    <row r="158" spans="1:26" x14ac:dyDescent="0.3">
      <c r="A158" s="50">
        <v>46058.30636574074</v>
      </c>
      <c r="B158">
        <v>2.0260205072022001E+18</v>
      </c>
      <c r="C158" t="s">
        <v>3488</v>
      </c>
      <c r="D158" t="s">
        <v>3489</v>
      </c>
      <c r="E158" t="s">
        <v>3489</v>
      </c>
      <c r="F158" t="s">
        <v>3488</v>
      </c>
      <c r="G158" t="s">
        <v>3489</v>
      </c>
      <c r="H158" t="s">
        <v>3489</v>
      </c>
      <c r="I158">
        <v>12746</v>
      </c>
      <c r="J158" t="s">
        <v>3490</v>
      </c>
      <c r="K158" t="s">
        <v>3490</v>
      </c>
      <c r="L158" t="s">
        <v>2804</v>
      </c>
      <c r="M158" t="s">
        <v>2805</v>
      </c>
      <c r="N158">
        <v>54363</v>
      </c>
      <c r="O158">
        <v>45500</v>
      </c>
      <c r="P158">
        <v>1</v>
      </c>
      <c r="Q158">
        <v>0</v>
      </c>
      <c r="S158">
        <v>143790</v>
      </c>
      <c r="T158" t="s">
        <v>3491</v>
      </c>
      <c r="U158" t="s">
        <v>2807</v>
      </c>
      <c r="W158">
        <v>0</v>
      </c>
      <c r="X158">
        <v>45500</v>
      </c>
      <c r="Y158">
        <v>41363.636363636302</v>
      </c>
      <c r="Z158" s="26">
        <v>46058</v>
      </c>
    </row>
    <row r="159" spans="1:26" x14ac:dyDescent="0.3">
      <c r="A159" s="50">
        <v>46058.305347222224</v>
      </c>
      <c r="B159">
        <v>2.0260205071842099E+18</v>
      </c>
      <c r="C159" t="s">
        <v>3492</v>
      </c>
      <c r="D159" t="s">
        <v>3493</v>
      </c>
      <c r="E159" t="s">
        <v>3493</v>
      </c>
      <c r="F159" t="s">
        <v>3492</v>
      </c>
      <c r="G159" t="s">
        <v>3493</v>
      </c>
      <c r="H159" t="s">
        <v>3493</v>
      </c>
      <c r="I159">
        <v>10121</v>
      </c>
      <c r="J159" t="s">
        <v>3494</v>
      </c>
      <c r="K159" t="s">
        <v>3494</v>
      </c>
      <c r="L159" t="s">
        <v>2804</v>
      </c>
      <c r="M159" t="s">
        <v>2805</v>
      </c>
      <c r="N159">
        <v>54363</v>
      </c>
      <c r="O159">
        <v>45500</v>
      </c>
      <c r="P159">
        <v>1</v>
      </c>
      <c r="Q159">
        <v>0</v>
      </c>
      <c r="S159">
        <v>143790</v>
      </c>
      <c r="T159" t="s">
        <v>3495</v>
      </c>
      <c r="U159" t="s">
        <v>2807</v>
      </c>
      <c r="W159">
        <v>0</v>
      </c>
      <c r="X159">
        <v>45500</v>
      </c>
      <c r="Y159">
        <v>41363.636363636302</v>
      </c>
      <c r="Z159" s="26">
        <v>46058</v>
      </c>
    </row>
    <row r="160" spans="1:26" x14ac:dyDescent="0.3">
      <c r="A160" s="50">
        <v>46058.304745370369</v>
      </c>
      <c r="B160">
        <v>2.0260205071725299E+18</v>
      </c>
      <c r="C160" t="s">
        <v>3496</v>
      </c>
      <c r="D160" t="s">
        <v>3497</v>
      </c>
      <c r="E160" t="s">
        <v>3497</v>
      </c>
      <c r="F160" t="s">
        <v>3496</v>
      </c>
      <c r="G160" t="s">
        <v>3497</v>
      </c>
      <c r="H160" t="s">
        <v>3497</v>
      </c>
      <c r="I160">
        <v>37624</v>
      </c>
      <c r="J160" t="s">
        <v>3498</v>
      </c>
      <c r="K160" t="s">
        <v>3498</v>
      </c>
      <c r="L160" t="s">
        <v>2804</v>
      </c>
      <c r="M160" t="s">
        <v>2805</v>
      </c>
      <c r="N160">
        <v>54363</v>
      </c>
      <c r="O160">
        <v>45500</v>
      </c>
      <c r="P160">
        <v>1</v>
      </c>
      <c r="Q160">
        <v>0</v>
      </c>
      <c r="S160">
        <v>143790</v>
      </c>
      <c r="T160" t="s">
        <v>3499</v>
      </c>
      <c r="U160" t="s">
        <v>2807</v>
      </c>
      <c r="W160">
        <v>0</v>
      </c>
      <c r="X160">
        <v>45500</v>
      </c>
      <c r="Y160">
        <v>41363.636363636302</v>
      </c>
      <c r="Z160" s="26">
        <v>46058</v>
      </c>
    </row>
    <row r="161" spans="1:26" x14ac:dyDescent="0.3">
      <c r="A161" s="50">
        <v>46058.303946759261</v>
      </c>
      <c r="B161">
        <v>2.0260205071656901E+18</v>
      </c>
      <c r="C161" t="s">
        <v>3289</v>
      </c>
      <c r="D161" t="s">
        <v>3500</v>
      </c>
      <c r="E161" t="s">
        <v>3500</v>
      </c>
      <c r="F161" t="s">
        <v>3289</v>
      </c>
      <c r="G161" t="s">
        <v>3500</v>
      </c>
      <c r="H161" t="s">
        <v>3500</v>
      </c>
      <c r="I161">
        <v>36849</v>
      </c>
      <c r="J161" t="s">
        <v>3501</v>
      </c>
      <c r="K161" t="s">
        <v>3501</v>
      </c>
      <c r="L161" t="s">
        <v>2804</v>
      </c>
      <c r="M161" t="s">
        <v>2805</v>
      </c>
      <c r="N161">
        <v>54363</v>
      </c>
      <c r="O161">
        <v>45500</v>
      </c>
      <c r="P161">
        <v>1</v>
      </c>
      <c r="Q161">
        <v>0</v>
      </c>
      <c r="S161">
        <v>143790</v>
      </c>
      <c r="T161" t="s">
        <v>3502</v>
      </c>
      <c r="U161" t="s">
        <v>2807</v>
      </c>
      <c r="W161">
        <v>0</v>
      </c>
      <c r="X161">
        <v>45500</v>
      </c>
      <c r="Y161">
        <v>41363.636363636302</v>
      </c>
      <c r="Z161" s="26">
        <v>46058</v>
      </c>
    </row>
    <row r="162" spans="1:26" x14ac:dyDescent="0.3">
      <c r="A162" s="50">
        <v>46058.303831018522</v>
      </c>
      <c r="B162">
        <v>2.02602050715567E+18</v>
      </c>
      <c r="C162" t="s">
        <v>3503</v>
      </c>
      <c r="D162" t="s">
        <v>3504</v>
      </c>
      <c r="E162" t="s">
        <v>3504</v>
      </c>
      <c r="F162" t="s">
        <v>3505</v>
      </c>
      <c r="G162" t="s">
        <v>3506</v>
      </c>
      <c r="H162" t="s">
        <v>3506</v>
      </c>
      <c r="I162">
        <v>57629</v>
      </c>
      <c r="J162" t="s">
        <v>3507</v>
      </c>
      <c r="K162" t="s">
        <v>3507</v>
      </c>
      <c r="L162" t="s">
        <v>2804</v>
      </c>
      <c r="M162" t="s">
        <v>2805</v>
      </c>
      <c r="N162">
        <v>108726</v>
      </c>
      <c r="O162">
        <v>45500</v>
      </c>
      <c r="P162">
        <v>2</v>
      </c>
      <c r="Q162">
        <v>0</v>
      </c>
      <c r="S162">
        <v>143790</v>
      </c>
      <c r="T162" t="s">
        <v>3508</v>
      </c>
      <c r="U162" t="s">
        <v>2807</v>
      </c>
      <c r="W162">
        <v>0</v>
      </c>
      <c r="X162">
        <v>91000</v>
      </c>
      <c r="Y162">
        <v>82727.272727272706</v>
      </c>
      <c r="Z162" s="26">
        <v>46058</v>
      </c>
    </row>
    <row r="163" spans="1:26" x14ac:dyDescent="0.3">
      <c r="A163" s="50">
        <v>46058.301666666666</v>
      </c>
      <c r="B163">
        <v>2.0260205065123899E+18</v>
      </c>
      <c r="C163" t="s">
        <v>3509</v>
      </c>
      <c r="D163" t="s">
        <v>3510</v>
      </c>
      <c r="E163" t="s">
        <v>3510</v>
      </c>
      <c r="F163" t="s">
        <v>3509</v>
      </c>
      <c r="G163" t="s">
        <v>3510</v>
      </c>
      <c r="H163" t="s">
        <v>3510</v>
      </c>
      <c r="I163">
        <v>6598</v>
      </c>
      <c r="J163" t="s">
        <v>3511</v>
      </c>
      <c r="K163" t="s">
        <v>3511</v>
      </c>
      <c r="L163" t="s">
        <v>2804</v>
      </c>
      <c r="M163" t="s">
        <v>2805</v>
      </c>
      <c r="N163">
        <v>54363</v>
      </c>
      <c r="O163">
        <v>45500</v>
      </c>
      <c r="P163">
        <v>1</v>
      </c>
      <c r="Q163">
        <v>0</v>
      </c>
      <c r="S163">
        <v>143790</v>
      </c>
      <c r="T163" t="s">
        <v>3512</v>
      </c>
      <c r="U163" t="s">
        <v>2807</v>
      </c>
      <c r="W163">
        <v>0</v>
      </c>
      <c r="X163">
        <v>45500</v>
      </c>
      <c r="Y163">
        <v>41363.636363636302</v>
      </c>
      <c r="Z163" s="26">
        <v>46058</v>
      </c>
    </row>
    <row r="164" spans="1:26" x14ac:dyDescent="0.3">
      <c r="A164" s="50">
        <v>46058.30096064815</v>
      </c>
      <c r="B164">
        <v>2.02602050712496E+18</v>
      </c>
      <c r="C164" t="s">
        <v>3513</v>
      </c>
      <c r="D164" t="s">
        <v>3514</v>
      </c>
      <c r="E164" t="s">
        <v>3514</v>
      </c>
      <c r="F164" t="s">
        <v>3513</v>
      </c>
      <c r="G164" t="s">
        <v>3514</v>
      </c>
      <c r="H164" t="s">
        <v>3514</v>
      </c>
      <c r="I164">
        <v>10412</v>
      </c>
      <c r="J164" t="s">
        <v>3515</v>
      </c>
      <c r="K164" t="s">
        <v>3515</v>
      </c>
      <c r="L164" t="s">
        <v>2804</v>
      </c>
      <c r="M164" t="s">
        <v>2805</v>
      </c>
      <c r="N164">
        <v>54363</v>
      </c>
      <c r="O164">
        <v>45500</v>
      </c>
      <c r="P164">
        <v>1</v>
      </c>
      <c r="Q164">
        <v>0</v>
      </c>
      <c r="S164">
        <v>143790</v>
      </c>
      <c r="T164" t="s">
        <v>3516</v>
      </c>
      <c r="U164" t="s">
        <v>2807</v>
      </c>
      <c r="W164">
        <v>0</v>
      </c>
      <c r="X164">
        <v>45500</v>
      </c>
      <c r="Y164">
        <v>41363.636363636302</v>
      </c>
      <c r="Z164" s="26">
        <v>46058</v>
      </c>
    </row>
    <row r="165" spans="1:26" x14ac:dyDescent="0.3">
      <c r="A165" s="50">
        <v>46058.300474537034</v>
      </c>
      <c r="B165">
        <v>2.0260205071102999E+18</v>
      </c>
      <c r="C165" t="s">
        <v>3517</v>
      </c>
      <c r="D165" t="s">
        <v>3518</v>
      </c>
      <c r="E165" t="s">
        <v>3518</v>
      </c>
      <c r="F165" t="s">
        <v>3517</v>
      </c>
      <c r="G165" t="s">
        <v>3518</v>
      </c>
      <c r="H165" t="s">
        <v>3518</v>
      </c>
      <c r="I165">
        <v>57985</v>
      </c>
      <c r="J165" t="s">
        <v>3519</v>
      </c>
      <c r="K165" t="s">
        <v>3519</v>
      </c>
      <c r="L165" t="s">
        <v>2804</v>
      </c>
      <c r="M165" t="s">
        <v>2805</v>
      </c>
      <c r="N165">
        <v>108726</v>
      </c>
      <c r="O165">
        <v>45500</v>
      </c>
      <c r="P165">
        <v>2</v>
      </c>
      <c r="Q165">
        <v>0</v>
      </c>
      <c r="R165" t="s">
        <v>3520</v>
      </c>
      <c r="S165">
        <v>143790</v>
      </c>
      <c r="T165" t="s">
        <v>3521</v>
      </c>
      <c r="U165" t="s">
        <v>2807</v>
      </c>
      <c r="W165">
        <v>0</v>
      </c>
      <c r="X165">
        <v>91000</v>
      </c>
      <c r="Y165">
        <v>82727.272727272706</v>
      </c>
      <c r="Z165" s="26">
        <v>46058</v>
      </c>
    </row>
    <row r="166" spans="1:26" x14ac:dyDescent="0.3">
      <c r="A166" s="50">
        <v>46058.300428240742</v>
      </c>
      <c r="B166">
        <v>2.0260205071043999E+18</v>
      </c>
      <c r="C166" t="s">
        <v>3522</v>
      </c>
      <c r="D166" t="s">
        <v>3523</v>
      </c>
      <c r="E166" t="s">
        <v>3523</v>
      </c>
      <c r="F166" t="s">
        <v>3522</v>
      </c>
      <c r="G166" t="s">
        <v>3523</v>
      </c>
      <c r="H166" t="s">
        <v>3523</v>
      </c>
      <c r="I166">
        <v>16823</v>
      </c>
      <c r="J166" t="s">
        <v>3524</v>
      </c>
      <c r="K166" t="s">
        <v>3524</v>
      </c>
      <c r="L166" t="s">
        <v>2804</v>
      </c>
      <c r="M166" t="s">
        <v>2805</v>
      </c>
      <c r="N166">
        <v>54363</v>
      </c>
      <c r="O166">
        <v>45500</v>
      </c>
      <c r="P166">
        <v>1</v>
      </c>
      <c r="Q166">
        <v>0</v>
      </c>
      <c r="S166">
        <v>143790</v>
      </c>
      <c r="T166" t="s">
        <v>3525</v>
      </c>
      <c r="U166" t="s">
        <v>2807</v>
      </c>
      <c r="W166">
        <v>0</v>
      </c>
      <c r="X166">
        <v>45500</v>
      </c>
      <c r="Y166">
        <v>41363.636363636302</v>
      </c>
      <c r="Z166" s="26">
        <v>46058</v>
      </c>
    </row>
    <row r="167" spans="1:26" x14ac:dyDescent="0.3">
      <c r="A167" s="50">
        <v>46058.297766203701</v>
      </c>
      <c r="B167">
        <v>2.02602050707395E+18</v>
      </c>
      <c r="C167" t="s">
        <v>3526</v>
      </c>
      <c r="D167" t="s">
        <v>3527</v>
      </c>
      <c r="E167" t="s">
        <v>3527</v>
      </c>
      <c r="F167" t="s">
        <v>3526</v>
      </c>
      <c r="G167" t="s">
        <v>3527</v>
      </c>
      <c r="H167" t="s">
        <v>3527</v>
      </c>
      <c r="I167">
        <v>13646</v>
      </c>
      <c r="J167" t="s">
        <v>3528</v>
      </c>
      <c r="K167" t="s">
        <v>3528</v>
      </c>
      <c r="L167" t="s">
        <v>2804</v>
      </c>
      <c r="M167" t="s">
        <v>2805</v>
      </c>
      <c r="N167">
        <v>217452</v>
      </c>
      <c r="O167">
        <v>45500</v>
      </c>
      <c r="P167">
        <v>4</v>
      </c>
      <c r="Q167">
        <v>0</v>
      </c>
      <c r="S167">
        <v>143790</v>
      </c>
      <c r="T167" t="s">
        <v>3529</v>
      </c>
      <c r="U167" t="s">
        <v>2807</v>
      </c>
      <c r="W167">
        <v>0</v>
      </c>
      <c r="X167">
        <v>182000</v>
      </c>
      <c r="Y167">
        <v>165454.545454545</v>
      </c>
      <c r="Z167" s="26">
        <v>46058</v>
      </c>
    </row>
    <row r="168" spans="1:26" x14ac:dyDescent="0.3">
      <c r="A168" s="50">
        <v>46058.297673611109</v>
      </c>
      <c r="B168">
        <v>2.0260205070643699E+18</v>
      </c>
      <c r="C168" t="s">
        <v>3530</v>
      </c>
      <c r="D168" t="s">
        <v>3531</v>
      </c>
      <c r="E168" t="s">
        <v>3531</v>
      </c>
      <c r="F168" t="s">
        <v>3530</v>
      </c>
      <c r="G168" t="s">
        <v>3531</v>
      </c>
      <c r="H168" t="s">
        <v>3531</v>
      </c>
      <c r="I168">
        <v>59723</v>
      </c>
      <c r="J168" t="s">
        <v>3532</v>
      </c>
      <c r="K168" t="s">
        <v>3532</v>
      </c>
      <c r="L168" t="s">
        <v>2804</v>
      </c>
      <c r="M168" t="s">
        <v>2805</v>
      </c>
      <c r="N168">
        <v>54363</v>
      </c>
      <c r="O168">
        <v>45500</v>
      </c>
      <c r="P168">
        <v>1</v>
      </c>
      <c r="Q168">
        <v>0</v>
      </c>
      <c r="S168">
        <v>143790</v>
      </c>
      <c r="T168" t="s">
        <v>3533</v>
      </c>
      <c r="U168" t="s">
        <v>2807</v>
      </c>
      <c r="W168">
        <v>0</v>
      </c>
      <c r="X168">
        <v>45500</v>
      </c>
      <c r="Y168">
        <v>41363.636363636302</v>
      </c>
      <c r="Z168" s="26">
        <v>46058</v>
      </c>
    </row>
    <row r="169" spans="1:26" x14ac:dyDescent="0.3">
      <c r="A169" s="50">
        <v>46058.296481481484</v>
      </c>
      <c r="B169">
        <v>2.02602050704543E+18</v>
      </c>
      <c r="C169" t="s">
        <v>3534</v>
      </c>
      <c r="D169" t="s">
        <v>3535</v>
      </c>
      <c r="E169" t="s">
        <v>3535</v>
      </c>
      <c r="F169" t="s">
        <v>3534</v>
      </c>
      <c r="G169" t="s">
        <v>3536</v>
      </c>
      <c r="H169" t="s">
        <v>3536</v>
      </c>
      <c r="I169">
        <v>15803</v>
      </c>
      <c r="J169" t="s">
        <v>3537</v>
      </c>
      <c r="K169" t="s">
        <v>3537</v>
      </c>
      <c r="L169" t="s">
        <v>2804</v>
      </c>
      <c r="M169" t="s">
        <v>2805</v>
      </c>
      <c r="N169">
        <v>54363</v>
      </c>
      <c r="O169">
        <v>45500</v>
      </c>
      <c r="P169">
        <v>1</v>
      </c>
      <c r="Q169">
        <v>0</v>
      </c>
      <c r="S169">
        <v>143790</v>
      </c>
      <c r="T169" t="s">
        <v>3538</v>
      </c>
      <c r="U169" t="s">
        <v>2807</v>
      </c>
      <c r="W169">
        <v>0</v>
      </c>
      <c r="X169">
        <v>45500</v>
      </c>
      <c r="Y169">
        <v>41363.636363636302</v>
      </c>
      <c r="Z169" s="26">
        <v>46058</v>
      </c>
    </row>
    <row r="170" spans="1:26" x14ac:dyDescent="0.3">
      <c r="A170" s="50">
        <v>46058.296388888892</v>
      </c>
      <c r="B170">
        <v>2.0260205070533E+18</v>
      </c>
      <c r="C170" t="s">
        <v>3539</v>
      </c>
      <c r="D170" t="s">
        <v>3540</v>
      </c>
      <c r="E170" t="s">
        <v>3540</v>
      </c>
      <c r="F170" t="s">
        <v>3539</v>
      </c>
      <c r="G170" t="s">
        <v>3540</v>
      </c>
      <c r="H170" t="s">
        <v>3540</v>
      </c>
      <c r="I170">
        <v>10905</v>
      </c>
      <c r="J170" t="s">
        <v>3541</v>
      </c>
      <c r="K170" t="s">
        <v>3541</v>
      </c>
      <c r="L170" t="s">
        <v>2804</v>
      </c>
      <c r="M170" t="s">
        <v>2805</v>
      </c>
      <c r="N170">
        <v>54363</v>
      </c>
      <c r="O170">
        <v>45500</v>
      </c>
      <c r="P170">
        <v>1</v>
      </c>
      <c r="Q170">
        <v>0</v>
      </c>
      <c r="S170">
        <v>143790</v>
      </c>
      <c r="T170" t="s">
        <v>3542</v>
      </c>
      <c r="U170" t="s">
        <v>2807</v>
      </c>
      <c r="W170">
        <v>0</v>
      </c>
      <c r="X170">
        <v>45500</v>
      </c>
      <c r="Y170">
        <v>41363.636363636302</v>
      </c>
      <c r="Z170" s="26">
        <v>46058</v>
      </c>
    </row>
    <row r="171" spans="1:26" x14ac:dyDescent="0.3">
      <c r="A171" s="50">
        <v>46058.29478009259</v>
      </c>
      <c r="B171">
        <v>2.02602050703264E+18</v>
      </c>
      <c r="C171" t="s">
        <v>3543</v>
      </c>
      <c r="D171" t="s">
        <v>3544</v>
      </c>
      <c r="E171" t="s">
        <v>3544</v>
      </c>
      <c r="F171" t="s">
        <v>3543</v>
      </c>
      <c r="G171" t="s">
        <v>3544</v>
      </c>
      <c r="H171" t="s">
        <v>3544</v>
      </c>
      <c r="I171">
        <v>24877</v>
      </c>
      <c r="J171" t="s">
        <v>3545</v>
      </c>
      <c r="K171" t="s">
        <v>3545</v>
      </c>
      <c r="L171" t="s">
        <v>2804</v>
      </c>
      <c r="M171" t="s">
        <v>2805</v>
      </c>
      <c r="N171">
        <v>54363</v>
      </c>
      <c r="O171">
        <v>45500</v>
      </c>
      <c r="P171">
        <v>1</v>
      </c>
      <c r="Q171">
        <v>0</v>
      </c>
      <c r="S171">
        <v>143790</v>
      </c>
      <c r="T171" t="s">
        <v>3546</v>
      </c>
      <c r="U171" t="s">
        <v>2807</v>
      </c>
      <c r="W171">
        <v>0</v>
      </c>
      <c r="X171">
        <v>45500</v>
      </c>
      <c r="Y171">
        <v>41363.636363636302</v>
      </c>
      <c r="Z171" s="26">
        <v>46058</v>
      </c>
    </row>
    <row r="172" spans="1:26" x14ac:dyDescent="0.3">
      <c r="A172" s="50">
        <v>46058.294571759259</v>
      </c>
      <c r="B172">
        <v>2.0260205070247199E+18</v>
      </c>
      <c r="C172" t="s">
        <v>3547</v>
      </c>
      <c r="D172" t="s">
        <v>3548</v>
      </c>
      <c r="E172" t="s">
        <v>3548</v>
      </c>
      <c r="F172" t="s">
        <v>3547</v>
      </c>
      <c r="G172" t="s">
        <v>3548</v>
      </c>
      <c r="H172" t="s">
        <v>3548</v>
      </c>
      <c r="I172">
        <v>16709</v>
      </c>
      <c r="J172" t="s">
        <v>3549</v>
      </c>
      <c r="K172" t="s">
        <v>3549</v>
      </c>
      <c r="L172" t="s">
        <v>2804</v>
      </c>
      <c r="M172" t="s">
        <v>2805</v>
      </c>
      <c r="N172">
        <v>54363</v>
      </c>
      <c r="O172">
        <v>45500</v>
      </c>
      <c r="P172">
        <v>1</v>
      </c>
      <c r="Q172">
        <v>0</v>
      </c>
      <c r="S172">
        <v>143790</v>
      </c>
      <c r="T172" t="s">
        <v>3550</v>
      </c>
      <c r="U172" t="s">
        <v>2807</v>
      </c>
      <c r="W172">
        <v>0</v>
      </c>
      <c r="X172">
        <v>45500</v>
      </c>
      <c r="Y172">
        <v>41363.636363636302</v>
      </c>
      <c r="Z172" s="26">
        <v>46058</v>
      </c>
    </row>
    <row r="173" spans="1:26" x14ac:dyDescent="0.3">
      <c r="A173" s="50">
        <v>46058.292488425926</v>
      </c>
      <c r="B173">
        <v>2.0260205065809999E+18</v>
      </c>
      <c r="C173" t="s">
        <v>3551</v>
      </c>
      <c r="D173" t="s">
        <v>3552</v>
      </c>
      <c r="E173" t="s">
        <v>3552</v>
      </c>
      <c r="F173" t="s">
        <v>3551</v>
      </c>
      <c r="G173" t="s">
        <v>3552</v>
      </c>
      <c r="H173" t="s">
        <v>3552</v>
      </c>
      <c r="I173">
        <v>7336</v>
      </c>
      <c r="J173" t="s">
        <v>3553</v>
      </c>
      <c r="K173" t="s">
        <v>3553</v>
      </c>
      <c r="L173" t="s">
        <v>2804</v>
      </c>
      <c r="M173" t="s">
        <v>2805</v>
      </c>
      <c r="N173">
        <v>54363</v>
      </c>
      <c r="O173">
        <v>45500</v>
      </c>
      <c r="P173">
        <v>1</v>
      </c>
      <c r="Q173">
        <v>0</v>
      </c>
      <c r="R173" t="s">
        <v>3554</v>
      </c>
      <c r="S173">
        <v>143790</v>
      </c>
      <c r="T173" t="s">
        <v>3555</v>
      </c>
      <c r="U173" t="s">
        <v>2807</v>
      </c>
      <c r="W173">
        <v>0</v>
      </c>
      <c r="X173">
        <v>45500</v>
      </c>
      <c r="Y173">
        <v>41363.636363636302</v>
      </c>
      <c r="Z173" s="26">
        <v>46058</v>
      </c>
    </row>
    <row r="174" spans="1:26" x14ac:dyDescent="0.3">
      <c r="A174" s="50">
        <v>46058.291990740741</v>
      </c>
      <c r="B174">
        <v>2.02602050657472E+18</v>
      </c>
      <c r="C174" t="s">
        <v>3556</v>
      </c>
      <c r="D174" t="s">
        <v>3557</v>
      </c>
      <c r="E174" t="s">
        <v>3557</v>
      </c>
      <c r="F174" t="s">
        <v>3556</v>
      </c>
      <c r="G174" t="s">
        <v>3557</v>
      </c>
      <c r="H174" t="s">
        <v>3557</v>
      </c>
      <c r="I174">
        <v>5649</v>
      </c>
      <c r="J174" t="s">
        <v>3558</v>
      </c>
      <c r="K174" t="s">
        <v>3558</v>
      </c>
      <c r="L174" t="s">
        <v>2804</v>
      </c>
      <c r="M174" t="s">
        <v>2805</v>
      </c>
      <c r="N174">
        <v>54363</v>
      </c>
      <c r="O174">
        <v>45500</v>
      </c>
      <c r="P174">
        <v>1</v>
      </c>
      <c r="Q174">
        <v>0</v>
      </c>
      <c r="S174">
        <v>143790</v>
      </c>
      <c r="T174" t="s">
        <v>3559</v>
      </c>
      <c r="U174" t="s">
        <v>2807</v>
      </c>
      <c r="W174">
        <v>0</v>
      </c>
      <c r="X174">
        <v>45500</v>
      </c>
      <c r="Y174">
        <v>41363.636363636302</v>
      </c>
      <c r="Z174" s="26">
        <v>46058</v>
      </c>
    </row>
    <row r="175" spans="1:26" x14ac:dyDescent="0.3">
      <c r="A175" s="50">
        <v>46058.291527777779</v>
      </c>
      <c r="B175">
        <v>2.0260205065653901E+18</v>
      </c>
      <c r="C175" t="s">
        <v>3560</v>
      </c>
      <c r="D175" t="s">
        <v>3561</v>
      </c>
      <c r="E175" t="s">
        <v>3561</v>
      </c>
      <c r="F175" t="s">
        <v>3560</v>
      </c>
      <c r="G175" t="s">
        <v>3561</v>
      </c>
      <c r="H175" t="s">
        <v>3561</v>
      </c>
      <c r="I175">
        <v>16684</v>
      </c>
      <c r="J175" t="s">
        <v>3562</v>
      </c>
      <c r="K175" t="s">
        <v>3562</v>
      </c>
      <c r="L175" t="s">
        <v>2804</v>
      </c>
      <c r="M175" t="s">
        <v>2805</v>
      </c>
      <c r="N175">
        <v>54363</v>
      </c>
      <c r="O175">
        <v>45500</v>
      </c>
      <c r="P175">
        <v>1</v>
      </c>
      <c r="Q175">
        <v>0</v>
      </c>
      <c r="R175" t="s">
        <v>3563</v>
      </c>
      <c r="S175">
        <v>143790</v>
      </c>
      <c r="T175" t="s">
        <v>3564</v>
      </c>
      <c r="U175" t="s">
        <v>2807</v>
      </c>
      <c r="W175">
        <v>0</v>
      </c>
      <c r="X175">
        <v>45500</v>
      </c>
      <c r="Y175">
        <v>41363.636363636302</v>
      </c>
      <c r="Z175" s="26">
        <v>46058</v>
      </c>
    </row>
    <row r="176" spans="1:26" x14ac:dyDescent="0.3">
      <c r="A176" s="50">
        <v>46058.291504629633</v>
      </c>
      <c r="B176">
        <v>2.02602050657533E+18</v>
      </c>
      <c r="C176" t="s">
        <v>3565</v>
      </c>
      <c r="D176" t="s">
        <v>3566</v>
      </c>
      <c r="E176" t="s">
        <v>3566</v>
      </c>
      <c r="F176" t="s">
        <v>3565</v>
      </c>
      <c r="G176" t="s">
        <v>3566</v>
      </c>
      <c r="H176" t="s">
        <v>3566</v>
      </c>
      <c r="I176">
        <v>31179</v>
      </c>
      <c r="J176" t="s">
        <v>3567</v>
      </c>
      <c r="K176" t="s">
        <v>3567</v>
      </c>
      <c r="L176" t="s">
        <v>2804</v>
      </c>
      <c r="M176" t="s">
        <v>2805</v>
      </c>
      <c r="N176">
        <v>54363</v>
      </c>
      <c r="O176">
        <v>45500</v>
      </c>
      <c r="P176">
        <v>1</v>
      </c>
      <c r="Q176">
        <v>0</v>
      </c>
      <c r="S176">
        <v>143790</v>
      </c>
      <c r="T176" t="s">
        <v>3568</v>
      </c>
      <c r="U176" t="s">
        <v>2807</v>
      </c>
      <c r="W176">
        <v>0</v>
      </c>
      <c r="X176">
        <v>45500</v>
      </c>
      <c r="Y176">
        <v>41363.636363636302</v>
      </c>
      <c r="Z176" s="26">
        <v>46058</v>
      </c>
    </row>
    <row r="177" spans="1:26" x14ac:dyDescent="0.3">
      <c r="A177" s="50">
        <v>46058.289710648147</v>
      </c>
      <c r="B177">
        <v>2.02602050651059E+18</v>
      </c>
      <c r="C177" t="s">
        <v>3569</v>
      </c>
      <c r="D177" t="s">
        <v>3570</v>
      </c>
      <c r="E177" t="s">
        <v>3570</v>
      </c>
      <c r="F177" t="s">
        <v>3569</v>
      </c>
      <c r="G177" t="s">
        <v>3570</v>
      </c>
      <c r="H177" t="s">
        <v>3570</v>
      </c>
      <c r="I177">
        <v>5118</v>
      </c>
      <c r="J177" t="s">
        <v>3571</v>
      </c>
      <c r="K177" t="s">
        <v>3571</v>
      </c>
      <c r="L177" t="s">
        <v>2804</v>
      </c>
      <c r="M177" t="s">
        <v>2805</v>
      </c>
      <c r="N177">
        <v>54363</v>
      </c>
      <c r="O177">
        <v>45500</v>
      </c>
      <c r="P177">
        <v>1</v>
      </c>
      <c r="Q177">
        <v>0</v>
      </c>
      <c r="R177" t="s">
        <v>3572</v>
      </c>
      <c r="S177">
        <v>143790</v>
      </c>
      <c r="T177" t="s">
        <v>3573</v>
      </c>
      <c r="U177" t="s">
        <v>2807</v>
      </c>
      <c r="W177">
        <v>0</v>
      </c>
      <c r="X177">
        <v>45500</v>
      </c>
      <c r="Y177">
        <v>41363.636363636302</v>
      </c>
      <c r="Z177" s="26">
        <v>46058</v>
      </c>
    </row>
    <row r="178" spans="1:26" x14ac:dyDescent="0.3">
      <c r="A178" s="50">
        <v>46058.288726851853</v>
      </c>
      <c r="B178">
        <v>2.0260205065440599E+18</v>
      </c>
      <c r="C178" t="s">
        <v>3574</v>
      </c>
      <c r="D178" t="s">
        <v>3575</v>
      </c>
      <c r="E178" t="s">
        <v>3575</v>
      </c>
      <c r="F178" t="s">
        <v>3574</v>
      </c>
      <c r="G178" t="s">
        <v>3575</v>
      </c>
      <c r="H178" t="s">
        <v>3575</v>
      </c>
      <c r="I178">
        <v>5023</v>
      </c>
      <c r="J178" t="s">
        <v>3576</v>
      </c>
      <c r="K178" t="s">
        <v>3576</v>
      </c>
      <c r="L178" t="s">
        <v>2804</v>
      </c>
      <c r="M178" t="s">
        <v>2805</v>
      </c>
      <c r="N178">
        <v>108726</v>
      </c>
      <c r="O178">
        <v>45500</v>
      </c>
      <c r="P178">
        <v>2</v>
      </c>
      <c r="Q178">
        <v>0</v>
      </c>
      <c r="S178">
        <v>143790</v>
      </c>
      <c r="T178" t="s">
        <v>3577</v>
      </c>
      <c r="U178" t="s">
        <v>2807</v>
      </c>
      <c r="W178">
        <v>0</v>
      </c>
      <c r="X178">
        <v>91000</v>
      </c>
      <c r="Y178">
        <v>82727.272727272706</v>
      </c>
      <c r="Z178" s="26">
        <v>46058</v>
      </c>
    </row>
    <row r="179" spans="1:26" x14ac:dyDescent="0.3">
      <c r="A179" s="50">
        <v>46058.288101851853</v>
      </c>
      <c r="B179">
        <v>2.02602050653072E+18</v>
      </c>
      <c r="C179" t="s">
        <v>3578</v>
      </c>
      <c r="D179" t="s">
        <v>3579</v>
      </c>
      <c r="E179" t="s">
        <v>3579</v>
      </c>
      <c r="F179" t="s">
        <v>3578</v>
      </c>
      <c r="G179" t="s">
        <v>3580</v>
      </c>
      <c r="H179" t="s">
        <v>3580</v>
      </c>
      <c r="I179">
        <v>10496</v>
      </c>
      <c r="J179" t="s">
        <v>3581</v>
      </c>
      <c r="K179" t="s">
        <v>3581</v>
      </c>
      <c r="L179" t="s">
        <v>2804</v>
      </c>
      <c r="M179" t="s">
        <v>2805</v>
      </c>
      <c r="N179">
        <v>54363</v>
      </c>
      <c r="O179">
        <v>45500</v>
      </c>
      <c r="P179">
        <v>1</v>
      </c>
      <c r="Q179">
        <v>0</v>
      </c>
      <c r="S179">
        <v>143790</v>
      </c>
      <c r="T179" t="s">
        <v>3582</v>
      </c>
      <c r="U179" t="s">
        <v>2807</v>
      </c>
      <c r="W179">
        <v>0</v>
      </c>
      <c r="X179">
        <v>45500</v>
      </c>
      <c r="Y179">
        <v>41363.636363636302</v>
      </c>
      <c r="Z179" s="26">
        <v>46058</v>
      </c>
    </row>
    <row r="180" spans="1:26" x14ac:dyDescent="0.3">
      <c r="A180" s="50">
        <v>46058.287824074076</v>
      </c>
      <c r="B180">
        <v>2.02602050653523E+18</v>
      </c>
      <c r="C180" t="s">
        <v>3583</v>
      </c>
      <c r="D180" t="s">
        <v>3584</v>
      </c>
      <c r="E180" t="s">
        <v>3584</v>
      </c>
      <c r="F180" t="s">
        <v>3583</v>
      </c>
      <c r="G180" t="s">
        <v>3584</v>
      </c>
      <c r="H180" t="s">
        <v>3584</v>
      </c>
      <c r="I180">
        <v>14061</v>
      </c>
      <c r="J180" t="s">
        <v>3585</v>
      </c>
      <c r="K180" t="s">
        <v>3585</v>
      </c>
      <c r="L180" t="s">
        <v>2804</v>
      </c>
      <c r="M180" t="s">
        <v>2805</v>
      </c>
      <c r="N180">
        <v>54363</v>
      </c>
      <c r="O180">
        <v>45500</v>
      </c>
      <c r="P180">
        <v>1</v>
      </c>
      <c r="Q180">
        <v>0</v>
      </c>
      <c r="S180">
        <v>143790</v>
      </c>
      <c r="T180" t="s">
        <v>3586</v>
      </c>
      <c r="U180" t="s">
        <v>2807</v>
      </c>
      <c r="W180">
        <v>0</v>
      </c>
      <c r="X180">
        <v>45500</v>
      </c>
      <c r="Y180">
        <v>41363.636363636302</v>
      </c>
      <c r="Z180" s="26">
        <v>46058</v>
      </c>
    </row>
    <row r="181" spans="1:26" x14ac:dyDescent="0.3">
      <c r="A181" s="50">
        <v>46058.287418981483</v>
      </c>
      <c r="B181">
        <v>2.0260205065255401E+18</v>
      </c>
      <c r="C181" t="s">
        <v>3587</v>
      </c>
      <c r="D181" t="s">
        <v>3588</v>
      </c>
      <c r="E181" t="s">
        <v>3588</v>
      </c>
      <c r="F181" t="s">
        <v>3587</v>
      </c>
      <c r="G181" t="s">
        <v>3588</v>
      </c>
      <c r="H181" t="s">
        <v>3588</v>
      </c>
      <c r="I181">
        <v>3784</v>
      </c>
      <c r="J181" t="s">
        <v>3589</v>
      </c>
      <c r="K181" t="s">
        <v>3589</v>
      </c>
      <c r="L181" t="s">
        <v>2804</v>
      </c>
      <c r="M181" t="s">
        <v>2805</v>
      </c>
      <c r="N181">
        <v>54363</v>
      </c>
      <c r="O181">
        <v>45500</v>
      </c>
      <c r="P181">
        <v>1</v>
      </c>
      <c r="Q181">
        <v>0</v>
      </c>
      <c r="S181">
        <v>143790</v>
      </c>
      <c r="T181" t="s">
        <v>3590</v>
      </c>
      <c r="U181" t="s">
        <v>2807</v>
      </c>
      <c r="W181">
        <v>0</v>
      </c>
      <c r="X181">
        <v>45500</v>
      </c>
      <c r="Y181">
        <v>41363.636363636302</v>
      </c>
      <c r="Z181" s="26">
        <v>46058</v>
      </c>
    </row>
    <row r="182" spans="1:26" x14ac:dyDescent="0.3">
      <c r="A182" s="50">
        <v>46058.287060185183</v>
      </c>
      <c r="B182">
        <v>2.0260205065217101E+18</v>
      </c>
      <c r="C182" t="s">
        <v>3591</v>
      </c>
      <c r="D182" t="s">
        <v>3592</v>
      </c>
      <c r="E182" t="s">
        <v>3592</v>
      </c>
      <c r="F182" t="s">
        <v>3591</v>
      </c>
      <c r="G182" t="s">
        <v>3592</v>
      </c>
      <c r="H182" t="s">
        <v>3592</v>
      </c>
      <c r="I182">
        <v>10416</v>
      </c>
      <c r="J182" t="s">
        <v>3593</v>
      </c>
      <c r="K182" t="s">
        <v>3593</v>
      </c>
      <c r="L182" t="s">
        <v>2804</v>
      </c>
      <c r="M182" t="s">
        <v>2805</v>
      </c>
      <c r="N182">
        <v>54363</v>
      </c>
      <c r="O182">
        <v>45500</v>
      </c>
      <c r="P182">
        <v>1</v>
      </c>
      <c r="Q182">
        <v>0</v>
      </c>
      <c r="S182">
        <v>143790</v>
      </c>
      <c r="T182" t="s">
        <v>3594</v>
      </c>
      <c r="U182" t="s">
        <v>2807</v>
      </c>
      <c r="W182">
        <v>0</v>
      </c>
      <c r="X182">
        <v>45500</v>
      </c>
      <c r="Y182">
        <v>41363.636363636302</v>
      </c>
      <c r="Z182" s="26">
        <v>46058</v>
      </c>
    </row>
    <row r="183" spans="1:26" x14ac:dyDescent="0.3">
      <c r="A183" s="50">
        <v>46058.286747685182</v>
      </c>
      <c r="B183">
        <v>2.0260205065125801E+18</v>
      </c>
      <c r="C183" t="s">
        <v>3595</v>
      </c>
      <c r="D183" t="s">
        <v>3596</v>
      </c>
      <c r="E183" t="s">
        <v>3596</v>
      </c>
      <c r="F183" t="s">
        <v>3595</v>
      </c>
      <c r="G183" t="s">
        <v>3596</v>
      </c>
      <c r="H183" t="s">
        <v>3596</v>
      </c>
      <c r="I183">
        <v>62001</v>
      </c>
      <c r="J183" t="s">
        <v>3597</v>
      </c>
      <c r="K183" t="s">
        <v>3597</v>
      </c>
      <c r="L183" t="s">
        <v>2804</v>
      </c>
      <c r="M183" t="s">
        <v>2805</v>
      </c>
      <c r="N183">
        <v>54363</v>
      </c>
      <c r="O183">
        <v>45500</v>
      </c>
      <c r="P183">
        <v>1</v>
      </c>
      <c r="Q183">
        <v>0</v>
      </c>
      <c r="S183">
        <v>143790</v>
      </c>
      <c r="T183" t="s">
        <v>3598</v>
      </c>
      <c r="U183" t="s">
        <v>2807</v>
      </c>
      <c r="W183">
        <v>0</v>
      </c>
      <c r="X183">
        <v>45500</v>
      </c>
      <c r="Y183">
        <v>41363.636363636302</v>
      </c>
      <c r="Z183" s="26">
        <v>46058</v>
      </c>
    </row>
    <row r="184" spans="1:26" x14ac:dyDescent="0.3">
      <c r="A184" s="50">
        <v>46058.286597222221</v>
      </c>
      <c r="B184">
        <v>2.02602050651442E+18</v>
      </c>
      <c r="C184" t="s">
        <v>3599</v>
      </c>
      <c r="D184" t="s">
        <v>3600</v>
      </c>
      <c r="E184" t="s">
        <v>3600</v>
      </c>
      <c r="F184" t="s">
        <v>3599</v>
      </c>
      <c r="G184" t="s">
        <v>3600</v>
      </c>
      <c r="H184" t="s">
        <v>3600</v>
      </c>
      <c r="I184">
        <v>16016</v>
      </c>
      <c r="J184" t="s">
        <v>3601</v>
      </c>
      <c r="K184" t="s">
        <v>3601</v>
      </c>
      <c r="L184" t="s">
        <v>2804</v>
      </c>
      <c r="M184" t="s">
        <v>2805</v>
      </c>
      <c r="N184">
        <v>54363</v>
      </c>
      <c r="O184">
        <v>45500</v>
      </c>
      <c r="P184">
        <v>1</v>
      </c>
      <c r="Q184">
        <v>0</v>
      </c>
      <c r="S184">
        <v>143790</v>
      </c>
      <c r="T184" t="s">
        <v>3602</v>
      </c>
      <c r="U184" t="s">
        <v>2807</v>
      </c>
      <c r="W184">
        <v>0</v>
      </c>
      <c r="X184">
        <v>45500</v>
      </c>
      <c r="Y184">
        <v>41363.636363636302</v>
      </c>
      <c r="Z184" s="26">
        <v>46058</v>
      </c>
    </row>
    <row r="185" spans="1:26" x14ac:dyDescent="0.3">
      <c r="A185" s="50">
        <v>46058.286562499998</v>
      </c>
      <c r="B185">
        <v>2.02602050651344E+18</v>
      </c>
      <c r="C185" t="s">
        <v>3603</v>
      </c>
      <c r="D185" t="s">
        <v>3604</v>
      </c>
      <c r="E185" t="s">
        <v>3604</v>
      </c>
      <c r="F185" t="s">
        <v>3603</v>
      </c>
      <c r="G185" t="s">
        <v>3604</v>
      </c>
      <c r="H185" t="s">
        <v>3604</v>
      </c>
      <c r="I185">
        <v>28808</v>
      </c>
      <c r="J185" t="s">
        <v>3605</v>
      </c>
      <c r="K185" t="s">
        <v>3605</v>
      </c>
      <c r="L185" t="s">
        <v>2804</v>
      </c>
      <c r="M185" t="s">
        <v>2805</v>
      </c>
      <c r="N185">
        <v>108726</v>
      </c>
      <c r="O185">
        <v>45500</v>
      </c>
      <c r="P185">
        <v>2</v>
      </c>
      <c r="Q185">
        <v>0</v>
      </c>
      <c r="S185">
        <v>143790</v>
      </c>
      <c r="T185" t="s">
        <v>3606</v>
      </c>
      <c r="U185" t="s">
        <v>2807</v>
      </c>
      <c r="W185">
        <v>0</v>
      </c>
      <c r="X185">
        <v>91000</v>
      </c>
      <c r="Y185">
        <v>82727.272727272706</v>
      </c>
      <c r="Z185" s="26">
        <v>46058</v>
      </c>
    </row>
    <row r="186" spans="1:26" x14ac:dyDescent="0.3">
      <c r="A186" s="50">
        <v>46058.286365740743</v>
      </c>
      <c r="B186">
        <v>2.0260205064835599E+18</v>
      </c>
      <c r="C186" t="s">
        <v>3607</v>
      </c>
      <c r="D186" t="s">
        <v>3608</v>
      </c>
      <c r="E186" t="s">
        <v>3608</v>
      </c>
      <c r="F186" t="s">
        <v>3607</v>
      </c>
      <c r="G186" t="s">
        <v>3608</v>
      </c>
      <c r="H186" t="s">
        <v>3608</v>
      </c>
      <c r="I186">
        <v>62024</v>
      </c>
      <c r="J186" t="s">
        <v>3609</v>
      </c>
      <c r="K186" t="s">
        <v>3609</v>
      </c>
      <c r="L186" t="s">
        <v>2804</v>
      </c>
      <c r="M186" t="s">
        <v>2805</v>
      </c>
      <c r="N186">
        <v>54363</v>
      </c>
      <c r="O186">
        <v>45500</v>
      </c>
      <c r="P186">
        <v>1</v>
      </c>
      <c r="Q186">
        <v>0</v>
      </c>
      <c r="S186">
        <v>143790</v>
      </c>
      <c r="T186" t="s">
        <v>3610</v>
      </c>
      <c r="U186" t="s">
        <v>2807</v>
      </c>
      <c r="W186">
        <v>0</v>
      </c>
      <c r="X186">
        <v>45500</v>
      </c>
      <c r="Y186">
        <v>41363.636363636302</v>
      </c>
      <c r="Z186" s="26">
        <v>46058</v>
      </c>
    </row>
    <row r="187" spans="1:26" x14ac:dyDescent="0.3">
      <c r="A187" s="50">
        <v>46058.286006944443</v>
      </c>
      <c r="B187">
        <v>2.02602050650403E+18</v>
      </c>
      <c r="C187" t="s">
        <v>3611</v>
      </c>
      <c r="D187" t="s">
        <v>3612</v>
      </c>
      <c r="E187" t="s">
        <v>3612</v>
      </c>
      <c r="F187" t="s">
        <v>3611</v>
      </c>
      <c r="G187" t="s">
        <v>3612</v>
      </c>
      <c r="H187" t="s">
        <v>3612</v>
      </c>
      <c r="I187">
        <v>16851</v>
      </c>
      <c r="J187" t="s">
        <v>3613</v>
      </c>
      <c r="K187" t="s">
        <v>3613</v>
      </c>
      <c r="L187" t="s">
        <v>2804</v>
      </c>
      <c r="M187" t="s">
        <v>2805</v>
      </c>
      <c r="N187">
        <v>54363</v>
      </c>
      <c r="O187">
        <v>45500</v>
      </c>
      <c r="P187">
        <v>1</v>
      </c>
      <c r="Q187">
        <v>0</v>
      </c>
      <c r="S187">
        <v>143790</v>
      </c>
      <c r="T187" t="s">
        <v>3614</v>
      </c>
      <c r="U187" t="s">
        <v>2807</v>
      </c>
      <c r="W187">
        <v>0</v>
      </c>
      <c r="X187">
        <v>45500</v>
      </c>
      <c r="Y187">
        <v>41363.636363636302</v>
      </c>
      <c r="Z187" s="26">
        <v>46058</v>
      </c>
    </row>
    <row r="188" spans="1:26" x14ac:dyDescent="0.3">
      <c r="A188" s="50">
        <v>46058.285937499997</v>
      </c>
      <c r="B188">
        <v>2.0260205065010701E+18</v>
      </c>
      <c r="C188" t="s">
        <v>3615</v>
      </c>
      <c r="D188" t="s">
        <v>3616</v>
      </c>
      <c r="E188" t="s">
        <v>3616</v>
      </c>
      <c r="F188" t="s">
        <v>3615</v>
      </c>
      <c r="G188" t="s">
        <v>3616</v>
      </c>
      <c r="H188" t="s">
        <v>3616</v>
      </c>
      <c r="I188">
        <v>13014</v>
      </c>
      <c r="J188" t="s">
        <v>3617</v>
      </c>
      <c r="K188" t="s">
        <v>3617</v>
      </c>
      <c r="L188" t="s">
        <v>2804</v>
      </c>
      <c r="M188" t="s">
        <v>2805</v>
      </c>
      <c r="N188">
        <v>54363</v>
      </c>
      <c r="O188">
        <v>45500</v>
      </c>
      <c r="P188">
        <v>1</v>
      </c>
      <c r="Q188">
        <v>0</v>
      </c>
      <c r="S188">
        <v>143790</v>
      </c>
      <c r="T188" t="s">
        <v>3618</v>
      </c>
      <c r="U188" t="s">
        <v>2807</v>
      </c>
      <c r="W188">
        <v>0</v>
      </c>
      <c r="X188">
        <v>45500</v>
      </c>
      <c r="Y188">
        <v>41363.636363636302</v>
      </c>
      <c r="Z188" s="26">
        <v>46058</v>
      </c>
    </row>
    <row r="189" spans="1:26" x14ac:dyDescent="0.3">
      <c r="A189" s="50">
        <v>46058.285694444443</v>
      </c>
      <c r="B189">
        <v>2.02602050645469E+18</v>
      </c>
      <c r="C189" t="s">
        <v>3619</v>
      </c>
      <c r="D189" t="s">
        <v>3620</v>
      </c>
      <c r="E189" t="s">
        <v>3620</v>
      </c>
      <c r="F189" t="s">
        <v>3619</v>
      </c>
      <c r="G189" t="s">
        <v>3620</v>
      </c>
      <c r="H189" t="s">
        <v>3620</v>
      </c>
      <c r="I189">
        <v>1850</v>
      </c>
      <c r="J189" t="s">
        <v>3621</v>
      </c>
      <c r="K189" t="s">
        <v>3621</v>
      </c>
      <c r="L189" t="s">
        <v>2804</v>
      </c>
      <c r="M189" t="s">
        <v>2805</v>
      </c>
      <c r="N189">
        <v>54363</v>
      </c>
      <c r="O189">
        <v>45500</v>
      </c>
      <c r="P189">
        <v>1</v>
      </c>
      <c r="Q189">
        <v>0</v>
      </c>
      <c r="S189">
        <v>143790</v>
      </c>
      <c r="T189" t="s">
        <v>3622</v>
      </c>
      <c r="U189" t="s">
        <v>2807</v>
      </c>
      <c r="W189">
        <v>0</v>
      </c>
      <c r="X189">
        <v>45500</v>
      </c>
      <c r="Y189">
        <v>41363.636363636302</v>
      </c>
      <c r="Z189" s="26">
        <v>46058</v>
      </c>
    </row>
    <row r="190" spans="1:26" x14ac:dyDescent="0.3">
      <c r="A190" s="50">
        <v>46058.285671296297</v>
      </c>
      <c r="B190">
        <v>2.02602050649357E+18</v>
      </c>
      <c r="C190" t="s">
        <v>3623</v>
      </c>
      <c r="D190" t="s">
        <v>3624</v>
      </c>
      <c r="E190" t="s">
        <v>3624</v>
      </c>
      <c r="F190" t="s">
        <v>3623</v>
      </c>
      <c r="G190" t="s">
        <v>3624</v>
      </c>
      <c r="H190" t="s">
        <v>3624</v>
      </c>
      <c r="I190">
        <v>12546</v>
      </c>
      <c r="J190" t="s">
        <v>3625</v>
      </c>
      <c r="K190" t="s">
        <v>3625</v>
      </c>
      <c r="L190" t="s">
        <v>2804</v>
      </c>
      <c r="M190" t="s">
        <v>2805</v>
      </c>
      <c r="N190">
        <v>54363</v>
      </c>
      <c r="O190">
        <v>45500</v>
      </c>
      <c r="P190">
        <v>1</v>
      </c>
      <c r="Q190">
        <v>0</v>
      </c>
      <c r="S190">
        <v>143790</v>
      </c>
      <c r="T190" t="s">
        <v>3626</v>
      </c>
      <c r="U190" t="s">
        <v>2807</v>
      </c>
      <c r="W190">
        <v>0</v>
      </c>
      <c r="X190">
        <v>45500</v>
      </c>
      <c r="Y190">
        <v>41363.636363636302</v>
      </c>
      <c r="Z190" s="26">
        <v>46058</v>
      </c>
    </row>
    <row r="191" spans="1:26" x14ac:dyDescent="0.3">
      <c r="A191" s="50">
        <v>46058.285428240742</v>
      </c>
      <c r="B191">
        <v>2.02602050646371E+18</v>
      </c>
      <c r="C191" t="s">
        <v>3627</v>
      </c>
      <c r="D191" t="s">
        <v>3628</v>
      </c>
      <c r="E191" t="s">
        <v>3628</v>
      </c>
      <c r="F191" t="s">
        <v>3627</v>
      </c>
      <c r="G191" t="s">
        <v>3628</v>
      </c>
      <c r="H191" t="s">
        <v>3628</v>
      </c>
      <c r="I191">
        <v>3357</v>
      </c>
      <c r="J191" t="s">
        <v>3629</v>
      </c>
      <c r="K191" t="s">
        <v>3629</v>
      </c>
      <c r="L191" t="s">
        <v>2804</v>
      </c>
      <c r="M191" t="s">
        <v>2805</v>
      </c>
      <c r="N191">
        <v>54363</v>
      </c>
      <c r="O191">
        <v>45500</v>
      </c>
      <c r="P191">
        <v>1</v>
      </c>
      <c r="Q191">
        <v>0</v>
      </c>
      <c r="R191" t="s">
        <v>3630</v>
      </c>
      <c r="S191">
        <v>143790</v>
      </c>
      <c r="T191" t="s">
        <v>3631</v>
      </c>
      <c r="U191" t="s">
        <v>2807</v>
      </c>
      <c r="W191">
        <v>0</v>
      </c>
      <c r="X191">
        <v>45500</v>
      </c>
      <c r="Y191">
        <v>41363.636363636302</v>
      </c>
      <c r="Z191" s="26">
        <v>46058</v>
      </c>
    </row>
    <row r="192" spans="1:26" x14ac:dyDescent="0.3">
      <c r="A192" s="50">
        <v>46058.285428240742</v>
      </c>
      <c r="B192">
        <v>2.02602050648208E+18</v>
      </c>
      <c r="C192" t="s">
        <v>3632</v>
      </c>
      <c r="D192" t="s">
        <v>3633</v>
      </c>
      <c r="E192" t="s">
        <v>3633</v>
      </c>
      <c r="F192" t="s">
        <v>3634</v>
      </c>
      <c r="G192" t="s">
        <v>3635</v>
      </c>
      <c r="H192" t="s">
        <v>3635</v>
      </c>
      <c r="I192">
        <v>52006</v>
      </c>
      <c r="J192" t="s">
        <v>3636</v>
      </c>
      <c r="K192" t="s">
        <v>3636</v>
      </c>
      <c r="L192" t="s">
        <v>2804</v>
      </c>
      <c r="M192" t="s">
        <v>2805</v>
      </c>
      <c r="N192">
        <v>54363</v>
      </c>
      <c r="O192">
        <v>45500</v>
      </c>
      <c r="P192">
        <v>1</v>
      </c>
      <c r="Q192">
        <v>0</v>
      </c>
      <c r="S192">
        <v>143790</v>
      </c>
      <c r="T192" t="s">
        <v>3637</v>
      </c>
      <c r="U192" t="s">
        <v>2807</v>
      </c>
      <c r="W192">
        <v>0</v>
      </c>
      <c r="X192">
        <v>45500</v>
      </c>
      <c r="Y192">
        <v>41363.636363636302</v>
      </c>
      <c r="Z192" s="26">
        <v>46058</v>
      </c>
    </row>
    <row r="193" spans="1:26" x14ac:dyDescent="0.3">
      <c r="A193" s="50">
        <v>46058.285370370373</v>
      </c>
      <c r="B193">
        <v>2.0260205064959501E+18</v>
      </c>
      <c r="C193" t="s">
        <v>3638</v>
      </c>
      <c r="D193" t="s">
        <v>3639</v>
      </c>
      <c r="E193" t="s">
        <v>3639</v>
      </c>
      <c r="F193" t="s">
        <v>3638</v>
      </c>
      <c r="G193" t="s">
        <v>3639</v>
      </c>
      <c r="H193" t="s">
        <v>3639</v>
      </c>
      <c r="I193">
        <v>51312</v>
      </c>
      <c r="J193" t="s">
        <v>3640</v>
      </c>
      <c r="K193" t="s">
        <v>3640</v>
      </c>
      <c r="L193" t="s">
        <v>2804</v>
      </c>
      <c r="M193" t="s">
        <v>2805</v>
      </c>
      <c r="N193">
        <v>54363</v>
      </c>
      <c r="O193">
        <v>45500</v>
      </c>
      <c r="P193">
        <v>1</v>
      </c>
      <c r="Q193">
        <v>0</v>
      </c>
      <c r="S193">
        <v>143790</v>
      </c>
      <c r="T193" t="s">
        <v>3641</v>
      </c>
      <c r="U193" t="s">
        <v>2807</v>
      </c>
      <c r="W193">
        <v>0</v>
      </c>
      <c r="X193">
        <v>45500</v>
      </c>
      <c r="Y193">
        <v>41363.636363636302</v>
      </c>
      <c r="Z193" s="26">
        <v>46058</v>
      </c>
    </row>
    <row r="194" spans="1:26" x14ac:dyDescent="0.3">
      <c r="A194" s="50">
        <v>46058.285162037035</v>
      </c>
      <c r="B194">
        <v>2.02602050649408E+18</v>
      </c>
      <c r="C194" t="s">
        <v>3642</v>
      </c>
      <c r="D194" t="s">
        <v>3643</v>
      </c>
      <c r="E194" t="s">
        <v>3643</v>
      </c>
      <c r="F194" t="s">
        <v>3642</v>
      </c>
      <c r="G194" t="s">
        <v>3643</v>
      </c>
      <c r="H194" t="s">
        <v>3643</v>
      </c>
      <c r="I194">
        <v>21419</v>
      </c>
      <c r="J194" t="s">
        <v>3644</v>
      </c>
      <c r="K194" t="s">
        <v>3644</v>
      </c>
      <c r="L194" t="s">
        <v>2804</v>
      </c>
      <c r="M194" t="s">
        <v>2805</v>
      </c>
      <c r="N194">
        <v>54363</v>
      </c>
      <c r="O194">
        <v>45500</v>
      </c>
      <c r="P194">
        <v>1</v>
      </c>
      <c r="Q194">
        <v>0</v>
      </c>
      <c r="R194" t="s">
        <v>3645</v>
      </c>
      <c r="S194">
        <v>143790</v>
      </c>
      <c r="T194" t="s">
        <v>3646</v>
      </c>
      <c r="U194" t="s">
        <v>2807</v>
      </c>
      <c r="W194">
        <v>0</v>
      </c>
      <c r="X194">
        <v>45500</v>
      </c>
      <c r="Y194">
        <v>41363.636363636302</v>
      </c>
      <c r="Z194" s="26">
        <v>46058</v>
      </c>
    </row>
    <row r="195" spans="1:26" x14ac:dyDescent="0.3">
      <c r="A195" s="50">
        <v>46058.284895833334</v>
      </c>
      <c r="B195">
        <v>2.02602050649362E+18</v>
      </c>
      <c r="C195" t="s">
        <v>3647</v>
      </c>
      <c r="D195" t="s">
        <v>3648</v>
      </c>
      <c r="E195" t="s">
        <v>3648</v>
      </c>
      <c r="F195" t="s">
        <v>3647</v>
      </c>
      <c r="G195" t="s">
        <v>3648</v>
      </c>
      <c r="H195" t="s">
        <v>3648</v>
      </c>
      <c r="I195">
        <v>42114</v>
      </c>
      <c r="J195" t="s">
        <v>3649</v>
      </c>
      <c r="K195" t="s">
        <v>3649</v>
      </c>
      <c r="L195" t="s">
        <v>2804</v>
      </c>
      <c r="M195" t="s">
        <v>2805</v>
      </c>
      <c r="N195">
        <v>54363</v>
      </c>
      <c r="O195">
        <v>45500</v>
      </c>
      <c r="P195">
        <v>1</v>
      </c>
      <c r="Q195">
        <v>0</v>
      </c>
      <c r="S195">
        <v>143790</v>
      </c>
      <c r="T195" t="s">
        <v>3650</v>
      </c>
      <c r="U195" t="s">
        <v>2807</v>
      </c>
      <c r="W195">
        <v>0</v>
      </c>
      <c r="X195">
        <v>45500</v>
      </c>
      <c r="Y195">
        <v>41363.636363636302</v>
      </c>
      <c r="Z195" s="26">
        <v>46058</v>
      </c>
    </row>
    <row r="196" spans="1:26" x14ac:dyDescent="0.3">
      <c r="A196" s="50">
        <v>46058.28465277778</v>
      </c>
      <c r="B196">
        <v>2.02602050648493E+18</v>
      </c>
      <c r="C196" t="s">
        <v>3651</v>
      </c>
      <c r="D196" t="s">
        <v>3652</v>
      </c>
      <c r="E196" t="s">
        <v>3652</v>
      </c>
      <c r="F196" t="s">
        <v>3651</v>
      </c>
      <c r="G196" t="s">
        <v>3652</v>
      </c>
      <c r="H196" t="s">
        <v>3652</v>
      </c>
      <c r="I196">
        <v>28413</v>
      </c>
      <c r="J196" t="s">
        <v>3653</v>
      </c>
      <c r="K196" t="s">
        <v>3653</v>
      </c>
      <c r="L196" t="s">
        <v>2804</v>
      </c>
      <c r="M196" t="s">
        <v>2805</v>
      </c>
      <c r="N196">
        <v>54363</v>
      </c>
      <c r="O196">
        <v>45500</v>
      </c>
      <c r="P196">
        <v>1</v>
      </c>
      <c r="Q196">
        <v>0</v>
      </c>
      <c r="S196">
        <v>143790</v>
      </c>
      <c r="T196" t="s">
        <v>3654</v>
      </c>
      <c r="U196" t="s">
        <v>2807</v>
      </c>
      <c r="W196">
        <v>0</v>
      </c>
      <c r="X196">
        <v>45500</v>
      </c>
      <c r="Y196">
        <v>41363.636363636302</v>
      </c>
      <c r="Z196" s="26">
        <v>46058</v>
      </c>
    </row>
    <row r="197" spans="1:26" x14ac:dyDescent="0.3">
      <c r="A197" s="50">
        <v>46058.284120370372</v>
      </c>
      <c r="B197">
        <v>2.02602050647538E+18</v>
      </c>
      <c r="C197" t="s">
        <v>3655</v>
      </c>
      <c r="D197" t="s">
        <v>3656</v>
      </c>
      <c r="E197" t="s">
        <v>3656</v>
      </c>
      <c r="F197" t="s">
        <v>3657</v>
      </c>
      <c r="G197" t="s">
        <v>3658</v>
      </c>
      <c r="H197" t="s">
        <v>3658</v>
      </c>
      <c r="I197">
        <v>12913</v>
      </c>
      <c r="J197" t="s">
        <v>3659</v>
      </c>
      <c r="K197" t="s">
        <v>3659</v>
      </c>
      <c r="L197" t="s">
        <v>2804</v>
      </c>
      <c r="M197" t="s">
        <v>2805</v>
      </c>
      <c r="N197">
        <v>54363</v>
      </c>
      <c r="O197">
        <v>45500</v>
      </c>
      <c r="P197">
        <v>1</v>
      </c>
      <c r="Q197">
        <v>0</v>
      </c>
      <c r="S197">
        <v>143790</v>
      </c>
      <c r="T197" t="s">
        <v>3660</v>
      </c>
      <c r="U197" t="s">
        <v>2807</v>
      </c>
      <c r="W197">
        <v>0</v>
      </c>
      <c r="X197">
        <v>45500</v>
      </c>
      <c r="Y197">
        <v>41363.636363636302</v>
      </c>
      <c r="Z197" s="26">
        <v>46058</v>
      </c>
    </row>
    <row r="198" spans="1:26" x14ac:dyDescent="0.3">
      <c r="A198" s="50">
        <v>46058.284108796295</v>
      </c>
      <c r="B198">
        <v>2.0260205064813199E+18</v>
      </c>
      <c r="C198" t="s">
        <v>3661</v>
      </c>
      <c r="D198" t="s">
        <v>3662</v>
      </c>
      <c r="E198" t="s">
        <v>3662</v>
      </c>
      <c r="F198" t="s">
        <v>3661</v>
      </c>
      <c r="G198" t="s">
        <v>3662</v>
      </c>
      <c r="H198" t="s">
        <v>3662</v>
      </c>
      <c r="I198">
        <v>6352</v>
      </c>
      <c r="J198" t="s">
        <v>3663</v>
      </c>
      <c r="K198" t="s">
        <v>3663</v>
      </c>
      <c r="L198" t="s">
        <v>2804</v>
      </c>
      <c r="M198" t="s">
        <v>2805</v>
      </c>
      <c r="N198">
        <v>54363</v>
      </c>
      <c r="O198">
        <v>45500</v>
      </c>
      <c r="P198">
        <v>1</v>
      </c>
      <c r="Q198">
        <v>0</v>
      </c>
      <c r="S198">
        <v>143790</v>
      </c>
      <c r="T198" t="s">
        <v>3664</v>
      </c>
      <c r="U198" t="s">
        <v>2807</v>
      </c>
      <c r="W198">
        <v>0</v>
      </c>
      <c r="X198">
        <v>45500</v>
      </c>
      <c r="Y198">
        <v>41363.636363636302</v>
      </c>
      <c r="Z198" s="26">
        <v>46058</v>
      </c>
    </row>
    <row r="199" spans="1:26" x14ac:dyDescent="0.3">
      <c r="A199" s="50">
        <v>46058.284039351849</v>
      </c>
      <c r="B199">
        <v>2.0260205064650601E+18</v>
      </c>
      <c r="C199" t="s">
        <v>3665</v>
      </c>
      <c r="D199" t="s">
        <v>3666</v>
      </c>
      <c r="E199" t="s">
        <v>3666</v>
      </c>
      <c r="F199" t="s">
        <v>3665</v>
      </c>
      <c r="G199" t="s">
        <v>3666</v>
      </c>
      <c r="H199" t="s">
        <v>3666</v>
      </c>
      <c r="I199">
        <v>2748</v>
      </c>
      <c r="J199" t="s">
        <v>3667</v>
      </c>
      <c r="K199" t="s">
        <v>3667</v>
      </c>
      <c r="L199" t="s">
        <v>2804</v>
      </c>
      <c r="M199" t="s">
        <v>2805</v>
      </c>
      <c r="N199">
        <v>54363</v>
      </c>
      <c r="O199">
        <v>45500</v>
      </c>
      <c r="P199">
        <v>1</v>
      </c>
      <c r="Q199">
        <v>0</v>
      </c>
      <c r="S199">
        <v>143790</v>
      </c>
      <c r="T199" t="s">
        <v>3668</v>
      </c>
      <c r="U199" t="s">
        <v>2807</v>
      </c>
      <c r="W199">
        <v>0</v>
      </c>
      <c r="X199">
        <v>45500</v>
      </c>
      <c r="Y199">
        <v>41363.636363636302</v>
      </c>
      <c r="Z199" s="26">
        <v>46058</v>
      </c>
    </row>
    <row r="200" spans="1:26" x14ac:dyDescent="0.3">
      <c r="A200" s="50">
        <v>46058.283750000002</v>
      </c>
      <c r="B200">
        <v>2.0260205064629499E+18</v>
      </c>
      <c r="C200" t="s">
        <v>3669</v>
      </c>
      <c r="D200" t="s">
        <v>3670</v>
      </c>
      <c r="E200" t="s">
        <v>3670</v>
      </c>
      <c r="F200" t="s">
        <v>3669</v>
      </c>
      <c r="G200" t="s">
        <v>3670</v>
      </c>
      <c r="H200" t="s">
        <v>3670</v>
      </c>
      <c r="I200">
        <v>5594</v>
      </c>
      <c r="J200" t="s">
        <v>3671</v>
      </c>
      <c r="K200" t="s">
        <v>3671</v>
      </c>
      <c r="L200" t="s">
        <v>2804</v>
      </c>
      <c r="M200" t="s">
        <v>2805</v>
      </c>
      <c r="N200">
        <v>54363</v>
      </c>
      <c r="O200">
        <v>45500</v>
      </c>
      <c r="P200">
        <v>1</v>
      </c>
      <c r="Q200">
        <v>0</v>
      </c>
      <c r="S200">
        <v>143790</v>
      </c>
      <c r="T200" t="s">
        <v>3672</v>
      </c>
      <c r="U200" t="s">
        <v>2807</v>
      </c>
      <c r="W200">
        <v>0</v>
      </c>
      <c r="X200">
        <v>45500</v>
      </c>
      <c r="Y200">
        <v>41363.636363636302</v>
      </c>
      <c r="Z200" s="26">
        <v>46058</v>
      </c>
    </row>
    <row r="201" spans="1:26" x14ac:dyDescent="0.3">
      <c r="A201" s="50">
        <v>46058.283333333333</v>
      </c>
      <c r="B201">
        <v>2.0260205064739E+18</v>
      </c>
      <c r="C201" t="s">
        <v>3673</v>
      </c>
      <c r="D201" t="s">
        <v>3674</v>
      </c>
      <c r="E201" t="s">
        <v>3674</v>
      </c>
      <c r="F201" t="s">
        <v>3673</v>
      </c>
      <c r="G201" t="s">
        <v>3674</v>
      </c>
      <c r="H201" t="s">
        <v>3674</v>
      </c>
      <c r="I201">
        <v>4360</v>
      </c>
      <c r="J201" t="s">
        <v>3675</v>
      </c>
      <c r="K201" t="s">
        <v>3675</v>
      </c>
      <c r="L201" t="s">
        <v>2804</v>
      </c>
      <c r="M201" t="s">
        <v>2805</v>
      </c>
      <c r="N201">
        <v>54363</v>
      </c>
      <c r="O201">
        <v>45500</v>
      </c>
      <c r="P201">
        <v>1</v>
      </c>
      <c r="Q201">
        <v>0</v>
      </c>
      <c r="S201">
        <v>143790</v>
      </c>
      <c r="T201" t="s">
        <v>3676</v>
      </c>
      <c r="U201" t="s">
        <v>2807</v>
      </c>
      <c r="W201">
        <v>0</v>
      </c>
      <c r="X201">
        <v>45500</v>
      </c>
      <c r="Y201">
        <v>41363.636363636302</v>
      </c>
      <c r="Z201" s="26">
        <v>46058</v>
      </c>
    </row>
    <row r="202" spans="1:26" x14ac:dyDescent="0.3">
      <c r="A202" s="50">
        <v>46058.283263888887</v>
      </c>
      <c r="B202">
        <v>2.0260205064643699E+18</v>
      </c>
      <c r="C202" t="s">
        <v>3677</v>
      </c>
      <c r="D202" t="s">
        <v>3678</v>
      </c>
      <c r="E202" t="s">
        <v>3678</v>
      </c>
      <c r="F202" t="s">
        <v>3677</v>
      </c>
      <c r="G202" t="s">
        <v>3678</v>
      </c>
      <c r="H202" t="s">
        <v>3678</v>
      </c>
      <c r="I202">
        <v>55152</v>
      </c>
      <c r="J202" t="s">
        <v>3679</v>
      </c>
      <c r="K202" t="s">
        <v>3679</v>
      </c>
      <c r="L202" t="s">
        <v>2804</v>
      </c>
      <c r="M202" t="s">
        <v>2805</v>
      </c>
      <c r="N202">
        <v>54363</v>
      </c>
      <c r="O202">
        <v>45500</v>
      </c>
      <c r="P202">
        <v>1</v>
      </c>
      <c r="Q202">
        <v>0</v>
      </c>
      <c r="S202">
        <v>143790</v>
      </c>
      <c r="T202" t="s">
        <v>3680</v>
      </c>
      <c r="U202" t="s">
        <v>2807</v>
      </c>
      <c r="W202">
        <v>0</v>
      </c>
      <c r="X202">
        <v>45500</v>
      </c>
      <c r="Y202">
        <v>41363.636363636302</v>
      </c>
      <c r="Z202" s="26">
        <v>46058</v>
      </c>
    </row>
    <row r="203" spans="1:26" x14ac:dyDescent="0.3">
      <c r="A203" s="50">
        <v>46058.283182870371</v>
      </c>
      <c r="B203">
        <v>2.0260205064620001E+18</v>
      </c>
      <c r="C203" t="s">
        <v>3681</v>
      </c>
      <c r="D203" t="s">
        <v>3682</v>
      </c>
      <c r="E203" t="s">
        <v>3682</v>
      </c>
      <c r="F203" t="s">
        <v>3681</v>
      </c>
      <c r="G203" t="s">
        <v>3682</v>
      </c>
      <c r="H203" t="s">
        <v>3682</v>
      </c>
      <c r="I203">
        <v>46762</v>
      </c>
      <c r="J203" t="s">
        <v>3683</v>
      </c>
      <c r="K203" t="s">
        <v>3683</v>
      </c>
      <c r="L203" t="s">
        <v>2804</v>
      </c>
      <c r="M203" t="s">
        <v>2805</v>
      </c>
      <c r="N203">
        <v>54363</v>
      </c>
      <c r="O203">
        <v>45500</v>
      </c>
      <c r="P203">
        <v>1</v>
      </c>
      <c r="Q203">
        <v>0</v>
      </c>
      <c r="S203">
        <v>143790</v>
      </c>
      <c r="T203" t="s">
        <v>3684</v>
      </c>
      <c r="U203" t="s">
        <v>2807</v>
      </c>
      <c r="W203">
        <v>0</v>
      </c>
      <c r="X203">
        <v>45500</v>
      </c>
      <c r="Y203">
        <v>41363.636363636302</v>
      </c>
      <c r="Z203" s="26">
        <v>46058</v>
      </c>
    </row>
    <row r="204" spans="1:26" x14ac:dyDescent="0.3">
      <c r="A204" s="50">
        <v>46058.283171296294</v>
      </c>
      <c r="B204">
        <v>2.0260205064609101E+18</v>
      </c>
      <c r="C204" t="s">
        <v>3685</v>
      </c>
      <c r="D204" t="s">
        <v>3686</v>
      </c>
      <c r="E204" t="s">
        <v>3686</v>
      </c>
      <c r="F204" t="s">
        <v>3687</v>
      </c>
      <c r="G204" t="s">
        <v>3686</v>
      </c>
      <c r="H204" t="s">
        <v>3686</v>
      </c>
      <c r="I204">
        <v>28809</v>
      </c>
      <c r="J204" t="s">
        <v>3688</v>
      </c>
      <c r="K204" t="s">
        <v>3688</v>
      </c>
      <c r="L204" t="s">
        <v>2804</v>
      </c>
      <c r="M204" t="s">
        <v>2805</v>
      </c>
      <c r="N204">
        <v>108726</v>
      </c>
      <c r="O204">
        <v>45500</v>
      </c>
      <c r="P204">
        <v>2</v>
      </c>
      <c r="Q204">
        <v>0</v>
      </c>
      <c r="S204">
        <v>143790</v>
      </c>
      <c r="T204" t="s">
        <v>3689</v>
      </c>
      <c r="U204" t="s">
        <v>2807</v>
      </c>
      <c r="W204">
        <v>0</v>
      </c>
      <c r="X204">
        <v>91000</v>
      </c>
      <c r="Y204">
        <v>82727.272727272706</v>
      </c>
      <c r="Z204" s="26">
        <v>46058</v>
      </c>
    </row>
    <row r="205" spans="1:26" x14ac:dyDescent="0.3">
      <c r="A205" s="50">
        <v>46058.283067129632</v>
      </c>
      <c r="B205">
        <v>2.02602050645055E+18</v>
      </c>
      <c r="C205" t="s">
        <v>3655</v>
      </c>
      <c r="D205" t="s">
        <v>3656</v>
      </c>
      <c r="E205" t="s">
        <v>3656</v>
      </c>
      <c r="F205" t="s">
        <v>3690</v>
      </c>
      <c r="G205" t="s">
        <v>3691</v>
      </c>
      <c r="H205" t="s">
        <v>3691</v>
      </c>
      <c r="I205">
        <v>2210</v>
      </c>
      <c r="J205" t="s">
        <v>3692</v>
      </c>
      <c r="K205" t="s">
        <v>3692</v>
      </c>
      <c r="L205" t="s">
        <v>2804</v>
      </c>
      <c r="M205" t="s">
        <v>2805</v>
      </c>
      <c r="N205">
        <v>54363</v>
      </c>
      <c r="O205">
        <v>45500</v>
      </c>
      <c r="P205">
        <v>1</v>
      </c>
      <c r="Q205">
        <v>0</v>
      </c>
      <c r="S205">
        <v>143790</v>
      </c>
      <c r="T205" t="s">
        <v>3693</v>
      </c>
      <c r="U205" t="s">
        <v>2807</v>
      </c>
      <c r="W205">
        <v>0</v>
      </c>
      <c r="X205">
        <v>45500</v>
      </c>
      <c r="Y205">
        <v>41363.636363636302</v>
      </c>
      <c r="Z205" s="26">
        <v>46058</v>
      </c>
    </row>
    <row r="206" spans="1:26" x14ac:dyDescent="0.3">
      <c r="A206" s="50">
        <v>46058.282187500001</v>
      </c>
      <c r="B206">
        <v>2.0260205064541299E+18</v>
      </c>
      <c r="C206" t="s">
        <v>3694</v>
      </c>
      <c r="D206" t="s">
        <v>3695</v>
      </c>
      <c r="E206" t="s">
        <v>3695</v>
      </c>
      <c r="F206" t="s">
        <v>3694</v>
      </c>
      <c r="G206" t="s">
        <v>3695</v>
      </c>
      <c r="H206" t="s">
        <v>3695</v>
      </c>
      <c r="I206">
        <v>61754</v>
      </c>
      <c r="J206" t="s">
        <v>3696</v>
      </c>
      <c r="K206" t="s">
        <v>3696</v>
      </c>
      <c r="L206" t="s">
        <v>2804</v>
      </c>
      <c r="M206" t="s">
        <v>2805</v>
      </c>
      <c r="N206">
        <v>54363</v>
      </c>
      <c r="O206">
        <v>45500</v>
      </c>
      <c r="P206">
        <v>1</v>
      </c>
      <c r="Q206">
        <v>0</v>
      </c>
      <c r="S206">
        <v>143790</v>
      </c>
      <c r="T206" t="s">
        <v>3697</v>
      </c>
      <c r="U206" t="s">
        <v>2807</v>
      </c>
      <c r="W206">
        <v>0</v>
      </c>
      <c r="X206">
        <v>45500</v>
      </c>
      <c r="Y206">
        <v>41363.636363636302</v>
      </c>
      <c r="Z206" s="26">
        <v>46058</v>
      </c>
    </row>
    <row r="207" spans="1:26" x14ac:dyDescent="0.3">
      <c r="A207" s="50">
        <v>46058.278703703705</v>
      </c>
      <c r="B207">
        <v>2.02602050640286E+18</v>
      </c>
      <c r="C207" t="s">
        <v>3698</v>
      </c>
      <c r="D207" t="s">
        <v>3699</v>
      </c>
      <c r="E207" t="s">
        <v>3699</v>
      </c>
      <c r="F207" t="s">
        <v>3698</v>
      </c>
      <c r="G207" t="s">
        <v>3699</v>
      </c>
      <c r="H207" t="s">
        <v>3699</v>
      </c>
      <c r="I207">
        <v>7270</v>
      </c>
      <c r="J207" t="s">
        <v>3700</v>
      </c>
      <c r="K207" t="s">
        <v>3700</v>
      </c>
      <c r="L207" t="s">
        <v>2804</v>
      </c>
      <c r="M207" t="s">
        <v>2805</v>
      </c>
      <c r="N207">
        <v>54363</v>
      </c>
      <c r="O207">
        <v>45500</v>
      </c>
      <c r="P207">
        <v>1</v>
      </c>
      <c r="Q207">
        <v>0</v>
      </c>
      <c r="S207">
        <v>143790</v>
      </c>
      <c r="T207" t="s">
        <v>3701</v>
      </c>
      <c r="U207" t="s">
        <v>2807</v>
      </c>
      <c r="W207">
        <v>0</v>
      </c>
      <c r="X207">
        <v>45500</v>
      </c>
      <c r="Y207">
        <v>41363.636363636302</v>
      </c>
      <c r="Z207" s="26">
        <v>46058</v>
      </c>
    </row>
    <row r="208" spans="1:26" x14ac:dyDescent="0.3">
      <c r="A208" s="50">
        <v>46058.269363425927</v>
      </c>
      <c r="B208">
        <v>2.02602050627166E+18</v>
      </c>
      <c r="C208" t="s">
        <v>3702</v>
      </c>
      <c r="D208" t="s">
        <v>3703</v>
      </c>
      <c r="E208" t="s">
        <v>3703</v>
      </c>
      <c r="F208" t="s">
        <v>3702</v>
      </c>
      <c r="G208" t="s">
        <v>3703</v>
      </c>
      <c r="H208" t="s">
        <v>3703</v>
      </c>
      <c r="I208">
        <v>13608</v>
      </c>
      <c r="J208" t="s">
        <v>3704</v>
      </c>
      <c r="K208" t="s">
        <v>3704</v>
      </c>
      <c r="L208" t="s">
        <v>2804</v>
      </c>
      <c r="M208" t="s">
        <v>2805</v>
      </c>
      <c r="N208">
        <v>54363</v>
      </c>
      <c r="O208">
        <v>45500</v>
      </c>
      <c r="P208">
        <v>1</v>
      </c>
      <c r="Q208">
        <v>0</v>
      </c>
      <c r="S208">
        <v>143790</v>
      </c>
      <c r="T208" t="s">
        <v>3705</v>
      </c>
      <c r="U208" t="s">
        <v>2807</v>
      </c>
      <c r="W208">
        <v>0</v>
      </c>
      <c r="X208">
        <v>45500</v>
      </c>
      <c r="Y208">
        <v>41363.636363636302</v>
      </c>
      <c r="Z208" s="26">
        <v>46058</v>
      </c>
    </row>
    <row r="209" spans="1:26" x14ac:dyDescent="0.3">
      <c r="A209" s="50">
        <v>46058.261689814812</v>
      </c>
      <c r="B209">
        <v>2.02602050614579E+18</v>
      </c>
      <c r="C209" t="s">
        <v>3706</v>
      </c>
      <c r="D209" t="s">
        <v>3707</v>
      </c>
      <c r="E209" t="s">
        <v>3707</v>
      </c>
      <c r="F209" t="s">
        <v>3706</v>
      </c>
      <c r="G209" t="s">
        <v>3707</v>
      </c>
      <c r="H209" t="s">
        <v>3707</v>
      </c>
      <c r="I209">
        <v>61031</v>
      </c>
      <c r="J209" t="s">
        <v>3708</v>
      </c>
      <c r="K209" t="s">
        <v>3708</v>
      </c>
      <c r="L209" t="s">
        <v>2804</v>
      </c>
      <c r="M209" t="s">
        <v>2805</v>
      </c>
      <c r="N209">
        <v>54363</v>
      </c>
      <c r="O209">
        <v>45500</v>
      </c>
      <c r="P209">
        <v>1</v>
      </c>
      <c r="Q209">
        <v>0</v>
      </c>
      <c r="S209">
        <v>143790</v>
      </c>
      <c r="T209" t="s">
        <v>3709</v>
      </c>
      <c r="U209" t="s">
        <v>2807</v>
      </c>
      <c r="W209">
        <v>0</v>
      </c>
      <c r="X209">
        <v>45500</v>
      </c>
      <c r="Y209">
        <v>41363.636363636302</v>
      </c>
      <c r="Z209" s="26">
        <v>46058</v>
      </c>
    </row>
    <row r="210" spans="1:26" x14ac:dyDescent="0.3">
      <c r="A210" s="50">
        <v>46058.200115740743</v>
      </c>
      <c r="B210">
        <v>2.0260205044730801E+18</v>
      </c>
      <c r="C210" t="s">
        <v>3710</v>
      </c>
      <c r="D210" t="s">
        <v>3711</v>
      </c>
      <c r="E210" t="s">
        <v>3711</v>
      </c>
      <c r="F210" t="s">
        <v>3710</v>
      </c>
      <c r="G210" t="s">
        <v>3711</v>
      </c>
      <c r="H210" t="s">
        <v>3711</v>
      </c>
      <c r="I210">
        <v>13995</v>
      </c>
      <c r="J210" t="s">
        <v>3712</v>
      </c>
      <c r="K210" t="s">
        <v>3712</v>
      </c>
      <c r="L210" t="s">
        <v>2804</v>
      </c>
      <c r="M210" t="s">
        <v>2805</v>
      </c>
      <c r="N210">
        <v>54363</v>
      </c>
      <c r="O210">
        <v>45500</v>
      </c>
      <c r="P210">
        <v>1</v>
      </c>
      <c r="Q210">
        <v>0</v>
      </c>
      <c r="S210">
        <v>143790</v>
      </c>
      <c r="T210" t="s">
        <v>3713</v>
      </c>
      <c r="U210" t="s">
        <v>2807</v>
      </c>
      <c r="W210">
        <v>0</v>
      </c>
      <c r="X210">
        <v>45500</v>
      </c>
      <c r="Y210">
        <v>41363.636363636302</v>
      </c>
      <c r="Z210" s="26">
        <v>46058</v>
      </c>
    </row>
    <row r="211" spans="1:26" x14ac:dyDescent="0.3">
      <c r="A211" s="50">
        <v>46058.149467592593</v>
      </c>
      <c r="B211">
        <v>2.0260205033429199E+18</v>
      </c>
      <c r="C211" t="s">
        <v>3714</v>
      </c>
      <c r="D211" t="s">
        <v>3715</v>
      </c>
      <c r="E211" t="s">
        <v>3715</v>
      </c>
      <c r="F211" t="s">
        <v>3714</v>
      </c>
      <c r="G211" t="s">
        <v>3715</v>
      </c>
      <c r="H211" t="s">
        <v>3715</v>
      </c>
      <c r="I211">
        <v>8012</v>
      </c>
      <c r="J211" t="s">
        <v>3716</v>
      </c>
      <c r="K211" t="s">
        <v>3716</v>
      </c>
      <c r="L211" t="s">
        <v>2804</v>
      </c>
      <c r="M211" t="s">
        <v>2805</v>
      </c>
      <c r="N211">
        <v>54363</v>
      </c>
      <c r="O211">
        <v>45500</v>
      </c>
      <c r="P211">
        <v>1</v>
      </c>
      <c r="Q211">
        <v>0</v>
      </c>
      <c r="R211" t="s">
        <v>3717</v>
      </c>
      <c r="S211">
        <v>143790</v>
      </c>
      <c r="T211" t="s">
        <v>3718</v>
      </c>
      <c r="U211" t="s">
        <v>2807</v>
      </c>
      <c r="W211">
        <v>0</v>
      </c>
      <c r="X211">
        <v>45500</v>
      </c>
      <c r="Y211">
        <v>41363.636363636302</v>
      </c>
      <c r="Z211" s="26">
        <v>46058</v>
      </c>
    </row>
    <row r="212" spans="1:26" x14ac:dyDescent="0.3">
      <c r="A212" s="50">
        <v>46058.066192129627</v>
      </c>
      <c r="B212">
        <v>2.0260205013356401E+18</v>
      </c>
      <c r="C212" t="s">
        <v>3719</v>
      </c>
      <c r="D212" t="s">
        <v>3720</v>
      </c>
      <c r="E212" t="s">
        <v>3720</v>
      </c>
      <c r="F212" t="s">
        <v>3719</v>
      </c>
      <c r="G212" t="s">
        <v>3720</v>
      </c>
      <c r="H212" t="s">
        <v>3720</v>
      </c>
      <c r="I212">
        <v>42637</v>
      </c>
      <c r="J212" t="s">
        <v>3721</v>
      </c>
      <c r="K212" t="s">
        <v>3721</v>
      </c>
      <c r="L212" t="s">
        <v>2804</v>
      </c>
      <c r="M212" t="s">
        <v>2805</v>
      </c>
      <c r="N212">
        <v>54363</v>
      </c>
      <c r="O212">
        <v>45500</v>
      </c>
      <c r="P212">
        <v>1</v>
      </c>
      <c r="Q212">
        <v>0</v>
      </c>
      <c r="S212">
        <v>143790</v>
      </c>
      <c r="T212" t="s">
        <v>3722</v>
      </c>
      <c r="U212" t="s">
        <v>2807</v>
      </c>
      <c r="W212">
        <v>0</v>
      </c>
      <c r="X212">
        <v>45500</v>
      </c>
      <c r="Y212">
        <v>41363.636363636302</v>
      </c>
      <c r="Z212" s="26">
        <v>46058</v>
      </c>
    </row>
    <row r="213" spans="1:26" x14ac:dyDescent="0.3">
      <c r="A213" s="50">
        <v>46058.038287037038</v>
      </c>
      <c r="B213">
        <v>2.02602050049522E+18</v>
      </c>
      <c r="C213" t="s">
        <v>3723</v>
      </c>
      <c r="D213" t="s">
        <v>3724</v>
      </c>
      <c r="E213" t="s">
        <v>3724</v>
      </c>
      <c r="F213" t="s">
        <v>3725</v>
      </c>
      <c r="G213" t="s">
        <v>3726</v>
      </c>
      <c r="H213" t="s">
        <v>3726</v>
      </c>
      <c r="I213">
        <v>4989</v>
      </c>
      <c r="J213" t="s">
        <v>3727</v>
      </c>
      <c r="K213" t="s">
        <v>3727</v>
      </c>
      <c r="L213" t="s">
        <v>2804</v>
      </c>
      <c r="M213" t="s">
        <v>2805</v>
      </c>
      <c r="N213">
        <v>108726</v>
      </c>
      <c r="O213">
        <v>45500</v>
      </c>
      <c r="P213">
        <v>2</v>
      </c>
      <c r="Q213">
        <v>0</v>
      </c>
      <c r="R213" t="s">
        <v>3728</v>
      </c>
      <c r="S213">
        <v>143790</v>
      </c>
      <c r="T213" t="s">
        <v>3729</v>
      </c>
      <c r="U213" t="s">
        <v>2807</v>
      </c>
      <c r="W213">
        <v>0</v>
      </c>
      <c r="X213">
        <v>91000</v>
      </c>
      <c r="Y213">
        <v>82727.272727272706</v>
      </c>
      <c r="Z213" s="26">
        <v>46058</v>
      </c>
    </row>
    <row r="214" spans="1:26" x14ac:dyDescent="0.3">
      <c r="A214" s="50">
        <v>46058.015810185185</v>
      </c>
      <c r="B214">
        <v>2.0260205002215401E+18</v>
      </c>
      <c r="C214" t="s">
        <v>3730</v>
      </c>
      <c r="D214" t="s">
        <v>3731</v>
      </c>
      <c r="E214" t="s">
        <v>3731</v>
      </c>
      <c r="F214" t="s">
        <v>3730</v>
      </c>
      <c r="G214" t="s">
        <v>3731</v>
      </c>
      <c r="H214" t="s">
        <v>3731</v>
      </c>
      <c r="I214">
        <v>12097</v>
      </c>
      <c r="J214" t="s">
        <v>3732</v>
      </c>
      <c r="K214" t="s">
        <v>3732</v>
      </c>
      <c r="L214" t="s">
        <v>2804</v>
      </c>
      <c r="M214" t="s">
        <v>2805</v>
      </c>
      <c r="N214">
        <v>54363</v>
      </c>
      <c r="O214">
        <v>45500</v>
      </c>
      <c r="P214">
        <v>1</v>
      </c>
      <c r="Q214">
        <v>0</v>
      </c>
      <c r="S214">
        <v>143790</v>
      </c>
      <c r="T214" t="s">
        <v>3733</v>
      </c>
      <c r="U214" t="s">
        <v>2807</v>
      </c>
      <c r="W214">
        <v>0</v>
      </c>
      <c r="X214">
        <v>45500</v>
      </c>
      <c r="Y214">
        <v>41363.636363636302</v>
      </c>
      <c r="Z214" s="26">
        <v>46058</v>
      </c>
    </row>
    <row r="215" spans="1:26" x14ac:dyDescent="0.3">
      <c r="A215" s="50">
        <v>46057.947754629633</v>
      </c>
      <c r="B215">
        <v>2.0260204223818399E+18</v>
      </c>
      <c r="C215" t="s">
        <v>3734</v>
      </c>
      <c r="D215" t="s">
        <v>3735</v>
      </c>
      <c r="E215" t="s">
        <v>3735</v>
      </c>
      <c r="F215" t="s">
        <v>3734</v>
      </c>
      <c r="G215" t="s">
        <v>3735</v>
      </c>
      <c r="H215" t="s">
        <v>3735</v>
      </c>
      <c r="I215">
        <v>34049</v>
      </c>
      <c r="J215" t="s">
        <v>3736</v>
      </c>
      <c r="K215" t="s">
        <v>3736</v>
      </c>
      <c r="L215" t="s">
        <v>2804</v>
      </c>
      <c r="M215" t="s">
        <v>2805</v>
      </c>
      <c r="N215">
        <v>54363</v>
      </c>
      <c r="O215">
        <v>45500</v>
      </c>
      <c r="P215">
        <v>1</v>
      </c>
      <c r="Q215">
        <v>0</v>
      </c>
      <c r="R215" t="s">
        <v>3737</v>
      </c>
      <c r="S215">
        <v>143790</v>
      </c>
      <c r="T215" t="s">
        <v>3738</v>
      </c>
      <c r="U215" t="s">
        <v>2807</v>
      </c>
      <c r="W215">
        <v>0</v>
      </c>
      <c r="X215">
        <v>45500</v>
      </c>
      <c r="Y215">
        <v>41363.636363636302</v>
      </c>
      <c r="Z215" s="26">
        <v>46058</v>
      </c>
    </row>
    <row r="216" spans="1:26" x14ac:dyDescent="0.3">
      <c r="A216" s="50">
        <v>46057.942800925928</v>
      </c>
      <c r="B216">
        <v>2.02602042234528E+18</v>
      </c>
      <c r="C216" t="s">
        <v>3739</v>
      </c>
      <c r="D216" t="s">
        <v>3740</v>
      </c>
      <c r="E216" t="s">
        <v>3740</v>
      </c>
      <c r="F216" t="s">
        <v>3739</v>
      </c>
      <c r="G216" t="s">
        <v>3740</v>
      </c>
      <c r="H216" t="s">
        <v>3740</v>
      </c>
      <c r="I216">
        <v>8236</v>
      </c>
      <c r="J216" t="s">
        <v>3741</v>
      </c>
      <c r="K216" t="s">
        <v>3741</v>
      </c>
      <c r="L216" t="s">
        <v>2804</v>
      </c>
      <c r="M216" t="s">
        <v>2805</v>
      </c>
      <c r="N216">
        <v>54363</v>
      </c>
      <c r="O216">
        <v>45500</v>
      </c>
      <c r="P216">
        <v>1</v>
      </c>
      <c r="Q216">
        <v>0</v>
      </c>
      <c r="R216" t="s">
        <v>2563</v>
      </c>
      <c r="S216">
        <v>143790</v>
      </c>
      <c r="T216" t="s">
        <v>3742</v>
      </c>
      <c r="U216" t="s">
        <v>2807</v>
      </c>
      <c r="W216">
        <v>0</v>
      </c>
      <c r="X216">
        <v>45500</v>
      </c>
      <c r="Y216">
        <v>41363.636363636302</v>
      </c>
      <c r="Z216" s="26">
        <v>46058</v>
      </c>
    </row>
    <row r="217" spans="1:26" x14ac:dyDescent="0.3">
      <c r="A217" s="50">
        <v>46057.939247685186</v>
      </c>
      <c r="B217">
        <v>2.0260204223127199E+18</v>
      </c>
      <c r="C217" t="s">
        <v>3743</v>
      </c>
      <c r="D217" t="s">
        <v>3744</v>
      </c>
      <c r="E217" t="s">
        <v>3744</v>
      </c>
      <c r="F217" t="s">
        <v>3743</v>
      </c>
      <c r="G217" t="s">
        <v>3744</v>
      </c>
      <c r="H217" t="s">
        <v>3744</v>
      </c>
      <c r="I217">
        <v>13485</v>
      </c>
      <c r="J217" t="s">
        <v>3745</v>
      </c>
      <c r="K217" t="s">
        <v>3745</v>
      </c>
      <c r="L217" t="s">
        <v>2804</v>
      </c>
      <c r="M217" t="s">
        <v>2805</v>
      </c>
      <c r="N217">
        <v>54363</v>
      </c>
      <c r="O217">
        <v>45500</v>
      </c>
      <c r="P217">
        <v>1</v>
      </c>
      <c r="Q217">
        <v>0</v>
      </c>
      <c r="S217">
        <v>143790</v>
      </c>
      <c r="T217" t="s">
        <v>3746</v>
      </c>
      <c r="U217" t="s">
        <v>2807</v>
      </c>
      <c r="W217">
        <v>0</v>
      </c>
      <c r="X217">
        <v>45500</v>
      </c>
      <c r="Y217">
        <v>41363.636363636302</v>
      </c>
      <c r="Z217" s="26">
        <v>46058</v>
      </c>
    </row>
    <row r="218" spans="1:26" x14ac:dyDescent="0.3">
      <c r="A218" s="50">
        <v>46057.932569444441</v>
      </c>
      <c r="B218">
        <v>2.0260204222154801E+18</v>
      </c>
      <c r="C218" t="s">
        <v>3747</v>
      </c>
      <c r="D218" t="s">
        <v>3748</v>
      </c>
      <c r="E218" t="s">
        <v>3748</v>
      </c>
      <c r="F218" t="s">
        <v>3747</v>
      </c>
      <c r="G218" t="s">
        <v>3748</v>
      </c>
      <c r="H218" t="s">
        <v>3748</v>
      </c>
      <c r="I218">
        <v>7671</v>
      </c>
      <c r="J218" t="s">
        <v>3749</v>
      </c>
      <c r="K218" t="s">
        <v>3749</v>
      </c>
      <c r="L218" t="s">
        <v>2804</v>
      </c>
      <c r="M218" t="s">
        <v>2805</v>
      </c>
      <c r="N218">
        <v>54363</v>
      </c>
      <c r="O218">
        <v>45500</v>
      </c>
      <c r="P218">
        <v>1</v>
      </c>
      <c r="Q218">
        <v>0</v>
      </c>
      <c r="S218">
        <v>143790</v>
      </c>
      <c r="T218" t="s">
        <v>3750</v>
      </c>
      <c r="U218" t="s">
        <v>2807</v>
      </c>
      <c r="W218">
        <v>0</v>
      </c>
      <c r="X218">
        <v>45500</v>
      </c>
      <c r="Y218">
        <v>41363.636363636302</v>
      </c>
      <c r="Z218" s="26">
        <v>46058</v>
      </c>
    </row>
    <row r="219" spans="1:26" x14ac:dyDescent="0.3">
      <c r="A219" s="50">
        <v>46057.928055555552</v>
      </c>
      <c r="B219">
        <v>2.02602042215489E+18</v>
      </c>
      <c r="C219" t="s">
        <v>3751</v>
      </c>
      <c r="D219" t="s">
        <v>3752</v>
      </c>
      <c r="E219" t="s">
        <v>3752</v>
      </c>
      <c r="F219" t="s">
        <v>3751</v>
      </c>
      <c r="G219" t="s">
        <v>3752</v>
      </c>
      <c r="H219" t="s">
        <v>3752</v>
      </c>
      <c r="I219">
        <v>7039</v>
      </c>
      <c r="J219" t="s">
        <v>3753</v>
      </c>
      <c r="K219" t="s">
        <v>3753</v>
      </c>
      <c r="L219" t="s">
        <v>2804</v>
      </c>
      <c r="M219" t="s">
        <v>2805</v>
      </c>
      <c r="N219">
        <v>54363</v>
      </c>
      <c r="O219">
        <v>45500</v>
      </c>
      <c r="P219">
        <v>1</v>
      </c>
      <c r="Q219">
        <v>0</v>
      </c>
      <c r="S219">
        <v>143790</v>
      </c>
      <c r="T219" t="s">
        <v>3754</v>
      </c>
      <c r="U219" t="s">
        <v>2807</v>
      </c>
      <c r="W219">
        <v>0</v>
      </c>
      <c r="X219">
        <v>45500</v>
      </c>
      <c r="Y219">
        <v>41363.636363636302</v>
      </c>
      <c r="Z219" s="26">
        <v>46058</v>
      </c>
    </row>
    <row r="220" spans="1:26" x14ac:dyDescent="0.3">
      <c r="A220" s="50">
        <v>46057.92696759259</v>
      </c>
      <c r="B220">
        <v>2.0260204221301299E+18</v>
      </c>
      <c r="C220" t="s">
        <v>3755</v>
      </c>
      <c r="D220" t="s">
        <v>3756</v>
      </c>
      <c r="E220" t="s">
        <v>3756</v>
      </c>
      <c r="F220" t="s">
        <v>3757</v>
      </c>
      <c r="G220" t="s">
        <v>3758</v>
      </c>
      <c r="H220" t="s">
        <v>3758</v>
      </c>
      <c r="I220">
        <v>2418</v>
      </c>
      <c r="J220" t="s">
        <v>3759</v>
      </c>
      <c r="K220" t="s">
        <v>3759</v>
      </c>
      <c r="L220" t="s">
        <v>2804</v>
      </c>
      <c r="M220" t="s">
        <v>2805</v>
      </c>
      <c r="N220">
        <v>54363</v>
      </c>
      <c r="O220">
        <v>45500</v>
      </c>
      <c r="P220">
        <v>1</v>
      </c>
      <c r="Q220">
        <v>0</v>
      </c>
      <c r="S220">
        <v>143790</v>
      </c>
      <c r="T220" t="s">
        <v>3760</v>
      </c>
      <c r="U220" t="s">
        <v>2807</v>
      </c>
      <c r="W220">
        <v>0</v>
      </c>
      <c r="X220">
        <v>45500</v>
      </c>
      <c r="Y220">
        <v>41363.636363636302</v>
      </c>
      <c r="Z220" s="26">
        <v>46058</v>
      </c>
    </row>
    <row r="221" spans="1:26" x14ac:dyDescent="0.3">
      <c r="A221" s="50">
        <v>46057.907141203701</v>
      </c>
      <c r="B221">
        <v>2.0260204214535099E+18</v>
      </c>
      <c r="C221" t="s">
        <v>3761</v>
      </c>
      <c r="D221" t="s">
        <v>3762</v>
      </c>
      <c r="E221" t="s">
        <v>3762</v>
      </c>
      <c r="F221" t="s">
        <v>3761</v>
      </c>
      <c r="G221" t="s">
        <v>3762</v>
      </c>
      <c r="H221" t="s">
        <v>3762</v>
      </c>
      <c r="I221">
        <v>48533</v>
      </c>
      <c r="J221" t="s">
        <v>3763</v>
      </c>
      <c r="K221" t="s">
        <v>3763</v>
      </c>
      <c r="L221" t="s">
        <v>2804</v>
      </c>
      <c r="M221" t="s">
        <v>2805</v>
      </c>
      <c r="N221">
        <v>54363</v>
      </c>
      <c r="O221">
        <v>45500</v>
      </c>
      <c r="P221">
        <v>1</v>
      </c>
      <c r="Q221">
        <v>0</v>
      </c>
      <c r="S221">
        <v>143790</v>
      </c>
      <c r="T221" t="s">
        <v>3764</v>
      </c>
      <c r="U221" t="s">
        <v>2807</v>
      </c>
      <c r="W221">
        <v>0</v>
      </c>
      <c r="X221">
        <v>45500</v>
      </c>
      <c r="Y221">
        <v>41363.636363636302</v>
      </c>
      <c r="Z221" s="26">
        <v>46058</v>
      </c>
    </row>
    <row r="222" spans="1:26" x14ac:dyDescent="0.3">
      <c r="A222" s="50">
        <v>46057.90047453704</v>
      </c>
      <c r="B222">
        <v>2.0260204213138299E+18</v>
      </c>
      <c r="C222" t="s">
        <v>3765</v>
      </c>
      <c r="D222" t="s">
        <v>3766</v>
      </c>
      <c r="E222" t="s">
        <v>3766</v>
      </c>
      <c r="F222" t="s">
        <v>3767</v>
      </c>
      <c r="G222" t="s">
        <v>3768</v>
      </c>
      <c r="H222" t="s">
        <v>3768</v>
      </c>
      <c r="I222">
        <v>40053</v>
      </c>
      <c r="J222" t="s">
        <v>3769</v>
      </c>
      <c r="K222" t="s">
        <v>3769</v>
      </c>
      <c r="L222" t="s">
        <v>2804</v>
      </c>
      <c r="M222" t="s">
        <v>2805</v>
      </c>
      <c r="N222">
        <v>108726</v>
      </c>
      <c r="O222">
        <v>45500</v>
      </c>
      <c r="P222">
        <v>2</v>
      </c>
      <c r="Q222">
        <v>0</v>
      </c>
      <c r="R222" t="s">
        <v>3770</v>
      </c>
      <c r="S222">
        <v>143790</v>
      </c>
      <c r="T222" t="s">
        <v>3771</v>
      </c>
      <c r="U222" t="s">
        <v>2807</v>
      </c>
      <c r="W222">
        <v>0</v>
      </c>
      <c r="X222">
        <v>91000</v>
      </c>
      <c r="Y222">
        <v>82727.272727272706</v>
      </c>
      <c r="Z222" s="26">
        <v>46058</v>
      </c>
    </row>
    <row r="223" spans="1:26" x14ac:dyDescent="0.3">
      <c r="A223" s="50">
        <v>46057.894386574073</v>
      </c>
      <c r="B223">
        <v>2.02602042127102E+18</v>
      </c>
      <c r="C223" t="s">
        <v>3772</v>
      </c>
      <c r="D223" t="s">
        <v>3773</v>
      </c>
      <c r="E223" t="s">
        <v>3773</v>
      </c>
      <c r="F223" t="s">
        <v>3772</v>
      </c>
      <c r="G223" t="s">
        <v>3773</v>
      </c>
      <c r="H223" t="s">
        <v>3773</v>
      </c>
      <c r="I223">
        <v>10073</v>
      </c>
      <c r="J223" t="s">
        <v>3774</v>
      </c>
      <c r="K223" t="s">
        <v>3774</v>
      </c>
      <c r="L223" t="s">
        <v>2804</v>
      </c>
      <c r="M223" t="s">
        <v>2805</v>
      </c>
      <c r="N223">
        <v>54363</v>
      </c>
      <c r="O223">
        <v>45500</v>
      </c>
      <c r="P223">
        <v>1</v>
      </c>
      <c r="Q223">
        <v>0</v>
      </c>
      <c r="S223">
        <v>143790</v>
      </c>
      <c r="T223" t="s">
        <v>3775</v>
      </c>
      <c r="U223" t="s">
        <v>2807</v>
      </c>
      <c r="W223">
        <v>0</v>
      </c>
      <c r="X223">
        <v>45500</v>
      </c>
      <c r="Y223">
        <v>41363.636363636302</v>
      </c>
      <c r="Z223" s="26">
        <v>46058</v>
      </c>
    </row>
    <row r="224" spans="1:26" x14ac:dyDescent="0.3">
      <c r="A224" s="50">
        <v>46057.882627314815</v>
      </c>
      <c r="B224">
        <v>2.02602042110083E+18</v>
      </c>
      <c r="C224" t="s">
        <v>3776</v>
      </c>
      <c r="D224" t="s">
        <v>3777</v>
      </c>
      <c r="E224" t="s">
        <v>3777</v>
      </c>
      <c r="F224" t="s">
        <v>3776</v>
      </c>
      <c r="G224" t="s">
        <v>3777</v>
      </c>
      <c r="H224" t="s">
        <v>3777</v>
      </c>
      <c r="I224">
        <v>4731</v>
      </c>
      <c r="J224" t="s">
        <v>3778</v>
      </c>
      <c r="K224" t="s">
        <v>3778</v>
      </c>
      <c r="L224" t="s">
        <v>2804</v>
      </c>
      <c r="M224" t="s">
        <v>2805</v>
      </c>
      <c r="N224">
        <v>54363</v>
      </c>
      <c r="O224">
        <v>45500</v>
      </c>
      <c r="P224">
        <v>1</v>
      </c>
      <c r="Q224">
        <v>0</v>
      </c>
      <c r="S224">
        <v>143790</v>
      </c>
      <c r="T224" t="s">
        <v>3779</v>
      </c>
      <c r="U224" t="s">
        <v>2807</v>
      </c>
      <c r="W224">
        <v>0</v>
      </c>
      <c r="X224">
        <v>45500</v>
      </c>
      <c r="Y224">
        <v>41363.636363636302</v>
      </c>
      <c r="Z224" s="26">
        <v>46058</v>
      </c>
    </row>
    <row r="225" spans="1:26" x14ac:dyDescent="0.3">
      <c r="A225" s="50">
        <v>46057.881249999999</v>
      </c>
      <c r="B225">
        <v>2.0260204210747599E+18</v>
      </c>
      <c r="C225" t="s">
        <v>3780</v>
      </c>
      <c r="D225" t="s">
        <v>3781</v>
      </c>
      <c r="E225" t="s">
        <v>3781</v>
      </c>
      <c r="F225" t="s">
        <v>3780</v>
      </c>
      <c r="G225" t="s">
        <v>3781</v>
      </c>
      <c r="H225" t="s">
        <v>3781</v>
      </c>
      <c r="I225">
        <v>12137</v>
      </c>
      <c r="J225" t="s">
        <v>3782</v>
      </c>
      <c r="K225" t="s">
        <v>3782</v>
      </c>
      <c r="L225" t="s">
        <v>2804</v>
      </c>
      <c r="M225" t="s">
        <v>2805</v>
      </c>
      <c r="N225">
        <v>54363</v>
      </c>
      <c r="O225">
        <v>45500</v>
      </c>
      <c r="P225">
        <v>1</v>
      </c>
      <c r="Q225">
        <v>0</v>
      </c>
      <c r="S225">
        <v>143790</v>
      </c>
      <c r="T225" t="s">
        <v>3783</v>
      </c>
      <c r="U225" t="s">
        <v>2807</v>
      </c>
      <c r="W225">
        <v>0</v>
      </c>
      <c r="X225">
        <v>45500</v>
      </c>
      <c r="Y225">
        <v>41363.636363636302</v>
      </c>
      <c r="Z225" s="26">
        <v>46058</v>
      </c>
    </row>
    <row r="226" spans="1:26" x14ac:dyDescent="0.3">
      <c r="A226" s="50">
        <v>46057.870752314811</v>
      </c>
      <c r="B226">
        <v>2.02602042052206E+18</v>
      </c>
      <c r="C226" t="s">
        <v>3784</v>
      </c>
      <c r="D226" t="s">
        <v>3785</v>
      </c>
      <c r="E226" t="s">
        <v>3785</v>
      </c>
      <c r="F226" t="s">
        <v>3786</v>
      </c>
      <c r="G226" t="s">
        <v>3787</v>
      </c>
      <c r="H226" t="s">
        <v>3787</v>
      </c>
      <c r="I226">
        <v>5502</v>
      </c>
      <c r="J226" t="s">
        <v>3788</v>
      </c>
      <c r="K226" t="s">
        <v>3788</v>
      </c>
      <c r="L226" t="s">
        <v>2804</v>
      </c>
      <c r="M226" t="s">
        <v>2805</v>
      </c>
      <c r="N226">
        <v>54363</v>
      </c>
      <c r="O226">
        <v>45500</v>
      </c>
      <c r="P226">
        <v>1</v>
      </c>
      <c r="Q226">
        <v>0</v>
      </c>
      <c r="S226">
        <v>143790</v>
      </c>
      <c r="T226" t="s">
        <v>3789</v>
      </c>
      <c r="U226" t="s">
        <v>2807</v>
      </c>
      <c r="W226">
        <v>0</v>
      </c>
      <c r="X226">
        <v>45500</v>
      </c>
      <c r="Y226">
        <v>41363.636363636302</v>
      </c>
      <c r="Z226" s="26">
        <v>46058</v>
      </c>
    </row>
    <row r="227" spans="1:26" x14ac:dyDescent="0.3">
      <c r="A227" s="50">
        <v>46057.870069444441</v>
      </c>
      <c r="B227">
        <v>2.02602042052275E+18</v>
      </c>
      <c r="C227" t="s">
        <v>3790</v>
      </c>
      <c r="D227" t="s">
        <v>3604</v>
      </c>
      <c r="E227" t="s">
        <v>3604</v>
      </c>
      <c r="F227" t="s">
        <v>3790</v>
      </c>
      <c r="G227" t="s">
        <v>3604</v>
      </c>
      <c r="H227" t="s">
        <v>3604</v>
      </c>
      <c r="I227">
        <v>28808</v>
      </c>
      <c r="J227" t="s">
        <v>3605</v>
      </c>
      <c r="K227" t="s">
        <v>3605</v>
      </c>
      <c r="L227" t="s">
        <v>2804</v>
      </c>
      <c r="M227" t="s">
        <v>2805</v>
      </c>
      <c r="N227">
        <v>163089</v>
      </c>
      <c r="O227">
        <v>45500</v>
      </c>
      <c r="P227">
        <v>3</v>
      </c>
      <c r="Q227">
        <v>0</v>
      </c>
      <c r="S227">
        <v>143790</v>
      </c>
      <c r="T227" t="s">
        <v>3791</v>
      </c>
      <c r="U227" t="s">
        <v>2807</v>
      </c>
      <c r="W227">
        <v>0</v>
      </c>
      <c r="X227">
        <v>136500</v>
      </c>
      <c r="Y227">
        <v>124090.909090909</v>
      </c>
      <c r="Z227" s="26">
        <v>46058</v>
      </c>
    </row>
    <row r="228" spans="1:26" x14ac:dyDescent="0.3">
      <c r="A228" s="50">
        <v>46057.847870370373</v>
      </c>
      <c r="B228">
        <v>2.0260204201954501E+18</v>
      </c>
      <c r="C228" t="s">
        <v>3784</v>
      </c>
      <c r="D228" t="s">
        <v>3785</v>
      </c>
      <c r="E228" t="s">
        <v>3785</v>
      </c>
      <c r="F228" t="s">
        <v>3784</v>
      </c>
      <c r="G228" t="s">
        <v>3785</v>
      </c>
      <c r="H228" t="s">
        <v>3785</v>
      </c>
      <c r="I228">
        <v>32264</v>
      </c>
      <c r="J228" t="s">
        <v>3792</v>
      </c>
      <c r="K228" t="s">
        <v>3792</v>
      </c>
      <c r="L228" t="s">
        <v>2804</v>
      </c>
      <c r="M228" t="s">
        <v>2805</v>
      </c>
      <c r="N228">
        <v>54363</v>
      </c>
      <c r="O228">
        <v>45500</v>
      </c>
      <c r="P228">
        <v>1</v>
      </c>
      <c r="Q228">
        <v>0</v>
      </c>
      <c r="S228">
        <v>143790</v>
      </c>
      <c r="T228" t="s">
        <v>3793</v>
      </c>
      <c r="U228" t="s">
        <v>2807</v>
      </c>
      <c r="W228">
        <v>0</v>
      </c>
      <c r="X228">
        <v>45500</v>
      </c>
      <c r="Y228">
        <v>41363.636363636302</v>
      </c>
      <c r="Z228" s="26">
        <v>46058</v>
      </c>
    </row>
    <row r="229" spans="1:26" x14ac:dyDescent="0.3">
      <c r="A229" s="50">
        <v>46057.845046296294</v>
      </c>
      <c r="B229">
        <v>2.0260204201428301E+18</v>
      </c>
      <c r="C229" t="s">
        <v>3784</v>
      </c>
      <c r="D229" t="s">
        <v>3785</v>
      </c>
      <c r="E229" t="s">
        <v>3785</v>
      </c>
      <c r="F229" t="s">
        <v>3794</v>
      </c>
      <c r="G229" t="s">
        <v>3795</v>
      </c>
      <c r="H229" t="s">
        <v>3795</v>
      </c>
      <c r="I229">
        <v>4912</v>
      </c>
      <c r="J229" t="s">
        <v>3796</v>
      </c>
      <c r="K229" t="s">
        <v>3796</v>
      </c>
      <c r="L229" t="s">
        <v>2804</v>
      </c>
      <c r="M229" t="s">
        <v>2805</v>
      </c>
      <c r="N229">
        <v>54363</v>
      </c>
      <c r="O229">
        <v>45500</v>
      </c>
      <c r="P229">
        <v>1</v>
      </c>
      <c r="Q229">
        <v>0</v>
      </c>
      <c r="S229">
        <v>143790</v>
      </c>
      <c r="T229" t="s">
        <v>3797</v>
      </c>
      <c r="U229" t="s">
        <v>2807</v>
      </c>
      <c r="W229">
        <v>0</v>
      </c>
      <c r="X229">
        <v>45500</v>
      </c>
      <c r="Y229">
        <v>41363.636363636302</v>
      </c>
      <c r="Z229" s="26">
        <v>46058</v>
      </c>
    </row>
    <row r="230" spans="1:26" x14ac:dyDescent="0.3">
      <c r="A230" s="50">
        <v>46058.455995370372</v>
      </c>
      <c r="B230">
        <v>2.0260205103158999E+18</v>
      </c>
      <c r="C230" t="s">
        <v>3798</v>
      </c>
      <c r="D230" t="s">
        <v>3799</v>
      </c>
      <c r="E230" t="s">
        <v>3799</v>
      </c>
      <c r="F230" t="s">
        <v>3798</v>
      </c>
      <c r="G230" t="s">
        <v>3799</v>
      </c>
      <c r="H230" t="s">
        <v>3799</v>
      </c>
      <c r="I230">
        <v>2799</v>
      </c>
      <c r="J230" t="s">
        <v>3800</v>
      </c>
      <c r="K230" t="s">
        <v>3800</v>
      </c>
      <c r="L230" t="s">
        <v>3801</v>
      </c>
      <c r="M230" t="s">
        <v>3802</v>
      </c>
      <c r="N230">
        <v>18181</v>
      </c>
      <c r="O230">
        <v>63000</v>
      </c>
      <c r="P230">
        <v>1</v>
      </c>
      <c r="Q230" t="s">
        <v>3803</v>
      </c>
      <c r="S230">
        <v>143790</v>
      </c>
      <c r="T230" t="s">
        <v>3804</v>
      </c>
      <c r="U230" t="s">
        <v>2807</v>
      </c>
      <c r="W230">
        <v>0</v>
      </c>
      <c r="X230">
        <v>63000</v>
      </c>
      <c r="Y230">
        <v>57272.727272727199</v>
      </c>
      <c r="Z230" s="26">
        <v>46058</v>
      </c>
    </row>
    <row r="231" spans="1:26" x14ac:dyDescent="0.3">
      <c r="A231" s="50">
        <v>46058.446909722225</v>
      </c>
      <c r="B231">
        <v>2.02602051042271E+18</v>
      </c>
      <c r="C231" t="s">
        <v>3805</v>
      </c>
      <c r="D231" t="s">
        <v>3806</v>
      </c>
      <c r="E231" t="s">
        <v>3806</v>
      </c>
      <c r="F231" t="s">
        <v>3805</v>
      </c>
      <c r="G231" t="s">
        <v>3806</v>
      </c>
      <c r="H231" t="s">
        <v>3806</v>
      </c>
      <c r="I231">
        <v>18477</v>
      </c>
      <c r="J231" t="s">
        <v>3807</v>
      </c>
      <c r="K231" t="s">
        <v>3807</v>
      </c>
      <c r="L231" t="s">
        <v>3801</v>
      </c>
      <c r="M231" t="s">
        <v>3802</v>
      </c>
      <c r="N231">
        <v>18181</v>
      </c>
      <c r="O231">
        <v>63000</v>
      </c>
      <c r="P231">
        <v>1</v>
      </c>
      <c r="Q231" t="s">
        <v>3803</v>
      </c>
      <c r="S231">
        <v>143790</v>
      </c>
      <c r="T231" t="s">
        <v>3808</v>
      </c>
      <c r="U231" t="s">
        <v>2807</v>
      </c>
      <c r="W231">
        <v>0</v>
      </c>
      <c r="X231">
        <v>63000</v>
      </c>
      <c r="Y231">
        <v>57272.727272727199</v>
      </c>
      <c r="Z231" s="26">
        <v>46058</v>
      </c>
    </row>
    <row r="232" spans="1:26" x14ac:dyDescent="0.3">
      <c r="A232" s="50">
        <v>46058.443796296298</v>
      </c>
      <c r="B232">
        <v>2.0260205103831501E+18</v>
      </c>
      <c r="C232" t="s">
        <v>3809</v>
      </c>
      <c r="D232" t="s">
        <v>3810</v>
      </c>
      <c r="E232" t="s">
        <v>3810</v>
      </c>
      <c r="F232" t="s">
        <v>3809</v>
      </c>
      <c r="G232" t="s">
        <v>3810</v>
      </c>
      <c r="H232" t="s">
        <v>3810</v>
      </c>
      <c r="I232">
        <v>1057</v>
      </c>
      <c r="J232" t="s">
        <v>3811</v>
      </c>
      <c r="K232" t="s">
        <v>3811</v>
      </c>
      <c r="L232" t="s">
        <v>3801</v>
      </c>
      <c r="M232" t="s">
        <v>3802</v>
      </c>
      <c r="N232">
        <v>18181</v>
      </c>
      <c r="O232">
        <v>63000</v>
      </c>
      <c r="P232">
        <v>1</v>
      </c>
      <c r="Q232" t="s">
        <v>3803</v>
      </c>
      <c r="S232">
        <v>143790</v>
      </c>
      <c r="T232" t="s">
        <v>3812</v>
      </c>
      <c r="U232" t="s">
        <v>2807</v>
      </c>
      <c r="W232">
        <v>0</v>
      </c>
      <c r="X232">
        <v>63000</v>
      </c>
      <c r="Y232">
        <v>57272.727272727199</v>
      </c>
      <c r="Z232" s="26">
        <v>46058</v>
      </c>
    </row>
    <row r="233" spans="1:26" x14ac:dyDescent="0.3">
      <c r="A233" s="50">
        <v>46058.399074074077</v>
      </c>
      <c r="B233">
        <v>2.0260205093351199E+18</v>
      </c>
      <c r="C233" t="s">
        <v>3813</v>
      </c>
      <c r="D233" t="s">
        <v>3814</v>
      </c>
      <c r="E233" t="s">
        <v>3814</v>
      </c>
      <c r="F233" t="s">
        <v>3813</v>
      </c>
      <c r="G233" t="s">
        <v>3814</v>
      </c>
      <c r="H233" t="s">
        <v>3814</v>
      </c>
      <c r="I233">
        <v>5224</v>
      </c>
      <c r="J233" t="s">
        <v>3815</v>
      </c>
      <c r="K233" t="s">
        <v>3815</v>
      </c>
      <c r="L233" t="s">
        <v>3801</v>
      </c>
      <c r="M233" t="s">
        <v>3802</v>
      </c>
      <c r="N233">
        <v>18181</v>
      </c>
      <c r="O233">
        <v>63000</v>
      </c>
      <c r="P233">
        <v>1</v>
      </c>
      <c r="Q233" t="s">
        <v>3803</v>
      </c>
      <c r="S233">
        <v>143790</v>
      </c>
      <c r="T233" t="s">
        <v>3816</v>
      </c>
      <c r="U233" t="s">
        <v>2807</v>
      </c>
      <c r="W233">
        <v>0</v>
      </c>
      <c r="X233">
        <v>63000</v>
      </c>
      <c r="Y233">
        <v>57272.727272727199</v>
      </c>
      <c r="Z233" s="26">
        <v>46058</v>
      </c>
    </row>
    <row r="234" spans="1:26" x14ac:dyDescent="0.3">
      <c r="A234" s="50">
        <v>46058.382025462961</v>
      </c>
      <c r="B234">
        <v>2.02602050909311E+18</v>
      </c>
      <c r="C234" t="s">
        <v>3817</v>
      </c>
      <c r="D234" t="s">
        <v>3818</v>
      </c>
      <c r="E234" t="s">
        <v>3818</v>
      </c>
      <c r="F234" t="s">
        <v>3817</v>
      </c>
      <c r="G234" t="s">
        <v>3818</v>
      </c>
      <c r="H234" t="s">
        <v>3818</v>
      </c>
      <c r="I234">
        <v>61112</v>
      </c>
      <c r="J234" t="s">
        <v>3819</v>
      </c>
      <c r="K234" t="s">
        <v>3819</v>
      </c>
      <c r="L234" t="s">
        <v>3801</v>
      </c>
      <c r="M234" t="s">
        <v>3802</v>
      </c>
      <c r="N234">
        <v>18181</v>
      </c>
      <c r="O234">
        <v>63000</v>
      </c>
      <c r="P234">
        <v>1</v>
      </c>
      <c r="Q234" t="s">
        <v>3803</v>
      </c>
      <c r="S234">
        <v>143790</v>
      </c>
      <c r="T234" t="s">
        <v>3820</v>
      </c>
      <c r="U234" t="s">
        <v>2807</v>
      </c>
      <c r="W234">
        <v>0</v>
      </c>
      <c r="X234">
        <v>63000</v>
      </c>
      <c r="Y234">
        <v>57272.727272727199</v>
      </c>
      <c r="Z234" s="26">
        <v>46058</v>
      </c>
    </row>
    <row r="235" spans="1:26" x14ac:dyDescent="0.3">
      <c r="A235" s="50">
        <v>46058.37358796296</v>
      </c>
      <c r="B235">
        <v>2.0260205085507899E+18</v>
      </c>
      <c r="C235" t="s">
        <v>3821</v>
      </c>
      <c r="D235" t="s">
        <v>3822</v>
      </c>
      <c r="E235" t="s">
        <v>3822</v>
      </c>
      <c r="F235" t="s">
        <v>3821</v>
      </c>
      <c r="G235" t="s">
        <v>3822</v>
      </c>
      <c r="H235" t="s">
        <v>3822</v>
      </c>
      <c r="I235">
        <v>7729</v>
      </c>
      <c r="J235" t="s">
        <v>3823</v>
      </c>
      <c r="K235" t="s">
        <v>3823</v>
      </c>
      <c r="L235" t="s">
        <v>3801</v>
      </c>
      <c r="M235" t="s">
        <v>3802</v>
      </c>
      <c r="N235">
        <v>18181</v>
      </c>
      <c r="O235">
        <v>63000</v>
      </c>
      <c r="P235">
        <v>1</v>
      </c>
      <c r="Q235" t="s">
        <v>3803</v>
      </c>
      <c r="S235">
        <v>143790</v>
      </c>
      <c r="T235" t="s">
        <v>3824</v>
      </c>
      <c r="U235" t="s">
        <v>2807</v>
      </c>
      <c r="W235">
        <v>0</v>
      </c>
      <c r="X235">
        <v>63000</v>
      </c>
      <c r="Y235">
        <v>57272.727272727199</v>
      </c>
      <c r="Z235" s="26">
        <v>46058</v>
      </c>
    </row>
    <row r="236" spans="1:26" x14ac:dyDescent="0.3">
      <c r="A236" s="50">
        <v>46058.358402777776</v>
      </c>
      <c r="B236">
        <v>2.0260205083521999E+18</v>
      </c>
      <c r="C236" t="s">
        <v>3825</v>
      </c>
      <c r="D236" t="s">
        <v>3826</v>
      </c>
      <c r="E236" t="s">
        <v>3826</v>
      </c>
      <c r="F236" t="s">
        <v>3825</v>
      </c>
      <c r="G236" t="s">
        <v>3826</v>
      </c>
      <c r="H236" t="s">
        <v>3826</v>
      </c>
      <c r="I236">
        <v>6280</v>
      </c>
      <c r="J236" t="s">
        <v>3827</v>
      </c>
      <c r="K236" t="s">
        <v>3827</v>
      </c>
      <c r="L236" t="s">
        <v>3801</v>
      </c>
      <c r="M236" t="s">
        <v>3802</v>
      </c>
      <c r="N236">
        <v>18181</v>
      </c>
      <c r="O236">
        <v>63000</v>
      </c>
      <c r="P236">
        <v>1</v>
      </c>
      <c r="Q236" t="s">
        <v>3803</v>
      </c>
      <c r="S236">
        <v>143790</v>
      </c>
      <c r="T236" t="s">
        <v>3828</v>
      </c>
      <c r="U236" t="s">
        <v>2807</v>
      </c>
      <c r="W236">
        <v>0</v>
      </c>
      <c r="X236">
        <v>63000</v>
      </c>
      <c r="Y236">
        <v>57272.727272727199</v>
      </c>
      <c r="Z236" s="26">
        <v>46058</v>
      </c>
    </row>
    <row r="237" spans="1:26" x14ac:dyDescent="0.3">
      <c r="A237" s="50">
        <v>46058.351469907408</v>
      </c>
      <c r="B237">
        <v>2.0260205082401201E+18</v>
      </c>
      <c r="C237" t="s">
        <v>3829</v>
      </c>
      <c r="D237" t="s">
        <v>3830</v>
      </c>
      <c r="E237" t="s">
        <v>3830</v>
      </c>
      <c r="F237" t="s">
        <v>3829</v>
      </c>
      <c r="G237" t="s">
        <v>3830</v>
      </c>
      <c r="H237" t="s">
        <v>3830</v>
      </c>
      <c r="I237">
        <v>12216</v>
      </c>
      <c r="J237" t="s">
        <v>3831</v>
      </c>
      <c r="K237" t="s">
        <v>3831</v>
      </c>
      <c r="L237" t="s">
        <v>3801</v>
      </c>
      <c r="M237" t="s">
        <v>3802</v>
      </c>
      <c r="N237">
        <v>18181</v>
      </c>
      <c r="O237">
        <v>63000</v>
      </c>
      <c r="P237">
        <v>1</v>
      </c>
      <c r="Q237" t="s">
        <v>3803</v>
      </c>
      <c r="S237">
        <v>143790</v>
      </c>
      <c r="T237" t="s">
        <v>3832</v>
      </c>
      <c r="U237" t="s">
        <v>2807</v>
      </c>
      <c r="W237">
        <v>0</v>
      </c>
      <c r="X237">
        <v>63000</v>
      </c>
      <c r="Y237">
        <v>57272.727272727199</v>
      </c>
      <c r="Z237" s="26">
        <v>46058</v>
      </c>
    </row>
    <row r="238" spans="1:26" x14ac:dyDescent="0.3">
      <c r="A238" s="50">
        <v>46058.34957175926</v>
      </c>
      <c r="B238">
        <v>2.0260205082256699E+18</v>
      </c>
      <c r="C238" t="s">
        <v>3833</v>
      </c>
      <c r="D238" t="s">
        <v>3834</v>
      </c>
      <c r="E238" t="s">
        <v>3834</v>
      </c>
      <c r="F238" t="s">
        <v>3833</v>
      </c>
      <c r="G238" t="s">
        <v>3834</v>
      </c>
      <c r="H238" t="s">
        <v>3834</v>
      </c>
      <c r="I238">
        <v>16519</v>
      </c>
      <c r="J238" t="s">
        <v>3835</v>
      </c>
      <c r="K238" t="s">
        <v>3835</v>
      </c>
      <c r="L238" t="s">
        <v>3801</v>
      </c>
      <c r="M238" t="s">
        <v>3802</v>
      </c>
      <c r="N238">
        <v>18181</v>
      </c>
      <c r="O238">
        <v>63000</v>
      </c>
      <c r="P238">
        <v>1</v>
      </c>
      <c r="Q238" t="s">
        <v>3803</v>
      </c>
      <c r="S238">
        <v>143790</v>
      </c>
      <c r="T238" t="s">
        <v>3836</v>
      </c>
      <c r="U238" t="s">
        <v>2807</v>
      </c>
      <c r="W238">
        <v>0</v>
      </c>
      <c r="X238">
        <v>63000</v>
      </c>
      <c r="Y238">
        <v>57272.727272727199</v>
      </c>
      <c r="Z238" s="26">
        <v>46058</v>
      </c>
    </row>
    <row r="239" spans="1:26" x14ac:dyDescent="0.3">
      <c r="A239" s="50">
        <v>46058.349189814813</v>
      </c>
      <c r="B239">
        <v>2.02602050817359E+18</v>
      </c>
      <c r="C239" t="s">
        <v>3837</v>
      </c>
      <c r="D239" t="s">
        <v>3838</v>
      </c>
      <c r="E239" t="s">
        <v>3838</v>
      </c>
      <c r="F239" t="s">
        <v>3837</v>
      </c>
      <c r="G239" t="s">
        <v>3838</v>
      </c>
      <c r="H239" t="s">
        <v>3838</v>
      </c>
      <c r="I239">
        <v>12110</v>
      </c>
      <c r="J239" t="s">
        <v>3839</v>
      </c>
      <c r="K239" t="s">
        <v>3839</v>
      </c>
      <c r="L239" t="s">
        <v>3801</v>
      </c>
      <c r="M239" t="s">
        <v>3802</v>
      </c>
      <c r="N239">
        <v>18181</v>
      </c>
      <c r="O239">
        <v>63000</v>
      </c>
      <c r="P239">
        <v>1</v>
      </c>
      <c r="Q239" t="s">
        <v>3803</v>
      </c>
      <c r="S239">
        <v>143790</v>
      </c>
      <c r="T239" t="s">
        <v>3840</v>
      </c>
      <c r="U239" t="s">
        <v>2807</v>
      </c>
      <c r="W239">
        <v>0</v>
      </c>
      <c r="X239">
        <v>63000</v>
      </c>
      <c r="Y239">
        <v>57272.727272727199</v>
      </c>
      <c r="Z239" s="26">
        <v>46058</v>
      </c>
    </row>
    <row r="240" spans="1:26" x14ac:dyDescent="0.3">
      <c r="A240" s="50">
        <v>46058.342291666668</v>
      </c>
      <c r="B240">
        <v>2.0260205081139E+18</v>
      </c>
      <c r="C240" t="s">
        <v>3841</v>
      </c>
      <c r="D240" t="s">
        <v>3842</v>
      </c>
      <c r="E240" t="s">
        <v>3842</v>
      </c>
      <c r="F240" t="s">
        <v>3841</v>
      </c>
      <c r="G240" t="s">
        <v>3842</v>
      </c>
      <c r="H240" t="s">
        <v>3842</v>
      </c>
      <c r="I240">
        <v>21385</v>
      </c>
      <c r="J240" t="s">
        <v>3843</v>
      </c>
      <c r="K240" t="s">
        <v>3843</v>
      </c>
      <c r="L240" t="s">
        <v>3801</v>
      </c>
      <c r="M240" t="s">
        <v>3802</v>
      </c>
      <c r="N240">
        <v>18181</v>
      </c>
      <c r="O240">
        <v>63000</v>
      </c>
      <c r="P240">
        <v>1</v>
      </c>
      <c r="Q240" t="s">
        <v>3803</v>
      </c>
      <c r="S240">
        <v>143790</v>
      </c>
      <c r="T240" t="s">
        <v>3844</v>
      </c>
      <c r="U240" t="s">
        <v>2807</v>
      </c>
      <c r="W240">
        <v>0</v>
      </c>
      <c r="X240">
        <v>63000</v>
      </c>
      <c r="Y240">
        <v>57272.727272727199</v>
      </c>
      <c r="Z240" s="26">
        <v>46058</v>
      </c>
    </row>
    <row r="241" spans="1:26" x14ac:dyDescent="0.3">
      <c r="A241" s="50">
        <v>46058.339722222219</v>
      </c>
      <c r="B241">
        <v>2.0260205080738801E+18</v>
      </c>
      <c r="C241" t="s">
        <v>3845</v>
      </c>
      <c r="D241" t="s">
        <v>3846</v>
      </c>
      <c r="E241" t="s">
        <v>3846</v>
      </c>
      <c r="F241" t="s">
        <v>3847</v>
      </c>
      <c r="G241" t="s">
        <v>3848</v>
      </c>
      <c r="H241" t="s">
        <v>3848</v>
      </c>
      <c r="I241">
        <v>10483</v>
      </c>
      <c r="J241" t="s">
        <v>3849</v>
      </c>
      <c r="K241" t="s">
        <v>3849</v>
      </c>
      <c r="L241" t="s">
        <v>3801</v>
      </c>
      <c r="M241" t="s">
        <v>3802</v>
      </c>
      <c r="N241">
        <v>18181</v>
      </c>
      <c r="O241">
        <v>63000</v>
      </c>
      <c r="P241">
        <v>1</v>
      </c>
      <c r="Q241" t="s">
        <v>3803</v>
      </c>
      <c r="S241">
        <v>143790</v>
      </c>
      <c r="T241" t="s">
        <v>3850</v>
      </c>
      <c r="U241" t="s">
        <v>2807</v>
      </c>
      <c r="W241">
        <v>0</v>
      </c>
      <c r="X241">
        <v>63000</v>
      </c>
      <c r="Y241">
        <v>57272.727272727199</v>
      </c>
      <c r="Z241" s="26">
        <v>46058</v>
      </c>
    </row>
    <row r="242" spans="1:26" x14ac:dyDescent="0.3">
      <c r="A242" s="50">
        <v>46058.337141203701</v>
      </c>
      <c r="B242">
        <v>2.02602050803411E+18</v>
      </c>
      <c r="C242" t="s">
        <v>3851</v>
      </c>
      <c r="D242" t="s">
        <v>3852</v>
      </c>
      <c r="E242" t="s">
        <v>3852</v>
      </c>
      <c r="F242" t="s">
        <v>3851</v>
      </c>
      <c r="G242" t="s">
        <v>3852</v>
      </c>
      <c r="H242" t="s">
        <v>3852</v>
      </c>
      <c r="I242">
        <v>12284</v>
      </c>
      <c r="J242" t="s">
        <v>3853</v>
      </c>
      <c r="K242" t="s">
        <v>3853</v>
      </c>
      <c r="L242" t="s">
        <v>3801</v>
      </c>
      <c r="M242" t="s">
        <v>3802</v>
      </c>
      <c r="N242">
        <v>18181</v>
      </c>
      <c r="O242">
        <v>63000</v>
      </c>
      <c r="P242">
        <v>1</v>
      </c>
      <c r="Q242" t="s">
        <v>3803</v>
      </c>
      <c r="S242">
        <v>143790</v>
      </c>
      <c r="T242" t="s">
        <v>3854</v>
      </c>
      <c r="U242" t="s">
        <v>2807</v>
      </c>
      <c r="W242">
        <v>0</v>
      </c>
      <c r="X242">
        <v>63000</v>
      </c>
      <c r="Y242">
        <v>57272.727272727199</v>
      </c>
      <c r="Z242" s="26">
        <v>46058</v>
      </c>
    </row>
    <row r="243" spans="1:26" x14ac:dyDescent="0.3">
      <c r="A243" s="50">
        <v>46058.336342592593</v>
      </c>
      <c r="B243">
        <v>2.0260205080335401E+18</v>
      </c>
      <c r="C243" t="s">
        <v>3855</v>
      </c>
      <c r="D243" t="s">
        <v>3856</v>
      </c>
      <c r="E243" t="s">
        <v>3856</v>
      </c>
      <c r="F243" t="s">
        <v>3855</v>
      </c>
      <c r="G243" t="s">
        <v>3856</v>
      </c>
      <c r="H243" t="s">
        <v>3856</v>
      </c>
      <c r="I243">
        <v>13556</v>
      </c>
      <c r="J243" t="s">
        <v>3857</v>
      </c>
      <c r="K243" t="s">
        <v>3857</v>
      </c>
      <c r="L243" t="s">
        <v>3801</v>
      </c>
      <c r="M243" t="s">
        <v>3802</v>
      </c>
      <c r="N243">
        <v>18181</v>
      </c>
      <c r="O243">
        <v>63000</v>
      </c>
      <c r="P243">
        <v>1</v>
      </c>
      <c r="Q243" t="s">
        <v>3803</v>
      </c>
      <c r="S243">
        <v>143790</v>
      </c>
      <c r="T243" t="s">
        <v>3858</v>
      </c>
      <c r="U243" t="s">
        <v>2807</v>
      </c>
      <c r="W243">
        <v>0</v>
      </c>
      <c r="X243">
        <v>63000</v>
      </c>
      <c r="Y243">
        <v>57272.727272727199</v>
      </c>
      <c r="Z243" s="26">
        <v>46058</v>
      </c>
    </row>
    <row r="244" spans="1:26" x14ac:dyDescent="0.3">
      <c r="A244" s="50">
        <v>46058.335717592592</v>
      </c>
      <c r="B244">
        <v>2.0260205080136699E+18</v>
      </c>
      <c r="C244" t="s">
        <v>3859</v>
      </c>
      <c r="D244" t="s">
        <v>3860</v>
      </c>
      <c r="E244" t="s">
        <v>3860</v>
      </c>
      <c r="F244" t="s">
        <v>3859</v>
      </c>
      <c r="G244" t="s">
        <v>3860</v>
      </c>
      <c r="H244" t="s">
        <v>3860</v>
      </c>
      <c r="I244">
        <v>41962</v>
      </c>
      <c r="J244" t="s">
        <v>3861</v>
      </c>
      <c r="K244" t="s">
        <v>3861</v>
      </c>
      <c r="L244" t="s">
        <v>3801</v>
      </c>
      <c r="M244" t="s">
        <v>3802</v>
      </c>
      <c r="N244">
        <v>18181</v>
      </c>
      <c r="O244">
        <v>63000</v>
      </c>
      <c r="P244">
        <v>1</v>
      </c>
      <c r="Q244" t="s">
        <v>3803</v>
      </c>
      <c r="S244">
        <v>143790</v>
      </c>
      <c r="T244" t="s">
        <v>3862</v>
      </c>
      <c r="U244" t="s">
        <v>2807</v>
      </c>
      <c r="W244">
        <v>0</v>
      </c>
      <c r="X244">
        <v>63000</v>
      </c>
      <c r="Y244">
        <v>57272.727272727199</v>
      </c>
      <c r="Z244" s="26">
        <v>46058</v>
      </c>
    </row>
    <row r="245" spans="1:26" x14ac:dyDescent="0.3">
      <c r="A245" s="50">
        <v>46058.335011574076</v>
      </c>
      <c r="B245">
        <v>2.0260205075749801E+18</v>
      </c>
      <c r="C245" t="s">
        <v>3863</v>
      </c>
      <c r="D245" t="s">
        <v>3864</v>
      </c>
      <c r="E245" t="s">
        <v>3864</v>
      </c>
      <c r="F245" t="s">
        <v>3863</v>
      </c>
      <c r="G245" t="s">
        <v>3864</v>
      </c>
      <c r="H245" t="s">
        <v>3864</v>
      </c>
      <c r="I245">
        <v>13821</v>
      </c>
      <c r="J245" t="s">
        <v>3865</v>
      </c>
      <c r="K245" t="s">
        <v>3865</v>
      </c>
      <c r="L245" t="s">
        <v>3801</v>
      </c>
      <c r="M245" t="s">
        <v>3802</v>
      </c>
      <c r="N245">
        <v>18181</v>
      </c>
      <c r="O245">
        <v>63000</v>
      </c>
      <c r="P245">
        <v>1</v>
      </c>
      <c r="Q245" t="s">
        <v>3803</v>
      </c>
      <c r="R245" t="s">
        <v>3866</v>
      </c>
      <c r="S245">
        <v>143790</v>
      </c>
      <c r="T245" t="s">
        <v>3867</v>
      </c>
      <c r="U245" t="s">
        <v>2807</v>
      </c>
      <c r="W245">
        <v>0</v>
      </c>
      <c r="X245">
        <v>63000</v>
      </c>
      <c r="Y245">
        <v>57272.727272727199</v>
      </c>
      <c r="Z245" s="26">
        <v>46058</v>
      </c>
    </row>
    <row r="246" spans="1:26" x14ac:dyDescent="0.3">
      <c r="A246" s="50">
        <v>46058.334050925929</v>
      </c>
      <c r="B246">
        <v>2.0260205075941901E+18</v>
      </c>
      <c r="C246" t="s">
        <v>3868</v>
      </c>
      <c r="D246" t="s">
        <v>3869</v>
      </c>
      <c r="E246" t="s">
        <v>3869</v>
      </c>
      <c r="F246" t="s">
        <v>3868</v>
      </c>
      <c r="G246" t="s">
        <v>3869</v>
      </c>
      <c r="H246" t="s">
        <v>3869</v>
      </c>
      <c r="I246">
        <v>42016</v>
      </c>
      <c r="J246" t="s">
        <v>3870</v>
      </c>
      <c r="K246" t="s">
        <v>3870</v>
      </c>
      <c r="L246" t="s">
        <v>3801</v>
      </c>
      <c r="M246" t="s">
        <v>3802</v>
      </c>
      <c r="N246">
        <v>18181</v>
      </c>
      <c r="O246">
        <v>63000</v>
      </c>
      <c r="P246">
        <v>1</v>
      </c>
      <c r="Q246" t="s">
        <v>3803</v>
      </c>
      <c r="S246">
        <v>143790</v>
      </c>
      <c r="T246" t="s">
        <v>3871</v>
      </c>
      <c r="U246" t="s">
        <v>2807</v>
      </c>
      <c r="W246">
        <v>0</v>
      </c>
      <c r="X246">
        <v>63000</v>
      </c>
      <c r="Y246">
        <v>57272.727272727199</v>
      </c>
      <c r="Z246" s="26">
        <v>46058</v>
      </c>
    </row>
    <row r="247" spans="1:26" x14ac:dyDescent="0.3">
      <c r="A247" s="50">
        <v>46058.333796296298</v>
      </c>
      <c r="B247">
        <v>2.0260205075624499E+18</v>
      </c>
      <c r="C247" t="s">
        <v>3872</v>
      </c>
      <c r="D247" t="s">
        <v>3873</v>
      </c>
      <c r="E247" t="s">
        <v>3873</v>
      </c>
      <c r="F247" t="s">
        <v>3874</v>
      </c>
      <c r="G247" t="s">
        <v>3873</v>
      </c>
      <c r="H247" t="s">
        <v>3873</v>
      </c>
      <c r="I247">
        <v>18433</v>
      </c>
      <c r="J247" t="s">
        <v>3875</v>
      </c>
      <c r="K247" t="s">
        <v>3875</v>
      </c>
      <c r="L247" t="s">
        <v>3801</v>
      </c>
      <c r="M247" t="s">
        <v>3802</v>
      </c>
      <c r="N247">
        <v>18181</v>
      </c>
      <c r="O247">
        <v>63000</v>
      </c>
      <c r="P247">
        <v>1</v>
      </c>
      <c r="Q247" t="s">
        <v>3803</v>
      </c>
      <c r="S247">
        <v>143790</v>
      </c>
      <c r="T247" t="s">
        <v>3876</v>
      </c>
      <c r="U247" t="s">
        <v>2807</v>
      </c>
      <c r="W247">
        <v>0</v>
      </c>
      <c r="X247">
        <v>63000</v>
      </c>
      <c r="Y247">
        <v>57272.727272727199</v>
      </c>
      <c r="Z247" s="26">
        <v>46058</v>
      </c>
    </row>
    <row r="248" spans="1:26" x14ac:dyDescent="0.3">
      <c r="A248" s="50">
        <v>46058.333182870374</v>
      </c>
      <c r="B248">
        <v>2.0260205075831199E+18</v>
      </c>
      <c r="C248" t="s">
        <v>3877</v>
      </c>
      <c r="D248" t="s">
        <v>3878</v>
      </c>
      <c r="E248" t="s">
        <v>3878</v>
      </c>
      <c r="F248" t="s">
        <v>3877</v>
      </c>
      <c r="G248" t="s">
        <v>3878</v>
      </c>
      <c r="H248" t="s">
        <v>3878</v>
      </c>
      <c r="I248">
        <v>10402</v>
      </c>
      <c r="J248" t="s">
        <v>3879</v>
      </c>
      <c r="K248" t="s">
        <v>3879</v>
      </c>
      <c r="L248" t="s">
        <v>3801</v>
      </c>
      <c r="M248" t="s">
        <v>3802</v>
      </c>
      <c r="N248">
        <v>18181</v>
      </c>
      <c r="O248">
        <v>63000</v>
      </c>
      <c r="P248">
        <v>1</v>
      </c>
      <c r="Q248" t="s">
        <v>3803</v>
      </c>
      <c r="S248">
        <v>143790</v>
      </c>
      <c r="T248" t="s">
        <v>3880</v>
      </c>
      <c r="U248" t="s">
        <v>2807</v>
      </c>
      <c r="W248">
        <v>0</v>
      </c>
      <c r="X248">
        <v>63000</v>
      </c>
      <c r="Y248">
        <v>57272.727272727199</v>
      </c>
      <c r="Z248" s="26">
        <v>46058</v>
      </c>
    </row>
    <row r="249" spans="1:26" x14ac:dyDescent="0.3">
      <c r="A249" s="50">
        <v>46058.331458333334</v>
      </c>
      <c r="B249">
        <v>2.0260205075626701E+18</v>
      </c>
      <c r="C249" t="s">
        <v>3881</v>
      </c>
      <c r="D249" t="s">
        <v>3882</v>
      </c>
      <c r="E249" t="s">
        <v>3882</v>
      </c>
      <c r="F249" t="s">
        <v>3881</v>
      </c>
      <c r="G249" t="s">
        <v>3882</v>
      </c>
      <c r="H249" t="s">
        <v>3882</v>
      </c>
      <c r="I249">
        <v>48298</v>
      </c>
      <c r="J249" t="s">
        <v>3883</v>
      </c>
      <c r="K249" t="s">
        <v>3883</v>
      </c>
      <c r="L249" t="s">
        <v>3801</v>
      </c>
      <c r="M249" t="s">
        <v>3802</v>
      </c>
      <c r="N249">
        <v>18181</v>
      </c>
      <c r="O249">
        <v>63000</v>
      </c>
      <c r="P249">
        <v>1</v>
      </c>
      <c r="Q249" t="s">
        <v>3803</v>
      </c>
      <c r="S249">
        <v>143790</v>
      </c>
      <c r="T249" t="s">
        <v>3884</v>
      </c>
      <c r="U249" t="s">
        <v>2807</v>
      </c>
      <c r="W249">
        <v>0</v>
      </c>
      <c r="X249">
        <v>63000</v>
      </c>
      <c r="Y249">
        <v>57272.727272727199</v>
      </c>
      <c r="Z249" s="26">
        <v>46058</v>
      </c>
    </row>
    <row r="250" spans="1:26" x14ac:dyDescent="0.3">
      <c r="A250" s="50">
        <v>46058.325219907405</v>
      </c>
      <c r="B250">
        <v>2.0260205074725499E+18</v>
      </c>
      <c r="C250" t="s">
        <v>3885</v>
      </c>
      <c r="D250" t="s">
        <v>3886</v>
      </c>
      <c r="E250" t="s">
        <v>3886</v>
      </c>
      <c r="F250" t="s">
        <v>3885</v>
      </c>
      <c r="G250" t="s">
        <v>3886</v>
      </c>
      <c r="H250" t="s">
        <v>3886</v>
      </c>
      <c r="I250">
        <v>6218</v>
      </c>
      <c r="J250" t="s">
        <v>3887</v>
      </c>
      <c r="K250" t="s">
        <v>3887</v>
      </c>
      <c r="L250" t="s">
        <v>3801</v>
      </c>
      <c r="M250" t="s">
        <v>3802</v>
      </c>
      <c r="N250">
        <v>18181</v>
      </c>
      <c r="O250">
        <v>63000</v>
      </c>
      <c r="P250">
        <v>1</v>
      </c>
      <c r="Q250" t="s">
        <v>3803</v>
      </c>
      <c r="S250">
        <v>143790</v>
      </c>
      <c r="T250" t="s">
        <v>3888</v>
      </c>
      <c r="U250" t="s">
        <v>2807</v>
      </c>
      <c r="W250">
        <v>0</v>
      </c>
      <c r="X250">
        <v>63000</v>
      </c>
      <c r="Y250">
        <v>57272.727272727199</v>
      </c>
      <c r="Z250" s="26">
        <v>46058</v>
      </c>
    </row>
    <row r="251" spans="1:26" x14ac:dyDescent="0.3">
      <c r="A251" s="50">
        <v>46058.299907407411</v>
      </c>
      <c r="B251">
        <v>2.0260205071013E+18</v>
      </c>
      <c r="C251" t="s">
        <v>3889</v>
      </c>
      <c r="D251" t="s">
        <v>3890</v>
      </c>
      <c r="E251" t="s">
        <v>3890</v>
      </c>
      <c r="F251" t="s">
        <v>3889</v>
      </c>
      <c r="G251" t="s">
        <v>3890</v>
      </c>
      <c r="H251" t="s">
        <v>3890</v>
      </c>
      <c r="I251">
        <v>13645</v>
      </c>
      <c r="J251" t="s">
        <v>3891</v>
      </c>
      <c r="K251" t="s">
        <v>3891</v>
      </c>
      <c r="L251" t="s">
        <v>3801</v>
      </c>
      <c r="M251" t="s">
        <v>3802</v>
      </c>
      <c r="N251">
        <v>36362</v>
      </c>
      <c r="O251">
        <v>63000</v>
      </c>
      <c r="P251">
        <v>2</v>
      </c>
      <c r="Q251" t="s">
        <v>3803</v>
      </c>
      <c r="S251">
        <v>143790</v>
      </c>
      <c r="T251" t="s">
        <v>3892</v>
      </c>
      <c r="U251" t="s">
        <v>2807</v>
      </c>
      <c r="W251">
        <v>0</v>
      </c>
      <c r="X251">
        <v>126000</v>
      </c>
      <c r="Y251">
        <v>114545.45454545401</v>
      </c>
      <c r="Z251" s="26">
        <v>46058</v>
      </c>
    </row>
    <row r="252" spans="1:26" x14ac:dyDescent="0.3">
      <c r="A252" s="50">
        <v>46058.297939814816</v>
      </c>
      <c r="B252">
        <v>2.0260205070754801E+18</v>
      </c>
      <c r="C252" t="s">
        <v>3893</v>
      </c>
      <c r="D252" t="s">
        <v>3894</v>
      </c>
      <c r="E252" t="s">
        <v>3894</v>
      </c>
      <c r="F252" t="s">
        <v>3893</v>
      </c>
      <c r="G252" t="s">
        <v>3894</v>
      </c>
      <c r="H252" t="s">
        <v>3894</v>
      </c>
      <c r="I252">
        <v>58580</v>
      </c>
      <c r="J252" t="s">
        <v>3895</v>
      </c>
      <c r="K252" t="s">
        <v>3895</v>
      </c>
      <c r="L252" t="s">
        <v>3801</v>
      </c>
      <c r="M252" t="s">
        <v>3802</v>
      </c>
      <c r="N252">
        <v>36362</v>
      </c>
      <c r="O252">
        <v>63000</v>
      </c>
      <c r="P252">
        <v>2</v>
      </c>
      <c r="Q252" t="s">
        <v>3803</v>
      </c>
      <c r="S252">
        <v>143790</v>
      </c>
      <c r="T252" t="s">
        <v>3896</v>
      </c>
      <c r="U252" t="s">
        <v>2807</v>
      </c>
      <c r="W252">
        <v>0</v>
      </c>
      <c r="X252">
        <v>126000</v>
      </c>
      <c r="Y252">
        <v>114545.45454545401</v>
      </c>
      <c r="Z252" s="26">
        <v>46058</v>
      </c>
    </row>
    <row r="253" spans="1:26" x14ac:dyDescent="0.3">
      <c r="A253" s="50">
        <v>46058.287662037037</v>
      </c>
      <c r="B253">
        <v>2.02602050653391E+18</v>
      </c>
      <c r="C253" t="s">
        <v>3897</v>
      </c>
      <c r="D253" t="s">
        <v>3898</v>
      </c>
      <c r="E253" t="s">
        <v>3898</v>
      </c>
      <c r="F253" t="s">
        <v>3897</v>
      </c>
      <c r="G253" t="s">
        <v>3898</v>
      </c>
      <c r="H253" t="s">
        <v>3898</v>
      </c>
      <c r="I253">
        <v>27938</v>
      </c>
      <c r="J253" t="s">
        <v>3899</v>
      </c>
      <c r="K253" t="s">
        <v>3899</v>
      </c>
      <c r="L253" t="s">
        <v>3801</v>
      </c>
      <c r="M253" t="s">
        <v>3802</v>
      </c>
      <c r="N253">
        <v>18181</v>
      </c>
      <c r="O253">
        <v>63000</v>
      </c>
      <c r="P253">
        <v>1</v>
      </c>
      <c r="Q253" t="s">
        <v>3803</v>
      </c>
      <c r="S253">
        <v>143790</v>
      </c>
      <c r="T253" t="s">
        <v>3900</v>
      </c>
      <c r="U253" t="s">
        <v>2807</v>
      </c>
      <c r="W253">
        <v>0</v>
      </c>
      <c r="X253">
        <v>63000</v>
      </c>
      <c r="Y253">
        <v>57272.727272727199</v>
      </c>
      <c r="Z253" s="26">
        <v>46058</v>
      </c>
    </row>
    <row r="254" spans="1:26" x14ac:dyDescent="0.3">
      <c r="A254" s="50">
        <v>46058.284560185188</v>
      </c>
      <c r="B254">
        <v>2.02602050649087E+18</v>
      </c>
      <c r="C254" t="s">
        <v>3901</v>
      </c>
      <c r="D254" t="s">
        <v>3902</v>
      </c>
      <c r="E254" t="s">
        <v>3902</v>
      </c>
      <c r="F254" t="s">
        <v>3901</v>
      </c>
      <c r="G254" t="s">
        <v>3902</v>
      </c>
      <c r="H254" t="s">
        <v>3902</v>
      </c>
      <c r="I254">
        <v>34857</v>
      </c>
      <c r="J254" t="s">
        <v>3903</v>
      </c>
      <c r="K254" t="s">
        <v>3903</v>
      </c>
      <c r="L254" t="s">
        <v>3801</v>
      </c>
      <c r="M254" t="s">
        <v>3802</v>
      </c>
      <c r="N254">
        <v>18181</v>
      </c>
      <c r="O254">
        <v>63000</v>
      </c>
      <c r="P254">
        <v>1</v>
      </c>
      <c r="Q254" t="s">
        <v>3803</v>
      </c>
      <c r="S254">
        <v>143790</v>
      </c>
      <c r="T254" t="s">
        <v>3904</v>
      </c>
      <c r="U254" t="s">
        <v>2807</v>
      </c>
      <c r="W254">
        <v>0</v>
      </c>
      <c r="X254">
        <v>63000</v>
      </c>
      <c r="Y254">
        <v>57272.727272727199</v>
      </c>
      <c r="Z254" s="26">
        <v>46058</v>
      </c>
    </row>
    <row r="255" spans="1:26" x14ac:dyDescent="0.3">
      <c r="A255" s="50">
        <v>46058.282893518517</v>
      </c>
      <c r="B255">
        <v>2.02602050646205E+18</v>
      </c>
      <c r="C255" t="s">
        <v>3905</v>
      </c>
      <c r="D255" t="s">
        <v>3906</v>
      </c>
      <c r="E255" t="s">
        <v>3906</v>
      </c>
      <c r="F255" t="s">
        <v>3905</v>
      </c>
      <c r="G255" t="s">
        <v>3906</v>
      </c>
      <c r="H255" t="s">
        <v>3906</v>
      </c>
      <c r="I255">
        <v>7013</v>
      </c>
      <c r="J255" t="s">
        <v>3907</v>
      </c>
      <c r="K255" t="s">
        <v>3907</v>
      </c>
      <c r="L255" t="s">
        <v>3801</v>
      </c>
      <c r="M255" t="s">
        <v>3802</v>
      </c>
      <c r="N255">
        <v>18181</v>
      </c>
      <c r="O255">
        <v>63000</v>
      </c>
      <c r="P255">
        <v>1</v>
      </c>
      <c r="Q255" t="s">
        <v>3803</v>
      </c>
      <c r="S255">
        <v>143790</v>
      </c>
      <c r="T255" t="s">
        <v>3908</v>
      </c>
      <c r="U255" t="s">
        <v>2807</v>
      </c>
      <c r="W255">
        <v>0</v>
      </c>
      <c r="X255">
        <v>63000</v>
      </c>
      <c r="Y255">
        <v>57272.727272727199</v>
      </c>
      <c r="Z255" s="26">
        <v>46058</v>
      </c>
    </row>
    <row r="256" spans="1:26" x14ac:dyDescent="0.3">
      <c r="A256" s="50">
        <v>46058.281886574077</v>
      </c>
      <c r="B256">
        <v>2.02602050645309E+18</v>
      </c>
      <c r="C256" t="s">
        <v>3909</v>
      </c>
      <c r="D256" t="s">
        <v>3910</v>
      </c>
      <c r="E256" t="s">
        <v>3910</v>
      </c>
      <c r="F256" t="s">
        <v>3909</v>
      </c>
      <c r="G256" t="s">
        <v>3910</v>
      </c>
      <c r="H256" t="s">
        <v>3910</v>
      </c>
      <c r="I256">
        <v>30095</v>
      </c>
      <c r="J256" t="s">
        <v>3911</v>
      </c>
      <c r="K256" t="s">
        <v>3911</v>
      </c>
      <c r="L256" t="s">
        <v>3801</v>
      </c>
      <c r="M256" t="s">
        <v>3802</v>
      </c>
      <c r="N256">
        <v>18181</v>
      </c>
      <c r="O256">
        <v>63000</v>
      </c>
      <c r="P256">
        <v>1</v>
      </c>
      <c r="Q256" t="s">
        <v>3803</v>
      </c>
      <c r="S256">
        <v>143790</v>
      </c>
      <c r="T256" t="s">
        <v>3912</v>
      </c>
      <c r="U256" t="s">
        <v>2807</v>
      </c>
      <c r="W256">
        <v>0</v>
      </c>
      <c r="X256">
        <v>63000</v>
      </c>
      <c r="Y256">
        <v>57272.727272727199</v>
      </c>
      <c r="Z256" s="26">
        <v>46058</v>
      </c>
    </row>
    <row r="257" spans="1:26" x14ac:dyDescent="0.3">
      <c r="A257" s="50">
        <v>46058.067291666666</v>
      </c>
      <c r="B257">
        <v>2.0260205013435699E+18</v>
      </c>
      <c r="C257" t="s">
        <v>3913</v>
      </c>
      <c r="D257" t="s">
        <v>3914</v>
      </c>
      <c r="E257" t="s">
        <v>3914</v>
      </c>
      <c r="F257" t="s">
        <v>3913</v>
      </c>
      <c r="G257" t="s">
        <v>3914</v>
      </c>
      <c r="H257" t="s">
        <v>3914</v>
      </c>
      <c r="I257">
        <v>16848</v>
      </c>
      <c r="J257" t="s">
        <v>3915</v>
      </c>
      <c r="K257" t="s">
        <v>3915</v>
      </c>
      <c r="L257" t="s">
        <v>3801</v>
      </c>
      <c r="M257" t="s">
        <v>3802</v>
      </c>
      <c r="N257">
        <v>18181</v>
      </c>
      <c r="O257">
        <v>63000</v>
      </c>
      <c r="P257">
        <v>1</v>
      </c>
      <c r="Q257" t="s">
        <v>3803</v>
      </c>
      <c r="S257">
        <v>143790</v>
      </c>
      <c r="T257" t="s">
        <v>3916</v>
      </c>
      <c r="U257" t="s">
        <v>2807</v>
      </c>
      <c r="W257">
        <v>0</v>
      </c>
      <c r="X257">
        <v>63000</v>
      </c>
      <c r="Y257">
        <v>57272.727272727199</v>
      </c>
      <c r="Z257" s="26">
        <v>46058</v>
      </c>
    </row>
    <row r="258" spans="1:26" x14ac:dyDescent="0.3">
      <c r="A258" s="50">
        <v>46058.021608796298</v>
      </c>
      <c r="B258">
        <v>2.02602050029571E+18</v>
      </c>
      <c r="C258" t="s">
        <v>3917</v>
      </c>
      <c r="D258" t="s">
        <v>3918</v>
      </c>
      <c r="E258" t="s">
        <v>3918</v>
      </c>
      <c r="F258" t="s">
        <v>3917</v>
      </c>
      <c r="G258" t="s">
        <v>3918</v>
      </c>
      <c r="H258" t="s">
        <v>3918</v>
      </c>
      <c r="I258">
        <v>10306</v>
      </c>
      <c r="J258" t="s">
        <v>3919</v>
      </c>
      <c r="K258" t="s">
        <v>3919</v>
      </c>
      <c r="L258" t="s">
        <v>3801</v>
      </c>
      <c r="M258" t="s">
        <v>3802</v>
      </c>
      <c r="N258">
        <v>18181</v>
      </c>
      <c r="O258">
        <v>63000</v>
      </c>
      <c r="P258">
        <v>1</v>
      </c>
      <c r="Q258" t="s">
        <v>3803</v>
      </c>
      <c r="S258">
        <v>143790</v>
      </c>
      <c r="T258" t="s">
        <v>3920</v>
      </c>
      <c r="U258" t="s">
        <v>2807</v>
      </c>
      <c r="W258">
        <v>0</v>
      </c>
      <c r="X258">
        <v>63000</v>
      </c>
      <c r="Y258">
        <v>57272.727272727199</v>
      </c>
      <c r="Z258" s="26">
        <v>46058</v>
      </c>
    </row>
    <row r="259" spans="1:26" x14ac:dyDescent="0.3">
      <c r="A259" s="50">
        <v>46057.959965277776</v>
      </c>
      <c r="B259">
        <v>2.02602042300317E+18</v>
      </c>
      <c r="C259" t="s">
        <v>3921</v>
      </c>
      <c r="D259" t="s">
        <v>3922</v>
      </c>
      <c r="E259" t="s">
        <v>3922</v>
      </c>
      <c r="F259" t="s">
        <v>3921</v>
      </c>
      <c r="G259" t="s">
        <v>3922</v>
      </c>
      <c r="H259" t="s">
        <v>3922</v>
      </c>
      <c r="I259">
        <v>10362</v>
      </c>
      <c r="J259" t="s">
        <v>3923</v>
      </c>
      <c r="K259" t="s">
        <v>3923</v>
      </c>
      <c r="L259" t="s">
        <v>3801</v>
      </c>
      <c r="M259" t="s">
        <v>3802</v>
      </c>
      <c r="N259">
        <v>18181</v>
      </c>
      <c r="O259">
        <v>63000</v>
      </c>
      <c r="P259">
        <v>1</v>
      </c>
      <c r="Q259" t="s">
        <v>3803</v>
      </c>
      <c r="S259">
        <v>143790</v>
      </c>
      <c r="T259" t="s">
        <v>3924</v>
      </c>
      <c r="U259" t="s">
        <v>2807</v>
      </c>
      <c r="W259">
        <v>0</v>
      </c>
      <c r="X259">
        <v>63000</v>
      </c>
      <c r="Y259">
        <v>57272.727272727199</v>
      </c>
      <c r="Z259" s="26">
        <v>46058</v>
      </c>
    </row>
    <row r="260" spans="1:26" x14ac:dyDescent="0.3">
      <c r="A260" s="50">
        <v>46057.931377314817</v>
      </c>
      <c r="B260">
        <v>2.0260204221906099E+18</v>
      </c>
      <c r="C260" t="s">
        <v>3925</v>
      </c>
      <c r="D260" t="s">
        <v>3926</v>
      </c>
      <c r="E260" t="s">
        <v>3926</v>
      </c>
      <c r="F260" t="s">
        <v>3925</v>
      </c>
      <c r="G260" t="s">
        <v>3926</v>
      </c>
      <c r="H260" t="s">
        <v>3926</v>
      </c>
      <c r="I260">
        <v>21586</v>
      </c>
      <c r="J260" t="s">
        <v>3927</v>
      </c>
      <c r="K260" t="s">
        <v>3927</v>
      </c>
      <c r="L260" t="s">
        <v>3801</v>
      </c>
      <c r="M260" t="s">
        <v>3802</v>
      </c>
      <c r="N260">
        <v>18181</v>
      </c>
      <c r="O260">
        <v>63000</v>
      </c>
      <c r="P260">
        <v>1</v>
      </c>
      <c r="Q260" t="s">
        <v>3803</v>
      </c>
      <c r="S260">
        <v>143790</v>
      </c>
      <c r="T260" t="s">
        <v>3928</v>
      </c>
      <c r="U260" t="s">
        <v>2807</v>
      </c>
      <c r="W260">
        <v>0</v>
      </c>
      <c r="X260">
        <v>63000</v>
      </c>
      <c r="Y260">
        <v>57272.727272727199</v>
      </c>
      <c r="Z260" s="26">
        <v>46058</v>
      </c>
    </row>
    <row r="261" spans="1:26" x14ac:dyDescent="0.3">
      <c r="A261" s="50">
        <v>46058.332881944443</v>
      </c>
      <c r="B261">
        <v>2.0260205075749701E+18</v>
      </c>
      <c r="C261" t="s">
        <v>3929</v>
      </c>
      <c r="D261" t="s">
        <v>3930</v>
      </c>
      <c r="E261" t="s">
        <v>3930</v>
      </c>
      <c r="F261" t="s">
        <v>3931</v>
      </c>
      <c r="G261" t="s">
        <v>3932</v>
      </c>
      <c r="H261" t="s">
        <v>3932</v>
      </c>
      <c r="I261">
        <v>5303</v>
      </c>
      <c r="J261" t="s">
        <v>3933</v>
      </c>
      <c r="K261" t="s">
        <v>3933</v>
      </c>
      <c r="L261" t="s">
        <v>2804</v>
      </c>
      <c r="M261" t="s">
        <v>2805</v>
      </c>
      <c r="N261">
        <v>54363</v>
      </c>
      <c r="O261">
        <v>45500</v>
      </c>
      <c r="P261">
        <v>1</v>
      </c>
      <c r="Q261">
        <v>0</v>
      </c>
      <c r="S261">
        <v>143790</v>
      </c>
      <c r="T261">
        <v>0</v>
      </c>
      <c r="U261" t="s">
        <v>2807</v>
      </c>
      <c r="W261" t="s">
        <v>3934</v>
      </c>
      <c r="X261">
        <v>45500</v>
      </c>
      <c r="Y261">
        <v>41363.636363636302</v>
      </c>
      <c r="Z261" s="26">
        <v>46059</v>
      </c>
    </row>
    <row r="262" spans="1:26" x14ac:dyDescent="0.3">
      <c r="A262" s="50">
        <v>46058.370717592596</v>
      </c>
      <c r="B262">
        <v>2.0260205085247099E+18</v>
      </c>
      <c r="C262" t="s">
        <v>2926</v>
      </c>
      <c r="D262" t="s">
        <v>2927</v>
      </c>
      <c r="E262" t="s">
        <v>2927</v>
      </c>
      <c r="F262" t="s">
        <v>3935</v>
      </c>
      <c r="G262" t="s">
        <v>3936</v>
      </c>
      <c r="H262" t="s">
        <v>3936</v>
      </c>
      <c r="I262">
        <v>5080</v>
      </c>
      <c r="J262" t="s">
        <v>3937</v>
      </c>
      <c r="K262" t="s">
        <v>3937</v>
      </c>
      <c r="L262" t="s">
        <v>2804</v>
      </c>
      <c r="M262" t="s">
        <v>2805</v>
      </c>
      <c r="N262">
        <v>54363</v>
      </c>
      <c r="O262">
        <v>45500</v>
      </c>
      <c r="P262">
        <v>1</v>
      </c>
      <c r="Q262">
        <v>0</v>
      </c>
      <c r="S262">
        <v>143790</v>
      </c>
      <c r="T262">
        <v>0</v>
      </c>
      <c r="U262" t="s">
        <v>2807</v>
      </c>
      <c r="W262" t="s">
        <v>3938</v>
      </c>
      <c r="X262">
        <v>45500</v>
      </c>
      <c r="Y262">
        <v>41363.636363636302</v>
      </c>
      <c r="Z262" s="26">
        <v>46059</v>
      </c>
    </row>
    <row r="263" spans="1:26" x14ac:dyDescent="0.3">
      <c r="A263" s="50">
        <v>46058.459421296298</v>
      </c>
      <c r="B263">
        <v>2.02602051042495E+18</v>
      </c>
      <c r="C263" t="s">
        <v>3939</v>
      </c>
      <c r="D263" t="s">
        <v>3940</v>
      </c>
      <c r="E263" t="s">
        <v>3940</v>
      </c>
      <c r="F263" t="s">
        <v>3941</v>
      </c>
      <c r="G263" t="s">
        <v>3942</v>
      </c>
      <c r="H263" t="s">
        <v>3942</v>
      </c>
      <c r="I263">
        <v>16909</v>
      </c>
      <c r="J263" t="s">
        <v>3943</v>
      </c>
      <c r="K263" t="s">
        <v>3943</v>
      </c>
      <c r="L263" t="s">
        <v>2804</v>
      </c>
      <c r="M263" t="s">
        <v>2805</v>
      </c>
      <c r="N263">
        <v>54363</v>
      </c>
      <c r="O263">
        <v>45500</v>
      </c>
      <c r="P263">
        <v>1</v>
      </c>
      <c r="Q263">
        <v>0</v>
      </c>
      <c r="S263">
        <v>143790</v>
      </c>
      <c r="T263">
        <v>0</v>
      </c>
      <c r="U263" t="s">
        <v>2807</v>
      </c>
      <c r="W263" t="s">
        <v>3944</v>
      </c>
      <c r="X263">
        <v>45500</v>
      </c>
      <c r="Y263">
        <v>41363.636363636302</v>
      </c>
      <c r="Z263" s="26">
        <v>46059</v>
      </c>
    </row>
    <row r="264" spans="1:26" x14ac:dyDescent="0.3">
      <c r="A264" s="50">
        <v>46058.460428240738</v>
      </c>
      <c r="B264">
        <v>2.0260205110231501E+18</v>
      </c>
      <c r="C264" t="s">
        <v>3945</v>
      </c>
      <c r="D264" t="s">
        <v>3946</v>
      </c>
      <c r="E264" t="s">
        <v>3946</v>
      </c>
      <c r="F264" t="s">
        <v>3945</v>
      </c>
      <c r="G264" t="s">
        <v>3946</v>
      </c>
      <c r="H264" t="s">
        <v>3946</v>
      </c>
      <c r="I264">
        <v>4346</v>
      </c>
      <c r="J264" t="s">
        <v>3947</v>
      </c>
      <c r="K264" t="s">
        <v>3947</v>
      </c>
      <c r="L264" t="s">
        <v>2804</v>
      </c>
      <c r="M264" t="s">
        <v>2805</v>
      </c>
      <c r="N264">
        <v>108726</v>
      </c>
      <c r="O264">
        <v>45500</v>
      </c>
      <c r="P264">
        <v>2</v>
      </c>
      <c r="Q264">
        <v>0</v>
      </c>
      <c r="S264">
        <v>143790</v>
      </c>
      <c r="T264">
        <v>0</v>
      </c>
      <c r="U264" t="s">
        <v>2807</v>
      </c>
      <c r="W264" t="s">
        <v>3948</v>
      </c>
      <c r="X264">
        <v>91000</v>
      </c>
      <c r="Y264">
        <v>82727.272727272706</v>
      </c>
      <c r="Z264" s="26">
        <v>46059</v>
      </c>
    </row>
    <row r="265" spans="1:26" x14ac:dyDescent="0.3">
      <c r="A265" s="50">
        <v>46058.466134259259</v>
      </c>
      <c r="B265">
        <v>2.02602051103107E+18</v>
      </c>
      <c r="C265" t="s">
        <v>3949</v>
      </c>
      <c r="D265" t="s">
        <v>3950</v>
      </c>
      <c r="E265" t="s">
        <v>3950</v>
      </c>
      <c r="F265" t="s">
        <v>3949</v>
      </c>
      <c r="G265" t="s">
        <v>3950</v>
      </c>
      <c r="H265" t="s">
        <v>3950</v>
      </c>
      <c r="I265">
        <v>14743</v>
      </c>
      <c r="J265" t="s">
        <v>3951</v>
      </c>
      <c r="K265" t="s">
        <v>3951</v>
      </c>
      <c r="L265" t="s">
        <v>2804</v>
      </c>
      <c r="M265" t="s">
        <v>2805</v>
      </c>
      <c r="N265">
        <v>54363</v>
      </c>
      <c r="O265">
        <v>45500</v>
      </c>
      <c r="P265">
        <v>1</v>
      </c>
      <c r="Q265">
        <v>0</v>
      </c>
      <c r="S265">
        <v>143790</v>
      </c>
      <c r="T265">
        <v>0</v>
      </c>
      <c r="U265" t="s">
        <v>2807</v>
      </c>
      <c r="W265" t="s">
        <v>3952</v>
      </c>
      <c r="X265">
        <v>45500</v>
      </c>
      <c r="Y265">
        <v>41363.636363636302</v>
      </c>
      <c r="Z265" s="26">
        <v>46059</v>
      </c>
    </row>
    <row r="266" spans="1:26" x14ac:dyDescent="0.3">
      <c r="A266" s="50">
        <v>46058.467523148145</v>
      </c>
      <c r="B266">
        <v>2.0260205111221499E+18</v>
      </c>
      <c r="C266" t="s">
        <v>3953</v>
      </c>
      <c r="D266" t="s">
        <v>3954</v>
      </c>
      <c r="E266" t="s">
        <v>3954</v>
      </c>
      <c r="F266" t="s">
        <v>3953</v>
      </c>
      <c r="G266" t="s">
        <v>3954</v>
      </c>
      <c r="H266" t="s">
        <v>3954</v>
      </c>
      <c r="I266">
        <v>2524</v>
      </c>
      <c r="J266" t="s">
        <v>3955</v>
      </c>
      <c r="K266" t="s">
        <v>3955</v>
      </c>
      <c r="L266" t="s">
        <v>2804</v>
      </c>
      <c r="M266" t="s">
        <v>2805</v>
      </c>
      <c r="N266">
        <v>54363</v>
      </c>
      <c r="O266">
        <v>45500</v>
      </c>
      <c r="P266">
        <v>1</v>
      </c>
      <c r="Q266">
        <v>0</v>
      </c>
      <c r="S266">
        <v>143790</v>
      </c>
      <c r="T266">
        <v>0</v>
      </c>
      <c r="U266" t="s">
        <v>2807</v>
      </c>
      <c r="W266" t="s">
        <v>3956</v>
      </c>
      <c r="X266">
        <v>45500</v>
      </c>
      <c r="Y266">
        <v>41363.636363636302</v>
      </c>
      <c r="Z266" s="26">
        <v>46059</v>
      </c>
    </row>
    <row r="267" spans="1:26" x14ac:dyDescent="0.3">
      <c r="A267" s="50">
        <v>46058.473333333335</v>
      </c>
      <c r="B267">
        <v>2.02602051119117E+18</v>
      </c>
      <c r="C267" t="s">
        <v>3957</v>
      </c>
      <c r="D267" t="s">
        <v>3958</v>
      </c>
      <c r="E267" t="s">
        <v>3958</v>
      </c>
      <c r="F267" t="s">
        <v>3957</v>
      </c>
      <c r="G267" t="s">
        <v>3958</v>
      </c>
      <c r="H267" t="s">
        <v>3958</v>
      </c>
      <c r="I267">
        <v>2816</v>
      </c>
      <c r="J267" t="s">
        <v>3959</v>
      </c>
      <c r="K267" t="s">
        <v>3959</v>
      </c>
      <c r="L267" t="s">
        <v>2804</v>
      </c>
      <c r="M267" t="s">
        <v>2805</v>
      </c>
      <c r="N267">
        <v>54363</v>
      </c>
      <c r="O267">
        <v>45500</v>
      </c>
      <c r="P267">
        <v>1</v>
      </c>
      <c r="Q267">
        <v>0</v>
      </c>
      <c r="S267">
        <v>143790</v>
      </c>
      <c r="T267">
        <v>0</v>
      </c>
      <c r="U267" t="s">
        <v>2807</v>
      </c>
      <c r="W267" t="s">
        <v>3960</v>
      </c>
      <c r="X267">
        <v>45500</v>
      </c>
      <c r="Y267">
        <v>41363.636363636302</v>
      </c>
      <c r="Z267" s="26">
        <v>46059</v>
      </c>
    </row>
    <row r="268" spans="1:26" x14ac:dyDescent="0.3">
      <c r="A268" s="50">
        <v>46058.482395833336</v>
      </c>
      <c r="B268">
        <v>2.0260205113413E+18</v>
      </c>
      <c r="C268" t="s">
        <v>3961</v>
      </c>
      <c r="D268" t="s">
        <v>3962</v>
      </c>
      <c r="E268" t="s">
        <v>3962</v>
      </c>
      <c r="F268" t="s">
        <v>3961</v>
      </c>
      <c r="G268" t="s">
        <v>3962</v>
      </c>
      <c r="H268" t="s">
        <v>3962</v>
      </c>
      <c r="I268">
        <v>38127</v>
      </c>
      <c r="J268" t="s">
        <v>3963</v>
      </c>
      <c r="K268" t="s">
        <v>3963</v>
      </c>
      <c r="L268" t="s">
        <v>2804</v>
      </c>
      <c r="M268" t="s">
        <v>2805</v>
      </c>
      <c r="N268">
        <v>54363</v>
      </c>
      <c r="O268">
        <v>45500</v>
      </c>
      <c r="P268">
        <v>1</v>
      </c>
      <c r="Q268">
        <v>0</v>
      </c>
      <c r="S268">
        <v>143790</v>
      </c>
      <c r="T268">
        <v>0</v>
      </c>
      <c r="U268" t="s">
        <v>2807</v>
      </c>
      <c r="W268" t="s">
        <v>3964</v>
      </c>
      <c r="X268">
        <v>45500</v>
      </c>
      <c r="Y268">
        <v>41363.636363636302</v>
      </c>
      <c r="Z268" s="26">
        <v>46059</v>
      </c>
    </row>
    <row r="269" spans="1:26" x14ac:dyDescent="0.3">
      <c r="A269" s="50">
        <v>46058.482708333337</v>
      </c>
      <c r="B269">
        <v>2.0260205113420101E+18</v>
      </c>
      <c r="C269" t="s">
        <v>3965</v>
      </c>
      <c r="D269" t="s">
        <v>3966</v>
      </c>
      <c r="E269" t="s">
        <v>3966</v>
      </c>
      <c r="F269" t="s">
        <v>3965</v>
      </c>
      <c r="G269" t="s">
        <v>3966</v>
      </c>
      <c r="H269" t="s">
        <v>3966</v>
      </c>
      <c r="I269">
        <v>16222</v>
      </c>
      <c r="J269" t="s">
        <v>3967</v>
      </c>
      <c r="K269" t="s">
        <v>3967</v>
      </c>
      <c r="L269" t="s">
        <v>2804</v>
      </c>
      <c r="M269" t="s">
        <v>2805</v>
      </c>
      <c r="N269">
        <v>54363</v>
      </c>
      <c r="O269">
        <v>45500</v>
      </c>
      <c r="P269">
        <v>1</v>
      </c>
      <c r="Q269">
        <v>0</v>
      </c>
      <c r="S269">
        <v>143790</v>
      </c>
      <c r="T269">
        <v>0</v>
      </c>
      <c r="U269" t="s">
        <v>2807</v>
      </c>
      <c r="W269" t="s">
        <v>3968</v>
      </c>
      <c r="X269">
        <v>45500</v>
      </c>
      <c r="Y269">
        <v>41363.636363636302</v>
      </c>
      <c r="Z269" s="26">
        <v>46059</v>
      </c>
    </row>
    <row r="270" spans="1:26" x14ac:dyDescent="0.3">
      <c r="A270" s="50">
        <v>46058.484270833331</v>
      </c>
      <c r="B270">
        <v>2.0260205113308301E+18</v>
      </c>
      <c r="C270" t="s">
        <v>3969</v>
      </c>
      <c r="D270" t="s">
        <v>3970</v>
      </c>
      <c r="E270" t="s">
        <v>3970</v>
      </c>
      <c r="F270" t="s">
        <v>3969</v>
      </c>
      <c r="G270" t="s">
        <v>3970</v>
      </c>
      <c r="H270" t="s">
        <v>3970</v>
      </c>
      <c r="I270">
        <v>21561</v>
      </c>
      <c r="J270" t="s">
        <v>3971</v>
      </c>
      <c r="K270" t="s">
        <v>3971</v>
      </c>
      <c r="L270" t="s">
        <v>2804</v>
      </c>
      <c r="M270" t="s">
        <v>2805</v>
      </c>
      <c r="N270">
        <v>54363</v>
      </c>
      <c r="O270">
        <v>45500</v>
      </c>
      <c r="P270">
        <v>1</v>
      </c>
      <c r="Q270">
        <v>0</v>
      </c>
      <c r="S270">
        <v>143790</v>
      </c>
      <c r="T270">
        <v>0</v>
      </c>
      <c r="U270" t="s">
        <v>2807</v>
      </c>
      <c r="W270" t="s">
        <v>3972</v>
      </c>
      <c r="X270">
        <v>45500</v>
      </c>
      <c r="Y270">
        <v>41363.636363636302</v>
      </c>
      <c r="Z270" s="26">
        <v>46059</v>
      </c>
    </row>
    <row r="271" spans="1:26" x14ac:dyDescent="0.3">
      <c r="A271" s="50">
        <v>46058.487881944442</v>
      </c>
      <c r="B271">
        <v>2.0260205114108001E+18</v>
      </c>
      <c r="C271" t="s">
        <v>3973</v>
      </c>
      <c r="D271" t="s">
        <v>3974</v>
      </c>
      <c r="E271" t="s">
        <v>3974</v>
      </c>
      <c r="F271" t="s">
        <v>3973</v>
      </c>
      <c r="G271" t="s">
        <v>3974</v>
      </c>
      <c r="H271" t="s">
        <v>3974</v>
      </c>
      <c r="I271">
        <v>2435</v>
      </c>
      <c r="J271" t="s">
        <v>3975</v>
      </c>
      <c r="K271" t="s">
        <v>3975</v>
      </c>
      <c r="L271" t="s">
        <v>2804</v>
      </c>
      <c r="M271" t="s">
        <v>2805</v>
      </c>
      <c r="N271">
        <v>54363</v>
      </c>
      <c r="O271">
        <v>45500</v>
      </c>
      <c r="P271">
        <v>1</v>
      </c>
      <c r="Q271">
        <v>0</v>
      </c>
      <c r="S271">
        <v>143790</v>
      </c>
      <c r="T271">
        <v>0</v>
      </c>
      <c r="U271" t="s">
        <v>2807</v>
      </c>
      <c r="W271" t="s">
        <v>3976</v>
      </c>
      <c r="X271">
        <v>45500</v>
      </c>
      <c r="Y271">
        <v>41363.636363636302</v>
      </c>
      <c r="Z271" s="26">
        <v>46059</v>
      </c>
    </row>
    <row r="272" spans="1:26" x14ac:dyDescent="0.3">
      <c r="A272" s="50">
        <v>46058.490740740737</v>
      </c>
      <c r="B272">
        <v>2.0260205114541499E+18</v>
      </c>
      <c r="C272" t="s">
        <v>3977</v>
      </c>
      <c r="D272" t="s">
        <v>3978</v>
      </c>
      <c r="E272" t="s">
        <v>3978</v>
      </c>
      <c r="F272" t="s">
        <v>3977</v>
      </c>
      <c r="G272" t="s">
        <v>3978</v>
      </c>
      <c r="H272" t="s">
        <v>3978</v>
      </c>
      <c r="I272">
        <v>17722</v>
      </c>
      <c r="J272" t="s">
        <v>3979</v>
      </c>
      <c r="K272" t="s">
        <v>3979</v>
      </c>
      <c r="L272" t="s">
        <v>2804</v>
      </c>
      <c r="M272" t="s">
        <v>2805</v>
      </c>
      <c r="N272">
        <v>54363</v>
      </c>
      <c r="O272">
        <v>45500</v>
      </c>
      <c r="P272">
        <v>1</v>
      </c>
      <c r="Q272">
        <v>0</v>
      </c>
      <c r="S272">
        <v>143790</v>
      </c>
      <c r="T272">
        <v>0</v>
      </c>
      <c r="U272" t="s">
        <v>2807</v>
      </c>
      <c r="W272" t="s">
        <v>3980</v>
      </c>
      <c r="X272">
        <v>45500</v>
      </c>
      <c r="Y272">
        <v>41363.636363636302</v>
      </c>
      <c r="Z272" s="26">
        <v>46059</v>
      </c>
    </row>
    <row r="273" spans="1:26" x14ac:dyDescent="0.3">
      <c r="A273" s="50">
        <v>46058.491273148145</v>
      </c>
      <c r="B273">
        <v>2.0260205114501299E+18</v>
      </c>
      <c r="C273" t="s">
        <v>3981</v>
      </c>
      <c r="D273" t="s">
        <v>3982</v>
      </c>
      <c r="E273" t="s">
        <v>3982</v>
      </c>
      <c r="F273" t="s">
        <v>3981</v>
      </c>
      <c r="G273" t="s">
        <v>3982</v>
      </c>
      <c r="H273" t="s">
        <v>3982</v>
      </c>
      <c r="I273">
        <v>16813</v>
      </c>
      <c r="J273" t="s">
        <v>3983</v>
      </c>
      <c r="K273" t="s">
        <v>3983</v>
      </c>
      <c r="L273" t="s">
        <v>2804</v>
      </c>
      <c r="M273" t="s">
        <v>2805</v>
      </c>
      <c r="N273">
        <v>54363</v>
      </c>
      <c r="O273">
        <v>45500</v>
      </c>
      <c r="P273">
        <v>1</v>
      </c>
      <c r="Q273">
        <v>0</v>
      </c>
      <c r="S273">
        <v>143790</v>
      </c>
      <c r="T273">
        <v>0</v>
      </c>
      <c r="U273" t="s">
        <v>2807</v>
      </c>
      <c r="W273" t="s">
        <v>3984</v>
      </c>
      <c r="X273">
        <v>45500</v>
      </c>
      <c r="Y273">
        <v>41363.636363636302</v>
      </c>
      <c r="Z273" s="26">
        <v>46059</v>
      </c>
    </row>
    <row r="274" spans="1:26" x14ac:dyDescent="0.3">
      <c r="A274" s="50">
        <v>46058.495046296295</v>
      </c>
      <c r="B274">
        <v>2.02602051151136E+18</v>
      </c>
      <c r="C274" t="s">
        <v>3985</v>
      </c>
      <c r="D274" t="s">
        <v>3986</v>
      </c>
      <c r="E274" t="s">
        <v>3986</v>
      </c>
      <c r="F274" t="s">
        <v>3987</v>
      </c>
      <c r="G274" t="s">
        <v>3988</v>
      </c>
      <c r="H274" t="s">
        <v>3988</v>
      </c>
      <c r="I274">
        <v>49208</v>
      </c>
      <c r="J274" t="s">
        <v>3989</v>
      </c>
      <c r="K274" t="s">
        <v>3989</v>
      </c>
      <c r="L274" t="s">
        <v>2804</v>
      </c>
      <c r="M274" t="s">
        <v>2805</v>
      </c>
      <c r="N274">
        <v>54363</v>
      </c>
      <c r="O274">
        <v>45500</v>
      </c>
      <c r="P274">
        <v>1</v>
      </c>
      <c r="Q274">
        <v>0</v>
      </c>
      <c r="S274">
        <v>143790</v>
      </c>
      <c r="T274">
        <v>0</v>
      </c>
      <c r="U274" t="s">
        <v>2807</v>
      </c>
      <c r="W274" t="s">
        <v>3990</v>
      </c>
      <c r="X274">
        <v>45500</v>
      </c>
      <c r="Y274">
        <v>41363.636363636302</v>
      </c>
      <c r="Z274" s="26">
        <v>46059</v>
      </c>
    </row>
    <row r="275" spans="1:26" x14ac:dyDescent="0.3">
      <c r="A275" s="50">
        <v>46058.495798611111</v>
      </c>
      <c r="B275">
        <v>2.02602051153118E+18</v>
      </c>
      <c r="C275" t="s">
        <v>3985</v>
      </c>
      <c r="D275" t="s">
        <v>3986</v>
      </c>
      <c r="E275" t="s">
        <v>3986</v>
      </c>
      <c r="F275" t="s">
        <v>3991</v>
      </c>
      <c r="G275" t="s">
        <v>3992</v>
      </c>
      <c r="H275" t="s">
        <v>3992</v>
      </c>
      <c r="I275">
        <v>47262</v>
      </c>
      <c r="J275" t="s">
        <v>3993</v>
      </c>
      <c r="K275" t="s">
        <v>3993</v>
      </c>
      <c r="L275" t="s">
        <v>2804</v>
      </c>
      <c r="M275" t="s">
        <v>2805</v>
      </c>
      <c r="N275">
        <v>54363</v>
      </c>
      <c r="O275">
        <v>45500</v>
      </c>
      <c r="P275">
        <v>1</v>
      </c>
      <c r="Q275">
        <v>0</v>
      </c>
      <c r="S275">
        <v>143790</v>
      </c>
      <c r="T275">
        <v>0</v>
      </c>
      <c r="U275" t="s">
        <v>2807</v>
      </c>
      <c r="W275" t="s">
        <v>3994</v>
      </c>
      <c r="X275">
        <v>45500</v>
      </c>
      <c r="Y275">
        <v>41363.636363636302</v>
      </c>
      <c r="Z275" s="26">
        <v>46059</v>
      </c>
    </row>
    <row r="276" spans="1:26" x14ac:dyDescent="0.3">
      <c r="A276" s="50">
        <v>46058.49590277778</v>
      </c>
      <c r="B276">
        <v>2.0260205115144699E+18</v>
      </c>
      <c r="C276" t="s">
        <v>3995</v>
      </c>
      <c r="D276" t="s">
        <v>3996</v>
      </c>
      <c r="E276" t="s">
        <v>3996</v>
      </c>
      <c r="F276" t="s">
        <v>3997</v>
      </c>
      <c r="G276" t="s">
        <v>3996</v>
      </c>
      <c r="H276" t="s">
        <v>3996</v>
      </c>
      <c r="I276">
        <v>16824</v>
      </c>
      <c r="J276" t="s">
        <v>3998</v>
      </c>
      <c r="K276" t="s">
        <v>3998</v>
      </c>
      <c r="L276" t="s">
        <v>2804</v>
      </c>
      <c r="M276" t="s">
        <v>2805</v>
      </c>
      <c r="N276">
        <v>54363</v>
      </c>
      <c r="O276">
        <v>45500</v>
      </c>
      <c r="P276">
        <v>1</v>
      </c>
      <c r="Q276">
        <v>0</v>
      </c>
      <c r="R276" t="s">
        <v>3999</v>
      </c>
      <c r="S276">
        <v>143790</v>
      </c>
      <c r="T276">
        <v>0</v>
      </c>
      <c r="U276" t="s">
        <v>2807</v>
      </c>
      <c r="W276" t="s">
        <v>4000</v>
      </c>
      <c r="X276">
        <v>45500</v>
      </c>
      <c r="Y276">
        <v>41363.636363636302</v>
      </c>
      <c r="Z276" s="26">
        <v>46059</v>
      </c>
    </row>
    <row r="277" spans="1:26" x14ac:dyDescent="0.3">
      <c r="A277" s="50">
        <v>46058.504745370374</v>
      </c>
      <c r="B277">
        <v>2.02602051205133E+18</v>
      </c>
      <c r="C277" t="s">
        <v>4001</v>
      </c>
      <c r="D277" t="s">
        <v>4002</v>
      </c>
      <c r="E277" t="s">
        <v>4002</v>
      </c>
      <c r="F277" t="s">
        <v>4003</v>
      </c>
      <c r="G277" t="s">
        <v>4004</v>
      </c>
      <c r="H277" t="s">
        <v>4004</v>
      </c>
      <c r="I277">
        <v>6777</v>
      </c>
      <c r="J277" t="s">
        <v>4005</v>
      </c>
      <c r="K277" t="s">
        <v>4005</v>
      </c>
      <c r="L277" t="s">
        <v>2804</v>
      </c>
      <c r="M277" t="s">
        <v>2805</v>
      </c>
      <c r="N277">
        <v>54363</v>
      </c>
      <c r="O277">
        <v>45500</v>
      </c>
      <c r="P277">
        <v>1</v>
      </c>
      <c r="Q277">
        <v>0</v>
      </c>
      <c r="S277">
        <v>143790</v>
      </c>
      <c r="T277">
        <v>0</v>
      </c>
      <c r="U277" t="s">
        <v>2807</v>
      </c>
      <c r="W277" t="s">
        <v>4006</v>
      </c>
      <c r="X277">
        <v>45500</v>
      </c>
      <c r="Y277">
        <v>41363.636363636302</v>
      </c>
      <c r="Z277" s="26">
        <v>46059</v>
      </c>
    </row>
    <row r="278" spans="1:26" x14ac:dyDescent="0.3">
      <c r="A278" s="50">
        <v>46058.510115740741</v>
      </c>
      <c r="B278">
        <v>2.0260205121250299E+18</v>
      </c>
      <c r="C278" t="s">
        <v>4007</v>
      </c>
      <c r="D278" t="s">
        <v>4008</v>
      </c>
      <c r="E278" t="s">
        <v>4008</v>
      </c>
      <c r="F278" t="s">
        <v>4007</v>
      </c>
      <c r="G278" t="s">
        <v>4008</v>
      </c>
      <c r="H278" t="s">
        <v>4008</v>
      </c>
      <c r="I278">
        <v>14537</v>
      </c>
      <c r="J278" t="s">
        <v>4009</v>
      </c>
      <c r="K278" t="s">
        <v>4009</v>
      </c>
      <c r="L278" t="s">
        <v>2804</v>
      </c>
      <c r="M278" t="s">
        <v>2805</v>
      </c>
      <c r="N278">
        <v>54363</v>
      </c>
      <c r="O278">
        <v>45500</v>
      </c>
      <c r="P278">
        <v>1</v>
      </c>
      <c r="Q278">
        <v>0</v>
      </c>
      <c r="S278">
        <v>143790</v>
      </c>
      <c r="T278">
        <v>0</v>
      </c>
      <c r="U278" t="s">
        <v>2807</v>
      </c>
      <c r="W278" t="s">
        <v>4010</v>
      </c>
      <c r="X278">
        <v>45500</v>
      </c>
      <c r="Y278">
        <v>41363.636363636302</v>
      </c>
      <c r="Z278" s="26">
        <v>46059</v>
      </c>
    </row>
    <row r="279" spans="1:26" x14ac:dyDescent="0.3">
      <c r="A279" s="50">
        <v>46058.51017361111</v>
      </c>
      <c r="B279">
        <v>2.02602051213533E+18</v>
      </c>
      <c r="C279" t="s">
        <v>4001</v>
      </c>
      <c r="D279" t="s">
        <v>4002</v>
      </c>
      <c r="E279" t="s">
        <v>4002</v>
      </c>
      <c r="F279" t="s">
        <v>4011</v>
      </c>
      <c r="G279" t="s">
        <v>4012</v>
      </c>
      <c r="H279" t="s">
        <v>4012</v>
      </c>
      <c r="I279">
        <v>21364</v>
      </c>
      <c r="J279" t="s">
        <v>4013</v>
      </c>
      <c r="K279" t="s">
        <v>4013</v>
      </c>
      <c r="L279" t="s">
        <v>2804</v>
      </c>
      <c r="M279" t="s">
        <v>2805</v>
      </c>
      <c r="N279">
        <v>54363</v>
      </c>
      <c r="O279">
        <v>45500</v>
      </c>
      <c r="P279">
        <v>1</v>
      </c>
      <c r="Q279">
        <v>0</v>
      </c>
      <c r="S279">
        <v>143790</v>
      </c>
      <c r="T279">
        <v>0</v>
      </c>
      <c r="U279" t="s">
        <v>2807</v>
      </c>
      <c r="W279" t="s">
        <v>4014</v>
      </c>
      <c r="X279">
        <v>45500</v>
      </c>
      <c r="Y279">
        <v>41363.636363636302</v>
      </c>
      <c r="Z279" s="26">
        <v>46059</v>
      </c>
    </row>
    <row r="280" spans="1:26" x14ac:dyDescent="0.3">
      <c r="A280" s="50">
        <v>46058.510972222219</v>
      </c>
      <c r="B280">
        <v>2.0260205121508401E+18</v>
      </c>
      <c r="C280" t="s">
        <v>4001</v>
      </c>
      <c r="D280" t="s">
        <v>4002</v>
      </c>
      <c r="E280" t="s">
        <v>4002</v>
      </c>
      <c r="F280" t="s">
        <v>4015</v>
      </c>
      <c r="G280" t="s">
        <v>4016</v>
      </c>
      <c r="H280" t="s">
        <v>4016</v>
      </c>
      <c r="I280">
        <v>2834</v>
      </c>
      <c r="J280" t="s">
        <v>4017</v>
      </c>
      <c r="K280" t="s">
        <v>4017</v>
      </c>
      <c r="L280" t="s">
        <v>2804</v>
      </c>
      <c r="M280" t="s">
        <v>2805</v>
      </c>
      <c r="N280">
        <v>54363</v>
      </c>
      <c r="O280">
        <v>45500</v>
      </c>
      <c r="P280">
        <v>1</v>
      </c>
      <c r="Q280">
        <v>0</v>
      </c>
      <c r="S280">
        <v>143790</v>
      </c>
      <c r="T280">
        <v>0</v>
      </c>
      <c r="U280" t="s">
        <v>2807</v>
      </c>
      <c r="W280" t="s">
        <v>4018</v>
      </c>
      <c r="X280">
        <v>45500</v>
      </c>
      <c r="Y280">
        <v>41363.636363636302</v>
      </c>
      <c r="Z280" s="26">
        <v>46059</v>
      </c>
    </row>
    <row r="281" spans="1:26" x14ac:dyDescent="0.3">
      <c r="A281" s="50">
        <v>46058.512928240743</v>
      </c>
      <c r="B281">
        <v>2.0260205121699999E+18</v>
      </c>
      <c r="C281" t="s">
        <v>4001</v>
      </c>
      <c r="D281" t="s">
        <v>4002</v>
      </c>
      <c r="E281" t="s">
        <v>4002</v>
      </c>
      <c r="F281" t="s">
        <v>4019</v>
      </c>
      <c r="G281" t="s">
        <v>4020</v>
      </c>
      <c r="H281" t="s">
        <v>4020</v>
      </c>
      <c r="I281">
        <v>11812</v>
      </c>
      <c r="J281" t="s">
        <v>4021</v>
      </c>
      <c r="K281" t="s">
        <v>4021</v>
      </c>
      <c r="L281" t="s">
        <v>2804</v>
      </c>
      <c r="M281" t="s">
        <v>2805</v>
      </c>
      <c r="N281">
        <v>54363</v>
      </c>
      <c r="O281">
        <v>45500</v>
      </c>
      <c r="P281">
        <v>1</v>
      </c>
      <c r="Q281">
        <v>0</v>
      </c>
      <c r="S281">
        <v>143790</v>
      </c>
      <c r="T281">
        <v>0</v>
      </c>
      <c r="U281" t="s">
        <v>2807</v>
      </c>
      <c r="W281" t="s">
        <v>4022</v>
      </c>
      <c r="X281">
        <v>45500</v>
      </c>
      <c r="Y281">
        <v>41363.636363636302</v>
      </c>
      <c r="Z281" s="26">
        <v>46059</v>
      </c>
    </row>
    <row r="282" spans="1:26" x14ac:dyDescent="0.3">
      <c r="A282" s="50">
        <v>46058.523668981485</v>
      </c>
      <c r="B282">
        <v>2.0260205123405599E+18</v>
      </c>
      <c r="C282" t="s">
        <v>4023</v>
      </c>
      <c r="D282" t="s">
        <v>4024</v>
      </c>
      <c r="E282" t="s">
        <v>4024</v>
      </c>
      <c r="F282" t="s">
        <v>4025</v>
      </c>
      <c r="G282" t="s">
        <v>4026</v>
      </c>
      <c r="H282" t="s">
        <v>4026</v>
      </c>
      <c r="I282">
        <v>6618</v>
      </c>
      <c r="J282" t="s">
        <v>4027</v>
      </c>
      <c r="K282" t="s">
        <v>4027</v>
      </c>
      <c r="L282" t="s">
        <v>2804</v>
      </c>
      <c r="M282" t="s">
        <v>2805</v>
      </c>
      <c r="N282">
        <v>54363</v>
      </c>
      <c r="O282">
        <v>45500</v>
      </c>
      <c r="P282">
        <v>1</v>
      </c>
      <c r="Q282">
        <v>0</v>
      </c>
      <c r="S282">
        <v>143790</v>
      </c>
      <c r="T282">
        <v>0</v>
      </c>
      <c r="U282" t="s">
        <v>2807</v>
      </c>
      <c r="W282" t="s">
        <v>4028</v>
      </c>
      <c r="X282">
        <v>45500</v>
      </c>
      <c r="Y282">
        <v>41363.636363636302</v>
      </c>
      <c r="Z282" s="26">
        <v>46059</v>
      </c>
    </row>
    <row r="283" spans="1:26" x14ac:dyDescent="0.3">
      <c r="A283" s="50">
        <v>46058.53019675926</v>
      </c>
      <c r="B283">
        <v>2.0260205124257101E+18</v>
      </c>
      <c r="C283" t="s">
        <v>4029</v>
      </c>
      <c r="D283" t="s">
        <v>4030</v>
      </c>
      <c r="E283" t="s">
        <v>4030</v>
      </c>
      <c r="F283" t="s">
        <v>4029</v>
      </c>
      <c r="G283" t="s">
        <v>4030</v>
      </c>
      <c r="H283" t="s">
        <v>4030</v>
      </c>
      <c r="I283">
        <v>16818</v>
      </c>
      <c r="J283" t="s">
        <v>4031</v>
      </c>
      <c r="K283" t="s">
        <v>4031</v>
      </c>
      <c r="L283" t="s">
        <v>2804</v>
      </c>
      <c r="M283" t="s">
        <v>2805</v>
      </c>
      <c r="N283">
        <v>54363</v>
      </c>
      <c r="O283">
        <v>45500</v>
      </c>
      <c r="P283">
        <v>1</v>
      </c>
      <c r="Q283">
        <v>0</v>
      </c>
      <c r="S283">
        <v>143790</v>
      </c>
      <c r="T283">
        <v>0</v>
      </c>
      <c r="U283" t="s">
        <v>2807</v>
      </c>
      <c r="W283" t="s">
        <v>4032</v>
      </c>
      <c r="X283">
        <v>45500</v>
      </c>
      <c r="Y283">
        <v>41363.636363636302</v>
      </c>
      <c r="Z283" s="26">
        <v>46059</v>
      </c>
    </row>
    <row r="284" spans="1:26" x14ac:dyDescent="0.3">
      <c r="A284" s="50">
        <v>46058.53765046296</v>
      </c>
      <c r="B284">
        <v>2.02602051252048E+18</v>
      </c>
      <c r="C284" t="s">
        <v>4033</v>
      </c>
      <c r="D284" t="s">
        <v>4034</v>
      </c>
      <c r="E284" t="s">
        <v>4034</v>
      </c>
      <c r="F284" t="s">
        <v>4033</v>
      </c>
      <c r="G284" t="s">
        <v>4034</v>
      </c>
      <c r="H284" t="s">
        <v>4034</v>
      </c>
      <c r="I284">
        <v>10892</v>
      </c>
      <c r="J284" t="s">
        <v>4035</v>
      </c>
      <c r="K284" t="s">
        <v>4035</v>
      </c>
      <c r="L284" t="s">
        <v>2804</v>
      </c>
      <c r="M284" t="s">
        <v>2805</v>
      </c>
      <c r="N284">
        <v>54363</v>
      </c>
      <c r="O284">
        <v>45500</v>
      </c>
      <c r="P284">
        <v>1</v>
      </c>
      <c r="Q284">
        <v>0</v>
      </c>
      <c r="S284">
        <v>143790</v>
      </c>
      <c r="T284">
        <v>0</v>
      </c>
      <c r="U284" t="s">
        <v>2807</v>
      </c>
      <c r="W284" t="s">
        <v>4036</v>
      </c>
      <c r="X284">
        <v>45500</v>
      </c>
      <c r="Y284">
        <v>41363.636363636302</v>
      </c>
      <c r="Z284" s="26">
        <v>46059</v>
      </c>
    </row>
    <row r="285" spans="1:26" x14ac:dyDescent="0.3">
      <c r="A285" s="50">
        <v>46058.547824074078</v>
      </c>
      <c r="B285">
        <v>2.02602051305389E+18</v>
      </c>
      <c r="C285" t="s">
        <v>4037</v>
      </c>
      <c r="D285" t="s">
        <v>4038</v>
      </c>
      <c r="E285" t="s">
        <v>4038</v>
      </c>
      <c r="F285" t="s">
        <v>4037</v>
      </c>
      <c r="G285" t="s">
        <v>4038</v>
      </c>
      <c r="H285" t="s">
        <v>4038</v>
      </c>
      <c r="I285">
        <v>16825</v>
      </c>
      <c r="J285" t="s">
        <v>4039</v>
      </c>
      <c r="K285" t="s">
        <v>4039</v>
      </c>
      <c r="L285" t="s">
        <v>2804</v>
      </c>
      <c r="M285" t="s">
        <v>2805</v>
      </c>
      <c r="N285">
        <v>163089</v>
      </c>
      <c r="O285">
        <v>45500</v>
      </c>
      <c r="P285">
        <v>3</v>
      </c>
      <c r="Q285">
        <v>0</v>
      </c>
      <c r="R285" t="s">
        <v>3185</v>
      </c>
      <c r="S285">
        <v>143790</v>
      </c>
      <c r="T285">
        <v>0</v>
      </c>
      <c r="U285" t="s">
        <v>2807</v>
      </c>
      <c r="W285" t="s">
        <v>4040</v>
      </c>
      <c r="X285">
        <v>136500</v>
      </c>
      <c r="Y285">
        <v>124090.909090909</v>
      </c>
      <c r="Z285" s="26">
        <v>46059</v>
      </c>
    </row>
    <row r="286" spans="1:26" x14ac:dyDescent="0.3">
      <c r="A286" s="50">
        <v>46058.553217592591</v>
      </c>
      <c r="B286">
        <v>2.02602051315279E+18</v>
      </c>
      <c r="C286" t="s">
        <v>4041</v>
      </c>
      <c r="D286" t="s">
        <v>4042</v>
      </c>
      <c r="E286" t="s">
        <v>4042</v>
      </c>
      <c r="F286" t="s">
        <v>4041</v>
      </c>
      <c r="G286" t="s">
        <v>4042</v>
      </c>
      <c r="H286" t="s">
        <v>4042</v>
      </c>
      <c r="I286">
        <v>28125</v>
      </c>
      <c r="J286" t="s">
        <v>4043</v>
      </c>
      <c r="K286" t="s">
        <v>4043</v>
      </c>
      <c r="L286" t="s">
        <v>2804</v>
      </c>
      <c r="M286" t="s">
        <v>2805</v>
      </c>
      <c r="N286">
        <v>54363</v>
      </c>
      <c r="O286">
        <v>45500</v>
      </c>
      <c r="P286">
        <v>1</v>
      </c>
      <c r="Q286">
        <v>0</v>
      </c>
      <c r="S286">
        <v>143790</v>
      </c>
      <c r="T286">
        <v>0</v>
      </c>
      <c r="U286" t="s">
        <v>2807</v>
      </c>
      <c r="W286" t="s">
        <v>4044</v>
      </c>
      <c r="X286">
        <v>45500</v>
      </c>
      <c r="Y286">
        <v>41363.636363636302</v>
      </c>
      <c r="Z286" s="26">
        <v>46059</v>
      </c>
    </row>
    <row r="287" spans="1:26" x14ac:dyDescent="0.3">
      <c r="A287" s="50">
        <v>46058.560173611113</v>
      </c>
      <c r="B287">
        <v>2.0260205132452301E+18</v>
      </c>
      <c r="C287" t="s">
        <v>4045</v>
      </c>
      <c r="D287" t="s">
        <v>4046</v>
      </c>
      <c r="E287" t="s">
        <v>4046</v>
      </c>
      <c r="F287" t="s">
        <v>4045</v>
      </c>
      <c r="G287" t="s">
        <v>4046</v>
      </c>
      <c r="H287" t="s">
        <v>4046</v>
      </c>
      <c r="I287">
        <v>10823</v>
      </c>
      <c r="J287" t="s">
        <v>4047</v>
      </c>
      <c r="K287" t="s">
        <v>4047</v>
      </c>
      <c r="L287" t="s">
        <v>2804</v>
      </c>
      <c r="M287" t="s">
        <v>2805</v>
      </c>
      <c r="N287">
        <v>54363</v>
      </c>
      <c r="O287">
        <v>45500</v>
      </c>
      <c r="P287">
        <v>1</v>
      </c>
      <c r="Q287">
        <v>0</v>
      </c>
      <c r="S287">
        <v>143790</v>
      </c>
      <c r="T287">
        <v>0</v>
      </c>
      <c r="U287" t="s">
        <v>2807</v>
      </c>
      <c r="W287" t="s">
        <v>4048</v>
      </c>
      <c r="X287">
        <v>45500</v>
      </c>
      <c r="Y287">
        <v>41363.636363636302</v>
      </c>
      <c r="Z287" s="26">
        <v>46059</v>
      </c>
    </row>
    <row r="288" spans="1:26" x14ac:dyDescent="0.3">
      <c r="A288" s="50">
        <v>46058.565138888887</v>
      </c>
      <c r="B288">
        <v>2.0260205133301399E+18</v>
      </c>
      <c r="C288" t="s">
        <v>4001</v>
      </c>
      <c r="D288" t="s">
        <v>4002</v>
      </c>
      <c r="E288" t="s">
        <v>4002</v>
      </c>
      <c r="F288" t="s">
        <v>4049</v>
      </c>
      <c r="G288" t="s">
        <v>4050</v>
      </c>
      <c r="H288" t="s">
        <v>4050</v>
      </c>
      <c r="I288">
        <v>1150</v>
      </c>
      <c r="J288" t="s">
        <v>4051</v>
      </c>
      <c r="K288" t="s">
        <v>4051</v>
      </c>
      <c r="L288" t="s">
        <v>2804</v>
      </c>
      <c r="M288" t="s">
        <v>2805</v>
      </c>
      <c r="N288">
        <v>54363</v>
      </c>
      <c r="O288">
        <v>45500</v>
      </c>
      <c r="P288">
        <v>1</v>
      </c>
      <c r="Q288">
        <v>0</v>
      </c>
      <c r="S288">
        <v>143790</v>
      </c>
      <c r="T288">
        <v>0</v>
      </c>
      <c r="U288" t="s">
        <v>2807</v>
      </c>
      <c r="W288" t="s">
        <v>4052</v>
      </c>
      <c r="X288">
        <v>45500</v>
      </c>
      <c r="Y288">
        <v>41363.636363636302</v>
      </c>
      <c r="Z288" s="26">
        <v>46059</v>
      </c>
    </row>
    <row r="289" spans="1:26" x14ac:dyDescent="0.3">
      <c r="A289" s="50">
        <v>46058.569236111114</v>
      </c>
      <c r="B289">
        <v>2.02602051338467E+18</v>
      </c>
      <c r="C289" t="s">
        <v>4053</v>
      </c>
      <c r="D289" t="s">
        <v>4054</v>
      </c>
      <c r="E289" t="s">
        <v>4054</v>
      </c>
      <c r="F289" t="s">
        <v>4053</v>
      </c>
      <c r="G289" t="s">
        <v>4054</v>
      </c>
      <c r="H289" t="s">
        <v>4054</v>
      </c>
      <c r="I289">
        <v>13618</v>
      </c>
      <c r="J289" t="s">
        <v>4055</v>
      </c>
      <c r="K289" t="s">
        <v>4055</v>
      </c>
      <c r="L289" t="s">
        <v>2804</v>
      </c>
      <c r="M289" t="s">
        <v>2805</v>
      </c>
      <c r="N289">
        <v>54363</v>
      </c>
      <c r="O289">
        <v>45500</v>
      </c>
      <c r="P289">
        <v>1</v>
      </c>
      <c r="Q289">
        <v>0</v>
      </c>
      <c r="S289">
        <v>143790</v>
      </c>
      <c r="T289">
        <v>0</v>
      </c>
      <c r="U289" t="s">
        <v>2807</v>
      </c>
      <c r="W289" t="s">
        <v>4056</v>
      </c>
      <c r="X289">
        <v>45500</v>
      </c>
      <c r="Y289">
        <v>41363.636363636302</v>
      </c>
      <c r="Z289" s="26">
        <v>46059</v>
      </c>
    </row>
    <row r="290" spans="1:26" x14ac:dyDescent="0.3">
      <c r="A290" s="50">
        <v>46058.569826388892</v>
      </c>
      <c r="B290">
        <v>2.0260205134033101E+18</v>
      </c>
      <c r="C290" t="s">
        <v>4057</v>
      </c>
      <c r="E290" t="s">
        <v>4058</v>
      </c>
      <c r="F290" t="s">
        <v>4057</v>
      </c>
      <c r="H290" t="s">
        <v>4058</v>
      </c>
      <c r="I290">
        <v>8725</v>
      </c>
      <c r="J290" t="s">
        <v>4059</v>
      </c>
      <c r="K290" t="s">
        <v>4060</v>
      </c>
      <c r="L290" t="s">
        <v>2804</v>
      </c>
      <c r="M290" t="s">
        <v>2805</v>
      </c>
      <c r="N290">
        <v>54363</v>
      </c>
      <c r="O290">
        <v>45500</v>
      </c>
      <c r="P290">
        <v>1</v>
      </c>
      <c r="Q290">
        <v>0</v>
      </c>
      <c r="S290">
        <v>143790</v>
      </c>
      <c r="T290">
        <v>0</v>
      </c>
      <c r="U290" t="s">
        <v>2807</v>
      </c>
      <c r="W290" t="s">
        <v>4061</v>
      </c>
      <c r="X290">
        <v>45500</v>
      </c>
      <c r="Y290">
        <v>41363.636363636302</v>
      </c>
      <c r="Z290" s="26">
        <v>46059</v>
      </c>
    </row>
    <row r="291" spans="1:26" x14ac:dyDescent="0.3">
      <c r="A291" s="50">
        <v>46058.5778587963</v>
      </c>
      <c r="B291">
        <v>2.02602051351168E+18</v>
      </c>
      <c r="C291" t="s">
        <v>4062</v>
      </c>
      <c r="D291" t="s">
        <v>4063</v>
      </c>
      <c r="E291" t="s">
        <v>4063</v>
      </c>
      <c r="F291" t="s">
        <v>4062</v>
      </c>
      <c r="G291" t="s">
        <v>4063</v>
      </c>
      <c r="H291" t="s">
        <v>4063</v>
      </c>
      <c r="I291">
        <v>8608</v>
      </c>
      <c r="J291" t="s">
        <v>4064</v>
      </c>
      <c r="K291" t="s">
        <v>4064</v>
      </c>
      <c r="L291" t="s">
        <v>2804</v>
      </c>
      <c r="M291" t="s">
        <v>2805</v>
      </c>
      <c r="N291">
        <v>54363</v>
      </c>
      <c r="O291">
        <v>45500</v>
      </c>
      <c r="P291">
        <v>1</v>
      </c>
      <c r="Q291">
        <v>0</v>
      </c>
      <c r="S291">
        <v>143790</v>
      </c>
      <c r="T291">
        <v>0</v>
      </c>
      <c r="U291" t="s">
        <v>2807</v>
      </c>
      <c r="W291" t="s">
        <v>4065</v>
      </c>
      <c r="X291">
        <v>45500</v>
      </c>
      <c r="Y291">
        <v>41363.636363636302</v>
      </c>
      <c r="Z291" s="26">
        <v>46059</v>
      </c>
    </row>
    <row r="292" spans="1:26" x14ac:dyDescent="0.3">
      <c r="A292" s="50">
        <v>46058.579212962963</v>
      </c>
      <c r="B292">
        <v>2.02602051353011E+18</v>
      </c>
      <c r="C292" t="s">
        <v>4066</v>
      </c>
      <c r="D292" t="s">
        <v>4067</v>
      </c>
      <c r="E292" t="s">
        <v>4067</v>
      </c>
      <c r="F292" t="s">
        <v>4066</v>
      </c>
      <c r="G292" t="s">
        <v>4067</v>
      </c>
      <c r="H292" t="s">
        <v>4067</v>
      </c>
      <c r="I292">
        <v>48107</v>
      </c>
      <c r="J292" t="s">
        <v>4068</v>
      </c>
      <c r="K292" t="s">
        <v>4068</v>
      </c>
      <c r="L292" t="s">
        <v>2804</v>
      </c>
      <c r="M292" t="s">
        <v>2805</v>
      </c>
      <c r="N292">
        <v>54363</v>
      </c>
      <c r="O292">
        <v>45500</v>
      </c>
      <c r="P292">
        <v>1</v>
      </c>
      <c r="Q292">
        <v>0</v>
      </c>
      <c r="S292">
        <v>143790</v>
      </c>
      <c r="T292">
        <v>0</v>
      </c>
      <c r="U292" t="s">
        <v>2807</v>
      </c>
      <c r="W292" t="s">
        <v>4069</v>
      </c>
      <c r="X292">
        <v>45500</v>
      </c>
      <c r="Y292">
        <v>41363.636363636302</v>
      </c>
      <c r="Z292" s="26">
        <v>46059</v>
      </c>
    </row>
    <row r="293" spans="1:26" x14ac:dyDescent="0.3">
      <c r="A293" s="50">
        <v>46058.583622685182</v>
      </c>
      <c r="B293">
        <v>2.02602051359278E+18</v>
      </c>
      <c r="C293" t="s">
        <v>4070</v>
      </c>
      <c r="D293" t="s">
        <v>4071</v>
      </c>
      <c r="E293" t="s">
        <v>4071</v>
      </c>
      <c r="F293" t="s">
        <v>4070</v>
      </c>
      <c r="G293" t="s">
        <v>4071</v>
      </c>
      <c r="H293" t="s">
        <v>4071</v>
      </c>
      <c r="I293">
        <v>1708</v>
      </c>
      <c r="J293" t="s">
        <v>4072</v>
      </c>
      <c r="K293" t="s">
        <v>4072</v>
      </c>
      <c r="L293" t="s">
        <v>2804</v>
      </c>
      <c r="M293" t="s">
        <v>2805</v>
      </c>
      <c r="N293">
        <v>54363</v>
      </c>
      <c r="O293">
        <v>45500</v>
      </c>
      <c r="P293">
        <v>1</v>
      </c>
      <c r="Q293">
        <v>0</v>
      </c>
      <c r="S293">
        <v>143790</v>
      </c>
      <c r="T293">
        <v>0</v>
      </c>
      <c r="U293" t="s">
        <v>2807</v>
      </c>
      <c r="W293" t="s">
        <v>4073</v>
      </c>
      <c r="X293">
        <v>45500</v>
      </c>
      <c r="Y293">
        <v>41363.636363636302</v>
      </c>
      <c r="Z293" s="26">
        <v>46059</v>
      </c>
    </row>
    <row r="294" spans="1:26" x14ac:dyDescent="0.3">
      <c r="A294" s="50">
        <v>46058.610092592593</v>
      </c>
      <c r="B294">
        <v>2.0260205143455099E+18</v>
      </c>
      <c r="C294" t="s">
        <v>4074</v>
      </c>
      <c r="D294" t="s">
        <v>4075</v>
      </c>
      <c r="E294" t="s">
        <v>4075</v>
      </c>
      <c r="F294" t="s">
        <v>4074</v>
      </c>
      <c r="G294" t="s">
        <v>4075</v>
      </c>
      <c r="H294" t="s">
        <v>4075</v>
      </c>
      <c r="I294">
        <v>42605</v>
      </c>
      <c r="J294" t="s">
        <v>4076</v>
      </c>
      <c r="K294" t="s">
        <v>4076</v>
      </c>
      <c r="L294" t="s">
        <v>2804</v>
      </c>
      <c r="M294" t="s">
        <v>2805</v>
      </c>
      <c r="N294">
        <v>54363</v>
      </c>
      <c r="O294">
        <v>45500</v>
      </c>
      <c r="P294">
        <v>1</v>
      </c>
      <c r="Q294">
        <v>0</v>
      </c>
      <c r="R294" t="s">
        <v>4077</v>
      </c>
      <c r="S294">
        <v>143790</v>
      </c>
      <c r="T294">
        <v>0</v>
      </c>
      <c r="U294" t="s">
        <v>2807</v>
      </c>
      <c r="W294" t="s">
        <v>4078</v>
      </c>
      <c r="X294">
        <v>45500</v>
      </c>
      <c r="Y294">
        <v>41363.636363636302</v>
      </c>
      <c r="Z294" s="26">
        <v>46059</v>
      </c>
    </row>
    <row r="295" spans="1:26" x14ac:dyDescent="0.3">
      <c r="A295" s="50">
        <v>46058.61787037037</v>
      </c>
      <c r="B295">
        <v>2.02602051447394E+18</v>
      </c>
      <c r="C295" t="s">
        <v>4079</v>
      </c>
      <c r="D295" t="s">
        <v>4080</v>
      </c>
      <c r="E295" t="s">
        <v>4080</v>
      </c>
      <c r="F295" t="s">
        <v>4079</v>
      </c>
      <c r="G295" t="s">
        <v>4080</v>
      </c>
      <c r="H295" t="s">
        <v>4080</v>
      </c>
      <c r="I295">
        <v>51763</v>
      </c>
      <c r="J295" t="s">
        <v>4081</v>
      </c>
      <c r="K295" t="s">
        <v>4081</v>
      </c>
      <c r="L295" t="s">
        <v>2804</v>
      </c>
      <c r="M295" t="s">
        <v>2805</v>
      </c>
      <c r="N295">
        <v>54363</v>
      </c>
      <c r="O295">
        <v>45500</v>
      </c>
      <c r="P295">
        <v>1</v>
      </c>
      <c r="Q295">
        <v>0</v>
      </c>
      <c r="R295" t="s">
        <v>4082</v>
      </c>
      <c r="S295">
        <v>143790</v>
      </c>
      <c r="T295">
        <v>0</v>
      </c>
      <c r="U295" t="s">
        <v>2807</v>
      </c>
      <c r="W295" t="s">
        <v>4083</v>
      </c>
      <c r="X295">
        <v>45500</v>
      </c>
      <c r="Y295">
        <v>41363.636363636302</v>
      </c>
      <c r="Z295" s="26">
        <v>46059</v>
      </c>
    </row>
    <row r="296" spans="1:26" x14ac:dyDescent="0.3">
      <c r="A296" s="50">
        <v>46058.671030092592</v>
      </c>
      <c r="B296">
        <v>2.02602051605235E+18</v>
      </c>
      <c r="C296" t="s">
        <v>4084</v>
      </c>
      <c r="D296" t="s">
        <v>4085</v>
      </c>
      <c r="E296" t="s">
        <v>4085</v>
      </c>
      <c r="F296" t="s">
        <v>4084</v>
      </c>
      <c r="G296" t="s">
        <v>4085</v>
      </c>
      <c r="H296" t="s">
        <v>4085</v>
      </c>
      <c r="I296">
        <v>13262</v>
      </c>
      <c r="J296" t="s">
        <v>4086</v>
      </c>
      <c r="K296" t="s">
        <v>4086</v>
      </c>
      <c r="L296" t="s">
        <v>2804</v>
      </c>
      <c r="M296" t="s">
        <v>2805</v>
      </c>
      <c r="N296">
        <v>54363</v>
      </c>
      <c r="O296">
        <v>45500</v>
      </c>
      <c r="P296">
        <v>1</v>
      </c>
      <c r="Q296">
        <v>0</v>
      </c>
      <c r="S296">
        <v>143790</v>
      </c>
      <c r="T296">
        <v>0</v>
      </c>
      <c r="U296" t="s">
        <v>2807</v>
      </c>
      <c r="W296" t="s">
        <v>4087</v>
      </c>
      <c r="X296">
        <v>45500</v>
      </c>
      <c r="Y296">
        <v>41363.636363636302</v>
      </c>
      <c r="Z296" s="26">
        <v>46059</v>
      </c>
    </row>
    <row r="297" spans="1:26" x14ac:dyDescent="0.3">
      <c r="A297" s="50">
        <v>46058.674131944441</v>
      </c>
      <c r="B297">
        <v>2.0260205160856699E+18</v>
      </c>
      <c r="C297" t="s">
        <v>4088</v>
      </c>
      <c r="D297" t="s">
        <v>4089</v>
      </c>
      <c r="E297" t="s">
        <v>4089</v>
      </c>
      <c r="F297" t="s">
        <v>4088</v>
      </c>
      <c r="G297" t="s">
        <v>4089</v>
      </c>
      <c r="H297" t="s">
        <v>4089</v>
      </c>
      <c r="I297">
        <v>6703</v>
      </c>
      <c r="J297" t="s">
        <v>4090</v>
      </c>
      <c r="K297" t="s">
        <v>4090</v>
      </c>
      <c r="L297" t="s">
        <v>2804</v>
      </c>
      <c r="M297" t="s">
        <v>2805</v>
      </c>
      <c r="N297">
        <v>54363</v>
      </c>
      <c r="O297">
        <v>45500</v>
      </c>
      <c r="P297">
        <v>1</v>
      </c>
      <c r="Q297">
        <v>0</v>
      </c>
      <c r="S297">
        <v>143790</v>
      </c>
      <c r="T297">
        <v>0</v>
      </c>
      <c r="U297" t="s">
        <v>2807</v>
      </c>
      <c r="W297" t="s">
        <v>4091</v>
      </c>
      <c r="X297">
        <v>45500</v>
      </c>
      <c r="Y297">
        <v>41363.636363636302</v>
      </c>
      <c r="Z297" s="26">
        <v>46059</v>
      </c>
    </row>
    <row r="298" spans="1:26" x14ac:dyDescent="0.3">
      <c r="A298" s="50">
        <v>46058.674224537041</v>
      </c>
      <c r="B298">
        <v>2.0260205160954501E+18</v>
      </c>
      <c r="C298" t="s">
        <v>4092</v>
      </c>
      <c r="D298" t="s">
        <v>4093</v>
      </c>
      <c r="E298" t="s">
        <v>4093</v>
      </c>
      <c r="F298" t="s">
        <v>4092</v>
      </c>
      <c r="G298" t="s">
        <v>4093</v>
      </c>
      <c r="H298" t="s">
        <v>4093</v>
      </c>
      <c r="I298">
        <v>3733</v>
      </c>
      <c r="J298" t="s">
        <v>4094</v>
      </c>
      <c r="K298" t="s">
        <v>4094</v>
      </c>
      <c r="L298" t="s">
        <v>2804</v>
      </c>
      <c r="M298" t="s">
        <v>2805</v>
      </c>
      <c r="N298">
        <v>54363</v>
      </c>
      <c r="O298">
        <v>45500</v>
      </c>
      <c r="P298">
        <v>1</v>
      </c>
      <c r="Q298">
        <v>0</v>
      </c>
      <c r="S298">
        <v>143790</v>
      </c>
      <c r="T298">
        <v>0</v>
      </c>
      <c r="U298" t="s">
        <v>2807</v>
      </c>
      <c r="W298" t="s">
        <v>4095</v>
      </c>
      <c r="X298">
        <v>45500</v>
      </c>
      <c r="Y298">
        <v>41363.636363636302</v>
      </c>
      <c r="Z298" s="26">
        <v>46059</v>
      </c>
    </row>
    <row r="299" spans="1:26" x14ac:dyDescent="0.3">
      <c r="A299" s="50">
        <v>46058.67423611111</v>
      </c>
      <c r="B299">
        <v>2.0260205161002501E+18</v>
      </c>
      <c r="C299" t="s">
        <v>4096</v>
      </c>
      <c r="D299" t="s">
        <v>4097</v>
      </c>
      <c r="E299" t="s">
        <v>4097</v>
      </c>
      <c r="F299" t="s">
        <v>4096</v>
      </c>
      <c r="G299" t="s">
        <v>4097</v>
      </c>
      <c r="H299" t="s">
        <v>4097</v>
      </c>
      <c r="I299">
        <v>6216</v>
      </c>
      <c r="J299" t="s">
        <v>4098</v>
      </c>
      <c r="K299" t="s">
        <v>4098</v>
      </c>
      <c r="L299" t="s">
        <v>2804</v>
      </c>
      <c r="M299" t="s">
        <v>2805</v>
      </c>
      <c r="N299">
        <v>54363</v>
      </c>
      <c r="O299">
        <v>45500</v>
      </c>
      <c r="P299">
        <v>1</v>
      </c>
      <c r="Q299">
        <v>0</v>
      </c>
      <c r="S299">
        <v>143790</v>
      </c>
      <c r="T299">
        <v>0</v>
      </c>
      <c r="U299" t="s">
        <v>2807</v>
      </c>
      <c r="W299" t="s">
        <v>4099</v>
      </c>
      <c r="X299">
        <v>45500</v>
      </c>
      <c r="Y299">
        <v>41363.636363636302</v>
      </c>
      <c r="Z299" s="26">
        <v>46059</v>
      </c>
    </row>
    <row r="300" spans="1:26" x14ac:dyDescent="0.3">
      <c r="A300" s="50">
        <v>46058.674375000002</v>
      </c>
      <c r="B300">
        <v>2.02602051610111E+18</v>
      </c>
      <c r="C300" t="s">
        <v>4100</v>
      </c>
      <c r="D300" t="s">
        <v>4101</v>
      </c>
      <c r="E300" t="s">
        <v>4101</v>
      </c>
      <c r="F300" t="s">
        <v>4100</v>
      </c>
      <c r="G300" t="s">
        <v>4101</v>
      </c>
      <c r="H300" t="s">
        <v>4101</v>
      </c>
      <c r="I300">
        <v>5048</v>
      </c>
      <c r="J300" t="s">
        <v>4102</v>
      </c>
      <c r="K300" t="s">
        <v>4102</v>
      </c>
      <c r="L300" t="s">
        <v>2804</v>
      </c>
      <c r="M300" t="s">
        <v>2805</v>
      </c>
      <c r="N300">
        <v>54363</v>
      </c>
      <c r="O300">
        <v>45500</v>
      </c>
      <c r="P300">
        <v>1</v>
      </c>
      <c r="Q300">
        <v>0</v>
      </c>
      <c r="S300">
        <v>143790</v>
      </c>
      <c r="T300">
        <v>0</v>
      </c>
      <c r="U300" t="s">
        <v>2807</v>
      </c>
      <c r="W300" t="s">
        <v>4103</v>
      </c>
      <c r="X300">
        <v>45500</v>
      </c>
      <c r="Y300">
        <v>41363.636363636302</v>
      </c>
      <c r="Z300" s="26">
        <v>46059</v>
      </c>
    </row>
    <row r="301" spans="1:26" x14ac:dyDescent="0.3">
      <c r="A301" s="50">
        <v>46058.675393518519</v>
      </c>
      <c r="B301">
        <v>2.02602051611553E+18</v>
      </c>
      <c r="C301" t="s">
        <v>4104</v>
      </c>
      <c r="D301" t="s">
        <v>4105</v>
      </c>
      <c r="E301" t="s">
        <v>4105</v>
      </c>
      <c r="F301" t="s">
        <v>4104</v>
      </c>
      <c r="G301" t="s">
        <v>4105</v>
      </c>
      <c r="H301" t="s">
        <v>4105</v>
      </c>
      <c r="I301">
        <v>22001</v>
      </c>
      <c r="J301" t="s">
        <v>4106</v>
      </c>
      <c r="K301" t="s">
        <v>4106</v>
      </c>
      <c r="L301" t="s">
        <v>2804</v>
      </c>
      <c r="M301" t="s">
        <v>2805</v>
      </c>
      <c r="N301">
        <v>54363</v>
      </c>
      <c r="O301">
        <v>45500</v>
      </c>
      <c r="P301">
        <v>1</v>
      </c>
      <c r="Q301">
        <v>0</v>
      </c>
      <c r="S301">
        <v>143790</v>
      </c>
      <c r="T301">
        <v>0</v>
      </c>
      <c r="U301" t="s">
        <v>2807</v>
      </c>
      <c r="W301" t="s">
        <v>4107</v>
      </c>
      <c r="X301">
        <v>45500</v>
      </c>
      <c r="Y301">
        <v>41363.636363636302</v>
      </c>
      <c r="Z301" s="26">
        <v>46059</v>
      </c>
    </row>
    <row r="302" spans="1:26" x14ac:dyDescent="0.3">
      <c r="A302" s="50">
        <v>46058.675416666665</v>
      </c>
      <c r="B302">
        <v>2.02602051610337E+18</v>
      </c>
      <c r="C302" t="s">
        <v>4108</v>
      </c>
      <c r="D302" t="s">
        <v>4109</v>
      </c>
      <c r="E302" t="s">
        <v>4109</v>
      </c>
      <c r="F302" t="s">
        <v>4110</v>
      </c>
      <c r="G302" t="s">
        <v>4111</v>
      </c>
      <c r="H302" t="s">
        <v>4111</v>
      </c>
      <c r="I302">
        <v>2057</v>
      </c>
      <c r="J302" t="s">
        <v>4112</v>
      </c>
      <c r="K302" t="s">
        <v>4112</v>
      </c>
      <c r="L302" t="s">
        <v>2804</v>
      </c>
      <c r="M302" t="s">
        <v>2805</v>
      </c>
      <c r="N302">
        <v>54363</v>
      </c>
      <c r="O302">
        <v>45500</v>
      </c>
      <c r="P302">
        <v>1</v>
      </c>
      <c r="Q302">
        <v>0</v>
      </c>
      <c r="S302">
        <v>143790</v>
      </c>
      <c r="T302">
        <v>0</v>
      </c>
      <c r="U302" t="s">
        <v>2807</v>
      </c>
      <c r="W302" t="s">
        <v>4113</v>
      </c>
      <c r="X302">
        <v>45500</v>
      </c>
      <c r="Y302">
        <v>41363.636363636302</v>
      </c>
      <c r="Z302" s="26">
        <v>46059</v>
      </c>
    </row>
    <row r="303" spans="1:26" x14ac:dyDescent="0.3">
      <c r="A303" s="50">
        <v>46058.676203703704</v>
      </c>
      <c r="B303">
        <v>2.0260205161303601E+18</v>
      </c>
      <c r="C303" t="s">
        <v>4108</v>
      </c>
      <c r="D303" t="s">
        <v>4109</v>
      </c>
      <c r="E303" t="s">
        <v>4109</v>
      </c>
      <c r="F303" t="s">
        <v>4108</v>
      </c>
      <c r="G303" t="s">
        <v>4109</v>
      </c>
      <c r="H303" t="s">
        <v>4109</v>
      </c>
      <c r="I303">
        <v>5210</v>
      </c>
      <c r="J303" t="s">
        <v>4114</v>
      </c>
      <c r="K303" t="s">
        <v>4114</v>
      </c>
      <c r="L303" t="s">
        <v>2804</v>
      </c>
      <c r="M303" t="s">
        <v>2805</v>
      </c>
      <c r="N303">
        <v>54363</v>
      </c>
      <c r="O303">
        <v>45500</v>
      </c>
      <c r="P303">
        <v>1</v>
      </c>
      <c r="Q303">
        <v>0</v>
      </c>
      <c r="S303">
        <v>143790</v>
      </c>
      <c r="T303">
        <v>0</v>
      </c>
      <c r="U303" t="s">
        <v>2807</v>
      </c>
      <c r="W303" t="s">
        <v>4115</v>
      </c>
      <c r="X303">
        <v>45500</v>
      </c>
      <c r="Y303">
        <v>41363.636363636302</v>
      </c>
      <c r="Z303" s="26">
        <v>46059</v>
      </c>
    </row>
    <row r="304" spans="1:26" x14ac:dyDescent="0.3">
      <c r="A304" s="50">
        <v>46058.676458333335</v>
      </c>
      <c r="B304">
        <v>2.0260205161101701E+18</v>
      </c>
      <c r="C304" t="s">
        <v>4116</v>
      </c>
      <c r="D304" t="s">
        <v>4117</v>
      </c>
      <c r="E304" t="s">
        <v>4117</v>
      </c>
      <c r="F304" t="s">
        <v>4116</v>
      </c>
      <c r="G304" t="s">
        <v>4117</v>
      </c>
      <c r="H304" t="s">
        <v>4117</v>
      </c>
      <c r="I304">
        <v>21552</v>
      </c>
      <c r="J304" t="s">
        <v>4118</v>
      </c>
      <c r="K304" t="s">
        <v>4118</v>
      </c>
      <c r="L304" t="s">
        <v>2804</v>
      </c>
      <c r="M304" t="s">
        <v>2805</v>
      </c>
      <c r="N304">
        <v>54363</v>
      </c>
      <c r="O304">
        <v>45500</v>
      </c>
      <c r="P304">
        <v>1</v>
      </c>
      <c r="Q304">
        <v>0</v>
      </c>
      <c r="S304">
        <v>143790</v>
      </c>
      <c r="T304">
        <v>0</v>
      </c>
      <c r="U304" t="s">
        <v>2807</v>
      </c>
      <c r="W304" t="s">
        <v>4119</v>
      </c>
      <c r="X304">
        <v>45500</v>
      </c>
      <c r="Y304">
        <v>41363.636363636302</v>
      </c>
      <c r="Z304" s="26">
        <v>46059</v>
      </c>
    </row>
    <row r="305" spans="1:26" x14ac:dyDescent="0.3">
      <c r="A305" s="50">
        <v>46058.67659722222</v>
      </c>
      <c r="B305">
        <v>2.0260205161245701E+18</v>
      </c>
      <c r="C305" t="s">
        <v>4120</v>
      </c>
      <c r="D305" t="s">
        <v>4121</v>
      </c>
      <c r="E305" t="s">
        <v>4121</v>
      </c>
      <c r="F305" t="s">
        <v>4120</v>
      </c>
      <c r="G305" t="s">
        <v>4121</v>
      </c>
      <c r="H305" t="s">
        <v>4121</v>
      </c>
      <c r="I305">
        <v>11809</v>
      </c>
      <c r="J305" t="s">
        <v>4122</v>
      </c>
      <c r="K305" t="s">
        <v>4122</v>
      </c>
      <c r="L305" t="s">
        <v>2804</v>
      </c>
      <c r="M305" t="s">
        <v>2805</v>
      </c>
      <c r="N305">
        <v>108726</v>
      </c>
      <c r="O305">
        <v>45500</v>
      </c>
      <c r="P305">
        <v>2</v>
      </c>
      <c r="Q305">
        <v>0</v>
      </c>
      <c r="S305">
        <v>143790</v>
      </c>
      <c r="T305">
        <v>0</v>
      </c>
      <c r="U305" t="s">
        <v>2807</v>
      </c>
      <c r="W305" t="s">
        <v>4123</v>
      </c>
      <c r="X305">
        <v>91000</v>
      </c>
      <c r="Y305">
        <v>82727.272727272706</v>
      </c>
      <c r="Z305" s="26">
        <v>46059</v>
      </c>
    </row>
    <row r="306" spans="1:26" x14ac:dyDescent="0.3">
      <c r="A306" s="50">
        <v>46058.677233796298</v>
      </c>
      <c r="B306">
        <v>2.0260205161337101E+18</v>
      </c>
      <c r="C306" t="s">
        <v>4124</v>
      </c>
      <c r="D306" t="s">
        <v>4125</v>
      </c>
      <c r="E306" t="s">
        <v>4125</v>
      </c>
      <c r="F306" t="s">
        <v>4124</v>
      </c>
      <c r="G306" t="s">
        <v>4125</v>
      </c>
      <c r="H306" t="s">
        <v>4125</v>
      </c>
      <c r="I306">
        <v>10895</v>
      </c>
      <c r="J306" t="s">
        <v>4126</v>
      </c>
      <c r="K306" t="s">
        <v>4126</v>
      </c>
      <c r="L306" t="s">
        <v>2804</v>
      </c>
      <c r="M306" t="s">
        <v>2805</v>
      </c>
      <c r="N306">
        <v>54363</v>
      </c>
      <c r="O306">
        <v>45500</v>
      </c>
      <c r="P306">
        <v>1</v>
      </c>
      <c r="Q306">
        <v>0</v>
      </c>
      <c r="S306">
        <v>143790</v>
      </c>
      <c r="T306">
        <v>0</v>
      </c>
      <c r="U306" t="s">
        <v>2807</v>
      </c>
      <c r="W306" t="s">
        <v>4127</v>
      </c>
      <c r="X306">
        <v>45500</v>
      </c>
      <c r="Y306">
        <v>41363.636363636302</v>
      </c>
      <c r="Z306" s="26">
        <v>46059</v>
      </c>
    </row>
    <row r="307" spans="1:26" x14ac:dyDescent="0.3">
      <c r="A307" s="50">
        <v>46058.678032407406</v>
      </c>
      <c r="B307">
        <v>2.0260205161222999E+18</v>
      </c>
      <c r="C307" t="s">
        <v>4128</v>
      </c>
      <c r="D307" t="s">
        <v>4129</v>
      </c>
      <c r="E307" t="s">
        <v>4129</v>
      </c>
      <c r="F307" t="s">
        <v>4128</v>
      </c>
      <c r="G307" t="s">
        <v>4129</v>
      </c>
      <c r="H307" t="s">
        <v>4129</v>
      </c>
      <c r="I307">
        <v>63084</v>
      </c>
      <c r="J307" t="s">
        <v>4130</v>
      </c>
      <c r="K307" t="s">
        <v>4130</v>
      </c>
      <c r="L307" t="s">
        <v>2804</v>
      </c>
      <c r="M307" t="s">
        <v>2805</v>
      </c>
      <c r="N307">
        <v>54363</v>
      </c>
      <c r="O307">
        <v>45500</v>
      </c>
      <c r="P307">
        <v>1</v>
      </c>
      <c r="Q307">
        <v>0</v>
      </c>
      <c r="R307" t="s">
        <v>4131</v>
      </c>
      <c r="S307">
        <v>143790</v>
      </c>
      <c r="T307">
        <v>0</v>
      </c>
      <c r="U307" t="s">
        <v>2807</v>
      </c>
      <c r="W307" t="s">
        <v>4132</v>
      </c>
      <c r="X307">
        <v>45500</v>
      </c>
      <c r="Y307">
        <v>41363.636363636302</v>
      </c>
      <c r="Z307" s="26">
        <v>46059</v>
      </c>
    </row>
    <row r="308" spans="1:26" x14ac:dyDescent="0.3">
      <c r="A308" s="50">
        <v>46058.679456018515</v>
      </c>
      <c r="B308">
        <v>2.0260205161724001E+18</v>
      </c>
      <c r="C308" t="s">
        <v>4133</v>
      </c>
      <c r="D308" t="s">
        <v>4134</v>
      </c>
      <c r="E308" t="s">
        <v>4134</v>
      </c>
      <c r="F308" t="s">
        <v>4133</v>
      </c>
      <c r="G308" t="s">
        <v>4134</v>
      </c>
      <c r="H308" t="s">
        <v>4134</v>
      </c>
      <c r="I308">
        <v>12141</v>
      </c>
      <c r="J308" t="s">
        <v>4135</v>
      </c>
      <c r="K308" t="s">
        <v>4135</v>
      </c>
      <c r="L308" t="s">
        <v>2804</v>
      </c>
      <c r="M308" t="s">
        <v>2805</v>
      </c>
      <c r="N308">
        <v>54363</v>
      </c>
      <c r="O308">
        <v>45500</v>
      </c>
      <c r="P308">
        <v>1</v>
      </c>
      <c r="Q308">
        <v>0</v>
      </c>
      <c r="S308">
        <v>143790</v>
      </c>
      <c r="T308">
        <v>0</v>
      </c>
      <c r="U308" t="s">
        <v>2807</v>
      </c>
      <c r="W308" t="s">
        <v>4136</v>
      </c>
      <c r="X308">
        <v>45500</v>
      </c>
      <c r="Y308">
        <v>41363.636363636302</v>
      </c>
      <c r="Z308" s="26">
        <v>46059</v>
      </c>
    </row>
    <row r="309" spans="1:26" x14ac:dyDescent="0.3">
      <c r="A309" s="50">
        <v>46058.679675925923</v>
      </c>
      <c r="B309">
        <v>2.02602051617106E+18</v>
      </c>
      <c r="C309" t="s">
        <v>4137</v>
      </c>
      <c r="D309" t="s">
        <v>4138</v>
      </c>
      <c r="E309" t="s">
        <v>4138</v>
      </c>
      <c r="F309" t="s">
        <v>4139</v>
      </c>
      <c r="G309" t="s">
        <v>4140</v>
      </c>
      <c r="H309" t="s">
        <v>4140</v>
      </c>
      <c r="I309">
        <v>24536</v>
      </c>
      <c r="J309" t="s">
        <v>4141</v>
      </c>
      <c r="K309" t="s">
        <v>4141</v>
      </c>
      <c r="L309" t="s">
        <v>2804</v>
      </c>
      <c r="M309" t="s">
        <v>2805</v>
      </c>
      <c r="N309">
        <v>54363</v>
      </c>
      <c r="O309">
        <v>45500</v>
      </c>
      <c r="P309">
        <v>1</v>
      </c>
      <c r="Q309">
        <v>0</v>
      </c>
      <c r="S309">
        <v>143790</v>
      </c>
      <c r="T309">
        <v>0</v>
      </c>
      <c r="U309" t="s">
        <v>2807</v>
      </c>
      <c r="W309" t="s">
        <v>4142</v>
      </c>
      <c r="X309">
        <v>45500</v>
      </c>
      <c r="Y309">
        <v>41363.636363636302</v>
      </c>
      <c r="Z309" s="26">
        <v>46059</v>
      </c>
    </row>
    <row r="310" spans="1:26" x14ac:dyDescent="0.3">
      <c r="A310" s="50">
        <v>46058.68005787037</v>
      </c>
      <c r="B310">
        <v>2.0260205161659899E+18</v>
      </c>
      <c r="C310" t="s">
        <v>4143</v>
      </c>
      <c r="D310" t="s">
        <v>4144</v>
      </c>
      <c r="E310" t="s">
        <v>4144</v>
      </c>
      <c r="F310" t="s">
        <v>4143</v>
      </c>
      <c r="G310" t="s">
        <v>4144</v>
      </c>
      <c r="H310" t="s">
        <v>4144</v>
      </c>
      <c r="I310">
        <v>17077</v>
      </c>
      <c r="J310" t="s">
        <v>4145</v>
      </c>
      <c r="K310" t="s">
        <v>4145</v>
      </c>
      <c r="L310" t="s">
        <v>2804</v>
      </c>
      <c r="M310" t="s">
        <v>2805</v>
      </c>
      <c r="N310">
        <v>54363</v>
      </c>
      <c r="O310">
        <v>45500</v>
      </c>
      <c r="P310">
        <v>1</v>
      </c>
      <c r="Q310">
        <v>0</v>
      </c>
      <c r="R310" t="s">
        <v>4146</v>
      </c>
      <c r="S310">
        <v>143790</v>
      </c>
      <c r="T310">
        <v>0</v>
      </c>
      <c r="U310" t="s">
        <v>2807</v>
      </c>
      <c r="W310" t="s">
        <v>4147</v>
      </c>
      <c r="X310">
        <v>45500</v>
      </c>
      <c r="Y310">
        <v>41363.636363636302</v>
      </c>
      <c r="Z310" s="26">
        <v>46059</v>
      </c>
    </row>
    <row r="311" spans="1:26" x14ac:dyDescent="0.3">
      <c r="A311" s="50">
        <v>46058.681909722225</v>
      </c>
      <c r="B311">
        <v>2.0260205161900401E+18</v>
      </c>
      <c r="C311" t="s">
        <v>4148</v>
      </c>
      <c r="D311" t="s">
        <v>4149</v>
      </c>
      <c r="E311" t="s">
        <v>4149</v>
      </c>
      <c r="F311" t="s">
        <v>4148</v>
      </c>
      <c r="G311" t="s">
        <v>4149</v>
      </c>
      <c r="H311" t="s">
        <v>4149</v>
      </c>
      <c r="I311">
        <v>18239</v>
      </c>
      <c r="J311" t="s">
        <v>4150</v>
      </c>
      <c r="K311" t="s">
        <v>4150</v>
      </c>
      <c r="L311" t="s">
        <v>2804</v>
      </c>
      <c r="M311" t="s">
        <v>2805</v>
      </c>
      <c r="N311">
        <v>54363</v>
      </c>
      <c r="O311">
        <v>45500</v>
      </c>
      <c r="P311">
        <v>1</v>
      </c>
      <c r="Q311">
        <v>0</v>
      </c>
      <c r="S311">
        <v>143790</v>
      </c>
      <c r="T311">
        <v>0</v>
      </c>
      <c r="U311" t="s">
        <v>2807</v>
      </c>
      <c r="W311" t="s">
        <v>4151</v>
      </c>
      <c r="X311">
        <v>45500</v>
      </c>
      <c r="Y311">
        <v>41363.636363636302</v>
      </c>
      <c r="Z311" s="26">
        <v>46059</v>
      </c>
    </row>
    <row r="312" spans="1:26" x14ac:dyDescent="0.3">
      <c r="A312" s="50">
        <v>46058.684282407405</v>
      </c>
      <c r="B312">
        <v>2.0260205161604101E+18</v>
      </c>
      <c r="C312" t="s">
        <v>4152</v>
      </c>
      <c r="D312" t="s">
        <v>4153</v>
      </c>
      <c r="E312" t="s">
        <v>4153</v>
      </c>
      <c r="F312" t="s">
        <v>4152</v>
      </c>
      <c r="G312" t="s">
        <v>4153</v>
      </c>
      <c r="H312" t="s">
        <v>4153</v>
      </c>
      <c r="I312">
        <v>13903</v>
      </c>
      <c r="J312" t="s">
        <v>4154</v>
      </c>
      <c r="K312" t="s">
        <v>4154</v>
      </c>
      <c r="L312" t="s">
        <v>2804</v>
      </c>
      <c r="M312" t="s">
        <v>2805</v>
      </c>
      <c r="N312">
        <v>54363</v>
      </c>
      <c r="O312">
        <v>45500</v>
      </c>
      <c r="P312">
        <v>1</v>
      </c>
      <c r="Q312">
        <v>0</v>
      </c>
      <c r="R312" t="s">
        <v>4155</v>
      </c>
      <c r="S312">
        <v>143790</v>
      </c>
      <c r="T312">
        <v>0</v>
      </c>
      <c r="U312" t="s">
        <v>2807</v>
      </c>
      <c r="W312" t="s">
        <v>4156</v>
      </c>
      <c r="X312">
        <v>45500</v>
      </c>
      <c r="Y312">
        <v>41363.636363636302</v>
      </c>
      <c r="Z312" s="26">
        <v>46059</v>
      </c>
    </row>
    <row r="313" spans="1:26" x14ac:dyDescent="0.3">
      <c r="A313" s="50">
        <v>46058.68645833333</v>
      </c>
      <c r="B313">
        <v>2.0260205162654999E+18</v>
      </c>
      <c r="C313" t="s">
        <v>4157</v>
      </c>
      <c r="D313" t="s">
        <v>4158</v>
      </c>
      <c r="E313" t="s">
        <v>4158</v>
      </c>
      <c r="F313" t="s">
        <v>4159</v>
      </c>
      <c r="G313" t="s">
        <v>4160</v>
      </c>
      <c r="H313" t="s">
        <v>4160</v>
      </c>
      <c r="I313">
        <v>57723</v>
      </c>
      <c r="J313" t="s">
        <v>4161</v>
      </c>
      <c r="K313" t="s">
        <v>4161</v>
      </c>
      <c r="L313" t="s">
        <v>2804</v>
      </c>
      <c r="M313" t="s">
        <v>2805</v>
      </c>
      <c r="N313">
        <v>54363</v>
      </c>
      <c r="O313">
        <v>45500</v>
      </c>
      <c r="P313">
        <v>1</v>
      </c>
      <c r="Q313">
        <v>0</v>
      </c>
      <c r="S313">
        <v>143790</v>
      </c>
      <c r="T313">
        <v>0</v>
      </c>
      <c r="U313" t="s">
        <v>2807</v>
      </c>
      <c r="W313" t="s">
        <v>4162</v>
      </c>
      <c r="X313">
        <v>45500</v>
      </c>
      <c r="Y313">
        <v>41363.636363636302</v>
      </c>
      <c r="Z313" s="26">
        <v>46059</v>
      </c>
    </row>
    <row r="314" spans="1:26" x14ac:dyDescent="0.3">
      <c r="A314" s="50">
        <v>46058.688634259262</v>
      </c>
      <c r="B314">
        <v>2.0260205163101701E+18</v>
      </c>
      <c r="C314" t="s">
        <v>4163</v>
      </c>
      <c r="D314" t="s">
        <v>4164</v>
      </c>
      <c r="E314" t="s">
        <v>4164</v>
      </c>
      <c r="F314" t="s">
        <v>4163</v>
      </c>
      <c r="G314" t="s">
        <v>4164</v>
      </c>
      <c r="H314" t="s">
        <v>4164</v>
      </c>
      <c r="I314">
        <v>5410</v>
      </c>
      <c r="J314" t="s">
        <v>4165</v>
      </c>
      <c r="K314" t="s">
        <v>4165</v>
      </c>
      <c r="L314" t="s">
        <v>2804</v>
      </c>
      <c r="M314" t="s">
        <v>2805</v>
      </c>
      <c r="N314">
        <v>54363</v>
      </c>
      <c r="O314">
        <v>45500</v>
      </c>
      <c r="P314">
        <v>1</v>
      </c>
      <c r="Q314">
        <v>0</v>
      </c>
      <c r="S314">
        <v>143790</v>
      </c>
      <c r="T314">
        <v>0</v>
      </c>
      <c r="U314" t="s">
        <v>2807</v>
      </c>
      <c r="W314" t="s">
        <v>4166</v>
      </c>
      <c r="X314">
        <v>45500</v>
      </c>
      <c r="Y314">
        <v>41363.636363636302</v>
      </c>
      <c r="Z314" s="26">
        <v>46059</v>
      </c>
    </row>
    <row r="315" spans="1:26" x14ac:dyDescent="0.3">
      <c r="A315" s="50">
        <v>46058.690300925926</v>
      </c>
      <c r="B315">
        <v>2.02602051633071E+18</v>
      </c>
      <c r="C315" t="s">
        <v>4167</v>
      </c>
      <c r="D315" t="s">
        <v>4168</v>
      </c>
      <c r="E315" t="s">
        <v>4168</v>
      </c>
      <c r="F315" t="s">
        <v>4167</v>
      </c>
      <c r="G315" t="s">
        <v>4168</v>
      </c>
      <c r="H315" t="s">
        <v>4168</v>
      </c>
      <c r="I315">
        <v>13824</v>
      </c>
      <c r="J315" t="s">
        <v>4169</v>
      </c>
      <c r="K315" t="s">
        <v>4169</v>
      </c>
      <c r="L315" t="s">
        <v>2804</v>
      </c>
      <c r="M315" t="s">
        <v>2805</v>
      </c>
      <c r="N315">
        <v>54363</v>
      </c>
      <c r="O315">
        <v>45500</v>
      </c>
      <c r="P315">
        <v>1</v>
      </c>
      <c r="Q315">
        <v>0</v>
      </c>
      <c r="S315">
        <v>143790</v>
      </c>
      <c r="T315">
        <v>0</v>
      </c>
      <c r="U315" t="s">
        <v>2807</v>
      </c>
      <c r="W315" t="s">
        <v>4170</v>
      </c>
      <c r="X315">
        <v>45500</v>
      </c>
      <c r="Y315">
        <v>41363.636363636302</v>
      </c>
      <c r="Z315" s="26">
        <v>46059</v>
      </c>
    </row>
    <row r="316" spans="1:26" x14ac:dyDescent="0.3">
      <c r="A316" s="50">
        <v>46058.690625000003</v>
      </c>
      <c r="B316">
        <v>2.0260205163213901E+18</v>
      </c>
      <c r="C316" t="s">
        <v>4171</v>
      </c>
      <c r="D316" t="s">
        <v>4172</v>
      </c>
      <c r="E316" t="s">
        <v>4172</v>
      </c>
      <c r="F316" t="s">
        <v>4171</v>
      </c>
      <c r="G316" t="s">
        <v>4172</v>
      </c>
      <c r="H316" t="s">
        <v>4172</v>
      </c>
      <c r="I316">
        <v>31739</v>
      </c>
      <c r="J316" t="s">
        <v>4173</v>
      </c>
      <c r="K316" t="s">
        <v>4173</v>
      </c>
      <c r="L316" t="s">
        <v>2804</v>
      </c>
      <c r="M316" t="s">
        <v>2805</v>
      </c>
      <c r="N316">
        <v>217452</v>
      </c>
      <c r="O316">
        <v>45500</v>
      </c>
      <c r="P316">
        <v>4</v>
      </c>
      <c r="Q316">
        <v>0</v>
      </c>
      <c r="S316">
        <v>143790</v>
      </c>
      <c r="T316">
        <v>0</v>
      </c>
      <c r="U316" t="s">
        <v>2807</v>
      </c>
      <c r="W316" t="s">
        <v>4174</v>
      </c>
      <c r="X316">
        <v>182000</v>
      </c>
      <c r="Y316">
        <v>165454.545454545</v>
      </c>
      <c r="Z316" s="26">
        <v>46059</v>
      </c>
    </row>
    <row r="317" spans="1:26" x14ac:dyDescent="0.3">
      <c r="A317" s="50">
        <v>46058.692708333336</v>
      </c>
      <c r="B317">
        <v>2.0260205163512901E+18</v>
      </c>
      <c r="C317" t="s">
        <v>4175</v>
      </c>
      <c r="D317" t="s">
        <v>4176</v>
      </c>
      <c r="E317" t="s">
        <v>4176</v>
      </c>
      <c r="F317" t="s">
        <v>4175</v>
      </c>
      <c r="G317" t="s">
        <v>4176</v>
      </c>
      <c r="H317" t="s">
        <v>4176</v>
      </c>
      <c r="I317">
        <v>10324</v>
      </c>
      <c r="J317" t="s">
        <v>4177</v>
      </c>
      <c r="K317" t="s">
        <v>4177</v>
      </c>
      <c r="L317" t="s">
        <v>2804</v>
      </c>
      <c r="M317" t="s">
        <v>2805</v>
      </c>
      <c r="N317">
        <v>54363</v>
      </c>
      <c r="O317">
        <v>45500</v>
      </c>
      <c r="P317">
        <v>1</v>
      </c>
      <c r="Q317">
        <v>0</v>
      </c>
      <c r="R317" t="s">
        <v>2837</v>
      </c>
      <c r="S317">
        <v>143790</v>
      </c>
      <c r="T317">
        <v>0</v>
      </c>
      <c r="U317" t="s">
        <v>2807</v>
      </c>
      <c r="W317" t="s">
        <v>4178</v>
      </c>
      <c r="X317">
        <v>45500</v>
      </c>
      <c r="Y317">
        <v>41363.636363636302</v>
      </c>
      <c r="Z317" s="26">
        <v>46059</v>
      </c>
    </row>
    <row r="318" spans="1:26" x14ac:dyDescent="0.3">
      <c r="A318" s="50">
        <v>46058.699097222219</v>
      </c>
      <c r="B318">
        <v>2.0260205164018401E+18</v>
      </c>
      <c r="C318" t="s">
        <v>4179</v>
      </c>
      <c r="D318" t="s">
        <v>4180</v>
      </c>
      <c r="E318" t="s">
        <v>4180</v>
      </c>
      <c r="F318" t="s">
        <v>4179</v>
      </c>
      <c r="G318" t="s">
        <v>4180</v>
      </c>
      <c r="H318" t="s">
        <v>4180</v>
      </c>
      <c r="I318">
        <v>4702</v>
      </c>
      <c r="J318" t="s">
        <v>4181</v>
      </c>
      <c r="K318" t="s">
        <v>4181</v>
      </c>
      <c r="L318" t="s">
        <v>2804</v>
      </c>
      <c r="M318" t="s">
        <v>2805</v>
      </c>
      <c r="N318">
        <v>54363</v>
      </c>
      <c r="O318">
        <v>45500</v>
      </c>
      <c r="P318">
        <v>1</v>
      </c>
      <c r="Q318">
        <v>0</v>
      </c>
      <c r="R318" t="s">
        <v>4182</v>
      </c>
      <c r="S318">
        <v>143790</v>
      </c>
      <c r="T318">
        <v>0</v>
      </c>
      <c r="U318" t="s">
        <v>2807</v>
      </c>
      <c r="W318" t="s">
        <v>4183</v>
      </c>
      <c r="X318">
        <v>45500</v>
      </c>
      <c r="Y318">
        <v>41363.636363636302</v>
      </c>
      <c r="Z318" s="26">
        <v>46059</v>
      </c>
    </row>
    <row r="319" spans="1:26" x14ac:dyDescent="0.3">
      <c r="A319" s="50">
        <v>46058.700289351851</v>
      </c>
      <c r="B319">
        <v>2.0260205164503601E+18</v>
      </c>
      <c r="C319" t="s">
        <v>4184</v>
      </c>
      <c r="D319" t="s">
        <v>4185</v>
      </c>
      <c r="E319" t="s">
        <v>4185</v>
      </c>
      <c r="F319" t="s">
        <v>4184</v>
      </c>
      <c r="G319" t="s">
        <v>4185</v>
      </c>
      <c r="H319" t="s">
        <v>4185</v>
      </c>
      <c r="I319">
        <v>63527</v>
      </c>
      <c r="J319" t="s">
        <v>4186</v>
      </c>
      <c r="K319" t="s">
        <v>4186</v>
      </c>
      <c r="L319" t="s">
        <v>2804</v>
      </c>
      <c r="M319" t="s">
        <v>2805</v>
      </c>
      <c r="N319">
        <v>54363</v>
      </c>
      <c r="O319">
        <v>45500</v>
      </c>
      <c r="P319">
        <v>1</v>
      </c>
      <c r="Q319">
        <v>0</v>
      </c>
      <c r="S319">
        <v>143790</v>
      </c>
      <c r="T319">
        <v>0</v>
      </c>
      <c r="U319" t="s">
        <v>2807</v>
      </c>
      <c r="W319" t="s">
        <v>4187</v>
      </c>
      <c r="X319">
        <v>45500</v>
      </c>
      <c r="Y319">
        <v>41363.636363636302</v>
      </c>
      <c r="Z319" s="26">
        <v>46059</v>
      </c>
    </row>
    <row r="320" spans="1:26" x14ac:dyDescent="0.3">
      <c r="A320" s="50">
        <v>46058.701770833337</v>
      </c>
      <c r="B320">
        <v>2.0260205164937001E+18</v>
      </c>
      <c r="C320" t="s">
        <v>4188</v>
      </c>
      <c r="D320" t="s">
        <v>4189</v>
      </c>
      <c r="E320" t="s">
        <v>4189</v>
      </c>
      <c r="F320" t="s">
        <v>4188</v>
      </c>
      <c r="G320" t="s">
        <v>4189</v>
      </c>
      <c r="H320" t="s">
        <v>4189</v>
      </c>
      <c r="I320">
        <v>15038</v>
      </c>
      <c r="J320" t="s">
        <v>4190</v>
      </c>
      <c r="K320" t="s">
        <v>4190</v>
      </c>
      <c r="L320" t="s">
        <v>2804</v>
      </c>
      <c r="M320" t="s">
        <v>2805</v>
      </c>
      <c r="N320">
        <v>54363</v>
      </c>
      <c r="O320">
        <v>45500</v>
      </c>
      <c r="P320">
        <v>1</v>
      </c>
      <c r="Q320">
        <v>0</v>
      </c>
      <c r="R320" t="s">
        <v>3255</v>
      </c>
      <c r="S320">
        <v>143790</v>
      </c>
      <c r="T320">
        <v>0</v>
      </c>
      <c r="U320" t="s">
        <v>2807</v>
      </c>
      <c r="W320" t="s">
        <v>4191</v>
      </c>
      <c r="X320">
        <v>45500</v>
      </c>
      <c r="Y320">
        <v>41363.636363636302</v>
      </c>
      <c r="Z320" s="26">
        <v>46059</v>
      </c>
    </row>
    <row r="321" spans="1:26" x14ac:dyDescent="0.3">
      <c r="A321" s="50">
        <v>46058.703541666669</v>
      </c>
      <c r="B321">
        <v>2.0260205165237399E+18</v>
      </c>
      <c r="C321" t="s">
        <v>4192</v>
      </c>
      <c r="D321" t="s">
        <v>4193</v>
      </c>
      <c r="E321" t="s">
        <v>4193</v>
      </c>
      <c r="F321" t="s">
        <v>4192</v>
      </c>
      <c r="G321" t="s">
        <v>4193</v>
      </c>
      <c r="H321" t="s">
        <v>4193</v>
      </c>
      <c r="I321">
        <v>22748</v>
      </c>
      <c r="J321" t="s">
        <v>4194</v>
      </c>
      <c r="K321" t="s">
        <v>4194</v>
      </c>
      <c r="L321" t="s">
        <v>2804</v>
      </c>
      <c r="M321" t="s">
        <v>2805</v>
      </c>
      <c r="N321">
        <v>54363</v>
      </c>
      <c r="O321">
        <v>45500</v>
      </c>
      <c r="P321">
        <v>1</v>
      </c>
      <c r="Q321">
        <v>0</v>
      </c>
      <c r="S321">
        <v>143790</v>
      </c>
      <c r="T321">
        <v>0</v>
      </c>
      <c r="U321" t="s">
        <v>2807</v>
      </c>
      <c r="W321" t="s">
        <v>4195</v>
      </c>
      <c r="X321">
        <v>45500</v>
      </c>
      <c r="Y321">
        <v>41363.636363636302</v>
      </c>
      <c r="Z321" s="26">
        <v>46059</v>
      </c>
    </row>
    <row r="322" spans="1:26" x14ac:dyDescent="0.3">
      <c r="A322" s="50">
        <v>46058.711701388886</v>
      </c>
      <c r="B322">
        <v>2.0260205170315E+18</v>
      </c>
      <c r="C322" t="s">
        <v>4196</v>
      </c>
      <c r="D322" t="s">
        <v>4197</v>
      </c>
      <c r="E322" t="s">
        <v>4197</v>
      </c>
      <c r="F322" t="s">
        <v>4196</v>
      </c>
      <c r="G322" t="s">
        <v>4197</v>
      </c>
      <c r="H322" t="s">
        <v>4197</v>
      </c>
      <c r="I322">
        <v>14321</v>
      </c>
      <c r="J322" t="s">
        <v>4198</v>
      </c>
      <c r="K322" t="s">
        <v>4198</v>
      </c>
      <c r="L322" t="s">
        <v>2804</v>
      </c>
      <c r="M322" t="s">
        <v>2805</v>
      </c>
      <c r="N322">
        <v>54363</v>
      </c>
      <c r="O322">
        <v>45500</v>
      </c>
      <c r="P322">
        <v>1</v>
      </c>
      <c r="Q322">
        <v>0</v>
      </c>
      <c r="S322">
        <v>143790</v>
      </c>
      <c r="T322">
        <v>0</v>
      </c>
      <c r="U322" t="s">
        <v>2807</v>
      </c>
      <c r="W322" t="s">
        <v>4199</v>
      </c>
      <c r="X322">
        <v>45500</v>
      </c>
      <c r="Y322">
        <v>41363.636363636302</v>
      </c>
      <c r="Z322" s="26">
        <v>46059</v>
      </c>
    </row>
    <row r="323" spans="1:26" x14ac:dyDescent="0.3">
      <c r="A323" s="50">
        <v>46058.713333333333</v>
      </c>
      <c r="B323">
        <v>2.0260205170621299E+18</v>
      </c>
      <c r="C323" t="s">
        <v>4196</v>
      </c>
      <c r="D323" t="s">
        <v>4197</v>
      </c>
      <c r="E323" t="s">
        <v>4197</v>
      </c>
      <c r="F323" t="s">
        <v>4196</v>
      </c>
      <c r="G323" t="s">
        <v>4197</v>
      </c>
      <c r="H323" t="s">
        <v>4197</v>
      </c>
      <c r="I323">
        <v>8599</v>
      </c>
      <c r="J323" t="s">
        <v>4200</v>
      </c>
      <c r="K323" t="s">
        <v>4200</v>
      </c>
      <c r="L323" t="s">
        <v>2804</v>
      </c>
      <c r="M323" t="s">
        <v>2805</v>
      </c>
      <c r="N323">
        <v>54363</v>
      </c>
      <c r="O323">
        <v>45500</v>
      </c>
      <c r="P323">
        <v>1</v>
      </c>
      <c r="Q323">
        <v>0</v>
      </c>
      <c r="S323">
        <v>143790</v>
      </c>
      <c r="T323">
        <v>0</v>
      </c>
      <c r="U323" t="s">
        <v>2807</v>
      </c>
      <c r="W323" t="s">
        <v>4201</v>
      </c>
      <c r="X323">
        <v>45500</v>
      </c>
      <c r="Y323">
        <v>41363.636363636302</v>
      </c>
      <c r="Z323" s="26">
        <v>46059</v>
      </c>
    </row>
    <row r="324" spans="1:26" x14ac:dyDescent="0.3">
      <c r="A324" s="50">
        <v>46058.718553240738</v>
      </c>
      <c r="B324">
        <v>2.02602051713073E+18</v>
      </c>
      <c r="C324" t="s">
        <v>4202</v>
      </c>
      <c r="D324" t="s">
        <v>4203</v>
      </c>
      <c r="E324" t="s">
        <v>4203</v>
      </c>
      <c r="F324" t="s">
        <v>4202</v>
      </c>
      <c r="G324" t="s">
        <v>4203</v>
      </c>
      <c r="H324" t="s">
        <v>4203</v>
      </c>
      <c r="I324">
        <v>10492</v>
      </c>
      <c r="J324" t="s">
        <v>4204</v>
      </c>
      <c r="K324" t="s">
        <v>4204</v>
      </c>
      <c r="L324" t="s">
        <v>2804</v>
      </c>
      <c r="M324" t="s">
        <v>2805</v>
      </c>
      <c r="N324">
        <v>54363</v>
      </c>
      <c r="O324">
        <v>45500</v>
      </c>
      <c r="P324">
        <v>1</v>
      </c>
      <c r="Q324">
        <v>0</v>
      </c>
      <c r="S324">
        <v>143790</v>
      </c>
      <c r="T324">
        <v>0</v>
      </c>
      <c r="U324" t="s">
        <v>2807</v>
      </c>
      <c r="W324" t="s">
        <v>4205</v>
      </c>
      <c r="X324">
        <v>45500</v>
      </c>
      <c r="Y324">
        <v>41363.636363636302</v>
      </c>
      <c r="Z324" s="26">
        <v>46059</v>
      </c>
    </row>
    <row r="325" spans="1:26" x14ac:dyDescent="0.3">
      <c r="A325" s="50">
        <v>46058.718865740739</v>
      </c>
      <c r="B325">
        <v>2.02602051712446E+18</v>
      </c>
      <c r="C325" t="s">
        <v>4206</v>
      </c>
      <c r="D325" t="s">
        <v>4207</v>
      </c>
      <c r="E325" t="s">
        <v>4207</v>
      </c>
      <c r="F325" t="s">
        <v>4208</v>
      </c>
      <c r="G325" t="s">
        <v>4209</v>
      </c>
      <c r="H325" t="s">
        <v>4209</v>
      </c>
      <c r="I325">
        <v>7542</v>
      </c>
      <c r="J325" t="s">
        <v>4210</v>
      </c>
      <c r="K325" t="s">
        <v>4210</v>
      </c>
      <c r="L325" t="s">
        <v>2804</v>
      </c>
      <c r="M325" t="s">
        <v>2805</v>
      </c>
      <c r="N325">
        <v>54363</v>
      </c>
      <c r="O325">
        <v>45500</v>
      </c>
      <c r="P325">
        <v>1</v>
      </c>
      <c r="Q325">
        <v>0</v>
      </c>
      <c r="S325">
        <v>143790</v>
      </c>
      <c r="T325">
        <v>0</v>
      </c>
      <c r="U325" t="s">
        <v>2807</v>
      </c>
      <c r="W325" t="s">
        <v>4211</v>
      </c>
      <c r="X325">
        <v>45500</v>
      </c>
      <c r="Y325">
        <v>41363.636363636302</v>
      </c>
      <c r="Z325" s="26">
        <v>46059</v>
      </c>
    </row>
    <row r="326" spans="1:26" x14ac:dyDescent="0.3">
      <c r="A326" s="50">
        <v>46058.724699074075</v>
      </c>
      <c r="B326">
        <v>2.0260205172151401E+18</v>
      </c>
      <c r="C326" t="s">
        <v>4212</v>
      </c>
      <c r="D326" t="s">
        <v>4213</v>
      </c>
      <c r="E326" t="s">
        <v>4213</v>
      </c>
      <c r="F326" t="s">
        <v>4212</v>
      </c>
      <c r="G326" t="s">
        <v>4213</v>
      </c>
      <c r="H326" t="s">
        <v>4213</v>
      </c>
      <c r="I326">
        <v>6374</v>
      </c>
      <c r="J326" t="s">
        <v>4214</v>
      </c>
      <c r="K326" t="s">
        <v>4214</v>
      </c>
      <c r="L326" t="s">
        <v>2804</v>
      </c>
      <c r="M326" t="s">
        <v>2805</v>
      </c>
      <c r="N326">
        <v>54363</v>
      </c>
      <c r="O326">
        <v>45500</v>
      </c>
      <c r="P326">
        <v>1</v>
      </c>
      <c r="Q326">
        <v>0</v>
      </c>
      <c r="S326">
        <v>143790</v>
      </c>
      <c r="T326">
        <v>0</v>
      </c>
      <c r="U326" t="s">
        <v>2807</v>
      </c>
      <c r="W326" t="s">
        <v>4215</v>
      </c>
      <c r="X326">
        <v>45500</v>
      </c>
      <c r="Y326">
        <v>41363.636363636302</v>
      </c>
      <c r="Z326" s="26">
        <v>46059</v>
      </c>
    </row>
    <row r="327" spans="1:26" x14ac:dyDescent="0.3">
      <c r="A327" s="50">
        <v>46058.727083333331</v>
      </c>
      <c r="B327">
        <v>2.02602051723488E+18</v>
      </c>
      <c r="C327" t="s">
        <v>4216</v>
      </c>
      <c r="D327" t="s">
        <v>4217</v>
      </c>
      <c r="E327" t="s">
        <v>4217</v>
      </c>
      <c r="F327" t="s">
        <v>4218</v>
      </c>
      <c r="G327" t="s">
        <v>4219</v>
      </c>
      <c r="H327" t="s">
        <v>4219</v>
      </c>
      <c r="I327">
        <v>58307</v>
      </c>
      <c r="J327" t="s">
        <v>4220</v>
      </c>
      <c r="K327" t="s">
        <v>4220</v>
      </c>
      <c r="L327" t="s">
        <v>2804</v>
      </c>
      <c r="M327" t="s">
        <v>2805</v>
      </c>
      <c r="N327">
        <v>54363</v>
      </c>
      <c r="O327">
        <v>45500</v>
      </c>
      <c r="P327">
        <v>1</v>
      </c>
      <c r="Q327">
        <v>0</v>
      </c>
      <c r="R327" t="s">
        <v>3563</v>
      </c>
      <c r="S327">
        <v>143790</v>
      </c>
      <c r="T327">
        <v>0</v>
      </c>
      <c r="U327" t="s">
        <v>2807</v>
      </c>
      <c r="W327" t="s">
        <v>4221</v>
      </c>
      <c r="X327">
        <v>45500</v>
      </c>
      <c r="Y327">
        <v>41363.636363636302</v>
      </c>
      <c r="Z327" s="26">
        <v>46059</v>
      </c>
    </row>
    <row r="328" spans="1:26" x14ac:dyDescent="0.3">
      <c r="A328" s="50">
        <v>46058.729085648149</v>
      </c>
      <c r="B328">
        <v>2.0260205172907699E+18</v>
      </c>
      <c r="C328" t="s">
        <v>4222</v>
      </c>
      <c r="D328" t="s">
        <v>4223</v>
      </c>
      <c r="E328" t="s">
        <v>4223</v>
      </c>
      <c r="F328" t="s">
        <v>4222</v>
      </c>
      <c r="G328" t="s">
        <v>4223</v>
      </c>
      <c r="H328" t="s">
        <v>4223</v>
      </c>
      <c r="I328">
        <v>14238</v>
      </c>
      <c r="J328" t="s">
        <v>4224</v>
      </c>
      <c r="K328" t="s">
        <v>4224</v>
      </c>
      <c r="L328" t="s">
        <v>2804</v>
      </c>
      <c r="M328" t="s">
        <v>2805</v>
      </c>
      <c r="N328">
        <v>54363</v>
      </c>
      <c r="O328">
        <v>45500</v>
      </c>
      <c r="P328">
        <v>1</v>
      </c>
      <c r="Q328">
        <v>0</v>
      </c>
      <c r="S328">
        <v>143790</v>
      </c>
      <c r="T328">
        <v>0</v>
      </c>
      <c r="U328" t="s">
        <v>2807</v>
      </c>
      <c r="W328" t="s">
        <v>4225</v>
      </c>
      <c r="X328">
        <v>45500</v>
      </c>
      <c r="Y328">
        <v>41363.636363636302</v>
      </c>
      <c r="Z328" s="26">
        <v>46059</v>
      </c>
    </row>
    <row r="329" spans="1:26" x14ac:dyDescent="0.3">
      <c r="A329" s="50">
        <v>46058.729490740741</v>
      </c>
      <c r="B329">
        <v>2.0260205172837299E+18</v>
      </c>
      <c r="C329" t="s">
        <v>4226</v>
      </c>
      <c r="D329" t="s">
        <v>4227</v>
      </c>
      <c r="E329" t="s">
        <v>4227</v>
      </c>
      <c r="F329" t="s">
        <v>4226</v>
      </c>
      <c r="G329" t="s">
        <v>4227</v>
      </c>
      <c r="H329" t="s">
        <v>4227</v>
      </c>
      <c r="I329">
        <v>63322</v>
      </c>
      <c r="J329" t="s">
        <v>4228</v>
      </c>
      <c r="K329" t="s">
        <v>4228</v>
      </c>
      <c r="L329" t="s">
        <v>2804</v>
      </c>
      <c r="M329" t="s">
        <v>2805</v>
      </c>
      <c r="N329">
        <v>54363</v>
      </c>
      <c r="O329">
        <v>45500</v>
      </c>
      <c r="P329">
        <v>1</v>
      </c>
      <c r="Q329">
        <v>0</v>
      </c>
      <c r="S329">
        <v>143790</v>
      </c>
      <c r="T329">
        <v>0</v>
      </c>
      <c r="U329" t="s">
        <v>2807</v>
      </c>
      <c r="W329" t="s">
        <v>4229</v>
      </c>
      <c r="X329">
        <v>45500</v>
      </c>
      <c r="Y329">
        <v>41363.636363636302</v>
      </c>
      <c r="Z329" s="26">
        <v>46059</v>
      </c>
    </row>
    <row r="330" spans="1:26" x14ac:dyDescent="0.3">
      <c r="A330" s="50">
        <v>46058.738368055558</v>
      </c>
      <c r="B330">
        <v>2.02602051741442E+18</v>
      </c>
      <c r="C330" t="s">
        <v>4230</v>
      </c>
      <c r="D330" t="s">
        <v>4231</v>
      </c>
      <c r="E330" t="s">
        <v>4231</v>
      </c>
      <c r="F330" t="s">
        <v>4230</v>
      </c>
      <c r="G330" t="s">
        <v>4231</v>
      </c>
      <c r="H330" t="s">
        <v>4231</v>
      </c>
      <c r="I330">
        <v>16928</v>
      </c>
      <c r="J330" t="s">
        <v>4232</v>
      </c>
      <c r="K330" t="s">
        <v>4232</v>
      </c>
      <c r="L330" t="s">
        <v>2804</v>
      </c>
      <c r="M330" t="s">
        <v>2805</v>
      </c>
      <c r="N330">
        <v>54363</v>
      </c>
      <c r="O330">
        <v>45500</v>
      </c>
      <c r="P330">
        <v>1</v>
      </c>
      <c r="Q330">
        <v>0</v>
      </c>
      <c r="S330">
        <v>143790</v>
      </c>
      <c r="T330">
        <v>0</v>
      </c>
      <c r="U330" t="s">
        <v>2807</v>
      </c>
      <c r="W330" t="s">
        <v>4233</v>
      </c>
      <c r="X330">
        <v>45500</v>
      </c>
      <c r="Y330">
        <v>41363.636363636302</v>
      </c>
      <c r="Z330" s="26">
        <v>46059</v>
      </c>
    </row>
    <row r="331" spans="1:26" x14ac:dyDescent="0.3">
      <c r="A331" s="50">
        <v>46058.740810185183</v>
      </c>
      <c r="B331">
        <v>2.02602051741314E+18</v>
      </c>
      <c r="C331" t="s">
        <v>4234</v>
      </c>
      <c r="D331" t="s">
        <v>4235</v>
      </c>
      <c r="E331" t="s">
        <v>4235</v>
      </c>
      <c r="F331" t="s">
        <v>4236</v>
      </c>
      <c r="G331" t="s">
        <v>4237</v>
      </c>
      <c r="H331" t="s">
        <v>4237</v>
      </c>
      <c r="I331">
        <v>16217</v>
      </c>
      <c r="J331" t="s">
        <v>4238</v>
      </c>
      <c r="K331" t="s">
        <v>4238</v>
      </c>
      <c r="L331" t="s">
        <v>2804</v>
      </c>
      <c r="M331" t="s">
        <v>2805</v>
      </c>
      <c r="N331">
        <v>54363</v>
      </c>
      <c r="O331">
        <v>45500</v>
      </c>
      <c r="P331">
        <v>1</v>
      </c>
      <c r="Q331">
        <v>0</v>
      </c>
      <c r="S331">
        <v>143790</v>
      </c>
      <c r="T331">
        <v>0</v>
      </c>
      <c r="U331" t="s">
        <v>2807</v>
      </c>
      <c r="W331" t="s">
        <v>4239</v>
      </c>
      <c r="X331">
        <v>45500</v>
      </c>
      <c r="Y331">
        <v>41363.636363636302</v>
      </c>
      <c r="Z331" s="26">
        <v>46059</v>
      </c>
    </row>
    <row r="332" spans="1:26" x14ac:dyDescent="0.3">
      <c r="A332" s="50">
        <v>46058.747916666667</v>
      </c>
      <c r="B332">
        <v>2.02602051755454E+18</v>
      </c>
      <c r="C332" t="s">
        <v>4240</v>
      </c>
      <c r="D332" t="s">
        <v>4241</v>
      </c>
      <c r="E332" t="s">
        <v>4241</v>
      </c>
      <c r="F332" t="s">
        <v>4240</v>
      </c>
      <c r="G332" t="s">
        <v>4241</v>
      </c>
      <c r="H332" t="s">
        <v>4241</v>
      </c>
      <c r="I332">
        <v>42732</v>
      </c>
      <c r="J332" t="s">
        <v>4242</v>
      </c>
      <c r="K332" t="s">
        <v>4242</v>
      </c>
      <c r="L332" t="s">
        <v>2804</v>
      </c>
      <c r="M332" t="s">
        <v>2805</v>
      </c>
      <c r="N332">
        <v>54363</v>
      </c>
      <c r="O332">
        <v>45500</v>
      </c>
      <c r="P332">
        <v>1</v>
      </c>
      <c r="Q332">
        <v>0</v>
      </c>
      <c r="S332">
        <v>143790</v>
      </c>
      <c r="T332">
        <v>0</v>
      </c>
      <c r="U332" t="s">
        <v>2807</v>
      </c>
      <c r="W332" t="s">
        <v>4243</v>
      </c>
      <c r="X332">
        <v>45500</v>
      </c>
      <c r="Y332">
        <v>41363.636363636302</v>
      </c>
      <c r="Z332" s="26">
        <v>46059</v>
      </c>
    </row>
    <row r="333" spans="1:26" x14ac:dyDescent="0.3">
      <c r="A333" s="50">
        <v>46058.760104166664</v>
      </c>
      <c r="B333">
        <v>2.02602051812176E+18</v>
      </c>
      <c r="C333" t="s">
        <v>4244</v>
      </c>
      <c r="D333" t="s">
        <v>4245</v>
      </c>
      <c r="E333" t="s">
        <v>4245</v>
      </c>
      <c r="F333" t="s">
        <v>4244</v>
      </c>
      <c r="G333" t="s">
        <v>4245</v>
      </c>
      <c r="H333" t="s">
        <v>4245</v>
      </c>
      <c r="I333">
        <v>61685</v>
      </c>
      <c r="J333" t="s">
        <v>4246</v>
      </c>
      <c r="K333" t="s">
        <v>4246</v>
      </c>
      <c r="L333" t="s">
        <v>2804</v>
      </c>
      <c r="M333" t="s">
        <v>2805</v>
      </c>
      <c r="N333">
        <v>108726</v>
      </c>
      <c r="O333">
        <v>45500</v>
      </c>
      <c r="P333">
        <v>2</v>
      </c>
      <c r="Q333">
        <v>0</v>
      </c>
      <c r="S333">
        <v>143790</v>
      </c>
      <c r="T333">
        <v>0</v>
      </c>
      <c r="U333" t="s">
        <v>2807</v>
      </c>
      <c r="W333" t="s">
        <v>4247</v>
      </c>
      <c r="X333">
        <v>91000</v>
      </c>
      <c r="Y333">
        <v>82727.272727272706</v>
      </c>
      <c r="Z333" s="26">
        <v>46059</v>
      </c>
    </row>
    <row r="334" spans="1:26" x14ac:dyDescent="0.3">
      <c r="A334" s="50">
        <v>46058.768125000002</v>
      </c>
      <c r="B334">
        <v>2.02602051822509E+18</v>
      </c>
      <c r="C334" t="s">
        <v>4248</v>
      </c>
      <c r="D334" t="s">
        <v>4249</v>
      </c>
      <c r="E334" t="s">
        <v>4249</v>
      </c>
      <c r="F334" t="s">
        <v>4248</v>
      </c>
      <c r="G334" t="s">
        <v>4249</v>
      </c>
      <c r="H334" t="s">
        <v>4249</v>
      </c>
      <c r="I334">
        <v>63132</v>
      </c>
      <c r="J334" t="s">
        <v>4250</v>
      </c>
      <c r="K334" t="s">
        <v>4250</v>
      </c>
      <c r="L334" t="s">
        <v>2804</v>
      </c>
      <c r="M334" t="s">
        <v>2805</v>
      </c>
      <c r="N334">
        <v>54363</v>
      </c>
      <c r="O334">
        <v>45500</v>
      </c>
      <c r="P334">
        <v>1</v>
      </c>
      <c r="Q334">
        <v>0</v>
      </c>
      <c r="S334">
        <v>143790</v>
      </c>
      <c r="T334">
        <v>0</v>
      </c>
      <c r="U334" t="s">
        <v>2807</v>
      </c>
      <c r="W334" t="s">
        <v>4251</v>
      </c>
      <c r="X334">
        <v>45500</v>
      </c>
      <c r="Y334">
        <v>41363.636363636302</v>
      </c>
      <c r="Z334" s="26">
        <v>46059</v>
      </c>
    </row>
    <row r="335" spans="1:26" x14ac:dyDescent="0.3">
      <c r="A335" s="50">
        <v>46058.768993055557</v>
      </c>
      <c r="B335">
        <v>2.0260205182641201E+18</v>
      </c>
      <c r="C335" t="s">
        <v>4252</v>
      </c>
      <c r="D335" t="s">
        <v>4253</v>
      </c>
      <c r="E335" t="s">
        <v>4253</v>
      </c>
      <c r="F335" t="s">
        <v>4252</v>
      </c>
      <c r="G335" t="s">
        <v>4253</v>
      </c>
      <c r="H335" t="s">
        <v>4253</v>
      </c>
      <c r="I335">
        <v>11776</v>
      </c>
      <c r="J335" t="s">
        <v>4254</v>
      </c>
      <c r="K335" t="s">
        <v>4254</v>
      </c>
      <c r="L335" t="s">
        <v>2804</v>
      </c>
      <c r="M335" t="s">
        <v>2805</v>
      </c>
      <c r="N335">
        <v>54363</v>
      </c>
      <c r="O335">
        <v>45500</v>
      </c>
      <c r="P335">
        <v>1</v>
      </c>
      <c r="Q335">
        <v>0</v>
      </c>
      <c r="S335">
        <v>143790</v>
      </c>
      <c r="T335">
        <v>0</v>
      </c>
      <c r="U335" t="s">
        <v>2807</v>
      </c>
      <c r="W335" t="s">
        <v>4255</v>
      </c>
      <c r="X335">
        <v>45500</v>
      </c>
      <c r="Y335">
        <v>41363.636363636302</v>
      </c>
      <c r="Z335" s="26">
        <v>46059</v>
      </c>
    </row>
    <row r="336" spans="1:26" x14ac:dyDescent="0.3">
      <c r="A336" s="50">
        <v>46058.778182870374</v>
      </c>
      <c r="B336">
        <v>2.02602051839585E+18</v>
      </c>
      <c r="C336" t="s">
        <v>4256</v>
      </c>
      <c r="D336" t="s">
        <v>4257</v>
      </c>
      <c r="E336" t="s">
        <v>4257</v>
      </c>
      <c r="F336" t="s">
        <v>4256</v>
      </c>
      <c r="G336" t="s">
        <v>4257</v>
      </c>
      <c r="H336" t="s">
        <v>4257</v>
      </c>
      <c r="I336">
        <v>14743</v>
      </c>
      <c r="J336" t="s">
        <v>4258</v>
      </c>
      <c r="K336" t="s">
        <v>4258</v>
      </c>
      <c r="L336" t="s">
        <v>2804</v>
      </c>
      <c r="M336" t="s">
        <v>2805</v>
      </c>
      <c r="N336">
        <v>54363</v>
      </c>
      <c r="O336">
        <v>45500</v>
      </c>
      <c r="P336">
        <v>1</v>
      </c>
      <c r="Q336">
        <v>0</v>
      </c>
      <c r="R336" t="s">
        <v>4259</v>
      </c>
      <c r="S336">
        <v>143790</v>
      </c>
      <c r="T336">
        <v>0</v>
      </c>
      <c r="U336" t="s">
        <v>2807</v>
      </c>
      <c r="W336" t="s">
        <v>4260</v>
      </c>
      <c r="X336">
        <v>45500</v>
      </c>
      <c r="Y336">
        <v>41363.636363636302</v>
      </c>
      <c r="Z336" s="26">
        <v>46059</v>
      </c>
    </row>
    <row r="337" spans="1:26" x14ac:dyDescent="0.3">
      <c r="A337" s="50">
        <v>46058.783796296295</v>
      </c>
      <c r="B337">
        <v>2.0260205184803999E+18</v>
      </c>
      <c r="C337" t="s">
        <v>4261</v>
      </c>
      <c r="D337" t="s">
        <v>4262</v>
      </c>
      <c r="E337" t="s">
        <v>4262</v>
      </c>
      <c r="F337" t="s">
        <v>4261</v>
      </c>
      <c r="G337" t="s">
        <v>4262</v>
      </c>
      <c r="H337" t="s">
        <v>4262</v>
      </c>
      <c r="I337">
        <v>10068</v>
      </c>
      <c r="J337" t="s">
        <v>4263</v>
      </c>
      <c r="K337" t="s">
        <v>4263</v>
      </c>
      <c r="L337" t="s">
        <v>2804</v>
      </c>
      <c r="M337" t="s">
        <v>2805</v>
      </c>
      <c r="N337">
        <v>54363</v>
      </c>
      <c r="O337">
        <v>45500</v>
      </c>
      <c r="P337">
        <v>1</v>
      </c>
      <c r="Q337">
        <v>0</v>
      </c>
      <c r="S337">
        <v>143790</v>
      </c>
      <c r="T337">
        <v>0</v>
      </c>
      <c r="U337" t="s">
        <v>2807</v>
      </c>
      <c r="W337" t="s">
        <v>4264</v>
      </c>
      <c r="X337">
        <v>45500</v>
      </c>
      <c r="Y337">
        <v>41363.636363636302</v>
      </c>
      <c r="Z337" s="26">
        <v>46059</v>
      </c>
    </row>
    <row r="338" spans="1:26" x14ac:dyDescent="0.3">
      <c r="A338" s="50">
        <v>46058.783865740741</v>
      </c>
      <c r="B338">
        <v>2.0260205184725601E+18</v>
      </c>
      <c r="C338" t="s">
        <v>4265</v>
      </c>
      <c r="D338" t="s">
        <v>4266</v>
      </c>
      <c r="E338" t="s">
        <v>4266</v>
      </c>
      <c r="F338" t="s">
        <v>4265</v>
      </c>
      <c r="G338" t="s">
        <v>4266</v>
      </c>
      <c r="H338" t="s">
        <v>4266</v>
      </c>
      <c r="I338">
        <v>1468</v>
      </c>
      <c r="J338" t="s">
        <v>4267</v>
      </c>
      <c r="K338" t="s">
        <v>4267</v>
      </c>
      <c r="L338" t="s">
        <v>2804</v>
      </c>
      <c r="M338" t="s">
        <v>2805</v>
      </c>
      <c r="N338">
        <v>54363</v>
      </c>
      <c r="O338">
        <v>45500</v>
      </c>
      <c r="P338">
        <v>1</v>
      </c>
      <c r="Q338">
        <v>0</v>
      </c>
      <c r="S338">
        <v>143790</v>
      </c>
      <c r="T338">
        <v>0</v>
      </c>
      <c r="U338" t="s">
        <v>2807</v>
      </c>
      <c r="W338" t="s">
        <v>4268</v>
      </c>
      <c r="X338">
        <v>45500</v>
      </c>
      <c r="Y338">
        <v>41363.636363636302</v>
      </c>
      <c r="Z338" s="26">
        <v>46059</v>
      </c>
    </row>
    <row r="339" spans="1:26" x14ac:dyDescent="0.3">
      <c r="A339" s="50">
        <v>46058.804525462961</v>
      </c>
      <c r="B339">
        <v>2.0260205191721201E+18</v>
      </c>
      <c r="C339" t="s">
        <v>4269</v>
      </c>
      <c r="D339" t="s">
        <v>4270</v>
      </c>
      <c r="E339" t="s">
        <v>4270</v>
      </c>
      <c r="F339" t="s">
        <v>4269</v>
      </c>
      <c r="G339" t="s">
        <v>4270</v>
      </c>
      <c r="H339" t="s">
        <v>4270</v>
      </c>
      <c r="I339">
        <v>14244</v>
      </c>
      <c r="J339" t="s">
        <v>4271</v>
      </c>
      <c r="K339" t="s">
        <v>4271</v>
      </c>
      <c r="L339" t="s">
        <v>2804</v>
      </c>
      <c r="M339" t="s">
        <v>2805</v>
      </c>
      <c r="N339">
        <v>54363</v>
      </c>
      <c r="O339">
        <v>45500</v>
      </c>
      <c r="P339">
        <v>1</v>
      </c>
      <c r="Q339">
        <v>0</v>
      </c>
      <c r="S339">
        <v>143790</v>
      </c>
      <c r="T339">
        <v>0</v>
      </c>
      <c r="U339" t="s">
        <v>2807</v>
      </c>
      <c r="W339" t="s">
        <v>4272</v>
      </c>
      <c r="X339">
        <v>45500</v>
      </c>
      <c r="Y339">
        <v>41363.636363636302</v>
      </c>
      <c r="Z339" s="26">
        <v>46059</v>
      </c>
    </row>
    <row r="340" spans="1:26" x14ac:dyDescent="0.3">
      <c r="A340" s="50">
        <v>46058.811006944445</v>
      </c>
      <c r="B340">
        <v>2.0260205192512699E+18</v>
      </c>
      <c r="C340" t="s">
        <v>4273</v>
      </c>
      <c r="D340" t="s">
        <v>4274</v>
      </c>
      <c r="E340" t="s">
        <v>4274</v>
      </c>
      <c r="F340" t="s">
        <v>4273</v>
      </c>
      <c r="G340" t="s">
        <v>4274</v>
      </c>
      <c r="H340" t="s">
        <v>4274</v>
      </c>
      <c r="I340">
        <v>63308</v>
      </c>
      <c r="J340" t="s">
        <v>4275</v>
      </c>
      <c r="K340" t="s">
        <v>4275</v>
      </c>
      <c r="L340" t="s">
        <v>2804</v>
      </c>
      <c r="M340" t="s">
        <v>2805</v>
      </c>
      <c r="N340">
        <v>54363</v>
      </c>
      <c r="O340">
        <v>45500</v>
      </c>
      <c r="P340">
        <v>1</v>
      </c>
      <c r="Q340">
        <v>0</v>
      </c>
      <c r="S340">
        <v>143790</v>
      </c>
      <c r="T340">
        <v>0</v>
      </c>
      <c r="U340" t="s">
        <v>2807</v>
      </c>
      <c r="W340" t="s">
        <v>4276</v>
      </c>
      <c r="X340">
        <v>45500</v>
      </c>
      <c r="Y340">
        <v>41363.636363636302</v>
      </c>
      <c r="Z340" s="26">
        <v>46059</v>
      </c>
    </row>
    <row r="341" spans="1:26" x14ac:dyDescent="0.3">
      <c r="A341" s="50">
        <v>46058.826180555552</v>
      </c>
      <c r="B341">
        <v>2.02602051948494E+18</v>
      </c>
      <c r="C341" t="s">
        <v>4277</v>
      </c>
      <c r="D341" t="s">
        <v>4278</v>
      </c>
      <c r="E341" t="s">
        <v>4278</v>
      </c>
      <c r="F341" t="s">
        <v>4277</v>
      </c>
      <c r="G341" t="s">
        <v>4278</v>
      </c>
      <c r="H341" t="s">
        <v>4278</v>
      </c>
      <c r="I341">
        <v>4588</v>
      </c>
      <c r="J341" t="s">
        <v>4279</v>
      </c>
      <c r="K341" t="s">
        <v>4279</v>
      </c>
      <c r="L341" t="s">
        <v>2804</v>
      </c>
      <c r="M341" t="s">
        <v>2805</v>
      </c>
      <c r="N341">
        <v>54363</v>
      </c>
      <c r="O341">
        <v>45500</v>
      </c>
      <c r="P341">
        <v>1</v>
      </c>
      <c r="Q341">
        <v>0</v>
      </c>
      <c r="R341" t="s">
        <v>4280</v>
      </c>
      <c r="S341">
        <v>143790</v>
      </c>
      <c r="T341">
        <v>0</v>
      </c>
      <c r="U341" t="s">
        <v>2807</v>
      </c>
      <c r="W341" t="s">
        <v>4281</v>
      </c>
      <c r="X341">
        <v>45500</v>
      </c>
      <c r="Y341">
        <v>41363.636363636302</v>
      </c>
      <c r="Z341" s="26">
        <v>46059</v>
      </c>
    </row>
    <row r="342" spans="1:26" x14ac:dyDescent="0.3">
      <c r="A342" s="50">
        <v>46058.828090277777</v>
      </c>
      <c r="B342">
        <v>2.0260205194933E+18</v>
      </c>
      <c r="C342" t="s">
        <v>4282</v>
      </c>
      <c r="D342" t="s">
        <v>4283</v>
      </c>
      <c r="E342" t="s">
        <v>4283</v>
      </c>
      <c r="F342" t="s">
        <v>4282</v>
      </c>
      <c r="G342" t="s">
        <v>4283</v>
      </c>
      <c r="H342" t="s">
        <v>4283</v>
      </c>
      <c r="I342">
        <v>42928</v>
      </c>
      <c r="J342" t="s">
        <v>4284</v>
      </c>
      <c r="K342" t="s">
        <v>4284</v>
      </c>
      <c r="L342" t="s">
        <v>2804</v>
      </c>
      <c r="M342" t="s">
        <v>2805</v>
      </c>
      <c r="N342">
        <v>54363</v>
      </c>
      <c r="O342">
        <v>45500</v>
      </c>
      <c r="P342">
        <v>1</v>
      </c>
      <c r="Q342">
        <v>0</v>
      </c>
      <c r="S342">
        <v>143790</v>
      </c>
      <c r="T342">
        <v>0</v>
      </c>
      <c r="U342" t="s">
        <v>2807</v>
      </c>
      <c r="W342" t="s">
        <v>4285</v>
      </c>
      <c r="X342">
        <v>45500</v>
      </c>
      <c r="Y342">
        <v>41363.636363636302</v>
      </c>
      <c r="Z342" s="26">
        <v>46059</v>
      </c>
    </row>
    <row r="343" spans="1:26" x14ac:dyDescent="0.3">
      <c r="A343" s="50">
        <v>46058.838055555556</v>
      </c>
      <c r="B343">
        <v>2.02602052005026E+18</v>
      </c>
      <c r="C343" t="s">
        <v>4286</v>
      </c>
      <c r="D343" t="s">
        <v>4287</v>
      </c>
      <c r="E343" t="s">
        <v>4287</v>
      </c>
      <c r="F343" t="s">
        <v>4288</v>
      </c>
      <c r="G343" t="s">
        <v>4289</v>
      </c>
      <c r="H343" t="s">
        <v>4289</v>
      </c>
      <c r="I343">
        <v>35355</v>
      </c>
      <c r="J343" t="s">
        <v>4290</v>
      </c>
      <c r="K343" t="s">
        <v>4290</v>
      </c>
      <c r="L343" t="s">
        <v>2804</v>
      </c>
      <c r="M343" t="s">
        <v>2805</v>
      </c>
      <c r="N343">
        <v>54363</v>
      </c>
      <c r="O343">
        <v>45500</v>
      </c>
      <c r="P343">
        <v>1</v>
      </c>
      <c r="Q343">
        <v>0</v>
      </c>
      <c r="S343">
        <v>143790</v>
      </c>
      <c r="T343">
        <v>0</v>
      </c>
      <c r="U343" t="s">
        <v>2807</v>
      </c>
      <c r="W343" t="s">
        <v>4291</v>
      </c>
      <c r="X343">
        <v>45500</v>
      </c>
      <c r="Y343">
        <v>41363.636363636302</v>
      </c>
      <c r="Z343" s="26">
        <v>46059</v>
      </c>
    </row>
    <row r="344" spans="1:26" x14ac:dyDescent="0.3">
      <c r="A344" s="50">
        <v>46058.853715277779</v>
      </c>
      <c r="B344">
        <v>2.0260205202722299E+18</v>
      </c>
      <c r="C344" t="s">
        <v>4292</v>
      </c>
      <c r="D344" t="s">
        <v>4293</v>
      </c>
      <c r="E344" t="s">
        <v>4293</v>
      </c>
      <c r="F344" t="s">
        <v>4292</v>
      </c>
      <c r="G344" t="s">
        <v>4293</v>
      </c>
      <c r="H344" t="s">
        <v>4293</v>
      </c>
      <c r="I344">
        <v>8760</v>
      </c>
      <c r="J344" t="s">
        <v>4294</v>
      </c>
      <c r="K344" t="s">
        <v>4294</v>
      </c>
      <c r="L344" t="s">
        <v>2804</v>
      </c>
      <c r="M344" t="s">
        <v>2805</v>
      </c>
      <c r="N344">
        <v>54363</v>
      </c>
      <c r="O344">
        <v>45500</v>
      </c>
      <c r="P344">
        <v>1</v>
      </c>
      <c r="Q344">
        <v>0</v>
      </c>
      <c r="R344" t="s">
        <v>4295</v>
      </c>
      <c r="S344">
        <v>143790</v>
      </c>
      <c r="T344">
        <v>0</v>
      </c>
      <c r="U344" t="s">
        <v>2807</v>
      </c>
      <c r="W344" t="s">
        <v>4296</v>
      </c>
      <c r="X344">
        <v>45500</v>
      </c>
      <c r="Y344">
        <v>41363.636363636302</v>
      </c>
      <c r="Z344" s="26">
        <v>46059</v>
      </c>
    </row>
    <row r="345" spans="1:26" x14ac:dyDescent="0.3">
      <c r="A345" s="50">
        <v>46058.856724537036</v>
      </c>
      <c r="B345">
        <v>2.0260205203103401E+18</v>
      </c>
      <c r="C345" t="s">
        <v>4297</v>
      </c>
      <c r="D345" t="s">
        <v>4298</v>
      </c>
      <c r="E345" t="s">
        <v>4298</v>
      </c>
      <c r="F345" t="s">
        <v>4297</v>
      </c>
      <c r="G345" t="s">
        <v>4298</v>
      </c>
      <c r="H345" t="s">
        <v>4298</v>
      </c>
      <c r="I345">
        <v>5813</v>
      </c>
      <c r="J345" t="s">
        <v>4299</v>
      </c>
      <c r="K345" t="s">
        <v>4299</v>
      </c>
      <c r="L345" t="s">
        <v>2804</v>
      </c>
      <c r="M345" t="s">
        <v>2805</v>
      </c>
      <c r="N345">
        <v>54363</v>
      </c>
      <c r="O345">
        <v>45500</v>
      </c>
      <c r="P345">
        <v>1</v>
      </c>
      <c r="Q345">
        <v>0</v>
      </c>
      <c r="S345">
        <v>143790</v>
      </c>
      <c r="T345">
        <v>0</v>
      </c>
      <c r="U345" t="s">
        <v>2807</v>
      </c>
      <c r="W345" t="s">
        <v>4300</v>
      </c>
      <c r="X345">
        <v>45500</v>
      </c>
      <c r="Y345">
        <v>41363.636363636302</v>
      </c>
      <c r="Z345" s="26">
        <v>46059</v>
      </c>
    </row>
    <row r="346" spans="1:26" x14ac:dyDescent="0.3">
      <c r="A346" s="50">
        <v>46058.879710648151</v>
      </c>
      <c r="B346">
        <v>2.02602052104035E+18</v>
      </c>
      <c r="C346" t="s">
        <v>4301</v>
      </c>
      <c r="D346" t="s">
        <v>4302</v>
      </c>
      <c r="E346" t="s">
        <v>4302</v>
      </c>
      <c r="F346" t="s">
        <v>4301</v>
      </c>
      <c r="G346" t="s">
        <v>4302</v>
      </c>
      <c r="H346" t="s">
        <v>4302</v>
      </c>
      <c r="I346">
        <v>30152</v>
      </c>
      <c r="J346" t="s">
        <v>4303</v>
      </c>
      <c r="K346" t="s">
        <v>4303</v>
      </c>
      <c r="L346" t="s">
        <v>2804</v>
      </c>
      <c r="M346" t="s">
        <v>2805</v>
      </c>
      <c r="N346">
        <v>54363</v>
      </c>
      <c r="O346">
        <v>45500</v>
      </c>
      <c r="P346">
        <v>1</v>
      </c>
      <c r="Q346">
        <v>0</v>
      </c>
      <c r="R346" t="s">
        <v>4304</v>
      </c>
      <c r="S346">
        <v>143790</v>
      </c>
      <c r="T346">
        <v>0</v>
      </c>
      <c r="U346" t="s">
        <v>2807</v>
      </c>
      <c r="W346" t="s">
        <v>4305</v>
      </c>
      <c r="X346">
        <v>45500</v>
      </c>
      <c r="Y346">
        <v>41363.636363636302</v>
      </c>
      <c r="Z346" s="26">
        <v>46059</v>
      </c>
    </row>
    <row r="347" spans="1:26" x14ac:dyDescent="0.3">
      <c r="A347" s="50">
        <v>46058.887523148151</v>
      </c>
      <c r="B347">
        <v>2.02602052116275E+18</v>
      </c>
      <c r="C347" t="s">
        <v>4306</v>
      </c>
      <c r="D347" t="s">
        <v>4307</v>
      </c>
      <c r="E347" t="s">
        <v>4307</v>
      </c>
      <c r="F347" t="s">
        <v>4308</v>
      </c>
      <c r="G347" t="s">
        <v>4309</v>
      </c>
      <c r="H347" t="s">
        <v>4309</v>
      </c>
      <c r="I347">
        <v>59549</v>
      </c>
      <c r="J347" t="s">
        <v>4310</v>
      </c>
      <c r="K347" t="s">
        <v>4310</v>
      </c>
      <c r="L347" t="s">
        <v>2804</v>
      </c>
      <c r="M347" t="s">
        <v>2805</v>
      </c>
      <c r="N347">
        <v>54363</v>
      </c>
      <c r="O347">
        <v>45500</v>
      </c>
      <c r="P347">
        <v>1</v>
      </c>
      <c r="Q347">
        <v>0</v>
      </c>
      <c r="S347">
        <v>143790</v>
      </c>
      <c r="T347">
        <v>0</v>
      </c>
      <c r="U347" t="s">
        <v>2807</v>
      </c>
      <c r="W347" t="s">
        <v>4311</v>
      </c>
      <c r="X347">
        <v>45500</v>
      </c>
      <c r="Y347">
        <v>41363.636363636302</v>
      </c>
      <c r="Z347" s="26">
        <v>46059</v>
      </c>
    </row>
    <row r="348" spans="1:26" x14ac:dyDescent="0.3">
      <c r="A348" s="50">
        <v>46058.888541666667</v>
      </c>
      <c r="B348">
        <v>2.02602052118323E+18</v>
      </c>
      <c r="C348" t="s">
        <v>4312</v>
      </c>
      <c r="D348" t="s">
        <v>4307</v>
      </c>
      <c r="E348" t="s">
        <v>4307</v>
      </c>
      <c r="F348" t="s">
        <v>4306</v>
      </c>
      <c r="G348" t="s">
        <v>4307</v>
      </c>
      <c r="H348" t="s">
        <v>4307</v>
      </c>
      <c r="I348">
        <v>8018</v>
      </c>
      <c r="J348" t="s">
        <v>4313</v>
      </c>
      <c r="K348" t="s">
        <v>4313</v>
      </c>
      <c r="L348" t="s">
        <v>2804</v>
      </c>
      <c r="M348" t="s">
        <v>2805</v>
      </c>
      <c r="N348">
        <v>54363</v>
      </c>
      <c r="O348">
        <v>45500</v>
      </c>
      <c r="P348">
        <v>1</v>
      </c>
      <c r="Q348">
        <v>0</v>
      </c>
      <c r="S348">
        <v>143790</v>
      </c>
      <c r="T348">
        <v>0</v>
      </c>
      <c r="U348" t="s">
        <v>2807</v>
      </c>
      <c r="W348" t="s">
        <v>4314</v>
      </c>
      <c r="X348">
        <v>45500</v>
      </c>
      <c r="Y348">
        <v>41363.636363636302</v>
      </c>
      <c r="Z348" s="26">
        <v>46059</v>
      </c>
    </row>
    <row r="349" spans="1:26" x14ac:dyDescent="0.3">
      <c r="A349" s="50">
        <v>46058.932280092595</v>
      </c>
      <c r="B349">
        <v>2.02602052220545E+18</v>
      </c>
      <c r="C349" t="s">
        <v>4315</v>
      </c>
      <c r="D349" t="s">
        <v>4316</v>
      </c>
      <c r="E349" t="s">
        <v>4316</v>
      </c>
      <c r="F349" t="s">
        <v>4315</v>
      </c>
      <c r="G349" t="s">
        <v>4316</v>
      </c>
      <c r="H349" t="s">
        <v>4316</v>
      </c>
      <c r="I349">
        <v>17332</v>
      </c>
      <c r="J349" t="s">
        <v>4317</v>
      </c>
      <c r="K349" t="s">
        <v>4317</v>
      </c>
      <c r="L349" t="s">
        <v>2804</v>
      </c>
      <c r="M349" t="s">
        <v>2805</v>
      </c>
      <c r="N349">
        <v>54363</v>
      </c>
      <c r="O349">
        <v>45500</v>
      </c>
      <c r="P349">
        <v>1</v>
      </c>
      <c r="Q349">
        <v>0</v>
      </c>
      <c r="R349" t="s">
        <v>4318</v>
      </c>
      <c r="S349">
        <v>143790</v>
      </c>
      <c r="T349">
        <v>0</v>
      </c>
      <c r="U349" t="s">
        <v>2807</v>
      </c>
      <c r="W349" t="s">
        <v>4319</v>
      </c>
      <c r="X349">
        <v>45500</v>
      </c>
      <c r="Y349">
        <v>41363.636363636302</v>
      </c>
      <c r="Z349" s="26">
        <v>46059</v>
      </c>
    </row>
    <row r="350" spans="1:26" x14ac:dyDescent="0.3">
      <c r="A350" s="50">
        <v>46058.938900462963</v>
      </c>
      <c r="B350">
        <v>2.0260205223050199E+18</v>
      </c>
      <c r="C350" t="s">
        <v>4320</v>
      </c>
      <c r="D350" t="s">
        <v>4321</v>
      </c>
      <c r="E350" t="s">
        <v>4321</v>
      </c>
      <c r="F350" t="s">
        <v>4320</v>
      </c>
      <c r="G350" t="s">
        <v>4321</v>
      </c>
      <c r="H350" t="s">
        <v>4321</v>
      </c>
      <c r="I350">
        <v>14329</v>
      </c>
      <c r="J350" t="s">
        <v>4322</v>
      </c>
      <c r="K350" t="s">
        <v>4322</v>
      </c>
      <c r="L350" t="s">
        <v>2804</v>
      </c>
      <c r="M350" t="s">
        <v>2805</v>
      </c>
      <c r="N350">
        <v>54363</v>
      </c>
      <c r="O350">
        <v>45500</v>
      </c>
      <c r="P350">
        <v>1</v>
      </c>
      <c r="Q350">
        <v>0</v>
      </c>
      <c r="S350">
        <v>143790</v>
      </c>
      <c r="T350">
        <v>0</v>
      </c>
      <c r="U350" t="s">
        <v>2807</v>
      </c>
      <c r="W350" t="s">
        <v>4323</v>
      </c>
      <c r="X350">
        <v>45500</v>
      </c>
      <c r="Y350">
        <v>41363.636363636302</v>
      </c>
      <c r="Z350" s="26">
        <v>46059</v>
      </c>
    </row>
    <row r="351" spans="1:26" x14ac:dyDescent="0.3">
      <c r="A351" s="50">
        <v>46058.944074074076</v>
      </c>
      <c r="B351">
        <v>2.0260205223744599E+18</v>
      </c>
      <c r="C351" t="s">
        <v>4324</v>
      </c>
      <c r="D351" t="s">
        <v>4325</v>
      </c>
      <c r="E351" t="s">
        <v>4325</v>
      </c>
      <c r="F351" t="s">
        <v>4324</v>
      </c>
      <c r="G351" t="s">
        <v>4325</v>
      </c>
      <c r="H351" t="s">
        <v>4325</v>
      </c>
      <c r="I351">
        <v>16847</v>
      </c>
      <c r="J351" t="s">
        <v>4326</v>
      </c>
      <c r="K351" t="s">
        <v>4326</v>
      </c>
      <c r="L351" t="s">
        <v>2804</v>
      </c>
      <c r="M351" t="s">
        <v>2805</v>
      </c>
      <c r="N351">
        <v>163089</v>
      </c>
      <c r="O351">
        <v>45500</v>
      </c>
      <c r="P351">
        <v>3</v>
      </c>
      <c r="Q351">
        <v>0</v>
      </c>
      <c r="S351">
        <v>143790</v>
      </c>
      <c r="T351">
        <v>0</v>
      </c>
      <c r="U351" t="s">
        <v>2807</v>
      </c>
      <c r="W351" t="s">
        <v>4327</v>
      </c>
      <c r="X351">
        <v>136500</v>
      </c>
      <c r="Y351">
        <v>124090.909090909</v>
      </c>
      <c r="Z351" s="26">
        <v>46059</v>
      </c>
    </row>
    <row r="352" spans="1:26" x14ac:dyDescent="0.3">
      <c r="A352" s="50">
        <v>46058.947905092595</v>
      </c>
      <c r="B352">
        <v>2.0260205224154701E+18</v>
      </c>
      <c r="C352" t="s">
        <v>4328</v>
      </c>
      <c r="D352" t="s">
        <v>4329</v>
      </c>
      <c r="E352" t="s">
        <v>4329</v>
      </c>
      <c r="F352" t="s">
        <v>4328</v>
      </c>
      <c r="G352" t="s">
        <v>4329</v>
      </c>
      <c r="H352" t="s">
        <v>4329</v>
      </c>
      <c r="I352">
        <v>8018</v>
      </c>
      <c r="J352" t="s">
        <v>4330</v>
      </c>
      <c r="K352" t="s">
        <v>4330</v>
      </c>
      <c r="L352" t="s">
        <v>2804</v>
      </c>
      <c r="M352" t="s">
        <v>2805</v>
      </c>
      <c r="N352">
        <v>54363</v>
      </c>
      <c r="O352">
        <v>45500</v>
      </c>
      <c r="P352">
        <v>1</v>
      </c>
      <c r="Q352">
        <v>0</v>
      </c>
      <c r="S352">
        <v>143790</v>
      </c>
      <c r="T352">
        <v>0</v>
      </c>
      <c r="U352" t="s">
        <v>2807</v>
      </c>
      <c r="W352" t="s">
        <v>4331</v>
      </c>
      <c r="X352">
        <v>45500</v>
      </c>
      <c r="Y352">
        <v>41363.636363636302</v>
      </c>
      <c r="Z352" s="26">
        <v>46059</v>
      </c>
    </row>
    <row r="353" spans="1:26" x14ac:dyDescent="0.3">
      <c r="A353" s="50">
        <v>46058.95076388889</v>
      </c>
      <c r="B353">
        <v>2.02602052246541E+18</v>
      </c>
      <c r="C353" t="s">
        <v>4332</v>
      </c>
      <c r="D353" t="s">
        <v>4333</v>
      </c>
      <c r="E353" t="s">
        <v>4333</v>
      </c>
      <c r="F353" t="s">
        <v>4334</v>
      </c>
      <c r="G353" t="s">
        <v>4335</v>
      </c>
      <c r="H353" t="s">
        <v>4335</v>
      </c>
      <c r="I353">
        <v>12276</v>
      </c>
      <c r="J353" t="s">
        <v>4336</v>
      </c>
      <c r="K353" t="s">
        <v>4336</v>
      </c>
      <c r="L353" t="s">
        <v>2804</v>
      </c>
      <c r="M353" t="s">
        <v>2805</v>
      </c>
      <c r="N353">
        <v>54363</v>
      </c>
      <c r="O353">
        <v>45500</v>
      </c>
      <c r="P353">
        <v>1</v>
      </c>
      <c r="Q353">
        <v>0</v>
      </c>
      <c r="S353">
        <v>143790</v>
      </c>
      <c r="T353">
        <v>0</v>
      </c>
      <c r="U353" t="s">
        <v>2807</v>
      </c>
      <c r="W353" t="s">
        <v>4337</v>
      </c>
      <c r="X353">
        <v>45500</v>
      </c>
      <c r="Y353">
        <v>41363.636363636302</v>
      </c>
      <c r="Z353" s="26">
        <v>46059</v>
      </c>
    </row>
    <row r="354" spans="1:26" x14ac:dyDescent="0.3">
      <c r="A354" s="50">
        <v>46058.982627314814</v>
      </c>
      <c r="B354">
        <v>2.0260205233327301E+18</v>
      </c>
      <c r="C354" t="s">
        <v>4338</v>
      </c>
      <c r="D354" t="s">
        <v>4339</v>
      </c>
      <c r="E354" t="s">
        <v>4339</v>
      </c>
      <c r="F354" t="s">
        <v>4338</v>
      </c>
      <c r="G354" t="s">
        <v>4339</v>
      </c>
      <c r="H354" t="s">
        <v>4339</v>
      </c>
      <c r="I354">
        <v>24415</v>
      </c>
      <c r="J354" t="s">
        <v>4340</v>
      </c>
      <c r="K354" t="s">
        <v>4340</v>
      </c>
      <c r="L354" t="s">
        <v>2804</v>
      </c>
      <c r="M354" t="s">
        <v>2805</v>
      </c>
      <c r="N354">
        <v>54363</v>
      </c>
      <c r="O354">
        <v>45500</v>
      </c>
      <c r="P354">
        <v>1</v>
      </c>
      <c r="Q354">
        <v>0</v>
      </c>
      <c r="S354">
        <v>143790</v>
      </c>
      <c r="T354">
        <v>0</v>
      </c>
      <c r="U354" t="s">
        <v>2807</v>
      </c>
      <c r="W354" t="s">
        <v>4341</v>
      </c>
      <c r="X354">
        <v>45500</v>
      </c>
      <c r="Y354">
        <v>41363.636363636302</v>
      </c>
      <c r="Z354" s="26">
        <v>46059</v>
      </c>
    </row>
    <row r="355" spans="1:26" x14ac:dyDescent="0.3">
      <c r="A355" s="50">
        <v>46058.986805555556</v>
      </c>
      <c r="B355">
        <v>2.0260205233828101E+18</v>
      </c>
      <c r="C355" t="s">
        <v>4342</v>
      </c>
      <c r="D355" t="s">
        <v>4343</v>
      </c>
      <c r="E355" t="s">
        <v>4343</v>
      </c>
      <c r="F355" t="s">
        <v>4342</v>
      </c>
      <c r="G355" t="s">
        <v>4343</v>
      </c>
      <c r="H355" t="s">
        <v>4343</v>
      </c>
      <c r="I355">
        <v>34899</v>
      </c>
      <c r="J355" t="s">
        <v>4344</v>
      </c>
      <c r="K355" t="s">
        <v>4344</v>
      </c>
      <c r="L355" t="s">
        <v>2804</v>
      </c>
      <c r="M355" t="s">
        <v>2805</v>
      </c>
      <c r="N355">
        <v>163089</v>
      </c>
      <c r="O355">
        <v>45500</v>
      </c>
      <c r="P355">
        <v>3</v>
      </c>
      <c r="Q355">
        <v>0</v>
      </c>
      <c r="S355">
        <v>143790</v>
      </c>
      <c r="T355">
        <v>0</v>
      </c>
      <c r="U355" t="s">
        <v>2807</v>
      </c>
      <c r="W355" t="s">
        <v>4345</v>
      </c>
      <c r="X355">
        <v>136500</v>
      </c>
      <c r="Y355">
        <v>124090.909090909</v>
      </c>
      <c r="Z355" s="26">
        <v>46059</v>
      </c>
    </row>
    <row r="356" spans="1:26" x14ac:dyDescent="0.3">
      <c r="A356" s="50">
        <v>46058.992349537039</v>
      </c>
      <c r="B356">
        <v>2.02602052347373E+18</v>
      </c>
      <c r="C356" t="s">
        <v>4346</v>
      </c>
      <c r="D356" t="s">
        <v>4347</v>
      </c>
      <c r="E356" t="s">
        <v>4347</v>
      </c>
      <c r="F356" t="s">
        <v>4346</v>
      </c>
      <c r="G356" t="s">
        <v>4347</v>
      </c>
      <c r="H356" t="s">
        <v>4347</v>
      </c>
      <c r="I356">
        <v>31516</v>
      </c>
      <c r="J356" t="s">
        <v>4348</v>
      </c>
      <c r="K356" t="s">
        <v>4348</v>
      </c>
      <c r="L356" t="s">
        <v>2804</v>
      </c>
      <c r="M356" t="s">
        <v>2805</v>
      </c>
      <c r="N356">
        <v>54363</v>
      </c>
      <c r="O356">
        <v>45500</v>
      </c>
      <c r="P356">
        <v>1</v>
      </c>
      <c r="Q356">
        <v>0</v>
      </c>
      <c r="S356">
        <v>143790</v>
      </c>
      <c r="T356">
        <v>0</v>
      </c>
      <c r="U356" t="s">
        <v>2807</v>
      </c>
      <c r="W356" t="s">
        <v>4349</v>
      </c>
      <c r="X356">
        <v>45500</v>
      </c>
      <c r="Y356">
        <v>41363.636363636302</v>
      </c>
      <c r="Z356" s="26">
        <v>46059</v>
      </c>
    </row>
    <row r="357" spans="1:26" x14ac:dyDescent="0.3">
      <c r="A357" s="50">
        <v>46058.993437500001</v>
      </c>
      <c r="B357">
        <v>2.02602052347585E+18</v>
      </c>
      <c r="C357" t="s">
        <v>4350</v>
      </c>
      <c r="D357" t="s">
        <v>4351</v>
      </c>
      <c r="E357" t="s">
        <v>4351</v>
      </c>
      <c r="F357" t="s">
        <v>4350</v>
      </c>
      <c r="G357" t="s">
        <v>4351</v>
      </c>
      <c r="H357" t="s">
        <v>4351</v>
      </c>
      <c r="I357">
        <v>6359</v>
      </c>
      <c r="J357" t="s">
        <v>4352</v>
      </c>
      <c r="K357" t="s">
        <v>4352</v>
      </c>
      <c r="L357" t="s">
        <v>2804</v>
      </c>
      <c r="M357" t="s">
        <v>2805</v>
      </c>
      <c r="N357">
        <v>54363</v>
      </c>
      <c r="O357">
        <v>45500</v>
      </c>
      <c r="P357">
        <v>1</v>
      </c>
      <c r="Q357">
        <v>0</v>
      </c>
      <c r="S357">
        <v>143790</v>
      </c>
      <c r="T357">
        <v>0</v>
      </c>
      <c r="U357" t="s">
        <v>2807</v>
      </c>
      <c r="W357" t="s">
        <v>4353</v>
      </c>
      <c r="X357">
        <v>45500</v>
      </c>
      <c r="Y357">
        <v>41363.636363636302</v>
      </c>
      <c r="Z357" s="26">
        <v>46059</v>
      </c>
    </row>
    <row r="358" spans="1:26" x14ac:dyDescent="0.3">
      <c r="A358" s="50">
        <v>46059.006319444445</v>
      </c>
      <c r="B358">
        <v>2.0260206000805E+18</v>
      </c>
      <c r="C358" t="s">
        <v>4354</v>
      </c>
      <c r="D358" t="s">
        <v>4355</v>
      </c>
      <c r="E358" t="s">
        <v>4355</v>
      </c>
      <c r="F358" t="s">
        <v>4354</v>
      </c>
      <c r="G358" t="s">
        <v>4355</v>
      </c>
      <c r="H358" t="s">
        <v>4355</v>
      </c>
      <c r="I358">
        <v>21038</v>
      </c>
      <c r="J358" t="s">
        <v>4356</v>
      </c>
      <c r="K358" t="s">
        <v>4356</v>
      </c>
      <c r="L358" t="s">
        <v>2804</v>
      </c>
      <c r="M358" t="s">
        <v>2805</v>
      </c>
      <c r="N358">
        <v>54363</v>
      </c>
      <c r="O358">
        <v>45500</v>
      </c>
      <c r="P358">
        <v>1</v>
      </c>
      <c r="Q358">
        <v>0</v>
      </c>
      <c r="S358">
        <v>143790</v>
      </c>
      <c r="T358">
        <v>0</v>
      </c>
      <c r="U358" t="s">
        <v>2807</v>
      </c>
      <c r="W358" t="s">
        <v>4357</v>
      </c>
      <c r="X358">
        <v>45500</v>
      </c>
      <c r="Y358">
        <v>41363.636363636302</v>
      </c>
      <c r="Z358" s="26">
        <v>46059</v>
      </c>
    </row>
    <row r="359" spans="1:26" x14ac:dyDescent="0.3">
      <c r="A359" s="50">
        <v>46059.015451388892</v>
      </c>
      <c r="B359">
        <v>2.0260206001952699E+18</v>
      </c>
      <c r="C359" t="s">
        <v>4358</v>
      </c>
      <c r="D359" t="s">
        <v>4359</v>
      </c>
      <c r="E359" t="s">
        <v>4359</v>
      </c>
      <c r="F359" t="s">
        <v>4358</v>
      </c>
      <c r="G359" t="s">
        <v>4359</v>
      </c>
      <c r="H359" t="s">
        <v>4359</v>
      </c>
      <c r="I359">
        <v>48516</v>
      </c>
      <c r="J359" t="s">
        <v>4360</v>
      </c>
      <c r="K359" t="s">
        <v>4360</v>
      </c>
      <c r="L359" t="s">
        <v>2804</v>
      </c>
      <c r="M359" t="s">
        <v>2805</v>
      </c>
      <c r="N359">
        <v>54363</v>
      </c>
      <c r="O359">
        <v>45500</v>
      </c>
      <c r="P359">
        <v>1</v>
      </c>
      <c r="Q359">
        <v>0</v>
      </c>
      <c r="S359">
        <v>143790</v>
      </c>
      <c r="T359">
        <v>0</v>
      </c>
      <c r="U359" t="s">
        <v>2807</v>
      </c>
      <c r="W359" t="s">
        <v>4361</v>
      </c>
      <c r="X359">
        <v>45500</v>
      </c>
      <c r="Y359">
        <v>41363.636363636302</v>
      </c>
      <c r="Z359" s="26">
        <v>46059</v>
      </c>
    </row>
    <row r="360" spans="1:26" x14ac:dyDescent="0.3">
      <c r="A360" s="50">
        <v>46059.030266203707</v>
      </c>
      <c r="B360">
        <v>2.0260206004243699E+18</v>
      </c>
      <c r="C360" t="s">
        <v>4362</v>
      </c>
      <c r="D360" t="s">
        <v>4363</v>
      </c>
      <c r="E360" t="s">
        <v>4363</v>
      </c>
      <c r="F360" t="s">
        <v>4362</v>
      </c>
      <c r="G360" t="s">
        <v>4363</v>
      </c>
      <c r="H360" t="s">
        <v>4363</v>
      </c>
      <c r="I360">
        <v>34090</v>
      </c>
      <c r="J360" t="s">
        <v>4364</v>
      </c>
      <c r="K360" t="s">
        <v>4364</v>
      </c>
      <c r="L360" t="s">
        <v>2804</v>
      </c>
      <c r="M360" t="s">
        <v>2805</v>
      </c>
      <c r="N360">
        <v>54363</v>
      </c>
      <c r="O360">
        <v>45500</v>
      </c>
      <c r="P360">
        <v>1</v>
      </c>
      <c r="Q360">
        <v>0</v>
      </c>
      <c r="S360">
        <v>143790</v>
      </c>
      <c r="T360">
        <v>0</v>
      </c>
      <c r="U360" t="s">
        <v>2807</v>
      </c>
      <c r="W360" t="s">
        <v>4365</v>
      </c>
      <c r="X360">
        <v>45500</v>
      </c>
      <c r="Y360">
        <v>41363.636363636302</v>
      </c>
      <c r="Z360" s="26">
        <v>46059</v>
      </c>
    </row>
    <row r="361" spans="1:26" x14ac:dyDescent="0.3">
      <c r="A361" s="50">
        <v>46059.059166666666</v>
      </c>
      <c r="B361">
        <v>2.0260206012321201E+18</v>
      </c>
      <c r="C361" t="s">
        <v>4366</v>
      </c>
      <c r="D361" t="s">
        <v>4367</v>
      </c>
      <c r="E361" t="s">
        <v>4367</v>
      </c>
      <c r="F361" t="s">
        <v>4366</v>
      </c>
      <c r="G361" t="s">
        <v>4367</v>
      </c>
      <c r="H361" t="s">
        <v>4367</v>
      </c>
      <c r="I361">
        <v>2159</v>
      </c>
      <c r="J361" t="s">
        <v>4368</v>
      </c>
      <c r="K361" t="s">
        <v>4368</v>
      </c>
      <c r="L361" t="s">
        <v>2804</v>
      </c>
      <c r="M361" t="s">
        <v>2805</v>
      </c>
      <c r="N361">
        <v>54363</v>
      </c>
      <c r="O361">
        <v>45500</v>
      </c>
      <c r="P361">
        <v>1</v>
      </c>
      <c r="Q361">
        <v>0</v>
      </c>
      <c r="S361">
        <v>143790</v>
      </c>
      <c r="T361">
        <v>0</v>
      </c>
      <c r="U361" t="s">
        <v>2807</v>
      </c>
      <c r="W361" t="s">
        <v>4369</v>
      </c>
      <c r="X361">
        <v>45500</v>
      </c>
      <c r="Y361">
        <v>41363.636363636302</v>
      </c>
      <c r="Z361" s="26">
        <v>46059</v>
      </c>
    </row>
    <row r="362" spans="1:26" x14ac:dyDescent="0.3">
      <c r="A362" s="50">
        <v>46059.060520833336</v>
      </c>
      <c r="B362">
        <v>2.0260206012537001E+18</v>
      </c>
      <c r="C362" t="s">
        <v>4366</v>
      </c>
      <c r="D362" t="s">
        <v>4367</v>
      </c>
      <c r="E362" t="s">
        <v>4367</v>
      </c>
      <c r="F362" t="s">
        <v>4366</v>
      </c>
      <c r="G362" t="s">
        <v>4367</v>
      </c>
      <c r="H362" t="s">
        <v>4367</v>
      </c>
      <c r="I362">
        <v>31793</v>
      </c>
      <c r="J362" t="s">
        <v>4370</v>
      </c>
      <c r="K362" t="s">
        <v>4370</v>
      </c>
      <c r="L362" t="s">
        <v>2804</v>
      </c>
      <c r="M362" t="s">
        <v>2805</v>
      </c>
      <c r="N362">
        <v>54363</v>
      </c>
      <c r="O362">
        <v>45500</v>
      </c>
      <c r="P362">
        <v>1</v>
      </c>
      <c r="Q362">
        <v>0</v>
      </c>
      <c r="S362">
        <v>143790</v>
      </c>
      <c r="T362">
        <v>0</v>
      </c>
      <c r="U362" t="s">
        <v>2807</v>
      </c>
      <c r="W362" t="s">
        <v>4371</v>
      </c>
      <c r="X362">
        <v>45500</v>
      </c>
      <c r="Y362">
        <v>41363.636363636302</v>
      </c>
      <c r="Z362" s="26">
        <v>46059</v>
      </c>
    </row>
    <row r="363" spans="1:26" x14ac:dyDescent="0.3">
      <c r="A363" s="50">
        <v>46059.280590277776</v>
      </c>
      <c r="B363">
        <v>2.0260206064209999E+18</v>
      </c>
      <c r="C363" t="s">
        <v>4372</v>
      </c>
      <c r="D363" t="s">
        <v>4373</v>
      </c>
      <c r="E363" t="s">
        <v>4373</v>
      </c>
      <c r="F363" t="s">
        <v>4372</v>
      </c>
      <c r="G363" t="s">
        <v>4373</v>
      </c>
      <c r="H363" t="s">
        <v>4373</v>
      </c>
      <c r="I363">
        <v>44224</v>
      </c>
      <c r="J363" t="s">
        <v>4374</v>
      </c>
      <c r="K363" t="s">
        <v>4374</v>
      </c>
      <c r="L363" t="s">
        <v>2804</v>
      </c>
      <c r="M363" t="s">
        <v>2805</v>
      </c>
      <c r="N363">
        <v>54363</v>
      </c>
      <c r="O363">
        <v>45500</v>
      </c>
      <c r="P363">
        <v>1</v>
      </c>
      <c r="Q363">
        <v>0</v>
      </c>
      <c r="S363">
        <v>143790</v>
      </c>
      <c r="T363">
        <v>0</v>
      </c>
      <c r="U363" t="s">
        <v>2807</v>
      </c>
      <c r="W363" t="s">
        <v>4375</v>
      </c>
      <c r="X363">
        <v>45500</v>
      </c>
      <c r="Y363">
        <v>41363.636363636302</v>
      </c>
      <c r="Z363" s="26">
        <v>46059</v>
      </c>
    </row>
    <row r="364" spans="1:26" x14ac:dyDescent="0.3">
      <c r="A364" s="50">
        <v>46059.309479166666</v>
      </c>
      <c r="B364">
        <v>2.02602060725101E+18</v>
      </c>
      <c r="C364" t="s">
        <v>4376</v>
      </c>
      <c r="D364" t="s">
        <v>4377</v>
      </c>
      <c r="E364" t="s">
        <v>4377</v>
      </c>
      <c r="F364" t="s">
        <v>4376</v>
      </c>
      <c r="G364" t="s">
        <v>4377</v>
      </c>
      <c r="H364" t="s">
        <v>4377</v>
      </c>
      <c r="I364">
        <v>4776</v>
      </c>
      <c r="J364" t="s">
        <v>4378</v>
      </c>
      <c r="K364" t="s">
        <v>4378</v>
      </c>
      <c r="L364" t="s">
        <v>2804</v>
      </c>
      <c r="M364" t="s">
        <v>2805</v>
      </c>
      <c r="N364">
        <v>54363</v>
      </c>
      <c r="O364">
        <v>45500</v>
      </c>
      <c r="P364">
        <v>1</v>
      </c>
      <c r="Q364">
        <v>0</v>
      </c>
      <c r="S364">
        <v>143790</v>
      </c>
      <c r="T364">
        <v>0</v>
      </c>
      <c r="U364" t="s">
        <v>2807</v>
      </c>
      <c r="W364" t="s">
        <v>4379</v>
      </c>
      <c r="X364">
        <v>45500</v>
      </c>
      <c r="Y364">
        <v>41363.636363636302</v>
      </c>
      <c r="Z364" s="26">
        <v>46059</v>
      </c>
    </row>
    <row r="365" spans="1:26" x14ac:dyDescent="0.3">
      <c r="A365" s="50">
        <v>46059.331354166665</v>
      </c>
      <c r="B365">
        <v>2.02602060755491E+18</v>
      </c>
      <c r="C365" t="s">
        <v>4380</v>
      </c>
      <c r="D365" t="s">
        <v>4381</v>
      </c>
      <c r="E365" t="s">
        <v>4381</v>
      </c>
      <c r="F365" t="s">
        <v>4382</v>
      </c>
      <c r="G365" t="s">
        <v>4381</v>
      </c>
      <c r="H365" t="s">
        <v>4381</v>
      </c>
      <c r="I365">
        <v>6503</v>
      </c>
      <c r="J365" t="s">
        <v>4383</v>
      </c>
      <c r="K365" t="s">
        <v>4383</v>
      </c>
      <c r="L365" t="s">
        <v>2804</v>
      </c>
      <c r="M365" t="s">
        <v>2805</v>
      </c>
      <c r="N365">
        <v>54363</v>
      </c>
      <c r="O365">
        <v>45500</v>
      </c>
      <c r="P365">
        <v>1</v>
      </c>
      <c r="Q365">
        <v>0</v>
      </c>
      <c r="S365">
        <v>143790</v>
      </c>
      <c r="T365">
        <v>0</v>
      </c>
      <c r="U365" t="s">
        <v>2807</v>
      </c>
      <c r="W365" t="s">
        <v>4384</v>
      </c>
      <c r="X365">
        <v>45500</v>
      </c>
      <c r="Y365">
        <v>41363.636363636302</v>
      </c>
      <c r="Z365" s="26">
        <v>46059</v>
      </c>
    </row>
    <row r="366" spans="1:26" x14ac:dyDescent="0.3">
      <c r="A366" s="50">
        <v>46059.332152777781</v>
      </c>
      <c r="B366">
        <v>2.02602060757231E+18</v>
      </c>
      <c r="C366" t="s">
        <v>4380</v>
      </c>
      <c r="D366" t="s">
        <v>4381</v>
      </c>
      <c r="E366" t="s">
        <v>4381</v>
      </c>
      <c r="F366" t="s">
        <v>4380</v>
      </c>
      <c r="G366" t="s">
        <v>4381</v>
      </c>
      <c r="H366" t="s">
        <v>4381</v>
      </c>
      <c r="I366">
        <v>6006</v>
      </c>
      <c r="J366" t="s">
        <v>4385</v>
      </c>
      <c r="K366" t="s">
        <v>4385</v>
      </c>
      <c r="L366" t="s">
        <v>2804</v>
      </c>
      <c r="M366" t="s">
        <v>2805</v>
      </c>
      <c r="N366">
        <v>54363</v>
      </c>
      <c r="O366">
        <v>45500</v>
      </c>
      <c r="P366">
        <v>1</v>
      </c>
      <c r="Q366">
        <v>0</v>
      </c>
      <c r="S366">
        <v>143790</v>
      </c>
      <c r="T366">
        <v>0</v>
      </c>
      <c r="U366" t="s">
        <v>2807</v>
      </c>
      <c r="W366" t="s">
        <v>4386</v>
      </c>
      <c r="X366">
        <v>45500</v>
      </c>
      <c r="Y366">
        <v>41363.636363636302</v>
      </c>
      <c r="Z366" s="26">
        <v>46059</v>
      </c>
    </row>
    <row r="367" spans="1:26" x14ac:dyDescent="0.3">
      <c r="A367" s="50">
        <v>46059.336898148147</v>
      </c>
      <c r="B367">
        <v>2.0260206080032901E+18</v>
      </c>
      <c r="C367" t="s">
        <v>4387</v>
      </c>
      <c r="D367" t="s">
        <v>4388</v>
      </c>
      <c r="E367" t="s">
        <v>4388</v>
      </c>
      <c r="F367" t="s">
        <v>4387</v>
      </c>
      <c r="G367" t="s">
        <v>4388</v>
      </c>
      <c r="H367" t="s">
        <v>4388</v>
      </c>
      <c r="I367">
        <v>13832</v>
      </c>
      <c r="J367" t="s">
        <v>4389</v>
      </c>
      <c r="K367" t="s">
        <v>4389</v>
      </c>
      <c r="L367" t="s">
        <v>2804</v>
      </c>
      <c r="M367" t="s">
        <v>2805</v>
      </c>
      <c r="N367">
        <v>54363</v>
      </c>
      <c r="O367">
        <v>45500</v>
      </c>
      <c r="P367">
        <v>1</v>
      </c>
      <c r="Q367">
        <v>0</v>
      </c>
      <c r="S367">
        <v>143790</v>
      </c>
      <c r="T367">
        <v>0</v>
      </c>
      <c r="U367" t="s">
        <v>2807</v>
      </c>
      <c r="W367" t="s">
        <v>4390</v>
      </c>
      <c r="X367">
        <v>45500</v>
      </c>
      <c r="Y367">
        <v>41363.636363636302</v>
      </c>
      <c r="Z367" s="26">
        <v>46059</v>
      </c>
    </row>
    <row r="368" spans="1:26" x14ac:dyDescent="0.3">
      <c r="A368" s="50">
        <v>46059.337800925925</v>
      </c>
      <c r="B368">
        <v>2.0260206080418501E+18</v>
      </c>
      <c r="C368" t="s">
        <v>4391</v>
      </c>
      <c r="D368" t="s">
        <v>4392</v>
      </c>
      <c r="E368" t="s">
        <v>4392</v>
      </c>
      <c r="F368" t="s">
        <v>4391</v>
      </c>
      <c r="G368" t="s">
        <v>4392</v>
      </c>
      <c r="H368" t="s">
        <v>4392</v>
      </c>
      <c r="I368">
        <v>44480</v>
      </c>
      <c r="J368" t="s">
        <v>4393</v>
      </c>
      <c r="K368" t="s">
        <v>4393</v>
      </c>
      <c r="L368" t="s">
        <v>2804</v>
      </c>
      <c r="M368" t="s">
        <v>2805</v>
      </c>
      <c r="N368">
        <v>54363</v>
      </c>
      <c r="O368">
        <v>45500</v>
      </c>
      <c r="P368">
        <v>1</v>
      </c>
      <c r="Q368">
        <v>0</v>
      </c>
      <c r="S368">
        <v>143790</v>
      </c>
      <c r="T368">
        <v>0</v>
      </c>
      <c r="U368" t="s">
        <v>2807</v>
      </c>
      <c r="W368" t="s">
        <v>4394</v>
      </c>
      <c r="X368">
        <v>45500</v>
      </c>
      <c r="Y368">
        <v>41363.636363636302</v>
      </c>
      <c r="Z368" s="26">
        <v>46059</v>
      </c>
    </row>
    <row r="369" spans="1:26" x14ac:dyDescent="0.3">
      <c r="A369" s="50">
        <v>46059.341365740744</v>
      </c>
      <c r="B369">
        <v>2.02602060810333E+18</v>
      </c>
      <c r="C369" t="s">
        <v>4395</v>
      </c>
      <c r="D369" t="s">
        <v>4396</v>
      </c>
      <c r="E369" t="s">
        <v>4396</v>
      </c>
      <c r="F369" t="s">
        <v>4395</v>
      </c>
      <c r="G369" t="s">
        <v>4396</v>
      </c>
      <c r="H369" t="s">
        <v>4396</v>
      </c>
      <c r="I369">
        <v>53244</v>
      </c>
      <c r="J369" t="s">
        <v>4397</v>
      </c>
      <c r="K369" t="s">
        <v>4397</v>
      </c>
      <c r="L369" t="s">
        <v>2804</v>
      </c>
      <c r="M369" t="s">
        <v>2805</v>
      </c>
      <c r="N369">
        <v>54363</v>
      </c>
      <c r="O369">
        <v>45500</v>
      </c>
      <c r="P369">
        <v>1</v>
      </c>
      <c r="Q369">
        <v>0</v>
      </c>
      <c r="S369">
        <v>143790</v>
      </c>
      <c r="T369">
        <v>0</v>
      </c>
      <c r="U369" t="s">
        <v>2807</v>
      </c>
      <c r="W369" t="s">
        <v>4398</v>
      </c>
      <c r="X369">
        <v>45500</v>
      </c>
      <c r="Y369">
        <v>41363.636363636302</v>
      </c>
      <c r="Z369" s="26">
        <v>46059</v>
      </c>
    </row>
    <row r="370" spans="1:26" x14ac:dyDescent="0.3">
      <c r="A370" s="50">
        <v>46059.352500000001</v>
      </c>
      <c r="B370">
        <v>2.0260206082602199E+18</v>
      </c>
      <c r="C370" t="s">
        <v>4399</v>
      </c>
      <c r="D370" t="s">
        <v>4400</v>
      </c>
      <c r="E370" t="s">
        <v>4400</v>
      </c>
      <c r="F370" t="s">
        <v>4399</v>
      </c>
      <c r="G370" t="s">
        <v>4400</v>
      </c>
      <c r="H370" t="s">
        <v>4400</v>
      </c>
      <c r="I370">
        <v>14996</v>
      </c>
      <c r="J370" t="s">
        <v>4401</v>
      </c>
      <c r="K370" t="s">
        <v>4401</v>
      </c>
      <c r="L370" t="s">
        <v>2804</v>
      </c>
      <c r="M370" t="s">
        <v>2805</v>
      </c>
      <c r="N370">
        <v>54363</v>
      </c>
      <c r="O370">
        <v>45500</v>
      </c>
      <c r="P370">
        <v>1</v>
      </c>
      <c r="Q370">
        <v>0</v>
      </c>
      <c r="S370">
        <v>143790</v>
      </c>
      <c r="T370">
        <v>0</v>
      </c>
      <c r="U370" t="s">
        <v>2807</v>
      </c>
      <c r="W370" t="s">
        <v>4402</v>
      </c>
      <c r="X370">
        <v>45500</v>
      </c>
      <c r="Y370">
        <v>41363.636363636302</v>
      </c>
      <c r="Z370" s="26">
        <v>46059</v>
      </c>
    </row>
    <row r="371" spans="1:26" x14ac:dyDescent="0.3">
      <c r="A371" s="50">
        <v>46059.421053240738</v>
      </c>
      <c r="B371">
        <v>2.0260206100421299E+18</v>
      </c>
      <c r="C371" t="s">
        <v>4403</v>
      </c>
      <c r="D371" t="s">
        <v>4404</v>
      </c>
      <c r="E371" t="s">
        <v>4404</v>
      </c>
      <c r="F371" t="s">
        <v>4403</v>
      </c>
      <c r="G371" t="s">
        <v>4404</v>
      </c>
      <c r="H371" t="s">
        <v>4404</v>
      </c>
      <c r="I371">
        <v>13013</v>
      </c>
      <c r="J371" t="s">
        <v>4405</v>
      </c>
      <c r="K371" t="s">
        <v>4405</v>
      </c>
      <c r="L371" t="s">
        <v>2804</v>
      </c>
      <c r="M371" t="s">
        <v>2805</v>
      </c>
      <c r="N371">
        <v>54363</v>
      </c>
      <c r="O371">
        <v>45500</v>
      </c>
      <c r="P371">
        <v>1</v>
      </c>
      <c r="Q371">
        <v>0</v>
      </c>
      <c r="R371" t="s">
        <v>4406</v>
      </c>
      <c r="S371">
        <v>143790</v>
      </c>
      <c r="T371">
        <v>0</v>
      </c>
      <c r="U371" t="s">
        <v>2807</v>
      </c>
      <c r="W371" t="s">
        <v>4407</v>
      </c>
      <c r="X371">
        <v>45500</v>
      </c>
      <c r="Y371">
        <v>41363.636363636302</v>
      </c>
      <c r="Z371" s="26">
        <v>46059</v>
      </c>
    </row>
    <row r="372" spans="1:26" x14ac:dyDescent="0.3">
      <c r="A372" s="50">
        <v>46059.426296296297</v>
      </c>
      <c r="B372">
        <v>2.0260206101221299E+18</v>
      </c>
      <c r="C372" t="s">
        <v>4408</v>
      </c>
      <c r="D372" t="s">
        <v>4409</v>
      </c>
      <c r="E372" t="s">
        <v>4409</v>
      </c>
      <c r="F372" t="s">
        <v>4408</v>
      </c>
      <c r="G372" t="s">
        <v>4409</v>
      </c>
      <c r="H372" t="s">
        <v>4409</v>
      </c>
      <c r="I372">
        <v>2760</v>
      </c>
      <c r="J372" t="s">
        <v>4410</v>
      </c>
      <c r="K372" t="s">
        <v>4410</v>
      </c>
      <c r="L372" t="s">
        <v>2804</v>
      </c>
      <c r="M372" t="s">
        <v>2805</v>
      </c>
      <c r="N372">
        <v>108726</v>
      </c>
      <c r="O372">
        <v>45500</v>
      </c>
      <c r="P372">
        <v>2</v>
      </c>
      <c r="Q372">
        <v>0</v>
      </c>
      <c r="S372">
        <v>143790</v>
      </c>
      <c r="T372">
        <v>0</v>
      </c>
      <c r="U372" t="s">
        <v>2807</v>
      </c>
      <c r="W372" t="s">
        <v>4411</v>
      </c>
      <c r="X372">
        <v>91000</v>
      </c>
      <c r="Y372">
        <v>82727.272727272706</v>
      </c>
      <c r="Z372" s="26">
        <v>46059</v>
      </c>
    </row>
    <row r="373" spans="1:26" x14ac:dyDescent="0.3">
      <c r="A373" s="50">
        <v>46059.457511574074</v>
      </c>
      <c r="B373">
        <v>2.0260206105727301E+18</v>
      </c>
      <c r="C373" t="s">
        <v>4412</v>
      </c>
      <c r="D373" t="s">
        <v>4413</v>
      </c>
      <c r="E373" t="s">
        <v>4413</v>
      </c>
      <c r="F373" t="s">
        <v>4412</v>
      </c>
      <c r="G373" t="s">
        <v>4414</v>
      </c>
      <c r="H373" t="s">
        <v>4414</v>
      </c>
      <c r="I373">
        <v>26461</v>
      </c>
      <c r="J373" t="s">
        <v>4415</v>
      </c>
      <c r="K373" t="s">
        <v>4415</v>
      </c>
      <c r="L373" t="s">
        <v>2804</v>
      </c>
      <c r="M373" t="s">
        <v>2805</v>
      </c>
      <c r="N373">
        <v>54363</v>
      </c>
      <c r="O373">
        <v>45500</v>
      </c>
      <c r="P373">
        <v>1</v>
      </c>
      <c r="Q373">
        <v>0</v>
      </c>
      <c r="S373">
        <v>143790</v>
      </c>
      <c r="T373">
        <v>0</v>
      </c>
      <c r="U373" t="s">
        <v>2807</v>
      </c>
      <c r="W373" t="s">
        <v>4416</v>
      </c>
      <c r="X373">
        <v>45500</v>
      </c>
      <c r="Y373">
        <v>41363.636363636302</v>
      </c>
      <c r="Z373" s="26">
        <v>46059</v>
      </c>
    </row>
    <row r="374" spans="1:26" x14ac:dyDescent="0.3">
      <c r="A374" s="50">
        <v>46059.457986111112</v>
      </c>
      <c r="B374">
        <v>2.0260206105900401E+18</v>
      </c>
      <c r="C374" t="s">
        <v>2884</v>
      </c>
      <c r="D374" t="s">
        <v>4417</v>
      </c>
      <c r="E374" t="s">
        <v>4417</v>
      </c>
      <c r="F374" t="s">
        <v>2884</v>
      </c>
      <c r="G374" t="s">
        <v>4417</v>
      </c>
      <c r="H374" t="s">
        <v>4417</v>
      </c>
      <c r="I374">
        <v>16668</v>
      </c>
      <c r="J374" t="s">
        <v>4418</v>
      </c>
      <c r="K374" t="s">
        <v>4418</v>
      </c>
      <c r="L374" t="s">
        <v>2804</v>
      </c>
      <c r="M374" t="s">
        <v>2805</v>
      </c>
      <c r="N374">
        <v>54363</v>
      </c>
      <c r="O374">
        <v>45500</v>
      </c>
      <c r="P374">
        <v>1</v>
      </c>
      <c r="Q374">
        <v>0</v>
      </c>
      <c r="S374">
        <v>143790</v>
      </c>
      <c r="T374">
        <v>0</v>
      </c>
      <c r="U374" t="s">
        <v>2807</v>
      </c>
      <c r="W374" t="s">
        <v>4419</v>
      </c>
      <c r="X374">
        <v>45500</v>
      </c>
      <c r="Y374">
        <v>41363.636363636302</v>
      </c>
      <c r="Z374" s="26">
        <v>46059</v>
      </c>
    </row>
    <row r="375" spans="1:26" x14ac:dyDescent="0.3">
      <c r="A375" s="50">
        <v>46058.558136574073</v>
      </c>
      <c r="B375">
        <v>2.0260205132135099E+18</v>
      </c>
      <c r="C375" t="s">
        <v>4420</v>
      </c>
      <c r="D375" t="s">
        <v>4421</v>
      </c>
      <c r="E375" t="s">
        <v>4421</v>
      </c>
      <c r="F375" t="s">
        <v>4422</v>
      </c>
      <c r="G375" t="s">
        <v>4423</v>
      </c>
      <c r="H375" t="s">
        <v>4423</v>
      </c>
      <c r="I375">
        <v>27340</v>
      </c>
      <c r="J375" t="s">
        <v>4424</v>
      </c>
      <c r="K375" t="s">
        <v>4424</v>
      </c>
      <c r="L375" t="s">
        <v>3801</v>
      </c>
      <c r="M375" t="s">
        <v>3802</v>
      </c>
      <c r="N375">
        <v>18181</v>
      </c>
      <c r="O375">
        <v>63000</v>
      </c>
      <c r="P375">
        <v>1</v>
      </c>
      <c r="Q375" t="s">
        <v>3803</v>
      </c>
      <c r="R375" t="s">
        <v>4425</v>
      </c>
      <c r="S375">
        <v>143790</v>
      </c>
      <c r="T375">
        <v>0</v>
      </c>
      <c r="U375" t="s">
        <v>2807</v>
      </c>
      <c r="W375" t="s">
        <v>4426</v>
      </c>
      <c r="X375">
        <v>63000</v>
      </c>
      <c r="Y375">
        <v>57272.727272727199</v>
      </c>
      <c r="Z375" s="26">
        <v>46059</v>
      </c>
    </row>
    <row r="376" spans="1:26" x14ac:dyDescent="0.3">
      <c r="A376" s="50">
        <v>46058.571689814817</v>
      </c>
      <c r="B376">
        <v>2.0260205133832801E+18</v>
      </c>
      <c r="C376" t="s">
        <v>4427</v>
      </c>
      <c r="D376" t="s">
        <v>4428</v>
      </c>
      <c r="E376" t="s">
        <v>4428</v>
      </c>
      <c r="F376" t="s">
        <v>4427</v>
      </c>
      <c r="G376" t="s">
        <v>4428</v>
      </c>
      <c r="H376" t="s">
        <v>4428</v>
      </c>
      <c r="I376">
        <v>6277</v>
      </c>
      <c r="J376" t="s">
        <v>4429</v>
      </c>
      <c r="K376" t="s">
        <v>4429</v>
      </c>
      <c r="L376" t="s">
        <v>3801</v>
      </c>
      <c r="M376" t="s">
        <v>3802</v>
      </c>
      <c r="N376">
        <v>18181</v>
      </c>
      <c r="O376">
        <v>63000</v>
      </c>
      <c r="P376">
        <v>1</v>
      </c>
      <c r="Q376" t="s">
        <v>3803</v>
      </c>
      <c r="S376">
        <v>143790</v>
      </c>
      <c r="T376">
        <v>0</v>
      </c>
      <c r="U376" t="s">
        <v>2807</v>
      </c>
      <c r="W376" t="s">
        <v>4430</v>
      </c>
      <c r="X376">
        <v>63000</v>
      </c>
      <c r="Y376">
        <v>57272.727272727199</v>
      </c>
      <c r="Z376" s="26">
        <v>46059</v>
      </c>
    </row>
    <row r="377" spans="1:26" x14ac:dyDescent="0.3">
      <c r="A377" s="50">
        <v>46058.700370370374</v>
      </c>
      <c r="B377">
        <v>2.02602051647373E+18</v>
      </c>
      <c r="C377" t="s">
        <v>4431</v>
      </c>
      <c r="D377" t="s">
        <v>4432</v>
      </c>
      <c r="E377" t="s">
        <v>4432</v>
      </c>
      <c r="F377" t="s">
        <v>4431</v>
      </c>
      <c r="G377" t="s">
        <v>4432</v>
      </c>
      <c r="H377" t="s">
        <v>4432</v>
      </c>
      <c r="I377">
        <v>7380</v>
      </c>
      <c r="J377" t="s">
        <v>4433</v>
      </c>
      <c r="K377" t="s">
        <v>4433</v>
      </c>
      <c r="L377" t="s">
        <v>3801</v>
      </c>
      <c r="M377" t="s">
        <v>3802</v>
      </c>
      <c r="N377">
        <v>18181</v>
      </c>
      <c r="O377">
        <v>63000</v>
      </c>
      <c r="P377">
        <v>1</v>
      </c>
      <c r="Q377" t="s">
        <v>3803</v>
      </c>
      <c r="S377">
        <v>143790</v>
      </c>
      <c r="T377">
        <v>0</v>
      </c>
      <c r="U377" t="s">
        <v>2807</v>
      </c>
      <c r="W377" t="s">
        <v>4434</v>
      </c>
      <c r="X377">
        <v>63000</v>
      </c>
      <c r="Y377">
        <v>57272.727272727199</v>
      </c>
      <c r="Z377" s="26">
        <v>46059</v>
      </c>
    </row>
    <row r="378" spans="1:26" x14ac:dyDescent="0.3">
      <c r="A378" s="50">
        <v>46058.72965277778</v>
      </c>
      <c r="B378">
        <v>2.02602051729411E+18</v>
      </c>
      <c r="C378" t="s">
        <v>4435</v>
      </c>
      <c r="D378" t="s">
        <v>4436</v>
      </c>
      <c r="E378" t="s">
        <v>4436</v>
      </c>
      <c r="F378" t="s">
        <v>4435</v>
      </c>
      <c r="G378" t="s">
        <v>4436</v>
      </c>
      <c r="H378" t="s">
        <v>4436</v>
      </c>
      <c r="I378">
        <v>12668</v>
      </c>
      <c r="J378" t="s">
        <v>4437</v>
      </c>
      <c r="K378" t="s">
        <v>4437</v>
      </c>
      <c r="L378" t="s">
        <v>3801</v>
      </c>
      <c r="M378" t="s">
        <v>3802</v>
      </c>
      <c r="N378">
        <v>18181</v>
      </c>
      <c r="O378">
        <v>63000</v>
      </c>
      <c r="P378">
        <v>1</v>
      </c>
      <c r="Q378" t="s">
        <v>3803</v>
      </c>
      <c r="S378">
        <v>143790</v>
      </c>
      <c r="T378">
        <v>0</v>
      </c>
      <c r="U378" t="s">
        <v>2807</v>
      </c>
      <c r="W378" t="s">
        <v>4438</v>
      </c>
      <c r="X378">
        <v>63000</v>
      </c>
      <c r="Y378">
        <v>57272.727272727199</v>
      </c>
      <c r="Z378" s="26">
        <v>46059</v>
      </c>
    </row>
    <row r="379" spans="1:26" x14ac:dyDescent="0.3">
      <c r="A379" s="50">
        <v>46058.743692129632</v>
      </c>
      <c r="B379">
        <v>2.02602051748113E+18</v>
      </c>
      <c r="C379" t="s">
        <v>4439</v>
      </c>
      <c r="D379" t="s">
        <v>4440</v>
      </c>
      <c r="E379" t="s">
        <v>4440</v>
      </c>
      <c r="F379" t="s">
        <v>4439</v>
      </c>
      <c r="G379" t="s">
        <v>4440</v>
      </c>
      <c r="H379" t="s">
        <v>4440</v>
      </c>
      <c r="I379">
        <v>41141</v>
      </c>
      <c r="J379" t="s">
        <v>4441</v>
      </c>
      <c r="K379" t="s">
        <v>4441</v>
      </c>
      <c r="L379" t="s">
        <v>3801</v>
      </c>
      <c r="M379" t="s">
        <v>3802</v>
      </c>
      <c r="N379">
        <v>18181</v>
      </c>
      <c r="O379">
        <v>63000</v>
      </c>
      <c r="P379">
        <v>1</v>
      </c>
      <c r="Q379" t="s">
        <v>3803</v>
      </c>
      <c r="S379">
        <v>143790</v>
      </c>
      <c r="T379">
        <v>0</v>
      </c>
      <c r="U379" t="s">
        <v>2807</v>
      </c>
      <c r="W379" t="s">
        <v>4442</v>
      </c>
      <c r="X379">
        <v>63000</v>
      </c>
      <c r="Y379">
        <v>57272.727272727199</v>
      </c>
      <c r="Z379" s="26">
        <v>46059</v>
      </c>
    </row>
    <row r="380" spans="1:26" x14ac:dyDescent="0.3">
      <c r="A380" s="50">
        <v>46058.748518518521</v>
      </c>
      <c r="B380">
        <v>2.0260205175536599E+18</v>
      </c>
      <c r="C380" t="s">
        <v>4439</v>
      </c>
      <c r="D380" t="s">
        <v>4440</v>
      </c>
      <c r="E380" t="s">
        <v>4440</v>
      </c>
      <c r="F380" t="s">
        <v>4439</v>
      </c>
      <c r="G380" t="s">
        <v>4440</v>
      </c>
      <c r="H380" t="s">
        <v>4440</v>
      </c>
      <c r="I380">
        <v>18496</v>
      </c>
      <c r="J380" t="s">
        <v>4443</v>
      </c>
      <c r="K380" t="s">
        <v>4443</v>
      </c>
      <c r="L380" t="s">
        <v>3801</v>
      </c>
      <c r="M380" t="s">
        <v>3802</v>
      </c>
      <c r="N380">
        <v>18181</v>
      </c>
      <c r="O380">
        <v>63000</v>
      </c>
      <c r="P380">
        <v>1</v>
      </c>
      <c r="Q380" t="s">
        <v>3803</v>
      </c>
      <c r="S380">
        <v>143790</v>
      </c>
      <c r="T380">
        <v>0</v>
      </c>
      <c r="U380" t="s">
        <v>2807</v>
      </c>
      <c r="W380" t="s">
        <v>4444</v>
      </c>
      <c r="X380">
        <v>63000</v>
      </c>
      <c r="Y380">
        <v>57272.727272727199</v>
      </c>
      <c r="Z380" s="26">
        <v>46059</v>
      </c>
    </row>
    <row r="381" spans="1:26" x14ac:dyDescent="0.3">
      <c r="A381" s="50">
        <v>46058.824826388889</v>
      </c>
      <c r="B381">
        <v>2.0260205194217201E+18</v>
      </c>
      <c r="C381" t="s">
        <v>4350</v>
      </c>
      <c r="D381" t="s">
        <v>4445</v>
      </c>
      <c r="E381" t="s">
        <v>4445</v>
      </c>
      <c r="F381" t="s">
        <v>4446</v>
      </c>
      <c r="G381" t="s">
        <v>4445</v>
      </c>
      <c r="H381" t="s">
        <v>4445</v>
      </c>
      <c r="I381">
        <v>11947</v>
      </c>
      <c r="J381" t="s">
        <v>4447</v>
      </c>
      <c r="K381" t="s">
        <v>4447</v>
      </c>
      <c r="L381" t="s">
        <v>3801</v>
      </c>
      <c r="M381" t="s">
        <v>3802</v>
      </c>
      <c r="N381">
        <v>18181</v>
      </c>
      <c r="O381">
        <v>63000</v>
      </c>
      <c r="P381">
        <v>1</v>
      </c>
      <c r="Q381" t="s">
        <v>3803</v>
      </c>
      <c r="S381">
        <v>143790</v>
      </c>
      <c r="T381">
        <v>0</v>
      </c>
      <c r="U381" t="s">
        <v>2807</v>
      </c>
      <c r="W381" t="s">
        <v>4448</v>
      </c>
      <c r="X381">
        <v>63000</v>
      </c>
      <c r="Y381">
        <v>57272.727272727199</v>
      </c>
      <c r="Z381" s="26">
        <v>46059</v>
      </c>
    </row>
    <row r="382" spans="1:26" x14ac:dyDescent="0.3">
      <c r="A382" s="50">
        <v>46058.944710648146</v>
      </c>
      <c r="B382">
        <v>2.0260205223919201E+18</v>
      </c>
      <c r="C382" t="s">
        <v>4449</v>
      </c>
      <c r="D382" t="s">
        <v>4450</v>
      </c>
      <c r="E382" t="s">
        <v>4450</v>
      </c>
      <c r="F382" t="s">
        <v>4449</v>
      </c>
      <c r="G382" t="s">
        <v>4450</v>
      </c>
      <c r="H382" t="s">
        <v>4450</v>
      </c>
      <c r="I382">
        <v>4145</v>
      </c>
      <c r="J382" t="s">
        <v>4451</v>
      </c>
      <c r="K382" t="s">
        <v>4451</v>
      </c>
      <c r="L382" t="s">
        <v>3801</v>
      </c>
      <c r="M382" t="s">
        <v>3802</v>
      </c>
      <c r="N382">
        <v>18181</v>
      </c>
      <c r="O382">
        <v>63000</v>
      </c>
      <c r="P382">
        <v>1</v>
      </c>
      <c r="Q382" t="s">
        <v>3803</v>
      </c>
      <c r="S382">
        <v>143790</v>
      </c>
      <c r="T382">
        <v>0</v>
      </c>
      <c r="U382" t="s">
        <v>2807</v>
      </c>
      <c r="W382" t="s">
        <v>4452</v>
      </c>
      <c r="X382">
        <v>63000</v>
      </c>
      <c r="Y382">
        <v>57272.727272727199</v>
      </c>
      <c r="Z382" s="26">
        <v>46059</v>
      </c>
    </row>
    <row r="383" spans="1:26" x14ac:dyDescent="0.3">
      <c r="A383" s="50">
        <v>46059.131203703706</v>
      </c>
      <c r="B383">
        <v>2.0260206030559099E+18</v>
      </c>
      <c r="C383" t="s">
        <v>4453</v>
      </c>
      <c r="D383" t="s">
        <v>4454</v>
      </c>
      <c r="E383" t="s">
        <v>4454</v>
      </c>
      <c r="F383" t="s">
        <v>4453</v>
      </c>
      <c r="G383" t="s">
        <v>4454</v>
      </c>
      <c r="H383" t="s">
        <v>4454</v>
      </c>
      <c r="I383">
        <v>4122</v>
      </c>
      <c r="J383" t="s">
        <v>4455</v>
      </c>
      <c r="K383" t="s">
        <v>4455</v>
      </c>
      <c r="L383" t="s">
        <v>3801</v>
      </c>
      <c r="M383" t="s">
        <v>3802</v>
      </c>
      <c r="N383">
        <v>18181</v>
      </c>
      <c r="O383">
        <v>63000</v>
      </c>
      <c r="P383">
        <v>1</v>
      </c>
      <c r="Q383" t="s">
        <v>3803</v>
      </c>
      <c r="S383">
        <v>143790</v>
      </c>
      <c r="T383">
        <v>0</v>
      </c>
      <c r="U383" t="s">
        <v>2807</v>
      </c>
      <c r="W383" t="s">
        <v>4456</v>
      </c>
      <c r="X383">
        <v>63000</v>
      </c>
      <c r="Y383">
        <v>57272.727272727199</v>
      </c>
      <c r="Z383" s="26">
        <v>46059</v>
      </c>
    </row>
    <row r="384" spans="1:26" x14ac:dyDescent="0.3">
      <c r="A384" s="50">
        <v>46059.353460648148</v>
      </c>
      <c r="B384">
        <v>2.0260206082819899E+18</v>
      </c>
      <c r="C384" t="s">
        <v>4457</v>
      </c>
      <c r="D384" t="s">
        <v>4458</v>
      </c>
      <c r="E384" t="s">
        <v>4458</v>
      </c>
      <c r="F384" t="s">
        <v>4457</v>
      </c>
      <c r="G384" t="s">
        <v>4458</v>
      </c>
      <c r="H384" t="s">
        <v>4458</v>
      </c>
      <c r="I384">
        <v>16311</v>
      </c>
      <c r="J384" t="s">
        <v>4459</v>
      </c>
      <c r="K384" t="s">
        <v>4459</v>
      </c>
      <c r="L384" t="s">
        <v>3801</v>
      </c>
      <c r="M384" t="s">
        <v>3802</v>
      </c>
      <c r="N384">
        <v>18181</v>
      </c>
      <c r="O384">
        <v>63000</v>
      </c>
      <c r="P384">
        <v>1</v>
      </c>
      <c r="Q384" t="s">
        <v>3803</v>
      </c>
      <c r="S384">
        <v>143790</v>
      </c>
      <c r="T384">
        <v>0</v>
      </c>
      <c r="U384" t="s">
        <v>2807</v>
      </c>
      <c r="W384" t="s">
        <v>4460</v>
      </c>
      <c r="X384">
        <v>63000</v>
      </c>
      <c r="Y384">
        <v>57272.727272727199</v>
      </c>
      <c r="Z384" s="26">
        <v>46059</v>
      </c>
    </row>
    <row r="385" spans="1:26" x14ac:dyDescent="0.3">
      <c r="A385" s="50">
        <v>46059.445555555554</v>
      </c>
      <c r="B385">
        <v>2.02602061039422E+18</v>
      </c>
      <c r="C385" t="s">
        <v>4461</v>
      </c>
      <c r="D385" t="s">
        <v>4462</v>
      </c>
      <c r="E385" t="s">
        <v>4462</v>
      </c>
      <c r="F385" t="s">
        <v>4461</v>
      </c>
      <c r="G385" t="s">
        <v>4462</v>
      </c>
      <c r="H385" t="s">
        <v>4462</v>
      </c>
      <c r="I385">
        <v>13995</v>
      </c>
      <c r="J385" t="s">
        <v>4463</v>
      </c>
      <c r="K385" t="s">
        <v>4463</v>
      </c>
      <c r="L385" t="s">
        <v>3801</v>
      </c>
      <c r="M385" t="s">
        <v>3802</v>
      </c>
      <c r="N385">
        <v>18181</v>
      </c>
      <c r="O385">
        <v>63000</v>
      </c>
      <c r="P385">
        <v>1</v>
      </c>
      <c r="Q385" t="s">
        <v>3803</v>
      </c>
      <c r="R385" t="s">
        <v>4464</v>
      </c>
      <c r="S385">
        <v>143790</v>
      </c>
      <c r="T385">
        <v>0</v>
      </c>
      <c r="U385" t="s">
        <v>2807</v>
      </c>
      <c r="W385" t="s">
        <v>4465</v>
      </c>
      <c r="X385">
        <v>63000</v>
      </c>
      <c r="Y385">
        <v>57272.727272727199</v>
      </c>
      <c r="Z385" s="26">
        <v>46059</v>
      </c>
    </row>
    <row r="386" spans="1:26" x14ac:dyDescent="0.3">
      <c r="A386" s="50">
        <v>46062.42291666667</v>
      </c>
      <c r="B386">
        <v>2.02602091006482E+18</v>
      </c>
      <c r="C386" t="s">
        <v>4466</v>
      </c>
      <c r="D386" t="s">
        <v>4467</v>
      </c>
      <c r="E386" t="s">
        <v>4467</v>
      </c>
      <c r="F386" t="s">
        <v>4466</v>
      </c>
      <c r="G386" t="s">
        <v>4467</v>
      </c>
      <c r="H386" t="s">
        <v>4467</v>
      </c>
      <c r="I386">
        <v>5672</v>
      </c>
      <c r="J386" t="s">
        <v>4468</v>
      </c>
      <c r="K386" t="s">
        <v>4468</v>
      </c>
      <c r="L386" t="s">
        <v>2804</v>
      </c>
      <c r="M386" t="s">
        <v>2805</v>
      </c>
      <c r="N386">
        <v>54363</v>
      </c>
      <c r="O386">
        <v>45500</v>
      </c>
      <c r="P386">
        <v>1</v>
      </c>
      <c r="Q386">
        <v>0</v>
      </c>
      <c r="S386">
        <v>143790</v>
      </c>
      <c r="T386">
        <v>0</v>
      </c>
      <c r="U386" t="s">
        <v>2807</v>
      </c>
      <c r="W386" t="s">
        <v>4469</v>
      </c>
      <c r="X386">
        <v>45500</v>
      </c>
      <c r="Y386">
        <v>41363.636363636302</v>
      </c>
      <c r="Z386" s="26">
        <v>46062</v>
      </c>
    </row>
    <row r="387" spans="1:26" x14ac:dyDescent="0.3">
      <c r="A387" s="50">
        <v>46062.336053240739</v>
      </c>
      <c r="B387">
        <v>2.0260209080301801E+18</v>
      </c>
      <c r="C387" t="s">
        <v>4470</v>
      </c>
      <c r="D387" t="s">
        <v>4471</v>
      </c>
      <c r="E387" t="s">
        <v>4471</v>
      </c>
      <c r="F387" t="s">
        <v>4472</v>
      </c>
      <c r="G387" t="s">
        <v>4471</v>
      </c>
      <c r="H387" t="s">
        <v>4471</v>
      </c>
      <c r="I387">
        <v>6276</v>
      </c>
      <c r="J387" t="s">
        <v>4473</v>
      </c>
      <c r="K387" t="s">
        <v>4473</v>
      </c>
      <c r="L387" t="s">
        <v>2804</v>
      </c>
      <c r="M387" t="s">
        <v>2805</v>
      </c>
      <c r="N387">
        <v>54363</v>
      </c>
      <c r="O387">
        <v>45500</v>
      </c>
      <c r="P387">
        <v>1</v>
      </c>
      <c r="Q387">
        <v>0</v>
      </c>
      <c r="S387">
        <v>143790</v>
      </c>
      <c r="T387">
        <v>0</v>
      </c>
      <c r="U387" t="s">
        <v>2807</v>
      </c>
      <c r="W387" t="s">
        <v>4474</v>
      </c>
      <c r="X387">
        <v>45500</v>
      </c>
      <c r="Y387">
        <v>41363.636363636302</v>
      </c>
      <c r="Z387" s="26">
        <v>46062</v>
      </c>
    </row>
    <row r="388" spans="1:26" x14ac:dyDescent="0.3">
      <c r="A388" s="50">
        <v>46062.058136574073</v>
      </c>
      <c r="B388">
        <v>2.0260209012113999E+18</v>
      </c>
      <c r="C388" t="s">
        <v>4475</v>
      </c>
      <c r="D388" t="s">
        <v>4476</v>
      </c>
      <c r="E388" t="s">
        <v>4476</v>
      </c>
      <c r="F388" t="s">
        <v>4477</v>
      </c>
      <c r="G388" t="s">
        <v>4478</v>
      </c>
      <c r="H388" t="s">
        <v>4478</v>
      </c>
      <c r="I388">
        <v>17805</v>
      </c>
      <c r="J388" t="s">
        <v>4479</v>
      </c>
      <c r="K388" t="s">
        <v>4479</v>
      </c>
      <c r="L388" t="s">
        <v>2804</v>
      </c>
      <c r="M388" t="s">
        <v>2805</v>
      </c>
      <c r="N388">
        <v>54363</v>
      </c>
      <c r="O388">
        <v>45500</v>
      </c>
      <c r="P388">
        <v>1</v>
      </c>
      <c r="Q388">
        <v>0</v>
      </c>
      <c r="R388" t="s">
        <v>4480</v>
      </c>
      <c r="S388">
        <v>143790</v>
      </c>
      <c r="T388">
        <v>0</v>
      </c>
      <c r="U388" t="s">
        <v>2807</v>
      </c>
      <c r="W388" t="s">
        <v>4481</v>
      </c>
      <c r="X388">
        <v>45500</v>
      </c>
      <c r="Y388">
        <v>41363.636363636302</v>
      </c>
      <c r="Z388" s="26">
        <v>46062</v>
      </c>
    </row>
    <row r="389" spans="1:26" x14ac:dyDescent="0.3">
      <c r="A389" s="50">
        <v>46062.010567129626</v>
      </c>
      <c r="B389">
        <v>2.02602090014432E+18</v>
      </c>
      <c r="C389" t="s">
        <v>4482</v>
      </c>
      <c r="D389" t="s">
        <v>4483</v>
      </c>
      <c r="E389" t="s">
        <v>4483</v>
      </c>
      <c r="F389" t="s">
        <v>4482</v>
      </c>
      <c r="G389" t="s">
        <v>4483</v>
      </c>
      <c r="H389" t="s">
        <v>4483</v>
      </c>
      <c r="I389">
        <v>18322</v>
      </c>
      <c r="J389" t="s">
        <v>4484</v>
      </c>
      <c r="K389" t="s">
        <v>4484</v>
      </c>
      <c r="L389" t="s">
        <v>2804</v>
      </c>
      <c r="M389" t="s">
        <v>2805</v>
      </c>
      <c r="N389">
        <v>54363</v>
      </c>
      <c r="O389">
        <v>45500</v>
      </c>
      <c r="P389">
        <v>1</v>
      </c>
      <c r="Q389">
        <v>0</v>
      </c>
      <c r="S389">
        <v>143790</v>
      </c>
      <c r="T389">
        <v>0</v>
      </c>
      <c r="U389" t="s">
        <v>2807</v>
      </c>
      <c r="W389" t="s">
        <v>4485</v>
      </c>
      <c r="X389">
        <v>45500</v>
      </c>
      <c r="Y389">
        <v>41363.636363636302</v>
      </c>
      <c r="Z389" s="26">
        <v>46062</v>
      </c>
    </row>
    <row r="390" spans="1:26" x14ac:dyDescent="0.3">
      <c r="A390" s="50">
        <v>46061.986979166664</v>
      </c>
      <c r="B390">
        <v>2.0260208234043899E+18</v>
      </c>
      <c r="C390" t="s">
        <v>4486</v>
      </c>
      <c r="D390" t="s">
        <v>4487</v>
      </c>
      <c r="E390" t="s">
        <v>4487</v>
      </c>
      <c r="F390" t="s">
        <v>4486</v>
      </c>
      <c r="G390" t="s">
        <v>4487</v>
      </c>
      <c r="H390" t="s">
        <v>4487</v>
      </c>
      <c r="I390">
        <v>24886</v>
      </c>
      <c r="J390" t="s">
        <v>4488</v>
      </c>
      <c r="K390" t="s">
        <v>4488</v>
      </c>
      <c r="L390" t="s">
        <v>2804</v>
      </c>
      <c r="M390" t="s">
        <v>2805</v>
      </c>
      <c r="N390">
        <v>54363</v>
      </c>
      <c r="O390">
        <v>45500</v>
      </c>
      <c r="P390">
        <v>1</v>
      </c>
      <c r="Q390">
        <v>0</v>
      </c>
      <c r="S390">
        <v>143790</v>
      </c>
      <c r="T390">
        <v>0</v>
      </c>
      <c r="U390" t="s">
        <v>2807</v>
      </c>
      <c r="W390" t="s">
        <v>4489</v>
      </c>
      <c r="X390">
        <v>45500</v>
      </c>
      <c r="Y390">
        <v>41363.636363636302</v>
      </c>
      <c r="Z390" s="26">
        <v>46062</v>
      </c>
    </row>
    <row r="391" spans="1:26" x14ac:dyDescent="0.3">
      <c r="A391" s="50">
        <v>46061.976157407407</v>
      </c>
      <c r="B391">
        <v>2.0260208232315E+18</v>
      </c>
      <c r="C391" t="s">
        <v>4490</v>
      </c>
      <c r="D391" t="s">
        <v>4491</v>
      </c>
      <c r="E391" t="s">
        <v>4491</v>
      </c>
      <c r="F391" t="s">
        <v>4490</v>
      </c>
      <c r="G391" t="s">
        <v>4491</v>
      </c>
      <c r="H391" t="s">
        <v>4491</v>
      </c>
      <c r="I391">
        <v>3648</v>
      </c>
      <c r="J391" t="s">
        <v>4492</v>
      </c>
      <c r="K391" t="s">
        <v>4492</v>
      </c>
      <c r="L391" t="s">
        <v>2804</v>
      </c>
      <c r="M391" t="s">
        <v>2805</v>
      </c>
      <c r="N391">
        <v>54363</v>
      </c>
      <c r="O391">
        <v>45500</v>
      </c>
      <c r="P391">
        <v>1</v>
      </c>
      <c r="Q391">
        <v>0</v>
      </c>
      <c r="S391">
        <v>143790</v>
      </c>
      <c r="T391">
        <v>0</v>
      </c>
      <c r="U391" t="s">
        <v>2807</v>
      </c>
      <c r="W391" t="s">
        <v>4493</v>
      </c>
      <c r="X391">
        <v>45500</v>
      </c>
      <c r="Y391">
        <v>41363.636363636302</v>
      </c>
      <c r="Z391" s="26">
        <v>46062</v>
      </c>
    </row>
    <row r="392" spans="1:26" x14ac:dyDescent="0.3">
      <c r="A392" s="50">
        <v>46061.863692129627</v>
      </c>
      <c r="B392">
        <v>2.02602082042015E+18</v>
      </c>
      <c r="C392" t="s">
        <v>4494</v>
      </c>
      <c r="D392" t="s">
        <v>4495</v>
      </c>
      <c r="E392" t="s">
        <v>4495</v>
      </c>
      <c r="F392" t="s">
        <v>4494</v>
      </c>
      <c r="G392" t="s">
        <v>4495</v>
      </c>
      <c r="H392" t="s">
        <v>4495</v>
      </c>
      <c r="I392">
        <v>44489</v>
      </c>
      <c r="J392" t="s">
        <v>4496</v>
      </c>
      <c r="K392" t="s">
        <v>4496</v>
      </c>
      <c r="L392" t="s">
        <v>2804</v>
      </c>
      <c r="M392" t="s">
        <v>2805</v>
      </c>
      <c r="N392">
        <v>54363</v>
      </c>
      <c r="O392">
        <v>45500</v>
      </c>
      <c r="P392">
        <v>1</v>
      </c>
      <c r="Q392">
        <v>0</v>
      </c>
      <c r="S392">
        <v>143790</v>
      </c>
      <c r="T392">
        <v>0</v>
      </c>
      <c r="U392" t="s">
        <v>2807</v>
      </c>
      <c r="W392" t="s">
        <v>4497</v>
      </c>
      <c r="X392">
        <v>45500</v>
      </c>
      <c r="Y392">
        <v>41363.636363636302</v>
      </c>
      <c r="Z392" s="26">
        <v>46062</v>
      </c>
    </row>
    <row r="393" spans="1:26" x14ac:dyDescent="0.3">
      <c r="A393" s="50">
        <v>46061.854351851849</v>
      </c>
      <c r="B393">
        <v>2.0260208202021199E+18</v>
      </c>
      <c r="C393" t="s">
        <v>4498</v>
      </c>
      <c r="D393" t="s">
        <v>4499</v>
      </c>
      <c r="E393" t="s">
        <v>4499</v>
      </c>
      <c r="F393" t="s">
        <v>4498</v>
      </c>
      <c r="G393" t="s">
        <v>4499</v>
      </c>
      <c r="H393" t="s">
        <v>4499</v>
      </c>
      <c r="I393">
        <v>5019</v>
      </c>
      <c r="J393" t="s">
        <v>4500</v>
      </c>
      <c r="K393" t="s">
        <v>4500</v>
      </c>
      <c r="L393" t="s">
        <v>2804</v>
      </c>
      <c r="M393" t="s">
        <v>2805</v>
      </c>
      <c r="N393">
        <v>54363</v>
      </c>
      <c r="O393">
        <v>45500</v>
      </c>
      <c r="P393">
        <v>1</v>
      </c>
      <c r="Q393">
        <v>0</v>
      </c>
      <c r="S393">
        <v>143790</v>
      </c>
      <c r="T393">
        <v>0</v>
      </c>
      <c r="U393" t="s">
        <v>2807</v>
      </c>
      <c r="W393" t="s">
        <v>4501</v>
      </c>
      <c r="X393">
        <v>45500</v>
      </c>
      <c r="Y393">
        <v>41363.636363636302</v>
      </c>
      <c r="Z393" s="26">
        <v>46062</v>
      </c>
    </row>
    <row r="394" spans="1:26" x14ac:dyDescent="0.3">
      <c r="A394" s="50">
        <v>46061.815115740741</v>
      </c>
      <c r="B394">
        <v>2.0260208192633201E+18</v>
      </c>
      <c r="C394" t="s">
        <v>4502</v>
      </c>
      <c r="D394" t="s">
        <v>4503</v>
      </c>
      <c r="E394" t="s">
        <v>4503</v>
      </c>
      <c r="F394" t="s">
        <v>4502</v>
      </c>
      <c r="G394" t="s">
        <v>4503</v>
      </c>
      <c r="H394" t="s">
        <v>4503</v>
      </c>
      <c r="I394">
        <v>2785</v>
      </c>
      <c r="J394" t="s">
        <v>4504</v>
      </c>
      <c r="K394" t="s">
        <v>4504</v>
      </c>
      <c r="L394" t="s">
        <v>2804</v>
      </c>
      <c r="M394" t="s">
        <v>2805</v>
      </c>
      <c r="N394">
        <v>54363</v>
      </c>
      <c r="O394">
        <v>45500</v>
      </c>
      <c r="P394">
        <v>1</v>
      </c>
      <c r="Q394">
        <v>0</v>
      </c>
      <c r="S394">
        <v>143790</v>
      </c>
      <c r="T394">
        <v>0</v>
      </c>
      <c r="U394" t="s">
        <v>2807</v>
      </c>
      <c r="W394" t="s">
        <v>4505</v>
      </c>
      <c r="X394">
        <v>45500</v>
      </c>
      <c r="Y394">
        <v>41363.636363636302</v>
      </c>
      <c r="Z394" s="26">
        <v>46062</v>
      </c>
    </row>
    <row r="395" spans="1:26" x14ac:dyDescent="0.3">
      <c r="A395" s="50">
        <v>46061.809849537036</v>
      </c>
      <c r="B395">
        <v>2.02602081925375E+18</v>
      </c>
      <c r="C395" t="s">
        <v>4506</v>
      </c>
      <c r="D395" t="s">
        <v>4507</v>
      </c>
      <c r="E395" t="s">
        <v>4507</v>
      </c>
      <c r="F395" t="s">
        <v>4506</v>
      </c>
      <c r="G395" t="s">
        <v>4507</v>
      </c>
      <c r="H395" t="s">
        <v>4507</v>
      </c>
      <c r="I395">
        <v>16817</v>
      </c>
      <c r="J395" t="s">
        <v>4508</v>
      </c>
      <c r="K395" t="s">
        <v>4508</v>
      </c>
      <c r="L395" t="s">
        <v>2804</v>
      </c>
      <c r="M395" t="s">
        <v>2805</v>
      </c>
      <c r="N395">
        <v>54363</v>
      </c>
      <c r="O395">
        <v>45500</v>
      </c>
      <c r="P395">
        <v>1</v>
      </c>
      <c r="Q395">
        <v>0</v>
      </c>
      <c r="S395">
        <v>143790</v>
      </c>
      <c r="T395">
        <v>0</v>
      </c>
      <c r="U395" t="s">
        <v>2807</v>
      </c>
      <c r="W395" t="s">
        <v>4509</v>
      </c>
      <c r="X395">
        <v>45500</v>
      </c>
      <c r="Y395">
        <v>41363.636363636302</v>
      </c>
      <c r="Z395" s="26">
        <v>46062</v>
      </c>
    </row>
    <row r="396" spans="1:26" x14ac:dyDescent="0.3">
      <c r="A396" s="50">
        <v>46061.809745370374</v>
      </c>
      <c r="B396">
        <v>2.0260208192229901E+18</v>
      </c>
      <c r="C396" t="s">
        <v>4053</v>
      </c>
      <c r="D396" t="s">
        <v>4054</v>
      </c>
      <c r="E396" t="s">
        <v>4054</v>
      </c>
      <c r="F396" t="s">
        <v>4510</v>
      </c>
      <c r="G396" t="s">
        <v>4054</v>
      </c>
      <c r="H396" t="s">
        <v>4054</v>
      </c>
      <c r="I396">
        <v>41978</v>
      </c>
      <c r="J396" t="s">
        <v>4511</v>
      </c>
      <c r="K396" t="s">
        <v>4511</v>
      </c>
      <c r="L396" t="s">
        <v>2804</v>
      </c>
      <c r="M396" t="s">
        <v>2805</v>
      </c>
      <c r="N396">
        <v>108726</v>
      </c>
      <c r="O396">
        <v>45500</v>
      </c>
      <c r="P396">
        <v>2</v>
      </c>
      <c r="Q396">
        <v>0</v>
      </c>
      <c r="S396">
        <v>143790</v>
      </c>
      <c r="T396">
        <v>0</v>
      </c>
      <c r="U396" t="s">
        <v>2807</v>
      </c>
      <c r="W396" t="s">
        <v>4512</v>
      </c>
      <c r="X396">
        <v>91000</v>
      </c>
      <c r="Y396">
        <v>82727.272727272706</v>
      </c>
      <c r="Z396" s="26">
        <v>46062</v>
      </c>
    </row>
    <row r="397" spans="1:26" x14ac:dyDescent="0.3">
      <c r="A397" s="50">
        <v>46061.807939814818</v>
      </c>
      <c r="B397">
        <v>2.0260208192118999E+18</v>
      </c>
      <c r="C397" t="s">
        <v>4513</v>
      </c>
      <c r="D397" t="s">
        <v>4514</v>
      </c>
      <c r="E397" t="s">
        <v>4514</v>
      </c>
      <c r="F397" t="s">
        <v>4513</v>
      </c>
      <c r="G397" t="s">
        <v>4514</v>
      </c>
      <c r="H397" t="s">
        <v>4514</v>
      </c>
      <c r="I397">
        <v>11468</v>
      </c>
      <c r="J397" t="s">
        <v>4515</v>
      </c>
      <c r="K397" t="s">
        <v>4515</v>
      </c>
      <c r="L397" t="s">
        <v>2804</v>
      </c>
      <c r="M397" t="s">
        <v>2805</v>
      </c>
      <c r="N397">
        <v>54363</v>
      </c>
      <c r="O397">
        <v>45500</v>
      </c>
      <c r="P397">
        <v>1</v>
      </c>
      <c r="Q397">
        <v>0</v>
      </c>
      <c r="S397">
        <v>143790</v>
      </c>
      <c r="T397">
        <v>0</v>
      </c>
      <c r="U397" t="s">
        <v>2807</v>
      </c>
      <c r="W397" t="s">
        <v>4516</v>
      </c>
      <c r="X397">
        <v>45500</v>
      </c>
      <c r="Y397">
        <v>41363.636363636302</v>
      </c>
      <c r="Z397" s="26">
        <v>46062</v>
      </c>
    </row>
    <row r="398" spans="1:26" x14ac:dyDescent="0.3">
      <c r="A398" s="50">
        <v>46061.80232638889</v>
      </c>
      <c r="B398">
        <v>2.0260208191306399E+18</v>
      </c>
      <c r="C398" t="s">
        <v>3413</v>
      </c>
      <c r="D398" t="s">
        <v>3414</v>
      </c>
      <c r="E398" t="s">
        <v>3414</v>
      </c>
      <c r="F398" t="s">
        <v>3413</v>
      </c>
      <c r="G398" t="s">
        <v>3414</v>
      </c>
      <c r="H398" t="s">
        <v>3414</v>
      </c>
      <c r="I398">
        <v>34023</v>
      </c>
      <c r="J398" t="s">
        <v>3415</v>
      </c>
      <c r="K398" t="s">
        <v>3415</v>
      </c>
      <c r="L398" t="s">
        <v>2804</v>
      </c>
      <c r="M398" t="s">
        <v>2805</v>
      </c>
      <c r="N398">
        <v>108726</v>
      </c>
      <c r="O398">
        <v>45500</v>
      </c>
      <c r="P398">
        <v>2</v>
      </c>
      <c r="Q398">
        <v>0</v>
      </c>
      <c r="S398">
        <v>143790</v>
      </c>
      <c r="T398">
        <v>0</v>
      </c>
      <c r="U398" t="s">
        <v>2807</v>
      </c>
      <c r="W398" t="s">
        <v>4517</v>
      </c>
      <c r="X398">
        <v>91000</v>
      </c>
      <c r="Y398">
        <v>82727.272727272706</v>
      </c>
      <c r="Z398" s="26">
        <v>46062</v>
      </c>
    </row>
    <row r="399" spans="1:26" x14ac:dyDescent="0.3">
      <c r="A399" s="50">
        <v>46061.789537037039</v>
      </c>
      <c r="B399">
        <v>2.0260208185549701E+18</v>
      </c>
      <c r="C399" t="s">
        <v>4518</v>
      </c>
      <c r="D399" t="s">
        <v>4519</v>
      </c>
      <c r="E399" t="s">
        <v>4519</v>
      </c>
      <c r="F399" t="s">
        <v>4518</v>
      </c>
      <c r="G399" t="s">
        <v>4519</v>
      </c>
      <c r="H399" t="s">
        <v>4519</v>
      </c>
      <c r="I399">
        <v>17039</v>
      </c>
      <c r="J399" t="s">
        <v>4520</v>
      </c>
      <c r="K399" t="s">
        <v>4520</v>
      </c>
      <c r="L399" t="s">
        <v>2804</v>
      </c>
      <c r="M399" t="s">
        <v>2805</v>
      </c>
      <c r="N399">
        <v>54363</v>
      </c>
      <c r="O399">
        <v>45500</v>
      </c>
      <c r="P399">
        <v>1</v>
      </c>
      <c r="Q399">
        <v>0</v>
      </c>
      <c r="S399">
        <v>143790</v>
      </c>
      <c r="T399">
        <v>0</v>
      </c>
      <c r="U399" t="s">
        <v>2807</v>
      </c>
      <c r="W399" t="s">
        <v>4521</v>
      </c>
      <c r="X399">
        <v>45500</v>
      </c>
      <c r="Y399">
        <v>41363.636363636302</v>
      </c>
      <c r="Z399" s="26">
        <v>46062</v>
      </c>
    </row>
    <row r="400" spans="1:26" x14ac:dyDescent="0.3">
      <c r="A400" s="50">
        <v>46061.787511574075</v>
      </c>
      <c r="B400">
        <v>2.02602081851182E+18</v>
      </c>
      <c r="C400" t="s">
        <v>4522</v>
      </c>
      <c r="D400" t="s">
        <v>4523</v>
      </c>
      <c r="E400" t="s">
        <v>4523</v>
      </c>
      <c r="F400" t="s">
        <v>4522</v>
      </c>
      <c r="G400" t="s">
        <v>4523</v>
      </c>
      <c r="H400" t="s">
        <v>4523</v>
      </c>
      <c r="I400">
        <v>5323</v>
      </c>
      <c r="J400" t="s">
        <v>4524</v>
      </c>
      <c r="K400" t="s">
        <v>4524</v>
      </c>
      <c r="L400" t="s">
        <v>2804</v>
      </c>
      <c r="M400" t="s">
        <v>2805</v>
      </c>
      <c r="N400">
        <v>54363</v>
      </c>
      <c r="O400">
        <v>45500</v>
      </c>
      <c r="P400">
        <v>1</v>
      </c>
      <c r="Q400">
        <v>0</v>
      </c>
      <c r="S400">
        <v>143790</v>
      </c>
      <c r="T400">
        <v>0</v>
      </c>
      <c r="U400" t="s">
        <v>2807</v>
      </c>
      <c r="W400" t="s">
        <v>4525</v>
      </c>
      <c r="X400">
        <v>45500</v>
      </c>
      <c r="Y400">
        <v>41363.636363636302</v>
      </c>
      <c r="Z400" s="26">
        <v>46062</v>
      </c>
    </row>
    <row r="401" spans="1:26" x14ac:dyDescent="0.3">
      <c r="A401" s="50">
        <v>46061.779965277776</v>
      </c>
      <c r="B401">
        <v>2.02602081842179E+18</v>
      </c>
      <c r="C401" t="s">
        <v>4526</v>
      </c>
      <c r="D401" t="s">
        <v>4527</v>
      </c>
      <c r="E401" t="s">
        <v>4527</v>
      </c>
      <c r="F401" t="s">
        <v>4526</v>
      </c>
      <c r="G401" t="s">
        <v>4527</v>
      </c>
      <c r="H401" t="s">
        <v>4527</v>
      </c>
      <c r="I401">
        <v>32558</v>
      </c>
      <c r="J401" t="s">
        <v>4528</v>
      </c>
      <c r="K401" t="s">
        <v>4528</v>
      </c>
      <c r="L401" t="s">
        <v>2804</v>
      </c>
      <c r="M401" t="s">
        <v>2805</v>
      </c>
      <c r="N401">
        <v>54363</v>
      </c>
      <c r="O401">
        <v>45500</v>
      </c>
      <c r="P401">
        <v>1</v>
      </c>
      <c r="Q401">
        <v>0</v>
      </c>
      <c r="S401">
        <v>143790</v>
      </c>
      <c r="T401">
        <v>0</v>
      </c>
      <c r="U401" t="s">
        <v>2807</v>
      </c>
      <c r="W401" t="s">
        <v>4529</v>
      </c>
      <c r="X401">
        <v>45500</v>
      </c>
      <c r="Y401">
        <v>41363.636363636302</v>
      </c>
      <c r="Z401" s="26">
        <v>46062</v>
      </c>
    </row>
    <row r="402" spans="1:26" x14ac:dyDescent="0.3">
      <c r="A402" s="50">
        <v>46061.764791666668</v>
      </c>
      <c r="B402">
        <v>2.02602081819518E+18</v>
      </c>
      <c r="C402" t="s">
        <v>4530</v>
      </c>
      <c r="D402" t="s">
        <v>4531</v>
      </c>
      <c r="E402" t="s">
        <v>4531</v>
      </c>
      <c r="F402" t="s">
        <v>4530</v>
      </c>
      <c r="G402" t="s">
        <v>4531</v>
      </c>
      <c r="H402" t="s">
        <v>4531</v>
      </c>
      <c r="I402">
        <v>57237</v>
      </c>
      <c r="J402" t="s">
        <v>4532</v>
      </c>
      <c r="K402" t="s">
        <v>4532</v>
      </c>
      <c r="L402" t="s">
        <v>2804</v>
      </c>
      <c r="M402" t="s">
        <v>2805</v>
      </c>
      <c r="N402">
        <v>54363</v>
      </c>
      <c r="O402">
        <v>45500</v>
      </c>
      <c r="P402">
        <v>1</v>
      </c>
      <c r="Q402">
        <v>0</v>
      </c>
      <c r="S402">
        <v>143790</v>
      </c>
      <c r="T402">
        <v>0</v>
      </c>
      <c r="U402" t="s">
        <v>2807</v>
      </c>
      <c r="W402" t="s">
        <v>4533</v>
      </c>
      <c r="X402">
        <v>45500</v>
      </c>
      <c r="Y402">
        <v>41363.636363636302</v>
      </c>
      <c r="Z402" s="26">
        <v>46062</v>
      </c>
    </row>
    <row r="403" spans="1:26" x14ac:dyDescent="0.3">
      <c r="A403" s="50">
        <v>46061.758888888886</v>
      </c>
      <c r="B403">
        <v>2.0260208181204301E+18</v>
      </c>
      <c r="C403" t="s">
        <v>4534</v>
      </c>
      <c r="D403" t="s">
        <v>4535</v>
      </c>
      <c r="E403" t="s">
        <v>4535</v>
      </c>
      <c r="F403" t="s">
        <v>4536</v>
      </c>
      <c r="G403" t="s">
        <v>4535</v>
      </c>
      <c r="H403" t="s">
        <v>4535</v>
      </c>
      <c r="I403">
        <v>2803</v>
      </c>
      <c r="J403" t="s">
        <v>4537</v>
      </c>
      <c r="K403" t="s">
        <v>4537</v>
      </c>
      <c r="L403" t="s">
        <v>2804</v>
      </c>
      <c r="M403" t="s">
        <v>2805</v>
      </c>
      <c r="N403">
        <v>54363</v>
      </c>
      <c r="O403">
        <v>45500</v>
      </c>
      <c r="P403">
        <v>1</v>
      </c>
      <c r="Q403">
        <v>0</v>
      </c>
      <c r="S403">
        <v>143790</v>
      </c>
      <c r="T403">
        <v>0</v>
      </c>
      <c r="U403" t="s">
        <v>2807</v>
      </c>
      <c r="W403" t="s">
        <v>4538</v>
      </c>
      <c r="X403">
        <v>45500</v>
      </c>
      <c r="Y403">
        <v>41363.636363636302</v>
      </c>
      <c r="Z403" s="26">
        <v>46062</v>
      </c>
    </row>
    <row r="404" spans="1:26" x14ac:dyDescent="0.3">
      <c r="A404" s="50">
        <v>46061.753923611112</v>
      </c>
      <c r="B404">
        <v>2.0260208180349399E+18</v>
      </c>
      <c r="C404" t="s">
        <v>4539</v>
      </c>
      <c r="D404" t="s">
        <v>4540</v>
      </c>
      <c r="E404" t="s">
        <v>4540</v>
      </c>
      <c r="F404" t="s">
        <v>4541</v>
      </c>
      <c r="G404" t="s">
        <v>4542</v>
      </c>
      <c r="H404" t="s">
        <v>4542</v>
      </c>
      <c r="I404">
        <v>4901</v>
      </c>
      <c r="J404" t="s">
        <v>4543</v>
      </c>
      <c r="K404" t="s">
        <v>4543</v>
      </c>
      <c r="L404" t="s">
        <v>2804</v>
      </c>
      <c r="M404" t="s">
        <v>2805</v>
      </c>
      <c r="N404">
        <v>54363</v>
      </c>
      <c r="O404">
        <v>45500</v>
      </c>
      <c r="P404">
        <v>1</v>
      </c>
      <c r="Q404">
        <v>0</v>
      </c>
      <c r="R404" t="s">
        <v>4182</v>
      </c>
      <c r="S404">
        <v>143790</v>
      </c>
      <c r="T404">
        <v>0</v>
      </c>
      <c r="U404" t="s">
        <v>2807</v>
      </c>
      <c r="W404" t="s">
        <v>4544</v>
      </c>
      <c r="X404">
        <v>45500</v>
      </c>
      <c r="Y404">
        <v>41363.636363636302</v>
      </c>
      <c r="Z404" s="26">
        <v>46062</v>
      </c>
    </row>
    <row r="405" spans="1:26" x14ac:dyDescent="0.3">
      <c r="A405" s="50">
        <v>46061.752858796295</v>
      </c>
      <c r="B405">
        <v>2.0260208180218501E+18</v>
      </c>
      <c r="C405" t="s">
        <v>4545</v>
      </c>
      <c r="D405" t="s">
        <v>4546</v>
      </c>
      <c r="E405" t="s">
        <v>4546</v>
      </c>
      <c r="F405" t="s">
        <v>4545</v>
      </c>
      <c r="G405" t="s">
        <v>4546</v>
      </c>
      <c r="H405" t="s">
        <v>4546</v>
      </c>
      <c r="I405">
        <v>15888</v>
      </c>
      <c r="J405" t="s">
        <v>4547</v>
      </c>
      <c r="K405" t="s">
        <v>4547</v>
      </c>
      <c r="L405" t="s">
        <v>2804</v>
      </c>
      <c r="M405" t="s">
        <v>2805</v>
      </c>
      <c r="N405">
        <v>54363</v>
      </c>
      <c r="O405">
        <v>45500</v>
      </c>
      <c r="P405">
        <v>1</v>
      </c>
      <c r="Q405">
        <v>0</v>
      </c>
      <c r="S405">
        <v>143790</v>
      </c>
      <c r="T405">
        <v>0</v>
      </c>
      <c r="U405" t="s">
        <v>2807</v>
      </c>
      <c r="W405" t="s">
        <v>4548</v>
      </c>
      <c r="X405">
        <v>45500</v>
      </c>
      <c r="Y405">
        <v>41363.636363636302</v>
      </c>
      <c r="Z405" s="26">
        <v>46062</v>
      </c>
    </row>
    <row r="406" spans="1:26" x14ac:dyDescent="0.3">
      <c r="A406" s="50">
        <v>46061.742303240739</v>
      </c>
      <c r="B406">
        <v>2.0260208174533199E+18</v>
      </c>
      <c r="C406" t="s">
        <v>4549</v>
      </c>
      <c r="D406" t="s">
        <v>4550</v>
      </c>
      <c r="E406" t="s">
        <v>4550</v>
      </c>
      <c r="F406" t="s">
        <v>4549</v>
      </c>
      <c r="G406" t="s">
        <v>4550</v>
      </c>
      <c r="H406" t="s">
        <v>4550</v>
      </c>
      <c r="I406">
        <v>6998</v>
      </c>
      <c r="J406" t="s">
        <v>4551</v>
      </c>
      <c r="K406" t="s">
        <v>4551</v>
      </c>
      <c r="L406" t="s">
        <v>2804</v>
      </c>
      <c r="M406" t="s">
        <v>2805</v>
      </c>
      <c r="N406">
        <v>54363</v>
      </c>
      <c r="O406">
        <v>45500</v>
      </c>
      <c r="P406">
        <v>1</v>
      </c>
      <c r="Q406">
        <v>0</v>
      </c>
      <c r="R406" t="s">
        <v>4552</v>
      </c>
      <c r="S406">
        <v>143790</v>
      </c>
      <c r="T406">
        <v>0</v>
      </c>
      <c r="U406" t="s">
        <v>2807</v>
      </c>
      <c r="W406" t="s">
        <v>4553</v>
      </c>
      <c r="X406">
        <v>45500</v>
      </c>
      <c r="Y406">
        <v>41363.636363636302</v>
      </c>
      <c r="Z406" s="26">
        <v>46062</v>
      </c>
    </row>
    <row r="407" spans="1:26" x14ac:dyDescent="0.3">
      <c r="A407" s="50">
        <v>46061.742199074077</v>
      </c>
      <c r="B407">
        <v>2.0260208174738801E+18</v>
      </c>
      <c r="C407" t="s">
        <v>4554</v>
      </c>
      <c r="D407" t="s">
        <v>4555</v>
      </c>
      <c r="E407" t="s">
        <v>4555</v>
      </c>
      <c r="F407" t="s">
        <v>4554</v>
      </c>
      <c r="G407" t="s">
        <v>4555</v>
      </c>
      <c r="H407" t="s">
        <v>4555</v>
      </c>
      <c r="I407">
        <v>12777</v>
      </c>
      <c r="J407" t="s">
        <v>4556</v>
      </c>
      <c r="K407" t="s">
        <v>4556</v>
      </c>
      <c r="L407" t="s">
        <v>2804</v>
      </c>
      <c r="M407" t="s">
        <v>2805</v>
      </c>
      <c r="N407">
        <v>54363</v>
      </c>
      <c r="O407">
        <v>45500</v>
      </c>
      <c r="P407">
        <v>1</v>
      </c>
      <c r="Q407">
        <v>0</v>
      </c>
      <c r="S407">
        <v>143790</v>
      </c>
      <c r="T407">
        <v>0</v>
      </c>
      <c r="U407" t="s">
        <v>2807</v>
      </c>
      <c r="W407" t="s">
        <v>4557</v>
      </c>
      <c r="X407">
        <v>45500</v>
      </c>
      <c r="Y407">
        <v>41363.636363636302</v>
      </c>
      <c r="Z407" s="26">
        <v>46062</v>
      </c>
    </row>
    <row r="408" spans="1:26" x14ac:dyDescent="0.3">
      <c r="A408" s="50">
        <v>46061.73877314815</v>
      </c>
      <c r="B408">
        <v>2.02602081739326E+18</v>
      </c>
      <c r="C408" t="s">
        <v>4558</v>
      </c>
      <c r="D408" t="s">
        <v>4559</v>
      </c>
      <c r="E408" t="s">
        <v>4559</v>
      </c>
      <c r="F408" t="s">
        <v>4558</v>
      </c>
      <c r="G408" t="s">
        <v>4559</v>
      </c>
      <c r="H408" t="s">
        <v>4559</v>
      </c>
      <c r="I408">
        <v>24230</v>
      </c>
      <c r="J408" t="s">
        <v>4560</v>
      </c>
      <c r="K408" t="s">
        <v>4560</v>
      </c>
      <c r="L408" t="s">
        <v>2804</v>
      </c>
      <c r="M408" t="s">
        <v>2805</v>
      </c>
      <c r="N408">
        <v>54363</v>
      </c>
      <c r="O408">
        <v>45500</v>
      </c>
      <c r="P408">
        <v>1</v>
      </c>
      <c r="Q408">
        <v>0</v>
      </c>
      <c r="R408" t="s">
        <v>4561</v>
      </c>
      <c r="S408">
        <v>143790</v>
      </c>
      <c r="T408">
        <v>0</v>
      </c>
      <c r="U408" t="s">
        <v>2807</v>
      </c>
      <c r="W408" t="s">
        <v>4562</v>
      </c>
      <c r="X408">
        <v>45500</v>
      </c>
      <c r="Y408">
        <v>41363.636363636302</v>
      </c>
      <c r="Z408" s="26">
        <v>46062</v>
      </c>
    </row>
    <row r="409" spans="1:26" x14ac:dyDescent="0.3">
      <c r="A409" s="50">
        <v>46061.634780092594</v>
      </c>
      <c r="B409">
        <v>2.02602081512415E+18</v>
      </c>
      <c r="C409" t="s">
        <v>4563</v>
      </c>
      <c r="D409" t="s">
        <v>4564</v>
      </c>
      <c r="E409" t="s">
        <v>4564</v>
      </c>
      <c r="F409" t="s">
        <v>4563</v>
      </c>
      <c r="G409" t="s">
        <v>4564</v>
      </c>
      <c r="H409" t="s">
        <v>4564</v>
      </c>
      <c r="I409">
        <v>52128</v>
      </c>
      <c r="J409" t="s">
        <v>4565</v>
      </c>
      <c r="K409" t="s">
        <v>4565</v>
      </c>
      <c r="L409" t="s">
        <v>2804</v>
      </c>
      <c r="M409" t="s">
        <v>2805</v>
      </c>
      <c r="N409">
        <v>54363</v>
      </c>
      <c r="O409">
        <v>45500</v>
      </c>
      <c r="P409">
        <v>1</v>
      </c>
      <c r="Q409">
        <v>0</v>
      </c>
      <c r="S409">
        <v>143790</v>
      </c>
      <c r="T409">
        <v>0</v>
      </c>
      <c r="U409" t="s">
        <v>2807</v>
      </c>
      <c r="W409" t="s">
        <v>4566</v>
      </c>
      <c r="X409">
        <v>45500</v>
      </c>
      <c r="Y409">
        <v>41363.636363636302</v>
      </c>
      <c r="Z409" s="26">
        <v>46062</v>
      </c>
    </row>
    <row r="410" spans="1:26" x14ac:dyDescent="0.3">
      <c r="A410" s="50">
        <v>46061.605949074074</v>
      </c>
      <c r="B410">
        <v>2.02602081430526E+18</v>
      </c>
      <c r="C410" t="s">
        <v>4567</v>
      </c>
      <c r="D410" t="s">
        <v>4568</v>
      </c>
      <c r="E410" t="s">
        <v>4568</v>
      </c>
      <c r="F410" t="s">
        <v>4569</v>
      </c>
      <c r="G410" t="s">
        <v>4570</v>
      </c>
      <c r="H410" t="s">
        <v>4570</v>
      </c>
      <c r="I410">
        <v>15011</v>
      </c>
      <c r="J410" t="s">
        <v>4571</v>
      </c>
      <c r="K410" t="s">
        <v>4571</v>
      </c>
      <c r="L410" t="s">
        <v>2804</v>
      </c>
      <c r="M410" t="s">
        <v>2805</v>
      </c>
      <c r="N410">
        <v>54363</v>
      </c>
      <c r="O410">
        <v>45500</v>
      </c>
      <c r="P410">
        <v>1</v>
      </c>
      <c r="Q410">
        <v>0</v>
      </c>
      <c r="S410">
        <v>143790</v>
      </c>
      <c r="T410">
        <v>0</v>
      </c>
      <c r="U410" t="s">
        <v>2807</v>
      </c>
      <c r="W410" t="s">
        <v>4572</v>
      </c>
      <c r="X410">
        <v>45500</v>
      </c>
      <c r="Y410">
        <v>41363.636363636302</v>
      </c>
      <c r="Z410" s="26">
        <v>46062</v>
      </c>
    </row>
    <row r="411" spans="1:26" x14ac:dyDescent="0.3">
      <c r="A411" s="50">
        <v>46061.603229166663</v>
      </c>
      <c r="B411">
        <v>2.0260208142653399E+18</v>
      </c>
      <c r="C411" t="s">
        <v>4567</v>
      </c>
      <c r="D411" t="s">
        <v>4568</v>
      </c>
      <c r="E411" t="s">
        <v>4568</v>
      </c>
      <c r="F411" t="s">
        <v>4573</v>
      </c>
      <c r="G411" t="s">
        <v>4574</v>
      </c>
      <c r="H411" t="s">
        <v>4574</v>
      </c>
      <c r="I411">
        <v>63062</v>
      </c>
      <c r="J411" t="s">
        <v>4575</v>
      </c>
      <c r="K411" t="s">
        <v>4575</v>
      </c>
      <c r="L411" t="s">
        <v>2804</v>
      </c>
      <c r="M411" t="s">
        <v>2805</v>
      </c>
      <c r="N411">
        <v>54363</v>
      </c>
      <c r="O411">
        <v>45500</v>
      </c>
      <c r="P411">
        <v>1</v>
      </c>
      <c r="Q411">
        <v>0</v>
      </c>
      <c r="S411">
        <v>143790</v>
      </c>
      <c r="T411">
        <v>0</v>
      </c>
      <c r="U411" t="s">
        <v>2807</v>
      </c>
      <c r="W411" t="s">
        <v>4576</v>
      </c>
      <c r="X411">
        <v>45500</v>
      </c>
      <c r="Y411">
        <v>41363.636363636302</v>
      </c>
      <c r="Z411" s="26">
        <v>46062</v>
      </c>
    </row>
    <row r="412" spans="1:26" x14ac:dyDescent="0.3">
      <c r="A412" s="50">
        <v>46061.596400462964</v>
      </c>
      <c r="B412">
        <v>2.02602081417554E+18</v>
      </c>
      <c r="C412" t="s">
        <v>4577</v>
      </c>
      <c r="D412" t="s">
        <v>4578</v>
      </c>
      <c r="E412" t="s">
        <v>4578</v>
      </c>
      <c r="F412" t="s">
        <v>4579</v>
      </c>
      <c r="G412" t="s">
        <v>4580</v>
      </c>
      <c r="H412" t="s">
        <v>4580</v>
      </c>
      <c r="I412">
        <v>10364</v>
      </c>
      <c r="J412" t="s">
        <v>4581</v>
      </c>
      <c r="K412" t="s">
        <v>4581</v>
      </c>
      <c r="L412" t="s">
        <v>2804</v>
      </c>
      <c r="M412" t="s">
        <v>2805</v>
      </c>
      <c r="N412">
        <v>54363</v>
      </c>
      <c r="O412">
        <v>45500</v>
      </c>
      <c r="P412">
        <v>1</v>
      </c>
      <c r="Q412">
        <v>0</v>
      </c>
      <c r="S412">
        <v>143790</v>
      </c>
      <c r="T412">
        <v>0</v>
      </c>
      <c r="U412" t="s">
        <v>2807</v>
      </c>
      <c r="W412" t="s">
        <v>4582</v>
      </c>
      <c r="X412">
        <v>45500</v>
      </c>
      <c r="Y412">
        <v>41363.636363636302</v>
      </c>
      <c r="Z412" s="26">
        <v>46062</v>
      </c>
    </row>
    <row r="413" spans="1:26" x14ac:dyDescent="0.3">
      <c r="A413" s="50">
        <v>46061.590011574073</v>
      </c>
      <c r="B413">
        <v>2.0260208140811899E+18</v>
      </c>
      <c r="C413" t="s">
        <v>4577</v>
      </c>
      <c r="D413" t="s">
        <v>4578</v>
      </c>
      <c r="E413" t="s">
        <v>4578</v>
      </c>
      <c r="F413" t="s">
        <v>4583</v>
      </c>
      <c r="G413" t="s">
        <v>4584</v>
      </c>
      <c r="H413" t="s">
        <v>4584</v>
      </c>
      <c r="I413">
        <v>10543</v>
      </c>
      <c r="J413" t="s">
        <v>4585</v>
      </c>
      <c r="K413" t="s">
        <v>4585</v>
      </c>
      <c r="L413" t="s">
        <v>2804</v>
      </c>
      <c r="M413" t="s">
        <v>2805</v>
      </c>
      <c r="N413">
        <v>54363</v>
      </c>
      <c r="O413">
        <v>45500</v>
      </c>
      <c r="P413">
        <v>1</v>
      </c>
      <c r="Q413">
        <v>0</v>
      </c>
      <c r="S413">
        <v>143790</v>
      </c>
      <c r="T413">
        <v>0</v>
      </c>
      <c r="U413" t="s">
        <v>2807</v>
      </c>
      <c r="W413" t="s">
        <v>4586</v>
      </c>
      <c r="X413">
        <v>45500</v>
      </c>
      <c r="Y413">
        <v>41363.636363636302</v>
      </c>
      <c r="Z413" s="26">
        <v>46062</v>
      </c>
    </row>
    <row r="414" spans="1:26" x14ac:dyDescent="0.3">
      <c r="A414" s="50">
        <v>46061.557581018518</v>
      </c>
      <c r="B414">
        <v>2.0260208132033999E+18</v>
      </c>
      <c r="C414" t="s">
        <v>4587</v>
      </c>
      <c r="D414" t="s">
        <v>4588</v>
      </c>
      <c r="E414" t="s">
        <v>4588</v>
      </c>
      <c r="F414" t="s">
        <v>4589</v>
      </c>
      <c r="G414" t="s">
        <v>4590</v>
      </c>
      <c r="H414" t="s">
        <v>4590</v>
      </c>
      <c r="I414">
        <v>41838</v>
      </c>
      <c r="J414" t="s">
        <v>4591</v>
      </c>
      <c r="K414" t="s">
        <v>4591</v>
      </c>
      <c r="L414" t="s">
        <v>2804</v>
      </c>
      <c r="M414" t="s">
        <v>2805</v>
      </c>
      <c r="N414">
        <v>108726</v>
      </c>
      <c r="O414">
        <v>45500</v>
      </c>
      <c r="P414">
        <v>2</v>
      </c>
      <c r="Q414">
        <v>0</v>
      </c>
      <c r="S414">
        <v>143790</v>
      </c>
      <c r="T414">
        <v>0</v>
      </c>
      <c r="U414" t="s">
        <v>2807</v>
      </c>
      <c r="W414" t="s">
        <v>4592</v>
      </c>
      <c r="X414">
        <v>91000</v>
      </c>
      <c r="Y414">
        <v>82727.272727272706</v>
      </c>
      <c r="Z414" s="26">
        <v>46062</v>
      </c>
    </row>
    <row r="415" spans="1:26" x14ac:dyDescent="0.3">
      <c r="A415" s="50">
        <v>46061.538715277777</v>
      </c>
      <c r="B415">
        <v>2.02602081254462E+18</v>
      </c>
      <c r="C415" t="s">
        <v>4577</v>
      </c>
      <c r="D415" t="s">
        <v>4578</v>
      </c>
      <c r="E415" t="s">
        <v>4578</v>
      </c>
      <c r="F415" t="s">
        <v>4593</v>
      </c>
      <c r="G415" t="s">
        <v>4594</v>
      </c>
      <c r="H415" t="s">
        <v>4594</v>
      </c>
      <c r="I415">
        <v>6083</v>
      </c>
      <c r="J415" t="s">
        <v>4595</v>
      </c>
      <c r="K415" t="s">
        <v>4595</v>
      </c>
      <c r="L415" t="s">
        <v>2804</v>
      </c>
      <c r="M415" t="s">
        <v>2805</v>
      </c>
      <c r="N415">
        <v>54363</v>
      </c>
      <c r="O415">
        <v>45500</v>
      </c>
      <c r="P415">
        <v>1</v>
      </c>
      <c r="Q415">
        <v>0</v>
      </c>
      <c r="S415">
        <v>143790</v>
      </c>
      <c r="T415">
        <v>0</v>
      </c>
      <c r="U415" t="s">
        <v>2807</v>
      </c>
      <c r="W415" t="s">
        <v>4596</v>
      </c>
      <c r="X415">
        <v>45500</v>
      </c>
      <c r="Y415">
        <v>41363.636363636302</v>
      </c>
      <c r="Z415" s="26">
        <v>46062</v>
      </c>
    </row>
    <row r="416" spans="1:26" x14ac:dyDescent="0.3">
      <c r="A416" s="50">
        <v>46061.533854166664</v>
      </c>
      <c r="B416">
        <v>2.0260208124821399E+18</v>
      </c>
      <c r="C416" t="s">
        <v>4597</v>
      </c>
      <c r="D416" t="s">
        <v>4598</v>
      </c>
      <c r="E416" t="s">
        <v>4598</v>
      </c>
      <c r="F416" t="s">
        <v>4597</v>
      </c>
      <c r="G416" t="s">
        <v>4598</v>
      </c>
      <c r="H416" t="s">
        <v>4598</v>
      </c>
      <c r="I416">
        <v>16224</v>
      </c>
      <c r="J416" t="s">
        <v>4599</v>
      </c>
      <c r="K416" t="s">
        <v>4599</v>
      </c>
      <c r="L416" t="s">
        <v>2804</v>
      </c>
      <c r="M416" t="s">
        <v>2805</v>
      </c>
      <c r="N416">
        <v>54363</v>
      </c>
      <c r="O416">
        <v>45500</v>
      </c>
      <c r="P416">
        <v>1</v>
      </c>
      <c r="Q416">
        <v>0</v>
      </c>
      <c r="S416">
        <v>143790</v>
      </c>
      <c r="T416">
        <v>0</v>
      </c>
      <c r="U416" t="s">
        <v>2807</v>
      </c>
      <c r="W416" t="s">
        <v>4600</v>
      </c>
      <c r="X416">
        <v>45500</v>
      </c>
      <c r="Y416">
        <v>41363.636363636302</v>
      </c>
      <c r="Z416" s="26">
        <v>46062</v>
      </c>
    </row>
    <row r="417" spans="1:26" x14ac:dyDescent="0.3">
      <c r="A417" s="50">
        <v>46061.526724537034</v>
      </c>
      <c r="B417">
        <v>2.0260208123745999E+18</v>
      </c>
      <c r="C417" t="s">
        <v>4577</v>
      </c>
      <c r="D417" t="s">
        <v>4578</v>
      </c>
      <c r="E417" t="s">
        <v>4578</v>
      </c>
      <c r="F417" t="s">
        <v>3176</v>
      </c>
      <c r="G417" t="s">
        <v>4601</v>
      </c>
      <c r="H417" t="s">
        <v>4601</v>
      </c>
      <c r="I417">
        <v>14742</v>
      </c>
      <c r="J417" t="s">
        <v>4602</v>
      </c>
      <c r="K417" t="s">
        <v>4602</v>
      </c>
      <c r="L417" t="s">
        <v>2804</v>
      </c>
      <c r="M417" t="s">
        <v>2805</v>
      </c>
      <c r="N417">
        <v>54363</v>
      </c>
      <c r="O417">
        <v>45500</v>
      </c>
      <c r="P417">
        <v>1</v>
      </c>
      <c r="Q417">
        <v>0</v>
      </c>
      <c r="S417">
        <v>143790</v>
      </c>
      <c r="T417">
        <v>0</v>
      </c>
      <c r="U417" t="s">
        <v>2807</v>
      </c>
      <c r="W417" t="s">
        <v>4603</v>
      </c>
      <c r="X417">
        <v>45500</v>
      </c>
      <c r="Y417">
        <v>41363.636363636302</v>
      </c>
      <c r="Z417" s="26">
        <v>46062</v>
      </c>
    </row>
    <row r="418" spans="1:26" x14ac:dyDescent="0.3">
      <c r="A418" s="50">
        <v>46061.523182870369</v>
      </c>
      <c r="B418">
        <v>2.02602081232383E+18</v>
      </c>
      <c r="C418" t="s">
        <v>4577</v>
      </c>
      <c r="D418" t="s">
        <v>4578</v>
      </c>
      <c r="E418" t="s">
        <v>4578</v>
      </c>
      <c r="F418" t="s">
        <v>4604</v>
      </c>
      <c r="G418" t="s">
        <v>4605</v>
      </c>
      <c r="H418" t="s">
        <v>4605</v>
      </c>
      <c r="I418">
        <v>11346</v>
      </c>
      <c r="J418" t="s">
        <v>4606</v>
      </c>
      <c r="K418" t="s">
        <v>4606</v>
      </c>
      <c r="L418" t="s">
        <v>2804</v>
      </c>
      <c r="M418" t="s">
        <v>2805</v>
      </c>
      <c r="N418">
        <v>54363</v>
      </c>
      <c r="O418">
        <v>45500</v>
      </c>
      <c r="P418">
        <v>1</v>
      </c>
      <c r="Q418">
        <v>0</v>
      </c>
      <c r="S418">
        <v>143790</v>
      </c>
      <c r="T418">
        <v>0</v>
      </c>
      <c r="U418" t="s">
        <v>2807</v>
      </c>
      <c r="W418" t="s">
        <v>4607</v>
      </c>
      <c r="X418">
        <v>45500</v>
      </c>
      <c r="Y418">
        <v>41363.636363636302</v>
      </c>
      <c r="Z418" s="26">
        <v>46062</v>
      </c>
    </row>
    <row r="419" spans="1:26" x14ac:dyDescent="0.3">
      <c r="A419" s="50">
        <v>46061.521481481483</v>
      </c>
      <c r="B419">
        <v>2.02602081228477E+18</v>
      </c>
      <c r="C419" t="s">
        <v>4577</v>
      </c>
      <c r="D419" t="s">
        <v>4578</v>
      </c>
      <c r="E419" t="s">
        <v>4578</v>
      </c>
      <c r="F419" t="s">
        <v>4608</v>
      </c>
      <c r="G419" t="s">
        <v>4609</v>
      </c>
      <c r="H419" t="s">
        <v>4609</v>
      </c>
      <c r="I419">
        <v>18492</v>
      </c>
      <c r="J419" t="s">
        <v>4610</v>
      </c>
      <c r="K419" t="s">
        <v>4610</v>
      </c>
      <c r="L419" t="s">
        <v>2804</v>
      </c>
      <c r="M419" t="s">
        <v>2805</v>
      </c>
      <c r="N419">
        <v>54363</v>
      </c>
      <c r="O419">
        <v>45500</v>
      </c>
      <c r="P419">
        <v>1</v>
      </c>
      <c r="Q419">
        <v>0</v>
      </c>
      <c r="S419">
        <v>143790</v>
      </c>
      <c r="T419">
        <v>0</v>
      </c>
      <c r="U419" t="s">
        <v>2807</v>
      </c>
      <c r="W419" t="s">
        <v>4611</v>
      </c>
      <c r="X419">
        <v>45500</v>
      </c>
      <c r="Y419">
        <v>41363.636363636302</v>
      </c>
      <c r="Z419" s="26">
        <v>46062</v>
      </c>
    </row>
    <row r="420" spans="1:26" x14ac:dyDescent="0.3">
      <c r="A420" s="50">
        <v>46061.518738425926</v>
      </c>
      <c r="B420">
        <v>2.02602081225441E+18</v>
      </c>
      <c r="C420" t="s">
        <v>4577</v>
      </c>
      <c r="D420" t="s">
        <v>4578</v>
      </c>
      <c r="E420" t="s">
        <v>4578</v>
      </c>
      <c r="F420" t="s">
        <v>4612</v>
      </c>
      <c r="G420" t="s">
        <v>4613</v>
      </c>
      <c r="H420" t="s">
        <v>4613</v>
      </c>
      <c r="I420">
        <v>12253</v>
      </c>
      <c r="J420" t="s">
        <v>4614</v>
      </c>
      <c r="K420" t="s">
        <v>4614</v>
      </c>
      <c r="L420" t="s">
        <v>2804</v>
      </c>
      <c r="M420" t="s">
        <v>2805</v>
      </c>
      <c r="N420">
        <v>54363</v>
      </c>
      <c r="O420">
        <v>45500</v>
      </c>
      <c r="P420">
        <v>1</v>
      </c>
      <c r="Q420">
        <v>0</v>
      </c>
      <c r="S420">
        <v>143790</v>
      </c>
      <c r="T420">
        <v>0</v>
      </c>
      <c r="U420" t="s">
        <v>2807</v>
      </c>
      <c r="W420" t="s">
        <v>4615</v>
      </c>
      <c r="X420">
        <v>45500</v>
      </c>
      <c r="Y420">
        <v>41363.636363636302</v>
      </c>
      <c r="Z420" s="26">
        <v>46062</v>
      </c>
    </row>
    <row r="421" spans="1:26" x14ac:dyDescent="0.3">
      <c r="A421" s="50">
        <v>46061.516423611109</v>
      </c>
      <c r="B421">
        <v>2.0260208122208699E+18</v>
      </c>
      <c r="C421" t="s">
        <v>4616</v>
      </c>
      <c r="D421" t="s">
        <v>4617</v>
      </c>
      <c r="E421" t="s">
        <v>4617</v>
      </c>
      <c r="F421" t="s">
        <v>4616</v>
      </c>
      <c r="G421" t="s">
        <v>4617</v>
      </c>
      <c r="H421" t="s">
        <v>4617</v>
      </c>
      <c r="I421">
        <v>47054</v>
      </c>
      <c r="J421" t="s">
        <v>4618</v>
      </c>
      <c r="K421" t="s">
        <v>4618</v>
      </c>
      <c r="L421" t="s">
        <v>2804</v>
      </c>
      <c r="M421" t="s">
        <v>2805</v>
      </c>
      <c r="N421">
        <v>54363</v>
      </c>
      <c r="O421">
        <v>45500</v>
      </c>
      <c r="P421">
        <v>1</v>
      </c>
      <c r="Q421">
        <v>0</v>
      </c>
      <c r="R421" t="s">
        <v>4619</v>
      </c>
      <c r="S421">
        <v>143790</v>
      </c>
      <c r="T421">
        <v>0</v>
      </c>
      <c r="U421" t="s">
        <v>2807</v>
      </c>
      <c r="W421" t="s">
        <v>4620</v>
      </c>
      <c r="X421">
        <v>45500</v>
      </c>
      <c r="Y421">
        <v>41363.636363636302</v>
      </c>
      <c r="Z421" s="26">
        <v>46062</v>
      </c>
    </row>
    <row r="422" spans="1:26" x14ac:dyDescent="0.3">
      <c r="A422" s="50">
        <v>46061.509432870371</v>
      </c>
      <c r="B422">
        <v>2.0260208121309299E+18</v>
      </c>
      <c r="C422" t="s">
        <v>4621</v>
      </c>
      <c r="D422" t="s">
        <v>4622</v>
      </c>
      <c r="E422" t="s">
        <v>4622</v>
      </c>
      <c r="F422" t="s">
        <v>4621</v>
      </c>
      <c r="G422" t="s">
        <v>4622</v>
      </c>
      <c r="H422" t="s">
        <v>4622</v>
      </c>
      <c r="I422">
        <v>28416</v>
      </c>
      <c r="J422" t="s">
        <v>4623</v>
      </c>
      <c r="K422" t="s">
        <v>4623</v>
      </c>
      <c r="L422" t="s">
        <v>2804</v>
      </c>
      <c r="M422" t="s">
        <v>2805</v>
      </c>
      <c r="N422">
        <v>54363</v>
      </c>
      <c r="O422">
        <v>45500</v>
      </c>
      <c r="P422">
        <v>1</v>
      </c>
      <c r="Q422">
        <v>0</v>
      </c>
      <c r="R422" t="s">
        <v>3243</v>
      </c>
      <c r="S422">
        <v>143790</v>
      </c>
      <c r="T422">
        <v>0</v>
      </c>
      <c r="U422" t="s">
        <v>2807</v>
      </c>
      <c r="W422" t="s">
        <v>4624</v>
      </c>
      <c r="X422">
        <v>45500</v>
      </c>
      <c r="Y422">
        <v>41363.636363636302</v>
      </c>
      <c r="Z422" s="26">
        <v>46062</v>
      </c>
    </row>
    <row r="423" spans="1:26" x14ac:dyDescent="0.3">
      <c r="A423" s="50">
        <v>46061.424976851849</v>
      </c>
      <c r="B423">
        <v>2.0260208101034299E+18</v>
      </c>
      <c r="C423" t="s">
        <v>4625</v>
      </c>
      <c r="D423" t="s">
        <v>4626</v>
      </c>
      <c r="E423" t="s">
        <v>4626</v>
      </c>
      <c r="F423" t="s">
        <v>4625</v>
      </c>
      <c r="G423" t="s">
        <v>4626</v>
      </c>
      <c r="H423" t="s">
        <v>4626</v>
      </c>
      <c r="I423">
        <v>8106</v>
      </c>
      <c r="J423" t="s">
        <v>4627</v>
      </c>
      <c r="K423" t="s">
        <v>4627</v>
      </c>
      <c r="L423" t="s">
        <v>2804</v>
      </c>
      <c r="M423" t="s">
        <v>2805</v>
      </c>
      <c r="N423">
        <v>54363</v>
      </c>
      <c r="O423">
        <v>45500</v>
      </c>
      <c r="P423">
        <v>1</v>
      </c>
      <c r="Q423">
        <v>0</v>
      </c>
      <c r="S423">
        <v>143790</v>
      </c>
      <c r="T423">
        <v>0</v>
      </c>
      <c r="U423" t="s">
        <v>2807</v>
      </c>
      <c r="W423" t="s">
        <v>4628</v>
      </c>
      <c r="X423">
        <v>45500</v>
      </c>
      <c r="Y423">
        <v>41363.636363636302</v>
      </c>
      <c r="Z423" s="26">
        <v>46062</v>
      </c>
    </row>
    <row r="424" spans="1:26" x14ac:dyDescent="0.3">
      <c r="A424" s="50">
        <v>46061.420219907406</v>
      </c>
      <c r="B424">
        <v>2.0260208100358999E+18</v>
      </c>
      <c r="C424" t="s">
        <v>4629</v>
      </c>
      <c r="D424" t="s">
        <v>4630</v>
      </c>
      <c r="E424" t="s">
        <v>4630</v>
      </c>
      <c r="F424" t="s">
        <v>4629</v>
      </c>
      <c r="G424" t="s">
        <v>4630</v>
      </c>
      <c r="H424" t="s">
        <v>4630</v>
      </c>
      <c r="I424">
        <v>12771</v>
      </c>
      <c r="J424" t="s">
        <v>4631</v>
      </c>
      <c r="K424" t="s">
        <v>4631</v>
      </c>
      <c r="L424" t="s">
        <v>2804</v>
      </c>
      <c r="M424" t="s">
        <v>2805</v>
      </c>
      <c r="N424">
        <v>163089</v>
      </c>
      <c r="O424">
        <v>45500</v>
      </c>
      <c r="P424">
        <v>3</v>
      </c>
      <c r="Q424">
        <v>0</v>
      </c>
      <c r="S424">
        <v>143790</v>
      </c>
      <c r="T424">
        <v>0</v>
      </c>
      <c r="U424" t="s">
        <v>2807</v>
      </c>
      <c r="W424" t="s">
        <v>4632</v>
      </c>
      <c r="X424">
        <v>136500</v>
      </c>
      <c r="Y424">
        <v>124090.909090909</v>
      </c>
      <c r="Z424" s="26">
        <v>46062</v>
      </c>
    </row>
    <row r="425" spans="1:26" x14ac:dyDescent="0.3">
      <c r="A425" s="50">
        <v>46061.403020833335</v>
      </c>
      <c r="B425">
        <v>2.02602080939091E+18</v>
      </c>
      <c r="C425" t="s">
        <v>4633</v>
      </c>
      <c r="D425" t="s">
        <v>4634</v>
      </c>
      <c r="E425" t="s">
        <v>4634</v>
      </c>
      <c r="F425" t="s">
        <v>4633</v>
      </c>
      <c r="G425" t="s">
        <v>4634</v>
      </c>
      <c r="H425" t="s">
        <v>4634</v>
      </c>
      <c r="I425">
        <v>28615</v>
      </c>
      <c r="J425" t="s">
        <v>4635</v>
      </c>
      <c r="K425" t="s">
        <v>4635</v>
      </c>
      <c r="L425" t="s">
        <v>2804</v>
      </c>
      <c r="M425" t="s">
        <v>2805</v>
      </c>
      <c r="N425">
        <v>54363</v>
      </c>
      <c r="O425">
        <v>45500</v>
      </c>
      <c r="P425">
        <v>1</v>
      </c>
      <c r="Q425">
        <v>0</v>
      </c>
      <c r="S425">
        <v>143790</v>
      </c>
      <c r="T425">
        <v>0</v>
      </c>
      <c r="U425" t="s">
        <v>2807</v>
      </c>
      <c r="W425" t="s">
        <v>4636</v>
      </c>
      <c r="X425">
        <v>45500</v>
      </c>
      <c r="Y425">
        <v>41363.636363636302</v>
      </c>
      <c r="Z425" s="26">
        <v>46062</v>
      </c>
    </row>
    <row r="426" spans="1:26" x14ac:dyDescent="0.3">
      <c r="A426" s="50">
        <v>46060.967476851853</v>
      </c>
      <c r="B426">
        <v>2.0260207230925801E+18</v>
      </c>
      <c r="C426" t="s">
        <v>4637</v>
      </c>
      <c r="D426" t="s">
        <v>4638</v>
      </c>
      <c r="E426" t="s">
        <v>4638</v>
      </c>
      <c r="F426" t="s">
        <v>4639</v>
      </c>
      <c r="G426" t="s">
        <v>4640</v>
      </c>
      <c r="H426" t="s">
        <v>4640</v>
      </c>
      <c r="I426">
        <v>7651</v>
      </c>
      <c r="J426" t="s">
        <v>4641</v>
      </c>
      <c r="K426" t="s">
        <v>4641</v>
      </c>
      <c r="L426" t="s">
        <v>2804</v>
      </c>
      <c r="M426" t="s">
        <v>2805</v>
      </c>
      <c r="N426">
        <v>54363</v>
      </c>
      <c r="O426">
        <v>45500</v>
      </c>
      <c r="P426">
        <v>1</v>
      </c>
      <c r="Q426">
        <v>0</v>
      </c>
      <c r="R426" t="s">
        <v>4642</v>
      </c>
      <c r="S426">
        <v>143790</v>
      </c>
      <c r="T426">
        <v>0</v>
      </c>
      <c r="U426" t="s">
        <v>2807</v>
      </c>
      <c r="W426" t="s">
        <v>4643</v>
      </c>
      <c r="X426">
        <v>45500</v>
      </c>
      <c r="Y426">
        <v>41363.636363636302</v>
      </c>
      <c r="Z426" s="26">
        <v>46062</v>
      </c>
    </row>
    <row r="427" spans="1:26" x14ac:dyDescent="0.3">
      <c r="A427" s="50">
        <v>46060.954502314817</v>
      </c>
      <c r="B427">
        <v>2.02602072254033E+18</v>
      </c>
      <c r="C427" t="s">
        <v>4644</v>
      </c>
      <c r="D427" t="s">
        <v>4645</v>
      </c>
      <c r="E427" t="s">
        <v>4645</v>
      </c>
      <c r="F427" t="s">
        <v>4644</v>
      </c>
      <c r="G427" t="s">
        <v>4645</v>
      </c>
      <c r="H427" t="s">
        <v>4645</v>
      </c>
      <c r="I427">
        <v>1461</v>
      </c>
      <c r="J427" t="s">
        <v>4646</v>
      </c>
      <c r="K427" t="s">
        <v>4646</v>
      </c>
      <c r="L427" t="s">
        <v>2804</v>
      </c>
      <c r="M427" t="s">
        <v>2805</v>
      </c>
      <c r="N427">
        <v>54363</v>
      </c>
      <c r="O427">
        <v>45500</v>
      </c>
      <c r="P427">
        <v>1</v>
      </c>
      <c r="Q427">
        <v>0</v>
      </c>
      <c r="S427">
        <v>143790</v>
      </c>
      <c r="T427">
        <v>0</v>
      </c>
      <c r="U427" t="s">
        <v>2807</v>
      </c>
      <c r="W427" t="s">
        <v>4647</v>
      </c>
      <c r="X427">
        <v>45500</v>
      </c>
      <c r="Y427">
        <v>41363.636363636302</v>
      </c>
      <c r="Z427" s="26">
        <v>46062</v>
      </c>
    </row>
    <row r="428" spans="1:26" x14ac:dyDescent="0.3">
      <c r="A428" s="50">
        <v>46060.785532407404</v>
      </c>
      <c r="B428">
        <v>2.0260207184200901E+18</v>
      </c>
      <c r="C428" t="s">
        <v>4648</v>
      </c>
      <c r="D428" t="s">
        <v>4649</v>
      </c>
      <c r="E428" t="s">
        <v>4649</v>
      </c>
      <c r="F428" t="s">
        <v>4650</v>
      </c>
      <c r="G428" t="s">
        <v>4651</v>
      </c>
      <c r="H428" t="s">
        <v>4651</v>
      </c>
      <c r="I428">
        <v>58227</v>
      </c>
      <c r="J428" t="s">
        <v>4652</v>
      </c>
      <c r="K428" t="s">
        <v>4652</v>
      </c>
      <c r="L428" t="s">
        <v>2804</v>
      </c>
      <c r="M428" t="s">
        <v>2805</v>
      </c>
      <c r="N428">
        <v>54363</v>
      </c>
      <c r="O428">
        <v>45500</v>
      </c>
      <c r="P428">
        <v>1</v>
      </c>
      <c r="Q428">
        <v>0</v>
      </c>
      <c r="R428" t="s">
        <v>4653</v>
      </c>
      <c r="S428">
        <v>143790</v>
      </c>
      <c r="T428">
        <v>0</v>
      </c>
      <c r="U428" t="s">
        <v>2807</v>
      </c>
      <c r="W428" t="s">
        <v>4654</v>
      </c>
      <c r="X428">
        <v>45500</v>
      </c>
      <c r="Y428">
        <v>41363.636363636302</v>
      </c>
      <c r="Z428" s="26">
        <v>46062</v>
      </c>
    </row>
    <row r="429" spans="1:26" x14ac:dyDescent="0.3">
      <c r="A429" s="50">
        <v>46060.78528935185</v>
      </c>
      <c r="B429">
        <v>2.0260207184436101E+18</v>
      </c>
      <c r="C429" t="s">
        <v>4655</v>
      </c>
      <c r="D429" t="s">
        <v>4656</v>
      </c>
      <c r="E429" t="s">
        <v>4656</v>
      </c>
      <c r="F429" t="s">
        <v>4657</v>
      </c>
      <c r="G429" t="s">
        <v>4658</v>
      </c>
      <c r="H429" t="s">
        <v>4658</v>
      </c>
      <c r="I429">
        <v>36419</v>
      </c>
      <c r="J429" t="s">
        <v>4659</v>
      </c>
      <c r="K429" t="s">
        <v>4659</v>
      </c>
      <c r="L429" t="s">
        <v>2804</v>
      </c>
      <c r="M429" t="s">
        <v>2805</v>
      </c>
      <c r="N429">
        <v>54363</v>
      </c>
      <c r="O429">
        <v>45500</v>
      </c>
      <c r="P429">
        <v>1</v>
      </c>
      <c r="Q429">
        <v>0</v>
      </c>
      <c r="R429" t="s">
        <v>4660</v>
      </c>
      <c r="S429">
        <v>143790</v>
      </c>
      <c r="T429">
        <v>0</v>
      </c>
      <c r="U429" t="s">
        <v>2807</v>
      </c>
      <c r="W429" t="s">
        <v>4661</v>
      </c>
      <c r="X429">
        <v>45500</v>
      </c>
      <c r="Y429">
        <v>41363.636363636302</v>
      </c>
      <c r="Z429" s="26">
        <v>46062</v>
      </c>
    </row>
    <row r="430" spans="1:26" x14ac:dyDescent="0.3">
      <c r="A430" s="50">
        <v>46060.773472222223</v>
      </c>
      <c r="B430">
        <v>2.0260207183328399E+18</v>
      </c>
      <c r="C430" t="s">
        <v>4662</v>
      </c>
      <c r="D430" t="s">
        <v>4663</v>
      </c>
      <c r="E430" t="s">
        <v>4663</v>
      </c>
      <c r="F430" t="s">
        <v>4662</v>
      </c>
      <c r="G430" t="s">
        <v>4663</v>
      </c>
      <c r="H430" t="s">
        <v>4663</v>
      </c>
      <c r="I430">
        <v>11803</v>
      </c>
      <c r="J430" t="s">
        <v>4664</v>
      </c>
      <c r="K430" t="s">
        <v>4664</v>
      </c>
      <c r="L430" t="s">
        <v>2804</v>
      </c>
      <c r="M430" t="s">
        <v>2805</v>
      </c>
      <c r="N430">
        <v>54363</v>
      </c>
      <c r="O430">
        <v>45500</v>
      </c>
      <c r="P430">
        <v>1</v>
      </c>
      <c r="Q430">
        <v>0</v>
      </c>
      <c r="S430">
        <v>143790</v>
      </c>
      <c r="T430">
        <v>0</v>
      </c>
      <c r="U430" t="s">
        <v>2807</v>
      </c>
      <c r="W430" t="s">
        <v>4665</v>
      </c>
      <c r="X430">
        <v>45500</v>
      </c>
      <c r="Y430">
        <v>41363.636363636302</v>
      </c>
      <c r="Z430" s="26">
        <v>46062</v>
      </c>
    </row>
    <row r="431" spans="1:26" x14ac:dyDescent="0.3">
      <c r="A431" s="50">
        <v>46060.749178240738</v>
      </c>
      <c r="B431">
        <v>2.0260207175720699E+18</v>
      </c>
      <c r="C431" t="s">
        <v>4666</v>
      </c>
      <c r="D431" t="s">
        <v>4667</v>
      </c>
      <c r="E431" t="s">
        <v>4667</v>
      </c>
      <c r="F431" t="s">
        <v>4668</v>
      </c>
      <c r="G431" t="s">
        <v>4669</v>
      </c>
      <c r="H431" t="s">
        <v>4669</v>
      </c>
      <c r="I431">
        <v>55349</v>
      </c>
      <c r="J431" t="s">
        <v>4670</v>
      </c>
      <c r="K431" t="s">
        <v>4670</v>
      </c>
      <c r="L431" t="s">
        <v>2804</v>
      </c>
      <c r="M431" t="s">
        <v>2805</v>
      </c>
      <c r="N431">
        <v>108726</v>
      </c>
      <c r="O431">
        <v>45500</v>
      </c>
      <c r="P431">
        <v>2</v>
      </c>
      <c r="Q431">
        <v>0</v>
      </c>
      <c r="S431">
        <v>143790</v>
      </c>
      <c r="T431">
        <v>0</v>
      </c>
      <c r="U431" t="s">
        <v>2807</v>
      </c>
      <c r="W431" t="s">
        <v>4671</v>
      </c>
      <c r="X431">
        <v>91000</v>
      </c>
      <c r="Y431">
        <v>82727.272727272706</v>
      </c>
      <c r="Z431" s="26">
        <v>46062</v>
      </c>
    </row>
    <row r="432" spans="1:26" x14ac:dyDescent="0.3">
      <c r="A432" s="50">
        <v>46060.734351851854</v>
      </c>
      <c r="B432">
        <v>2.0260207173531599E+18</v>
      </c>
      <c r="C432" t="s">
        <v>4672</v>
      </c>
      <c r="D432" t="s">
        <v>4673</v>
      </c>
      <c r="E432" t="s">
        <v>4673</v>
      </c>
      <c r="F432" t="s">
        <v>4674</v>
      </c>
      <c r="G432" t="s">
        <v>4675</v>
      </c>
      <c r="H432" t="s">
        <v>4675</v>
      </c>
      <c r="I432">
        <v>1440</v>
      </c>
      <c r="J432" t="s">
        <v>4676</v>
      </c>
      <c r="K432" t="s">
        <v>4676</v>
      </c>
      <c r="L432" t="s">
        <v>2804</v>
      </c>
      <c r="M432" t="s">
        <v>2805</v>
      </c>
      <c r="N432">
        <v>54363</v>
      </c>
      <c r="O432">
        <v>45500</v>
      </c>
      <c r="P432">
        <v>1</v>
      </c>
      <c r="Q432">
        <v>0</v>
      </c>
      <c r="S432">
        <v>143790</v>
      </c>
      <c r="T432">
        <v>0</v>
      </c>
      <c r="U432" t="s">
        <v>2807</v>
      </c>
      <c r="W432" t="s">
        <v>4677</v>
      </c>
      <c r="X432">
        <v>45500</v>
      </c>
      <c r="Y432">
        <v>41363.636363636302</v>
      </c>
      <c r="Z432" s="26">
        <v>46062</v>
      </c>
    </row>
    <row r="433" spans="1:26" x14ac:dyDescent="0.3">
      <c r="A433" s="50">
        <v>46060.727372685185</v>
      </c>
      <c r="B433">
        <v>2.0260207172626099E+18</v>
      </c>
      <c r="C433" t="s">
        <v>4678</v>
      </c>
      <c r="D433" t="s">
        <v>4679</v>
      </c>
      <c r="E433" t="s">
        <v>4679</v>
      </c>
      <c r="F433" t="s">
        <v>4680</v>
      </c>
      <c r="G433" t="s">
        <v>4681</v>
      </c>
      <c r="H433" t="s">
        <v>4681</v>
      </c>
      <c r="I433">
        <v>56348</v>
      </c>
      <c r="J433" t="s">
        <v>4682</v>
      </c>
      <c r="K433" t="s">
        <v>4682</v>
      </c>
      <c r="L433" t="s">
        <v>2804</v>
      </c>
      <c r="M433" t="s">
        <v>2805</v>
      </c>
      <c r="N433">
        <v>54363</v>
      </c>
      <c r="O433">
        <v>45500</v>
      </c>
      <c r="P433">
        <v>1</v>
      </c>
      <c r="Q433">
        <v>0</v>
      </c>
      <c r="S433">
        <v>143790</v>
      </c>
      <c r="T433">
        <v>0</v>
      </c>
      <c r="U433" t="s">
        <v>2807</v>
      </c>
      <c r="W433" t="s">
        <v>4683</v>
      </c>
      <c r="X433">
        <v>45500</v>
      </c>
      <c r="Y433">
        <v>41363.636363636302</v>
      </c>
      <c r="Z433" s="26">
        <v>46062</v>
      </c>
    </row>
    <row r="434" spans="1:26" x14ac:dyDescent="0.3">
      <c r="A434" s="50">
        <v>46060.72693287037</v>
      </c>
      <c r="B434">
        <v>2.0260207172507599E+18</v>
      </c>
      <c r="C434" t="s">
        <v>4672</v>
      </c>
      <c r="D434" t="s">
        <v>4673</v>
      </c>
      <c r="E434" t="s">
        <v>4673</v>
      </c>
      <c r="F434" t="s">
        <v>4684</v>
      </c>
      <c r="G434" t="s">
        <v>4685</v>
      </c>
      <c r="H434" t="s">
        <v>4685</v>
      </c>
      <c r="I434">
        <v>16953</v>
      </c>
      <c r="J434" t="s">
        <v>4686</v>
      </c>
      <c r="K434" t="s">
        <v>4686</v>
      </c>
      <c r="L434" t="s">
        <v>2804</v>
      </c>
      <c r="M434" t="s">
        <v>2805</v>
      </c>
      <c r="N434">
        <v>54363</v>
      </c>
      <c r="O434">
        <v>45500</v>
      </c>
      <c r="P434">
        <v>1</v>
      </c>
      <c r="Q434">
        <v>0</v>
      </c>
      <c r="S434">
        <v>143790</v>
      </c>
      <c r="T434">
        <v>0</v>
      </c>
      <c r="U434" t="s">
        <v>2807</v>
      </c>
      <c r="W434" t="s">
        <v>4687</v>
      </c>
      <c r="X434">
        <v>45500</v>
      </c>
      <c r="Y434">
        <v>41363.636363636302</v>
      </c>
      <c r="Z434" s="26">
        <v>46062</v>
      </c>
    </row>
    <row r="435" spans="1:26" x14ac:dyDescent="0.3">
      <c r="A435" s="50">
        <v>46060.715914351851</v>
      </c>
      <c r="B435">
        <v>2.0260207170851799E+18</v>
      </c>
      <c r="C435" t="s">
        <v>4688</v>
      </c>
      <c r="D435" t="s">
        <v>4689</v>
      </c>
      <c r="E435" t="s">
        <v>4689</v>
      </c>
      <c r="F435" t="s">
        <v>4688</v>
      </c>
      <c r="G435" t="s">
        <v>4689</v>
      </c>
      <c r="H435" t="s">
        <v>4689</v>
      </c>
      <c r="I435">
        <v>6195</v>
      </c>
      <c r="J435" t="s">
        <v>4690</v>
      </c>
      <c r="K435" t="s">
        <v>4690</v>
      </c>
      <c r="L435" t="s">
        <v>2804</v>
      </c>
      <c r="M435" t="s">
        <v>2805</v>
      </c>
      <c r="N435">
        <v>54363</v>
      </c>
      <c r="O435">
        <v>45500</v>
      </c>
      <c r="P435">
        <v>1</v>
      </c>
      <c r="Q435">
        <v>0</v>
      </c>
      <c r="S435">
        <v>143790</v>
      </c>
      <c r="T435">
        <v>0</v>
      </c>
      <c r="U435" t="s">
        <v>2807</v>
      </c>
      <c r="W435" t="s">
        <v>4691</v>
      </c>
      <c r="X435">
        <v>45500</v>
      </c>
      <c r="Y435">
        <v>41363.636363636302</v>
      </c>
      <c r="Z435" s="26">
        <v>46062</v>
      </c>
    </row>
    <row r="436" spans="1:26" x14ac:dyDescent="0.3">
      <c r="A436" s="50">
        <v>46060.680694444447</v>
      </c>
      <c r="B436">
        <v>2.0260207161914501E+18</v>
      </c>
      <c r="C436" t="s">
        <v>4692</v>
      </c>
      <c r="D436" t="s">
        <v>4693</v>
      </c>
      <c r="E436" t="s">
        <v>4693</v>
      </c>
      <c r="F436" t="s">
        <v>4692</v>
      </c>
      <c r="G436" t="s">
        <v>4693</v>
      </c>
      <c r="H436" t="s">
        <v>4693</v>
      </c>
      <c r="I436">
        <v>7070</v>
      </c>
      <c r="J436" t="s">
        <v>4694</v>
      </c>
      <c r="K436" t="s">
        <v>4694</v>
      </c>
      <c r="L436" t="s">
        <v>2804</v>
      </c>
      <c r="M436" t="s">
        <v>2805</v>
      </c>
      <c r="N436">
        <v>108726</v>
      </c>
      <c r="O436">
        <v>45500</v>
      </c>
      <c r="P436">
        <v>2</v>
      </c>
      <c r="Q436">
        <v>0</v>
      </c>
      <c r="R436" t="s">
        <v>4695</v>
      </c>
      <c r="S436">
        <v>143790</v>
      </c>
      <c r="T436">
        <v>0</v>
      </c>
      <c r="U436" t="s">
        <v>2807</v>
      </c>
      <c r="W436" t="s">
        <v>4696</v>
      </c>
      <c r="X436">
        <v>91000</v>
      </c>
      <c r="Y436">
        <v>82727.272727272706</v>
      </c>
      <c r="Z436" s="26">
        <v>46062</v>
      </c>
    </row>
    <row r="437" spans="1:26" x14ac:dyDescent="0.3">
      <c r="A437" s="50">
        <v>46060.676712962966</v>
      </c>
      <c r="B437">
        <v>2.02602071613293E+18</v>
      </c>
      <c r="C437" t="s">
        <v>4697</v>
      </c>
      <c r="D437" t="s">
        <v>4698</v>
      </c>
      <c r="E437" t="s">
        <v>4698</v>
      </c>
      <c r="F437" t="s">
        <v>4697</v>
      </c>
      <c r="G437" t="s">
        <v>4698</v>
      </c>
      <c r="H437" t="s">
        <v>4698</v>
      </c>
      <c r="I437">
        <v>1387</v>
      </c>
      <c r="J437" t="s">
        <v>4699</v>
      </c>
      <c r="K437" t="s">
        <v>4699</v>
      </c>
      <c r="L437" t="s">
        <v>2804</v>
      </c>
      <c r="M437" t="s">
        <v>2805</v>
      </c>
      <c r="N437">
        <v>54363</v>
      </c>
      <c r="O437">
        <v>45500</v>
      </c>
      <c r="P437">
        <v>1</v>
      </c>
      <c r="Q437">
        <v>0</v>
      </c>
      <c r="S437">
        <v>143790</v>
      </c>
      <c r="T437">
        <v>0</v>
      </c>
      <c r="U437" t="s">
        <v>2807</v>
      </c>
      <c r="W437" t="s">
        <v>4700</v>
      </c>
      <c r="X437">
        <v>45500</v>
      </c>
      <c r="Y437">
        <v>41363.636363636302</v>
      </c>
      <c r="Z437" s="26">
        <v>46062</v>
      </c>
    </row>
    <row r="438" spans="1:26" x14ac:dyDescent="0.3">
      <c r="A438" s="50">
        <v>46060.661423611113</v>
      </c>
      <c r="B438">
        <v>2.0260207154808901E+18</v>
      </c>
      <c r="C438" t="s">
        <v>3263</v>
      </c>
      <c r="D438" t="s">
        <v>4701</v>
      </c>
      <c r="E438" t="s">
        <v>4701</v>
      </c>
      <c r="F438" t="s">
        <v>4702</v>
      </c>
      <c r="G438" t="s">
        <v>4703</v>
      </c>
      <c r="H438" t="s">
        <v>4703</v>
      </c>
      <c r="I438">
        <v>62076</v>
      </c>
      <c r="J438" t="s">
        <v>4704</v>
      </c>
      <c r="K438" t="s">
        <v>4704</v>
      </c>
      <c r="L438" t="s">
        <v>2804</v>
      </c>
      <c r="M438" t="s">
        <v>2805</v>
      </c>
      <c r="N438">
        <v>54363</v>
      </c>
      <c r="O438">
        <v>45500</v>
      </c>
      <c r="P438">
        <v>1</v>
      </c>
      <c r="Q438">
        <v>0</v>
      </c>
      <c r="R438" t="s">
        <v>4705</v>
      </c>
      <c r="S438">
        <v>143790</v>
      </c>
      <c r="T438">
        <v>0</v>
      </c>
      <c r="U438" t="s">
        <v>2807</v>
      </c>
      <c r="W438" t="s">
        <v>4706</v>
      </c>
      <c r="X438">
        <v>45500</v>
      </c>
      <c r="Y438">
        <v>41363.636363636302</v>
      </c>
      <c r="Z438" s="26">
        <v>46062</v>
      </c>
    </row>
    <row r="439" spans="1:26" x14ac:dyDescent="0.3">
      <c r="A439" s="50">
        <v>46060.658067129632</v>
      </c>
      <c r="B439">
        <v>2.0260207154655401E+18</v>
      </c>
      <c r="C439" t="s">
        <v>4707</v>
      </c>
      <c r="D439" t="s">
        <v>4708</v>
      </c>
      <c r="E439" t="s">
        <v>4708</v>
      </c>
      <c r="F439" t="s">
        <v>4707</v>
      </c>
      <c r="G439" t="s">
        <v>4708</v>
      </c>
      <c r="H439" t="s">
        <v>4708</v>
      </c>
      <c r="I439">
        <v>15259</v>
      </c>
      <c r="J439" t="s">
        <v>4709</v>
      </c>
      <c r="K439" t="s">
        <v>4709</v>
      </c>
      <c r="L439" t="s">
        <v>2804</v>
      </c>
      <c r="M439" t="s">
        <v>2805</v>
      </c>
      <c r="N439">
        <v>54363</v>
      </c>
      <c r="O439">
        <v>45500</v>
      </c>
      <c r="P439">
        <v>1</v>
      </c>
      <c r="Q439">
        <v>0</v>
      </c>
      <c r="S439">
        <v>143790</v>
      </c>
      <c r="T439">
        <v>0</v>
      </c>
      <c r="U439" t="s">
        <v>2807</v>
      </c>
      <c r="W439" t="s">
        <v>4710</v>
      </c>
      <c r="X439">
        <v>45500</v>
      </c>
      <c r="Y439">
        <v>41363.636363636302</v>
      </c>
      <c r="Z439" s="26">
        <v>46062</v>
      </c>
    </row>
    <row r="440" spans="1:26" x14ac:dyDescent="0.3">
      <c r="A440" s="50">
        <v>46060.641793981478</v>
      </c>
      <c r="B440">
        <v>2.02602071521458E+18</v>
      </c>
      <c r="C440" t="s">
        <v>4711</v>
      </c>
      <c r="D440" t="s">
        <v>4712</v>
      </c>
      <c r="E440" t="s">
        <v>4712</v>
      </c>
      <c r="F440" t="s">
        <v>4713</v>
      </c>
      <c r="G440" t="s">
        <v>4714</v>
      </c>
      <c r="H440" t="s">
        <v>4714</v>
      </c>
      <c r="I440">
        <v>37931</v>
      </c>
      <c r="J440" t="s">
        <v>4715</v>
      </c>
      <c r="K440" t="s">
        <v>4715</v>
      </c>
      <c r="L440" t="s">
        <v>2804</v>
      </c>
      <c r="M440" t="s">
        <v>2805</v>
      </c>
      <c r="N440">
        <v>54363</v>
      </c>
      <c r="O440">
        <v>45500</v>
      </c>
      <c r="P440">
        <v>1</v>
      </c>
      <c r="Q440">
        <v>0</v>
      </c>
      <c r="S440">
        <v>143790</v>
      </c>
      <c r="T440">
        <v>0</v>
      </c>
      <c r="U440" t="s">
        <v>2807</v>
      </c>
      <c r="W440" t="s">
        <v>4716</v>
      </c>
      <c r="X440">
        <v>45500</v>
      </c>
      <c r="Y440">
        <v>41363.636363636302</v>
      </c>
      <c r="Z440" s="26">
        <v>46062</v>
      </c>
    </row>
    <row r="441" spans="1:26" x14ac:dyDescent="0.3">
      <c r="A441" s="50">
        <v>46060.571793981479</v>
      </c>
      <c r="B441">
        <v>2.02602071341539E+18</v>
      </c>
      <c r="C441" t="s">
        <v>4717</v>
      </c>
      <c r="D441" t="s">
        <v>4718</v>
      </c>
      <c r="E441" t="s">
        <v>4718</v>
      </c>
      <c r="F441" t="s">
        <v>4719</v>
      </c>
      <c r="G441" t="s">
        <v>4720</v>
      </c>
      <c r="H441" t="s">
        <v>4720</v>
      </c>
      <c r="I441">
        <v>51671</v>
      </c>
      <c r="J441" t="s">
        <v>4721</v>
      </c>
      <c r="K441" t="s">
        <v>4721</v>
      </c>
      <c r="L441" t="s">
        <v>2804</v>
      </c>
      <c r="M441" t="s">
        <v>2805</v>
      </c>
      <c r="N441">
        <v>108726</v>
      </c>
      <c r="O441">
        <v>45500</v>
      </c>
      <c r="P441">
        <v>2</v>
      </c>
      <c r="Q441">
        <v>0</v>
      </c>
      <c r="S441">
        <v>143790</v>
      </c>
      <c r="T441">
        <v>0</v>
      </c>
      <c r="U441" t="s">
        <v>2807</v>
      </c>
      <c r="W441" t="s">
        <v>4722</v>
      </c>
      <c r="X441">
        <v>91000</v>
      </c>
      <c r="Y441">
        <v>82727.272727272706</v>
      </c>
      <c r="Z441" s="26">
        <v>46062</v>
      </c>
    </row>
    <row r="442" spans="1:26" x14ac:dyDescent="0.3">
      <c r="A442" s="50">
        <v>46060.570057870369</v>
      </c>
      <c r="B442">
        <v>2.0260207133936699E+18</v>
      </c>
      <c r="C442" t="s">
        <v>4717</v>
      </c>
      <c r="D442" t="s">
        <v>4718</v>
      </c>
      <c r="E442" t="s">
        <v>4718</v>
      </c>
      <c r="F442" t="s">
        <v>4723</v>
      </c>
      <c r="G442" t="s">
        <v>4724</v>
      </c>
      <c r="H442" t="s">
        <v>4724</v>
      </c>
      <c r="I442">
        <v>51674</v>
      </c>
      <c r="J442" t="s">
        <v>4725</v>
      </c>
      <c r="K442" t="s">
        <v>4725</v>
      </c>
      <c r="L442" t="s">
        <v>2804</v>
      </c>
      <c r="M442" t="s">
        <v>2805</v>
      </c>
      <c r="N442">
        <v>108726</v>
      </c>
      <c r="O442">
        <v>45500</v>
      </c>
      <c r="P442">
        <v>2</v>
      </c>
      <c r="Q442">
        <v>0</v>
      </c>
      <c r="S442">
        <v>143790</v>
      </c>
      <c r="T442">
        <v>0</v>
      </c>
      <c r="U442" t="s">
        <v>2807</v>
      </c>
      <c r="W442" t="s">
        <v>4726</v>
      </c>
      <c r="X442">
        <v>91000</v>
      </c>
      <c r="Y442">
        <v>82727.272727272706</v>
      </c>
      <c r="Z442" s="26">
        <v>46062</v>
      </c>
    </row>
    <row r="443" spans="1:26" x14ac:dyDescent="0.3">
      <c r="A443" s="50">
        <v>46060.567453703705</v>
      </c>
      <c r="B443">
        <v>2.0260207133418601E+18</v>
      </c>
      <c r="C443" t="s">
        <v>4717</v>
      </c>
      <c r="D443" t="s">
        <v>4718</v>
      </c>
      <c r="E443" t="s">
        <v>4718</v>
      </c>
      <c r="F443" t="s">
        <v>4727</v>
      </c>
      <c r="G443" t="s">
        <v>4728</v>
      </c>
      <c r="H443" t="s">
        <v>4728</v>
      </c>
      <c r="I443">
        <v>51696</v>
      </c>
      <c r="J443" t="s">
        <v>4729</v>
      </c>
      <c r="K443" t="s">
        <v>4729</v>
      </c>
      <c r="L443" t="s">
        <v>2804</v>
      </c>
      <c r="M443" t="s">
        <v>2805</v>
      </c>
      <c r="N443">
        <v>108726</v>
      </c>
      <c r="O443">
        <v>45500</v>
      </c>
      <c r="P443">
        <v>2</v>
      </c>
      <c r="Q443">
        <v>0</v>
      </c>
      <c r="S443">
        <v>143790</v>
      </c>
      <c r="T443">
        <v>0</v>
      </c>
      <c r="U443" t="s">
        <v>2807</v>
      </c>
      <c r="W443" t="s">
        <v>4730</v>
      </c>
      <c r="X443">
        <v>91000</v>
      </c>
      <c r="Y443">
        <v>82727.272727272706</v>
      </c>
      <c r="Z443" s="26">
        <v>46062</v>
      </c>
    </row>
    <row r="444" spans="1:26" x14ac:dyDescent="0.3">
      <c r="A444" s="50">
        <v>46060.560636574075</v>
      </c>
      <c r="B444">
        <v>2.02602071326035E+18</v>
      </c>
      <c r="C444" t="s">
        <v>4731</v>
      </c>
      <c r="D444" t="s">
        <v>4732</v>
      </c>
      <c r="E444" t="s">
        <v>4732</v>
      </c>
      <c r="F444" t="s">
        <v>4731</v>
      </c>
      <c r="G444" t="s">
        <v>4732</v>
      </c>
      <c r="H444" t="s">
        <v>4732</v>
      </c>
      <c r="I444">
        <v>31151</v>
      </c>
      <c r="J444" t="s">
        <v>4733</v>
      </c>
      <c r="K444" t="s">
        <v>4733</v>
      </c>
      <c r="L444" t="s">
        <v>2804</v>
      </c>
      <c r="M444" t="s">
        <v>2805</v>
      </c>
      <c r="N444">
        <v>54363</v>
      </c>
      <c r="O444">
        <v>45500</v>
      </c>
      <c r="P444">
        <v>1</v>
      </c>
      <c r="Q444">
        <v>0</v>
      </c>
      <c r="S444">
        <v>143790</v>
      </c>
      <c r="T444">
        <v>0</v>
      </c>
      <c r="U444" t="s">
        <v>2807</v>
      </c>
      <c r="W444" t="s">
        <v>4734</v>
      </c>
      <c r="X444">
        <v>45500</v>
      </c>
      <c r="Y444">
        <v>41363.636363636302</v>
      </c>
      <c r="Z444" s="26">
        <v>46062</v>
      </c>
    </row>
    <row r="445" spans="1:26" x14ac:dyDescent="0.3">
      <c r="A445" s="50">
        <v>46060.551377314812</v>
      </c>
      <c r="B445">
        <v>2.02602071311325E+18</v>
      </c>
      <c r="C445" t="s">
        <v>4735</v>
      </c>
      <c r="D445" t="s">
        <v>4736</v>
      </c>
      <c r="E445" t="s">
        <v>4736</v>
      </c>
      <c r="F445" t="s">
        <v>4735</v>
      </c>
      <c r="G445" t="s">
        <v>4736</v>
      </c>
      <c r="H445" t="s">
        <v>4736</v>
      </c>
      <c r="I445">
        <v>7344</v>
      </c>
      <c r="J445" t="s">
        <v>4737</v>
      </c>
      <c r="K445" t="s">
        <v>4737</v>
      </c>
      <c r="L445" t="s">
        <v>2804</v>
      </c>
      <c r="M445" t="s">
        <v>2805</v>
      </c>
      <c r="N445">
        <v>54363</v>
      </c>
      <c r="O445">
        <v>45500</v>
      </c>
      <c r="P445">
        <v>1</v>
      </c>
      <c r="Q445">
        <v>0</v>
      </c>
      <c r="S445">
        <v>143790</v>
      </c>
      <c r="T445">
        <v>0</v>
      </c>
      <c r="U445" t="s">
        <v>2807</v>
      </c>
      <c r="W445" t="s">
        <v>4738</v>
      </c>
      <c r="X445">
        <v>45500</v>
      </c>
      <c r="Y445">
        <v>41363.636363636302</v>
      </c>
      <c r="Z445" s="26">
        <v>46062</v>
      </c>
    </row>
    <row r="446" spans="1:26" x14ac:dyDescent="0.3">
      <c r="A446" s="50">
        <v>46060.549351851849</v>
      </c>
      <c r="B446">
        <v>2.02602071309345E+18</v>
      </c>
      <c r="C446" t="s">
        <v>4739</v>
      </c>
      <c r="D446" t="s">
        <v>4740</v>
      </c>
      <c r="E446" t="s">
        <v>4740</v>
      </c>
      <c r="F446" t="s">
        <v>4739</v>
      </c>
      <c r="G446" t="s">
        <v>4740</v>
      </c>
      <c r="H446" t="s">
        <v>4740</v>
      </c>
      <c r="I446">
        <v>27404</v>
      </c>
      <c r="J446" t="s">
        <v>4741</v>
      </c>
      <c r="K446" t="s">
        <v>4741</v>
      </c>
      <c r="L446" t="s">
        <v>2804</v>
      </c>
      <c r="M446" t="s">
        <v>2805</v>
      </c>
      <c r="N446">
        <v>54363</v>
      </c>
      <c r="O446">
        <v>45500</v>
      </c>
      <c r="P446">
        <v>1</v>
      </c>
      <c r="Q446">
        <v>0</v>
      </c>
      <c r="S446">
        <v>143790</v>
      </c>
      <c r="T446">
        <v>0</v>
      </c>
      <c r="U446" t="s">
        <v>2807</v>
      </c>
      <c r="W446" t="s">
        <v>4742</v>
      </c>
      <c r="X446">
        <v>45500</v>
      </c>
      <c r="Y446">
        <v>41363.636363636302</v>
      </c>
      <c r="Z446" s="26">
        <v>46062</v>
      </c>
    </row>
    <row r="447" spans="1:26" x14ac:dyDescent="0.3">
      <c r="A447" s="50">
        <v>46060.53224537037</v>
      </c>
      <c r="B447">
        <v>2.02602071244413E+18</v>
      </c>
      <c r="C447" t="s">
        <v>4743</v>
      </c>
      <c r="D447" t="s">
        <v>4744</v>
      </c>
      <c r="E447" t="s">
        <v>4744</v>
      </c>
      <c r="F447" t="s">
        <v>4745</v>
      </c>
      <c r="G447" t="s">
        <v>4746</v>
      </c>
      <c r="H447" t="s">
        <v>4746</v>
      </c>
      <c r="I447">
        <v>4193</v>
      </c>
      <c r="J447" t="s">
        <v>4747</v>
      </c>
      <c r="K447" t="s">
        <v>4747</v>
      </c>
      <c r="L447" t="s">
        <v>2804</v>
      </c>
      <c r="M447" t="s">
        <v>2805</v>
      </c>
      <c r="N447">
        <v>54363</v>
      </c>
      <c r="O447">
        <v>45500</v>
      </c>
      <c r="P447">
        <v>1</v>
      </c>
      <c r="Q447">
        <v>0</v>
      </c>
      <c r="S447">
        <v>143790</v>
      </c>
      <c r="T447">
        <v>0</v>
      </c>
      <c r="U447" t="s">
        <v>2807</v>
      </c>
      <c r="W447" t="s">
        <v>4748</v>
      </c>
      <c r="X447">
        <v>45500</v>
      </c>
      <c r="Y447">
        <v>41363.636363636302</v>
      </c>
      <c r="Z447" s="26">
        <v>46062</v>
      </c>
    </row>
    <row r="448" spans="1:26" x14ac:dyDescent="0.3">
      <c r="A448" s="50">
        <v>46060.512361111112</v>
      </c>
      <c r="B448">
        <v>2.02602071213501E+18</v>
      </c>
      <c r="C448" t="s">
        <v>2974</v>
      </c>
      <c r="D448" t="s">
        <v>2973</v>
      </c>
      <c r="E448" t="s">
        <v>2973</v>
      </c>
      <c r="F448" t="s">
        <v>4749</v>
      </c>
      <c r="G448" t="s">
        <v>4750</v>
      </c>
      <c r="H448" t="s">
        <v>4750</v>
      </c>
      <c r="I448">
        <v>58116</v>
      </c>
      <c r="J448" t="s">
        <v>4751</v>
      </c>
      <c r="K448" t="s">
        <v>4751</v>
      </c>
      <c r="L448" t="s">
        <v>2804</v>
      </c>
      <c r="M448" t="s">
        <v>2805</v>
      </c>
      <c r="N448">
        <v>54363</v>
      </c>
      <c r="O448">
        <v>45500</v>
      </c>
      <c r="P448">
        <v>1</v>
      </c>
      <c r="Q448">
        <v>0</v>
      </c>
      <c r="S448">
        <v>143790</v>
      </c>
      <c r="T448">
        <v>0</v>
      </c>
      <c r="U448" t="s">
        <v>2807</v>
      </c>
      <c r="W448" t="s">
        <v>4752</v>
      </c>
      <c r="X448">
        <v>45500</v>
      </c>
      <c r="Y448">
        <v>41363.636363636302</v>
      </c>
      <c r="Z448" s="26">
        <v>46062</v>
      </c>
    </row>
    <row r="449" spans="1:26" x14ac:dyDescent="0.3">
      <c r="A449" s="50">
        <v>46060.483993055554</v>
      </c>
      <c r="B449">
        <v>2.0260207113601001E+18</v>
      </c>
      <c r="C449" t="s">
        <v>4753</v>
      </c>
      <c r="D449" t="s">
        <v>4754</v>
      </c>
      <c r="E449" t="s">
        <v>4754</v>
      </c>
      <c r="F449" t="s">
        <v>4753</v>
      </c>
      <c r="G449" t="s">
        <v>4754</v>
      </c>
      <c r="H449" t="s">
        <v>4754</v>
      </c>
      <c r="I449">
        <v>44026</v>
      </c>
      <c r="J449" t="s">
        <v>4755</v>
      </c>
      <c r="K449" t="s">
        <v>4755</v>
      </c>
      <c r="L449" t="s">
        <v>2804</v>
      </c>
      <c r="M449" t="s">
        <v>2805</v>
      </c>
      <c r="N449">
        <v>54363</v>
      </c>
      <c r="O449">
        <v>45500</v>
      </c>
      <c r="P449">
        <v>1</v>
      </c>
      <c r="Q449">
        <v>0</v>
      </c>
      <c r="S449">
        <v>143790</v>
      </c>
      <c r="T449">
        <v>0</v>
      </c>
      <c r="U449" t="s">
        <v>2807</v>
      </c>
      <c r="W449" t="s">
        <v>4756</v>
      </c>
      <c r="X449">
        <v>45500</v>
      </c>
      <c r="Y449">
        <v>41363.636363636302</v>
      </c>
      <c r="Z449" s="26">
        <v>46062</v>
      </c>
    </row>
    <row r="450" spans="1:26" x14ac:dyDescent="0.3">
      <c r="A450" s="50">
        <v>46060.481759259259</v>
      </c>
      <c r="B450">
        <v>2.0260207113215099E+18</v>
      </c>
      <c r="C450" t="s">
        <v>4475</v>
      </c>
      <c r="D450" t="s">
        <v>4476</v>
      </c>
      <c r="E450" t="s">
        <v>4476</v>
      </c>
      <c r="F450" t="s">
        <v>4475</v>
      </c>
      <c r="G450" t="s">
        <v>4476</v>
      </c>
      <c r="H450" t="s">
        <v>4476</v>
      </c>
      <c r="I450">
        <v>17954</v>
      </c>
      <c r="J450" t="s">
        <v>4757</v>
      </c>
      <c r="K450" t="s">
        <v>4757</v>
      </c>
      <c r="L450" t="s">
        <v>2804</v>
      </c>
      <c r="M450" t="s">
        <v>2805</v>
      </c>
      <c r="N450">
        <v>54363</v>
      </c>
      <c r="O450">
        <v>45500</v>
      </c>
      <c r="P450">
        <v>1</v>
      </c>
      <c r="Q450">
        <v>0</v>
      </c>
      <c r="S450">
        <v>143790</v>
      </c>
      <c r="T450">
        <v>0</v>
      </c>
      <c r="U450" t="s">
        <v>2807</v>
      </c>
      <c r="W450" t="s">
        <v>4758</v>
      </c>
      <c r="X450">
        <v>45500</v>
      </c>
      <c r="Y450">
        <v>41363.636363636302</v>
      </c>
      <c r="Z450" s="26">
        <v>46062</v>
      </c>
    </row>
    <row r="451" spans="1:26" x14ac:dyDescent="0.3">
      <c r="A451" s="50">
        <v>46060.467789351853</v>
      </c>
      <c r="B451">
        <v>2.0260207111112901E+18</v>
      </c>
      <c r="C451" t="s">
        <v>4759</v>
      </c>
      <c r="D451" t="s">
        <v>4760</v>
      </c>
      <c r="E451" t="s">
        <v>4760</v>
      </c>
      <c r="F451" t="s">
        <v>4759</v>
      </c>
      <c r="G451" t="s">
        <v>4760</v>
      </c>
      <c r="H451" t="s">
        <v>4760</v>
      </c>
      <c r="I451">
        <v>41083</v>
      </c>
      <c r="J451" t="s">
        <v>4761</v>
      </c>
      <c r="K451" t="s">
        <v>4761</v>
      </c>
      <c r="L451" t="s">
        <v>2804</v>
      </c>
      <c r="M451" t="s">
        <v>2805</v>
      </c>
      <c r="N451">
        <v>54363</v>
      </c>
      <c r="O451">
        <v>45500</v>
      </c>
      <c r="P451">
        <v>1</v>
      </c>
      <c r="Q451">
        <v>0</v>
      </c>
      <c r="S451">
        <v>143790</v>
      </c>
      <c r="T451">
        <v>0</v>
      </c>
      <c r="U451" t="s">
        <v>2807</v>
      </c>
      <c r="W451" t="s">
        <v>4762</v>
      </c>
      <c r="X451">
        <v>45500</v>
      </c>
      <c r="Y451">
        <v>41363.636363636302</v>
      </c>
      <c r="Z451" s="26">
        <v>46062</v>
      </c>
    </row>
    <row r="452" spans="1:26" x14ac:dyDescent="0.3">
      <c r="A452" s="50">
        <v>46060.458043981482</v>
      </c>
      <c r="B452">
        <v>2.0260207105635899E+18</v>
      </c>
      <c r="C452" t="s">
        <v>4763</v>
      </c>
      <c r="D452" t="s">
        <v>4764</v>
      </c>
      <c r="E452" t="s">
        <v>4764</v>
      </c>
      <c r="F452" t="s">
        <v>4765</v>
      </c>
      <c r="G452" t="s">
        <v>4766</v>
      </c>
      <c r="H452" t="s">
        <v>4766</v>
      </c>
      <c r="I452">
        <v>46523</v>
      </c>
      <c r="J452" t="s">
        <v>4767</v>
      </c>
      <c r="K452" t="s">
        <v>4767</v>
      </c>
      <c r="L452" t="s">
        <v>2804</v>
      </c>
      <c r="M452" t="s">
        <v>2805</v>
      </c>
      <c r="N452">
        <v>54363</v>
      </c>
      <c r="O452">
        <v>45500</v>
      </c>
      <c r="P452">
        <v>1</v>
      </c>
      <c r="Q452">
        <v>0</v>
      </c>
      <c r="S452">
        <v>143790</v>
      </c>
      <c r="T452">
        <v>0</v>
      </c>
      <c r="U452" t="s">
        <v>2807</v>
      </c>
      <c r="W452" t="s">
        <v>4768</v>
      </c>
      <c r="X452">
        <v>45500</v>
      </c>
      <c r="Y452">
        <v>41363.636363636302</v>
      </c>
      <c r="Z452" s="26">
        <v>46062</v>
      </c>
    </row>
    <row r="453" spans="1:26" x14ac:dyDescent="0.3">
      <c r="A453" s="50">
        <v>46060.45753472222</v>
      </c>
      <c r="B453">
        <v>2.0260207105816699E+18</v>
      </c>
      <c r="C453" t="s">
        <v>4587</v>
      </c>
      <c r="D453" t="s">
        <v>4769</v>
      </c>
      <c r="E453" t="s">
        <v>4769</v>
      </c>
      <c r="F453" t="s">
        <v>4770</v>
      </c>
      <c r="G453" t="s">
        <v>4771</v>
      </c>
      <c r="H453" t="s">
        <v>4771</v>
      </c>
      <c r="I453">
        <v>7619</v>
      </c>
      <c r="J453" t="s">
        <v>4772</v>
      </c>
      <c r="K453" t="s">
        <v>4772</v>
      </c>
      <c r="L453" t="s">
        <v>2804</v>
      </c>
      <c r="M453" t="s">
        <v>2805</v>
      </c>
      <c r="N453">
        <v>54363</v>
      </c>
      <c r="O453">
        <v>45500</v>
      </c>
      <c r="P453">
        <v>1</v>
      </c>
      <c r="Q453">
        <v>0</v>
      </c>
      <c r="S453">
        <v>143790</v>
      </c>
      <c r="T453">
        <v>0</v>
      </c>
      <c r="U453" t="s">
        <v>2807</v>
      </c>
      <c r="W453" t="s">
        <v>4773</v>
      </c>
      <c r="X453">
        <v>45500</v>
      </c>
      <c r="Y453">
        <v>41363.636363636302</v>
      </c>
      <c r="Z453" s="26">
        <v>46062</v>
      </c>
    </row>
    <row r="454" spans="1:26" x14ac:dyDescent="0.3">
      <c r="A454" s="50">
        <v>46060.449467592596</v>
      </c>
      <c r="B454">
        <v>2.0260207104243599E+18</v>
      </c>
      <c r="C454" t="s">
        <v>4774</v>
      </c>
      <c r="D454" t="s">
        <v>2994</v>
      </c>
      <c r="E454" t="s">
        <v>2994</v>
      </c>
      <c r="F454" t="s">
        <v>4775</v>
      </c>
      <c r="G454" t="s">
        <v>4776</v>
      </c>
      <c r="H454" t="s">
        <v>4776</v>
      </c>
      <c r="I454">
        <v>34125</v>
      </c>
      <c r="J454" t="s">
        <v>4777</v>
      </c>
      <c r="K454" t="s">
        <v>4777</v>
      </c>
      <c r="L454" t="s">
        <v>2804</v>
      </c>
      <c r="M454" t="s">
        <v>2805</v>
      </c>
      <c r="N454">
        <v>108726</v>
      </c>
      <c r="O454">
        <v>45500</v>
      </c>
      <c r="P454">
        <v>2</v>
      </c>
      <c r="Q454">
        <v>0</v>
      </c>
      <c r="S454">
        <v>143790</v>
      </c>
      <c r="T454">
        <v>0</v>
      </c>
      <c r="U454" t="s">
        <v>2807</v>
      </c>
      <c r="W454" t="s">
        <v>4778</v>
      </c>
      <c r="X454">
        <v>91000</v>
      </c>
      <c r="Y454">
        <v>82727.272727272706</v>
      </c>
      <c r="Z454" s="26">
        <v>46062</v>
      </c>
    </row>
    <row r="455" spans="1:26" x14ac:dyDescent="0.3">
      <c r="A455" s="50">
        <v>46060.442569444444</v>
      </c>
      <c r="B455">
        <v>2.0260207103343201E+18</v>
      </c>
      <c r="C455" t="s">
        <v>4779</v>
      </c>
      <c r="D455" t="s">
        <v>4780</v>
      </c>
      <c r="E455" t="s">
        <v>4780</v>
      </c>
      <c r="F455" t="s">
        <v>4779</v>
      </c>
      <c r="G455" t="s">
        <v>4780</v>
      </c>
      <c r="H455" t="s">
        <v>4780</v>
      </c>
      <c r="I455">
        <v>35244</v>
      </c>
      <c r="J455" t="s">
        <v>4781</v>
      </c>
      <c r="K455" t="s">
        <v>4781</v>
      </c>
      <c r="L455" t="s">
        <v>2804</v>
      </c>
      <c r="M455" t="s">
        <v>2805</v>
      </c>
      <c r="N455">
        <v>54363</v>
      </c>
      <c r="O455">
        <v>45500</v>
      </c>
      <c r="P455">
        <v>1</v>
      </c>
      <c r="Q455">
        <v>0</v>
      </c>
      <c r="S455">
        <v>143790</v>
      </c>
      <c r="T455">
        <v>0</v>
      </c>
      <c r="U455" t="s">
        <v>2807</v>
      </c>
      <c r="W455" t="s">
        <v>4782</v>
      </c>
      <c r="X455">
        <v>45500</v>
      </c>
      <c r="Y455">
        <v>41363.636363636302</v>
      </c>
      <c r="Z455" s="26">
        <v>46062</v>
      </c>
    </row>
    <row r="456" spans="1:26" x14ac:dyDescent="0.3">
      <c r="A456" s="50">
        <v>46060.439421296294</v>
      </c>
      <c r="B456">
        <v>2.02602071031199E+18</v>
      </c>
      <c r="C456" t="s">
        <v>4783</v>
      </c>
      <c r="D456" t="s">
        <v>4784</v>
      </c>
      <c r="E456" t="s">
        <v>4784</v>
      </c>
      <c r="F456" t="s">
        <v>4783</v>
      </c>
      <c r="G456" t="s">
        <v>4784</v>
      </c>
      <c r="H456" t="s">
        <v>4784</v>
      </c>
      <c r="I456">
        <v>62247</v>
      </c>
      <c r="J456" t="s">
        <v>4785</v>
      </c>
      <c r="K456" t="s">
        <v>4785</v>
      </c>
      <c r="L456" t="s">
        <v>2804</v>
      </c>
      <c r="M456" t="s">
        <v>2805</v>
      </c>
      <c r="N456">
        <v>108726</v>
      </c>
      <c r="O456">
        <v>45500</v>
      </c>
      <c r="P456">
        <v>2</v>
      </c>
      <c r="Q456">
        <v>0</v>
      </c>
      <c r="S456">
        <v>143790</v>
      </c>
      <c r="T456">
        <v>0</v>
      </c>
      <c r="U456" t="s">
        <v>2807</v>
      </c>
      <c r="W456" t="s">
        <v>4786</v>
      </c>
      <c r="X456">
        <v>91000</v>
      </c>
      <c r="Y456">
        <v>82727.272727272706</v>
      </c>
      <c r="Z456" s="26">
        <v>46062</v>
      </c>
    </row>
    <row r="457" spans="1:26" x14ac:dyDescent="0.3">
      <c r="A457" s="50">
        <v>46060.421805555554</v>
      </c>
      <c r="B457">
        <v>2.0260207100626601E+18</v>
      </c>
      <c r="C457" t="s">
        <v>4787</v>
      </c>
      <c r="D457" t="s">
        <v>4788</v>
      </c>
      <c r="E457" t="s">
        <v>4788</v>
      </c>
      <c r="F457" t="s">
        <v>4787</v>
      </c>
      <c r="G457" t="s">
        <v>4788</v>
      </c>
      <c r="H457" t="s">
        <v>4788</v>
      </c>
      <c r="I457">
        <v>38814</v>
      </c>
      <c r="J457" t="s">
        <v>4789</v>
      </c>
      <c r="K457" t="s">
        <v>4789</v>
      </c>
      <c r="L457" t="s">
        <v>2804</v>
      </c>
      <c r="M457" t="s">
        <v>2805</v>
      </c>
      <c r="N457">
        <v>108726</v>
      </c>
      <c r="O457">
        <v>45500</v>
      </c>
      <c r="P457">
        <v>2</v>
      </c>
      <c r="Q457">
        <v>0</v>
      </c>
      <c r="S457">
        <v>143790</v>
      </c>
      <c r="T457">
        <v>0</v>
      </c>
      <c r="U457" t="s">
        <v>2807</v>
      </c>
      <c r="W457" t="s">
        <v>4790</v>
      </c>
      <c r="X457">
        <v>91000</v>
      </c>
      <c r="Y457">
        <v>82727.272727272706</v>
      </c>
      <c r="Z457" s="26">
        <v>46062</v>
      </c>
    </row>
    <row r="458" spans="1:26" x14ac:dyDescent="0.3">
      <c r="A458" s="50">
        <v>46060.404791666668</v>
      </c>
      <c r="B458">
        <v>2.0260207094224499E+18</v>
      </c>
      <c r="C458" t="s">
        <v>4791</v>
      </c>
      <c r="D458" t="s">
        <v>4792</v>
      </c>
      <c r="E458" t="s">
        <v>4792</v>
      </c>
      <c r="F458" t="s">
        <v>4791</v>
      </c>
      <c r="G458" t="s">
        <v>4792</v>
      </c>
      <c r="H458" t="s">
        <v>4792</v>
      </c>
      <c r="I458">
        <v>13833</v>
      </c>
      <c r="J458" t="s">
        <v>4793</v>
      </c>
      <c r="K458" t="s">
        <v>4793</v>
      </c>
      <c r="L458" t="s">
        <v>2804</v>
      </c>
      <c r="M458" t="s">
        <v>2805</v>
      </c>
      <c r="N458">
        <v>54363</v>
      </c>
      <c r="O458">
        <v>45500</v>
      </c>
      <c r="P458">
        <v>1</v>
      </c>
      <c r="Q458">
        <v>0</v>
      </c>
      <c r="S458">
        <v>143790</v>
      </c>
      <c r="T458">
        <v>0</v>
      </c>
      <c r="U458" t="s">
        <v>2807</v>
      </c>
      <c r="W458" t="s">
        <v>4794</v>
      </c>
      <c r="X458">
        <v>45500</v>
      </c>
      <c r="Y458">
        <v>41363.636363636302</v>
      </c>
      <c r="Z458" s="26">
        <v>46062</v>
      </c>
    </row>
    <row r="459" spans="1:26" x14ac:dyDescent="0.3">
      <c r="A459" s="50">
        <v>46060.394189814811</v>
      </c>
      <c r="B459">
        <v>2.0260207092644101E+18</v>
      </c>
      <c r="C459" t="s">
        <v>4795</v>
      </c>
      <c r="D459" t="s">
        <v>4796</v>
      </c>
      <c r="E459" t="s">
        <v>4796</v>
      </c>
      <c r="F459" t="s">
        <v>4795</v>
      </c>
      <c r="G459" t="s">
        <v>4796</v>
      </c>
      <c r="H459" t="s">
        <v>4796</v>
      </c>
      <c r="I459">
        <v>10126</v>
      </c>
      <c r="J459" t="s">
        <v>4797</v>
      </c>
      <c r="K459" t="s">
        <v>4797</v>
      </c>
      <c r="L459" t="s">
        <v>2804</v>
      </c>
      <c r="M459" t="s">
        <v>2805</v>
      </c>
      <c r="N459">
        <v>54363</v>
      </c>
      <c r="O459">
        <v>45500</v>
      </c>
      <c r="P459">
        <v>1</v>
      </c>
      <c r="Q459">
        <v>0</v>
      </c>
      <c r="S459">
        <v>143790</v>
      </c>
      <c r="T459">
        <v>0</v>
      </c>
      <c r="U459" t="s">
        <v>2807</v>
      </c>
      <c r="W459" t="s">
        <v>4798</v>
      </c>
      <c r="X459">
        <v>45500</v>
      </c>
      <c r="Y459">
        <v>41363.636363636302</v>
      </c>
      <c r="Z459" s="26">
        <v>46062</v>
      </c>
    </row>
    <row r="460" spans="1:26" x14ac:dyDescent="0.3">
      <c r="A460" s="50">
        <v>46060.37090277778</v>
      </c>
      <c r="B460">
        <v>2.0260207085223601E+18</v>
      </c>
      <c r="C460" t="s">
        <v>4799</v>
      </c>
      <c r="D460" t="s">
        <v>4800</v>
      </c>
      <c r="E460" t="s">
        <v>4800</v>
      </c>
      <c r="F460" t="s">
        <v>4799</v>
      </c>
      <c r="G460" t="s">
        <v>4800</v>
      </c>
      <c r="H460" t="s">
        <v>4800</v>
      </c>
      <c r="I460">
        <v>6592</v>
      </c>
      <c r="J460" t="s">
        <v>4801</v>
      </c>
      <c r="K460" t="s">
        <v>4801</v>
      </c>
      <c r="L460" t="s">
        <v>2804</v>
      </c>
      <c r="M460" t="s">
        <v>2805</v>
      </c>
      <c r="N460">
        <v>54363</v>
      </c>
      <c r="O460">
        <v>45500</v>
      </c>
      <c r="P460">
        <v>1</v>
      </c>
      <c r="Q460">
        <v>0</v>
      </c>
      <c r="S460">
        <v>143790</v>
      </c>
      <c r="T460">
        <v>0</v>
      </c>
      <c r="U460" t="s">
        <v>2807</v>
      </c>
      <c r="W460" t="s">
        <v>4802</v>
      </c>
      <c r="X460">
        <v>45500</v>
      </c>
      <c r="Y460">
        <v>41363.636363636302</v>
      </c>
      <c r="Z460" s="26">
        <v>46062</v>
      </c>
    </row>
    <row r="461" spans="1:26" x14ac:dyDescent="0.3">
      <c r="A461" s="50">
        <v>46060.361307870371</v>
      </c>
      <c r="B461">
        <v>2.02602070839246E+18</v>
      </c>
      <c r="C461" t="s">
        <v>4803</v>
      </c>
      <c r="D461" t="s">
        <v>4804</v>
      </c>
      <c r="E461" t="s">
        <v>4804</v>
      </c>
      <c r="F461" t="s">
        <v>4803</v>
      </c>
      <c r="G461" t="s">
        <v>4804</v>
      </c>
      <c r="H461" t="s">
        <v>4804</v>
      </c>
      <c r="I461">
        <v>62012</v>
      </c>
      <c r="J461" t="s">
        <v>4805</v>
      </c>
      <c r="K461" t="s">
        <v>4805</v>
      </c>
      <c r="L461" t="s">
        <v>2804</v>
      </c>
      <c r="M461" t="s">
        <v>2805</v>
      </c>
      <c r="N461">
        <v>54363</v>
      </c>
      <c r="O461">
        <v>45500</v>
      </c>
      <c r="P461">
        <v>1</v>
      </c>
      <c r="Q461">
        <v>0</v>
      </c>
      <c r="S461">
        <v>143790</v>
      </c>
      <c r="T461">
        <v>0</v>
      </c>
      <c r="U461" t="s">
        <v>2807</v>
      </c>
      <c r="W461" t="s">
        <v>4806</v>
      </c>
      <c r="X461">
        <v>45500</v>
      </c>
      <c r="Y461">
        <v>41363.636363636302</v>
      </c>
      <c r="Z461" s="26">
        <v>46062</v>
      </c>
    </row>
    <row r="462" spans="1:26" x14ac:dyDescent="0.3">
      <c r="A462" s="50">
        <v>46060.35628472222</v>
      </c>
      <c r="B462">
        <v>2.0260207082640499E+18</v>
      </c>
      <c r="C462" t="s">
        <v>4807</v>
      </c>
      <c r="D462" t="s">
        <v>4808</v>
      </c>
      <c r="E462" t="s">
        <v>4808</v>
      </c>
      <c r="F462" t="s">
        <v>4807</v>
      </c>
      <c r="G462" t="s">
        <v>4808</v>
      </c>
      <c r="H462" t="s">
        <v>4808</v>
      </c>
      <c r="I462">
        <v>47849</v>
      </c>
      <c r="J462" t="s">
        <v>4809</v>
      </c>
      <c r="K462" t="s">
        <v>4809</v>
      </c>
      <c r="L462" t="s">
        <v>2804</v>
      </c>
      <c r="M462" t="s">
        <v>2805</v>
      </c>
      <c r="N462">
        <v>108726</v>
      </c>
      <c r="O462">
        <v>45500</v>
      </c>
      <c r="P462">
        <v>2</v>
      </c>
      <c r="Q462">
        <v>0</v>
      </c>
      <c r="R462" t="s">
        <v>4810</v>
      </c>
      <c r="S462">
        <v>143790</v>
      </c>
      <c r="T462">
        <v>0</v>
      </c>
      <c r="U462" t="s">
        <v>2807</v>
      </c>
      <c r="W462" t="s">
        <v>4811</v>
      </c>
      <c r="X462">
        <v>91000</v>
      </c>
      <c r="Y462">
        <v>82727.272727272706</v>
      </c>
      <c r="Z462" s="26">
        <v>46062</v>
      </c>
    </row>
    <row r="463" spans="1:26" x14ac:dyDescent="0.3">
      <c r="A463" s="50">
        <v>46060.351377314815</v>
      </c>
      <c r="B463">
        <v>2.02602070822499E+18</v>
      </c>
      <c r="C463" t="s">
        <v>4812</v>
      </c>
      <c r="D463" t="s">
        <v>4813</v>
      </c>
      <c r="E463" t="s">
        <v>4813</v>
      </c>
      <c r="F463" t="s">
        <v>4814</v>
      </c>
      <c r="G463" t="s">
        <v>4815</v>
      </c>
      <c r="H463" t="s">
        <v>4815</v>
      </c>
      <c r="I463">
        <v>41438</v>
      </c>
      <c r="J463" t="s">
        <v>4816</v>
      </c>
      <c r="K463" t="s">
        <v>4816</v>
      </c>
      <c r="L463" t="s">
        <v>2804</v>
      </c>
      <c r="M463" t="s">
        <v>2805</v>
      </c>
      <c r="N463">
        <v>54363</v>
      </c>
      <c r="O463">
        <v>45500</v>
      </c>
      <c r="P463">
        <v>1</v>
      </c>
      <c r="Q463">
        <v>0</v>
      </c>
      <c r="S463">
        <v>143790</v>
      </c>
      <c r="T463">
        <v>0</v>
      </c>
      <c r="U463" t="s">
        <v>2807</v>
      </c>
      <c r="W463" t="s">
        <v>4817</v>
      </c>
      <c r="X463">
        <v>45500</v>
      </c>
      <c r="Y463">
        <v>41363.636363636302</v>
      </c>
      <c r="Z463" s="26">
        <v>46062</v>
      </c>
    </row>
    <row r="464" spans="1:26" x14ac:dyDescent="0.3">
      <c r="A464" s="50">
        <v>46060.338379629633</v>
      </c>
      <c r="B464">
        <v>2.02602070805235E+18</v>
      </c>
      <c r="C464" t="s">
        <v>4818</v>
      </c>
      <c r="D464" t="s">
        <v>4819</v>
      </c>
      <c r="E464" t="s">
        <v>4819</v>
      </c>
      <c r="F464" t="s">
        <v>4818</v>
      </c>
      <c r="G464" t="s">
        <v>4819</v>
      </c>
      <c r="H464" t="s">
        <v>4819</v>
      </c>
      <c r="I464">
        <v>7301</v>
      </c>
      <c r="J464" t="s">
        <v>4820</v>
      </c>
      <c r="K464" t="s">
        <v>4820</v>
      </c>
      <c r="L464" t="s">
        <v>2804</v>
      </c>
      <c r="M464" t="s">
        <v>2805</v>
      </c>
      <c r="N464">
        <v>54363</v>
      </c>
      <c r="O464">
        <v>45500</v>
      </c>
      <c r="P464">
        <v>1</v>
      </c>
      <c r="Q464">
        <v>0</v>
      </c>
      <c r="S464">
        <v>143790</v>
      </c>
      <c r="T464">
        <v>0</v>
      </c>
      <c r="U464" t="s">
        <v>2807</v>
      </c>
      <c r="W464" t="s">
        <v>4821</v>
      </c>
      <c r="X464">
        <v>45500</v>
      </c>
      <c r="Y464">
        <v>41363.636363636302</v>
      </c>
      <c r="Z464" s="26">
        <v>46062</v>
      </c>
    </row>
    <row r="465" spans="1:26" x14ac:dyDescent="0.3">
      <c r="A465" s="50">
        <v>46060.33630787037</v>
      </c>
      <c r="B465">
        <v>2.0260207080237499E+18</v>
      </c>
      <c r="C465" t="s">
        <v>4822</v>
      </c>
      <c r="D465" t="s">
        <v>4823</v>
      </c>
      <c r="E465" t="s">
        <v>4823</v>
      </c>
      <c r="F465" t="s">
        <v>4824</v>
      </c>
      <c r="G465" t="s">
        <v>4825</v>
      </c>
      <c r="H465" t="s">
        <v>4825</v>
      </c>
      <c r="I465">
        <v>13568</v>
      </c>
      <c r="J465" t="s">
        <v>4826</v>
      </c>
      <c r="K465" t="s">
        <v>4826</v>
      </c>
      <c r="L465" t="s">
        <v>2804</v>
      </c>
      <c r="M465" t="s">
        <v>2805</v>
      </c>
      <c r="N465">
        <v>108726</v>
      </c>
      <c r="O465">
        <v>45500</v>
      </c>
      <c r="P465">
        <v>2</v>
      </c>
      <c r="Q465">
        <v>0</v>
      </c>
      <c r="S465">
        <v>143790</v>
      </c>
      <c r="T465">
        <v>0</v>
      </c>
      <c r="U465" t="s">
        <v>2807</v>
      </c>
      <c r="W465" t="s">
        <v>4827</v>
      </c>
      <c r="X465">
        <v>91000</v>
      </c>
      <c r="Y465">
        <v>82727.272727272706</v>
      </c>
      <c r="Z465" s="26">
        <v>46062</v>
      </c>
    </row>
    <row r="466" spans="1:26" x14ac:dyDescent="0.3">
      <c r="A466" s="50">
        <v>46060.332858796297</v>
      </c>
      <c r="B466">
        <v>2.02602070756223E+18</v>
      </c>
      <c r="C466" t="s">
        <v>4822</v>
      </c>
      <c r="D466" t="s">
        <v>4823</v>
      </c>
      <c r="E466" t="s">
        <v>4823</v>
      </c>
      <c r="F466" t="s">
        <v>4828</v>
      </c>
      <c r="G466" t="s">
        <v>4829</v>
      </c>
      <c r="H466" t="s">
        <v>4829</v>
      </c>
      <c r="I466">
        <v>17578</v>
      </c>
      <c r="J466" t="s">
        <v>4830</v>
      </c>
      <c r="K466" t="s">
        <v>4830</v>
      </c>
      <c r="L466" t="s">
        <v>2804</v>
      </c>
      <c r="M466" t="s">
        <v>2805</v>
      </c>
      <c r="N466">
        <v>108726</v>
      </c>
      <c r="O466">
        <v>45500</v>
      </c>
      <c r="P466">
        <v>2</v>
      </c>
      <c r="Q466">
        <v>0</v>
      </c>
      <c r="S466">
        <v>143790</v>
      </c>
      <c r="T466">
        <v>0</v>
      </c>
      <c r="U466" t="s">
        <v>2807</v>
      </c>
      <c r="W466" t="s">
        <v>4831</v>
      </c>
      <c r="X466">
        <v>91000</v>
      </c>
      <c r="Y466">
        <v>82727.272727272706</v>
      </c>
      <c r="Z466" s="26">
        <v>46062</v>
      </c>
    </row>
    <row r="467" spans="1:26" x14ac:dyDescent="0.3">
      <c r="A467" s="50">
        <v>46060.298414351855</v>
      </c>
      <c r="B467">
        <v>2.0260207070451899E+18</v>
      </c>
      <c r="C467" t="s">
        <v>4832</v>
      </c>
      <c r="D467" t="s">
        <v>4833</v>
      </c>
      <c r="E467" t="s">
        <v>4833</v>
      </c>
      <c r="F467" t="s">
        <v>4834</v>
      </c>
      <c r="G467" t="s">
        <v>4833</v>
      </c>
      <c r="H467" t="s">
        <v>4833</v>
      </c>
      <c r="I467">
        <v>7357</v>
      </c>
      <c r="J467" t="s">
        <v>4835</v>
      </c>
      <c r="K467" t="s">
        <v>4835</v>
      </c>
      <c r="L467" t="s">
        <v>2804</v>
      </c>
      <c r="M467" t="s">
        <v>2805</v>
      </c>
      <c r="N467">
        <v>54363</v>
      </c>
      <c r="O467">
        <v>45500</v>
      </c>
      <c r="P467">
        <v>1</v>
      </c>
      <c r="Q467">
        <v>0</v>
      </c>
      <c r="R467" t="s">
        <v>4836</v>
      </c>
      <c r="S467">
        <v>143790</v>
      </c>
      <c r="T467">
        <v>0</v>
      </c>
      <c r="U467" t="s">
        <v>2807</v>
      </c>
      <c r="W467" t="s">
        <v>4837</v>
      </c>
      <c r="X467">
        <v>45500</v>
      </c>
      <c r="Y467">
        <v>41363.636363636302</v>
      </c>
      <c r="Z467" s="26">
        <v>46062</v>
      </c>
    </row>
    <row r="468" spans="1:26" x14ac:dyDescent="0.3">
      <c r="A468" s="50">
        <v>46060.135833333334</v>
      </c>
      <c r="B468">
        <v>2.0260207031306299E+18</v>
      </c>
      <c r="C468" t="s">
        <v>4838</v>
      </c>
      <c r="D468" t="s">
        <v>4839</v>
      </c>
      <c r="E468" t="s">
        <v>4839</v>
      </c>
      <c r="F468" t="s">
        <v>4840</v>
      </c>
      <c r="G468" t="s">
        <v>4839</v>
      </c>
      <c r="H468" t="s">
        <v>4839</v>
      </c>
      <c r="I468">
        <v>1090</v>
      </c>
      <c r="J468" t="s">
        <v>4841</v>
      </c>
      <c r="K468" t="s">
        <v>4841</v>
      </c>
      <c r="L468" t="s">
        <v>2804</v>
      </c>
      <c r="M468" t="s">
        <v>2805</v>
      </c>
      <c r="N468">
        <v>54363</v>
      </c>
      <c r="O468">
        <v>45500</v>
      </c>
      <c r="P468">
        <v>1</v>
      </c>
      <c r="Q468">
        <v>0</v>
      </c>
      <c r="R468" t="s">
        <v>4842</v>
      </c>
      <c r="S468">
        <v>143790</v>
      </c>
      <c r="T468">
        <v>0</v>
      </c>
      <c r="U468" t="s">
        <v>2807</v>
      </c>
      <c r="W468" t="s">
        <v>4843</v>
      </c>
      <c r="X468">
        <v>45500</v>
      </c>
      <c r="Y468">
        <v>41363.636363636302</v>
      </c>
      <c r="Z468" s="26">
        <v>46062</v>
      </c>
    </row>
    <row r="469" spans="1:26" x14ac:dyDescent="0.3">
      <c r="A469" s="50">
        <v>46060.092199074075</v>
      </c>
      <c r="B469">
        <v>2.0260207021143199E+18</v>
      </c>
      <c r="C469" t="s">
        <v>4637</v>
      </c>
      <c r="D469" t="s">
        <v>4638</v>
      </c>
      <c r="E469" t="s">
        <v>4638</v>
      </c>
      <c r="F469" t="s">
        <v>4637</v>
      </c>
      <c r="G469" t="s">
        <v>4638</v>
      </c>
      <c r="H469" t="s">
        <v>4638</v>
      </c>
      <c r="I469">
        <v>4155</v>
      </c>
      <c r="J469" t="s">
        <v>4844</v>
      </c>
      <c r="K469" t="s">
        <v>4844</v>
      </c>
      <c r="L469" t="s">
        <v>2804</v>
      </c>
      <c r="M469" t="s">
        <v>2805</v>
      </c>
      <c r="N469">
        <v>54363</v>
      </c>
      <c r="O469">
        <v>45500</v>
      </c>
      <c r="P469">
        <v>1</v>
      </c>
      <c r="Q469">
        <v>0</v>
      </c>
      <c r="S469">
        <v>143790</v>
      </c>
      <c r="T469">
        <v>0</v>
      </c>
      <c r="U469" t="s">
        <v>2807</v>
      </c>
      <c r="W469" t="s">
        <v>4845</v>
      </c>
      <c r="X469">
        <v>45500</v>
      </c>
      <c r="Y469">
        <v>41363.636363636302</v>
      </c>
      <c r="Z469" s="26">
        <v>46062</v>
      </c>
    </row>
    <row r="470" spans="1:26" x14ac:dyDescent="0.3">
      <c r="A470" s="50">
        <v>46060.047754629632</v>
      </c>
      <c r="B470">
        <v>2.0260207010353001E+18</v>
      </c>
      <c r="C470" t="s">
        <v>4846</v>
      </c>
      <c r="D470" t="s">
        <v>4847</v>
      </c>
      <c r="E470" t="s">
        <v>4847</v>
      </c>
      <c r="F470" t="s">
        <v>4848</v>
      </c>
      <c r="G470" t="s">
        <v>4849</v>
      </c>
      <c r="H470" t="s">
        <v>4849</v>
      </c>
      <c r="I470">
        <v>2020</v>
      </c>
      <c r="J470" t="s">
        <v>4850</v>
      </c>
      <c r="K470" t="s">
        <v>4850</v>
      </c>
      <c r="L470" t="s">
        <v>2804</v>
      </c>
      <c r="M470" t="s">
        <v>2805</v>
      </c>
      <c r="N470">
        <v>54363</v>
      </c>
      <c r="O470">
        <v>45500</v>
      </c>
      <c r="P470">
        <v>1</v>
      </c>
      <c r="Q470">
        <v>0</v>
      </c>
      <c r="R470" t="s">
        <v>4851</v>
      </c>
      <c r="S470">
        <v>143790</v>
      </c>
      <c r="T470">
        <v>0</v>
      </c>
      <c r="U470" t="s">
        <v>2807</v>
      </c>
      <c r="W470" t="s">
        <v>4852</v>
      </c>
      <c r="X470">
        <v>45500</v>
      </c>
      <c r="Y470">
        <v>41363.636363636302</v>
      </c>
      <c r="Z470" s="26">
        <v>46062</v>
      </c>
    </row>
    <row r="471" spans="1:26" x14ac:dyDescent="0.3">
      <c r="A471" s="50">
        <v>46060.002106481479</v>
      </c>
      <c r="B471">
        <v>2.0260207000159301E+18</v>
      </c>
      <c r="C471" t="s">
        <v>4853</v>
      </c>
      <c r="D471" t="s">
        <v>4854</v>
      </c>
      <c r="E471" t="s">
        <v>4854</v>
      </c>
      <c r="F471" t="s">
        <v>4853</v>
      </c>
      <c r="G471" t="s">
        <v>4854</v>
      </c>
      <c r="H471" t="s">
        <v>4854</v>
      </c>
      <c r="I471">
        <v>52855</v>
      </c>
      <c r="J471" t="s">
        <v>4855</v>
      </c>
      <c r="K471" t="s">
        <v>4855</v>
      </c>
      <c r="L471" t="s">
        <v>2804</v>
      </c>
      <c r="M471" t="s">
        <v>2805</v>
      </c>
      <c r="N471">
        <v>54363</v>
      </c>
      <c r="O471">
        <v>45500</v>
      </c>
      <c r="P471">
        <v>1</v>
      </c>
      <c r="Q471">
        <v>0</v>
      </c>
      <c r="S471">
        <v>143790</v>
      </c>
      <c r="T471">
        <v>0</v>
      </c>
      <c r="U471" t="s">
        <v>2807</v>
      </c>
      <c r="W471" t="s">
        <v>4856</v>
      </c>
      <c r="X471">
        <v>45500</v>
      </c>
      <c r="Y471">
        <v>41363.636363636302</v>
      </c>
      <c r="Z471" s="26">
        <v>46062</v>
      </c>
    </row>
    <row r="472" spans="1:26" x14ac:dyDescent="0.3">
      <c r="A472" s="50">
        <v>46059.97314814815</v>
      </c>
      <c r="B472">
        <v>2.02602062320144E+18</v>
      </c>
      <c r="C472" t="s">
        <v>4857</v>
      </c>
      <c r="D472" t="s">
        <v>4858</v>
      </c>
      <c r="E472" t="s">
        <v>4858</v>
      </c>
      <c r="F472" t="s">
        <v>4857</v>
      </c>
      <c r="G472" t="s">
        <v>4858</v>
      </c>
      <c r="H472" t="s">
        <v>4858</v>
      </c>
      <c r="I472">
        <v>5649</v>
      </c>
      <c r="J472" t="s">
        <v>4859</v>
      </c>
      <c r="K472" t="s">
        <v>4859</v>
      </c>
      <c r="L472" t="s">
        <v>2804</v>
      </c>
      <c r="M472" t="s">
        <v>2805</v>
      </c>
      <c r="N472">
        <v>108726</v>
      </c>
      <c r="O472">
        <v>45500</v>
      </c>
      <c r="P472">
        <v>2</v>
      </c>
      <c r="Q472">
        <v>0</v>
      </c>
      <c r="S472">
        <v>143790</v>
      </c>
      <c r="T472">
        <v>0</v>
      </c>
      <c r="U472" t="s">
        <v>2807</v>
      </c>
      <c r="W472" t="s">
        <v>4860</v>
      </c>
      <c r="X472">
        <v>91000</v>
      </c>
      <c r="Y472">
        <v>82727.272727272706</v>
      </c>
      <c r="Z472" s="26">
        <v>46062</v>
      </c>
    </row>
    <row r="473" spans="1:26" x14ac:dyDescent="0.3">
      <c r="A473" s="50">
        <v>46059.891898148147</v>
      </c>
      <c r="B473">
        <v>2.02602062121136E+18</v>
      </c>
      <c r="C473" t="s">
        <v>4861</v>
      </c>
      <c r="D473" t="s">
        <v>4862</v>
      </c>
      <c r="E473" t="s">
        <v>4862</v>
      </c>
      <c r="F473" t="s">
        <v>4861</v>
      </c>
      <c r="G473" t="s">
        <v>4862</v>
      </c>
      <c r="H473" t="s">
        <v>4862</v>
      </c>
      <c r="I473">
        <v>25470</v>
      </c>
      <c r="J473" t="s">
        <v>4863</v>
      </c>
      <c r="K473" t="s">
        <v>4863</v>
      </c>
      <c r="L473" t="s">
        <v>2804</v>
      </c>
      <c r="M473" t="s">
        <v>2805</v>
      </c>
      <c r="N473">
        <v>54363</v>
      </c>
      <c r="O473">
        <v>45500</v>
      </c>
      <c r="P473">
        <v>1</v>
      </c>
      <c r="Q473">
        <v>0</v>
      </c>
      <c r="S473">
        <v>143790</v>
      </c>
      <c r="T473">
        <v>0</v>
      </c>
      <c r="U473" t="s">
        <v>2807</v>
      </c>
      <c r="W473" t="s">
        <v>4864</v>
      </c>
      <c r="X473">
        <v>45500</v>
      </c>
      <c r="Y473">
        <v>41363.636363636302</v>
      </c>
      <c r="Z473" s="26">
        <v>46062</v>
      </c>
    </row>
    <row r="474" spans="1:26" x14ac:dyDescent="0.3">
      <c r="A474" s="50">
        <v>46059.888541666667</v>
      </c>
      <c r="B474">
        <v>2.0260206211836201E+18</v>
      </c>
      <c r="C474" t="s">
        <v>4865</v>
      </c>
      <c r="D474" t="s">
        <v>4866</v>
      </c>
      <c r="E474" t="s">
        <v>4866</v>
      </c>
      <c r="F474" t="s">
        <v>4865</v>
      </c>
      <c r="G474" t="s">
        <v>4866</v>
      </c>
      <c r="H474" t="s">
        <v>4866</v>
      </c>
      <c r="I474">
        <v>5098</v>
      </c>
      <c r="J474" t="s">
        <v>4867</v>
      </c>
      <c r="K474" t="s">
        <v>4867</v>
      </c>
      <c r="L474" t="s">
        <v>2804</v>
      </c>
      <c r="M474" t="s">
        <v>2805</v>
      </c>
      <c r="N474">
        <v>54363</v>
      </c>
      <c r="O474">
        <v>45500</v>
      </c>
      <c r="P474">
        <v>1</v>
      </c>
      <c r="Q474">
        <v>0</v>
      </c>
      <c r="S474">
        <v>143790</v>
      </c>
      <c r="T474">
        <v>0</v>
      </c>
      <c r="U474" t="s">
        <v>2807</v>
      </c>
      <c r="W474" t="s">
        <v>4868</v>
      </c>
      <c r="X474">
        <v>45500</v>
      </c>
      <c r="Y474">
        <v>41363.636363636302</v>
      </c>
      <c r="Z474" s="26">
        <v>46062</v>
      </c>
    </row>
    <row r="475" spans="1:26" x14ac:dyDescent="0.3">
      <c r="A475" s="50">
        <v>46059.883668981478</v>
      </c>
      <c r="B475">
        <v>2.02602062109136E+18</v>
      </c>
      <c r="C475" t="s">
        <v>4869</v>
      </c>
      <c r="D475" t="s">
        <v>4870</v>
      </c>
      <c r="E475" t="s">
        <v>4870</v>
      </c>
      <c r="F475" t="s">
        <v>4869</v>
      </c>
      <c r="G475" t="s">
        <v>4870</v>
      </c>
      <c r="H475" t="s">
        <v>4870</v>
      </c>
      <c r="I475">
        <v>17066</v>
      </c>
      <c r="J475" t="s">
        <v>4871</v>
      </c>
      <c r="K475" t="s">
        <v>4871</v>
      </c>
      <c r="L475" t="s">
        <v>2804</v>
      </c>
      <c r="M475" t="s">
        <v>2805</v>
      </c>
      <c r="N475">
        <v>54363</v>
      </c>
      <c r="O475">
        <v>45500</v>
      </c>
      <c r="P475">
        <v>1</v>
      </c>
      <c r="Q475">
        <v>0</v>
      </c>
      <c r="S475">
        <v>143790</v>
      </c>
      <c r="T475">
        <v>0</v>
      </c>
      <c r="U475" t="s">
        <v>2807</v>
      </c>
      <c r="W475" t="s">
        <v>4872</v>
      </c>
      <c r="X475">
        <v>45500</v>
      </c>
      <c r="Y475">
        <v>41363.636363636302</v>
      </c>
      <c r="Z475" s="26">
        <v>46062</v>
      </c>
    </row>
    <row r="476" spans="1:26" x14ac:dyDescent="0.3">
      <c r="A476" s="50">
        <v>46059.883125</v>
      </c>
      <c r="B476">
        <v>2.0260206210955599E+18</v>
      </c>
      <c r="C476" t="s">
        <v>4873</v>
      </c>
      <c r="D476" t="s">
        <v>4874</v>
      </c>
      <c r="E476" t="s">
        <v>4874</v>
      </c>
      <c r="F476" t="s">
        <v>4873</v>
      </c>
      <c r="G476" t="s">
        <v>4874</v>
      </c>
      <c r="H476" t="s">
        <v>4874</v>
      </c>
      <c r="I476">
        <v>4731</v>
      </c>
      <c r="J476" t="s">
        <v>4875</v>
      </c>
      <c r="K476" t="s">
        <v>4875</v>
      </c>
      <c r="L476" t="s">
        <v>2804</v>
      </c>
      <c r="M476" t="s">
        <v>2805</v>
      </c>
      <c r="N476">
        <v>54363</v>
      </c>
      <c r="O476">
        <v>45500</v>
      </c>
      <c r="P476">
        <v>1</v>
      </c>
      <c r="Q476">
        <v>0</v>
      </c>
      <c r="S476">
        <v>143790</v>
      </c>
      <c r="T476">
        <v>0</v>
      </c>
      <c r="U476" t="s">
        <v>2807</v>
      </c>
      <c r="W476" t="s">
        <v>4876</v>
      </c>
      <c r="X476">
        <v>45500</v>
      </c>
      <c r="Y476">
        <v>41363.636363636302</v>
      </c>
      <c r="Z476" s="26">
        <v>46062</v>
      </c>
    </row>
    <row r="477" spans="1:26" x14ac:dyDescent="0.3">
      <c r="A477" s="50">
        <v>46059.881041666667</v>
      </c>
      <c r="B477">
        <v>2.0260206210703501E+18</v>
      </c>
      <c r="C477" t="s">
        <v>4877</v>
      </c>
      <c r="D477" t="s">
        <v>4878</v>
      </c>
      <c r="E477" t="s">
        <v>4878</v>
      </c>
      <c r="F477" t="s">
        <v>4877</v>
      </c>
      <c r="G477" t="s">
        <v>4878</v>
      </c>
      <c r="H477" t="s">
        <v>4878</v>
      </c>
      <c r="I477">
        <v>17868</v>
      </c>
      <c r="J477" t="s">
        <v>4879</v>
      </c>
      <c r="K477" t="s">
        <v>4879</v>
      </c>
      <c r="L477" t="s">
        <v>2804</v>
      </c>
      <c r="M477" t="s">
        <v>2805</v>
      </c>
      <c r="N477">
        <v>54363</v>
      </c>
      <c r="O477">
        <v>45500</v>
      </c>
      <c r="P477">
        <v>1</v>
      </c>
      <c r="Q477">
        <v>0</v>
      </c>
      <c r="S477">
        <v>143790</v>
      </c>
      <c r="T477">
        <v>0</v>
      </c>
      <c r="U477" t="s">
        <v>2807</v>
      </c>
      <c r="W477" t="s">
        <v>4880</v>
      </c>
      <c r="X477">
        <v>45500</v>
      </c>
      <c r="Y477">
        <v>41363.636363636302</v>
      </c>
      <c r="Z477" s="26">
        <v>46062</v>
      </c>
    </row>
    <row r="478" spans="1:26" x14ac:dyDescent="0.3">
      <c r="A478" s="50">
        <v>46059.880555555559</v>
      </c>
      <c r="B478">
        <v>2.0260206210732301E+18</v>
      </c>
      <c r="C478" t="s">
        <v>4881</v>
      </c>
      <c r="D478" t="s">
        <v>4882</v>
      </c>
      <c r="E478" t="s">
        <v>4882</v>
      </c>
      <c r="F478" t="s">
        <v>4881</v>
      </c>
      <c r="G478" t="s">
        <v>4882</v>
      </c>
      <c r="H478" t="s">
        <v>4882</v>
      </c>
      <c r="I478">
        <v>11722</v>
      </c>
      <c r="J478" t="s">
        <v>4883</v>
      </c>
      <c r="K478" t="s">
        <v>4883</v>
      </c>
      <c r="L478" t="s">
        <v>2804</v>
      </c>
      <c r="M478" t="s">
        <v>2805</v>
      </c>
      <c r="N478">
        <v>54363</v>
      </c>
      <c r="O478">
        <v>45500</v>
      </c>
      <c r="P478">
        <v>1</v>
      </c>
      <c r="Q478">
        <v>0</v>
      </c>
      <c r="S478">
        <v>143790</v>
      </c>
      <c r="T478">
        <v>0</v>
      </c>
      <c r="U478" t="s">
        <v>2807</v>
      </c>
      <c r="W478" t="s">
        <v>4884</v>
      </c>
      <c r="X478">
        <v>45500</v>
      </c>
      <c r="Y478">
        <v>41363.636363636302</v>
      </c>
      <c r="Z478" s="26">
        <v>46062</v>
      </c>
    </row>
    <row r="479" spans="1:26" x14ac:dyDescent="0.3">
      <c r="A479" s="50">
        <v>46059.863518518519</v>
      </c>
      <c r="B479">
        <v>2.02602062042499E+18</v>
      </c>
      <c r="C479" t="s">
        <v>3453</v>
      </c>
      <c r="D479" t="s">
        <v>4885</v>
      </c>
      <c r="E479" t="s">
        <v>4885</v>
      </c>
      <c r="F479" t="s">
        <v>3453</v>
      </c>
      <c r="G479" t="s">
        <v>4885</v>
      </c>
      <c r="H479" t="s">
        <v>4885</v>
      </c>
      <c r="I479">
        <v>59720</v>
      </c>
      <c r="J479" t="s">
        <v>4886</v>
      </c>
      <c r="K479" t="s">
        <v>4886</v>
      </c>
      <c r="L479" t="s">
        <v>2804</v>
      </c>
      <c r="M479" t="s">
        <v>2805</v>
      </c>
      <c r="N479">
        <v>54363</v>
      </c>
      <c r="O479">
        <v>45500</v>
      </c>
      <c r="P479">
        <v>1</v>
      </c>
      <c r="Q479">
        <v>0</v>
      </c>
      <c r="S479">
        <v>143790</v>
      </c>
      <c r="T479">
        <v>0</v>
      </c>
      <c r="U479" t="s">
        <v>2807</v>
      </c>
      <c r="W479" t="s">
        <v>4887</v>
      </c>
      <c r="X479">
        <v>45500</v>
      </c>
      <c r="Y479">
        <v>41363.636363636302</v>
      </c>
      <c r="Z479" s="26">
        <v>46062</v>
      </c>
    </row>
    <row r="480" spans="1:26" x14ac:dyDescent="0.3">
      <c r="A480" s="50">
        <v>46059.857557870368</v>
      </c>
      <c r="B480">
        <v>2.0260206202942799E+18</v>
      </c>
      <c r="C480" t="s">
        <v>4888</v>
      </c>
      <c r="D480" t="s">
        <v>4889</v>
      </c>
      <c r="E480" t="s">
        <v>4889</v>
      </c>
      <c r="F480" t="s">
        <v>4890</v>
      </c>
      <c r="G480" t="s">
        <v>4891</v>
      </c>
      <c r="H480" t="s">
        <v>4891</v>
      </c>
      <c r="I480">
        <v>61952</v>
      </c>
      <c r="J480" t="s">
        <v>4892</v>
      </c>
      <c r="K480" t="s">
        <v>4892</v>
      </c>
      <c r="L480" t="s">
        <v>2804</v>
      </c>
      <c r="M480" t="s">
        <v>2805</v>
      </c>
      <c r="N480">
        <v>54363</v>
      </c>
      <c r="O480">
        <v>45500</v>
      </c>
      <c r="P480">
        <v>1</v>
      </c>
      <c r="Q480">
        <v>0</v>
      </c>
      <c r="S480">
        <v>143790</v>
      </c>
      <c r="T480">
        <v>0</v>
      </c>
      <c r="U480" t="s">
        <v>2807</v>
      </c>
      <c r="W480" t="s">
        <v>4893</v>
      </c>
      <c r="X480">
        <v>45500</v>
      </c>
      <c r="Y480">
        <v>41363.636363636302</v>
      </c>
      <c r="Z480" s="26">
        <v>46062</v>
      </c>
    </row>
    <row r="481" spans="1:26" x14ac:dyDescent="0.3">
      <c r="A481" s="50">
        <v>46059.856192129628</v>
      </c>
      <c r="B481">
        <v>2.0260206203026801E+18</v>
      </c>
      <c r="C481" t="s">
        <v>4894</v>
      </c>
      <c r="D481" t="s">
        <v>4895</v>
      </c>
      <c r="E481" t="s">
        <v>4895</v>
      </c>
      <c r="F481" t="s">
        <v>4894</v>
      </c>
      <c r="G481" t="s">
        <v>4895</v>
      </c>
      <c r="H481" t="s">
        <v>4895</v>
      </c>
      <c r="I481">
        <v>55105</v>
      </c>
      <c r="J481" t="s">
        <v>4896</v>
      </c>
      <c r="K481" t="s">
        <v>4896</v>
      </c>
      <c r="L481" t="s">
        <v>2804</v>
      </c>
      <c r="M481" t="s">
        <v>2805</v>
      </c>
      <c r="N481">
        <v>54363</v>
      </c>
      <c r="O481">
        <v>45500</v>
      </c>
      <c r="P481">
        <v>1</v>
      </c>
      <c r="Q481">
        <v>0</v>
      </c>
      <c r="S481">
        <v>143790</v>
      </c>
      <c r="T481">
        <v>0</v>
      </c>
      <c r="U481" t="s">
        <v>2807</v>
      </c>
      <c r="W481" t="s">
        <v>4897</v>
      </c>
      <c r="X481">
        <v>45500</v>
      </c>
      <c r="Y481">
        <v>41363.636363636302</v>
      </c>
      <c r="Z481" s="26">
        <v>46062</v>
      </c>
    </row>
    <row r="482" spans="1:26" x14ac:dyDescent="0.3">
      <c r="A482" s="50">
        <v>46059.854687500003</v>
      </c>
      <c r="B482">
        <v>2.0260206202918799E+18</v>
      </c>
      <c r="C482" t="s">
        <v>4898</v>
      </c>
      <c r="D482" t="s">
        <v>4899</v>
      </c>
      <c r="E482" t="s">
        <v>4899</v>
      </c>
      <c r="F482" t="s">
        <v>4900</v>
      </c>
      <c r="G482" t="s">
        <v>4901</v>
      </c>
      <c r="H482" t="s">
        <v>4901</v>
      </c>
      <c r="I482">
        <v>15058</v>
      </c>
      <c r="J482" t="s">
        <v>4902</v>
      </c>
      <c r="K482" t="s">
        <v>4902</v>
      </c>
      <c r="L482" t="s">
        <v>2804</v>
      </c>
      <c r="M482" t="s">
        <v>2805</v>
      </c>
      <c r="N482">
        <v>54363</v>
      </c>
      <c r="O482">
        <v>45500</v>
      </c>
      <c r="P482">
        <v>1</v>
      </c>
      <c r="Q482">
        <v>0</v>
      </c>
      <c r="S482">
        <v>143790</v>
      </c>
      <c r="T482">
        <v>0</v>
      </c>
      <c r="U482" t="s">
        <v>2807</v>
      </c>
      <c r="W482" t="s">
        <v>4903</v>
      </c>
      <c r="X482">
        <v>45500</v>
      </c>
      <c r="Y482">
        <v>41363.636363636302</v>
      </c>
      <c r="Z482" s="26">
        <v>46062</v>
      </c>
    </row>
    <row r="483" spans="1:26" x14ac:dyDescent="0.3">
      <c r="A483" s="50">
        <v>46059.854247685187</v>
      </c>
      <c r="B483">
        <v>2.02602062029137E+18</v>
      </c>
      <c r="C483" t="s">
        <v>4904</v>
      </c>
      <c r="D483" t="s">
        <v>4905</v>
      </c>
      <c r="E483" t="s">
        <v>4905</v>
      </c>
      <c r="F483" t="s">
        <v>4904</v>
      </c>
      <c r="G483" t="s">
        <v>4905</v>
      </c>
      <c r="H483" t="s">
        <v>4905</v>
      </c>
      <c r="I483">
        <v>2748</v>
      </c>
      <c r="J483" t="s">
        <v>4906</v>
      </c>
      <c r="K483" t="s">
        <v>4906</v>
      </c>
      <c r="L483" t="s">
        <v>2804</v>
      </c>
      <c r="M483" t="s">
        <v>2805</v>
      </c>
      <c r="N483">
        <v>54363</v>
      </c>
      <c r="O483">
        <v>45500</v>
      </c>
      <c r="P483">
        <v>1</v>
      </c>
      <c r="Q483">
        <v>0</v>
      </c>
      <c r="S483">
        <v>143790</v>
      </c>
      <c r="T483">
        <v>0</v>
      </c>
      <c r="U483" t="s">
        <v>2807</v>
      </c>
      <c r="W483" t="s">
        <v>4907</v>
      </c>
      <c r="X483">
        <v>45500</v>
      </c>
      <c r="Y483">
        <v>41363.636363636302</v>
      </c>
      <c r="Z483" s="26">
        <v>46062</v>
      </c>
    </row>
    <row r="484" spans="1:26" x14ac:dyDescent="0.3">
      <c r="A484" s="50">
        <v>46059.853726851848</v>
      </c>
      <c r="B484">
        <v>2.0260206202822001E+18</v>
      </c>
      <c r="C484" t="s">
        <v>4908</v>
      </c>
      <c r="D484" t="s">
        <v>4909</v>
      </c>
      <c r="E484" t="s">
        <v>4909</v>
      </c>
      <c r="F484" t="s">
        <v>4908</v>
      </c>
      <c r="G484" t="s">
        <v>4909</v>
      </c>
      <c r="H484" t="s">
        <v>4909</v>
      </c>
      <c r="I484">
        <v>16329</v>
      </c>
      <c r="J484" t="s">
        <v>4910</v>
      </c>
      <c r="K484" t="s">
        <v>4910</v>
      </c>
      <c r="L484" t="s">
        <v>2804</v>
      </c>
      <c r="M484" t="s">
        <v>2805</v>
      </c>
      <c r="N484">
        <v>54363</v>
      </c>
      <c r="O484">
        <v>45500</v>
      </c>
      <c r="P484">
        <v>1</v>
      </c>
      <c r="Q484">
        <v>0</v>
      </c>
      <c r="S484">
        <v>143790</v>
      </c>
      <c r="T484">
        <v>0</v>
      </c>
      <c r="U484" t="s">
        <v>2807</v>
      </c>
      <c r="W484" t="s">
        <v>4911</v>
      </c>
      <c r="X484">
        <v>45500</v>
      </c>
      <c r="Y484">
        <v>41363.636363636302</v>
      </c>
      <c r="Z484" s="26">
        <v>46062</v>
      </c>
    </row>
    <row r="485" spans="1:26" x14ac:dyDescent="0.3">
      <c r="A485" s="50">
        <v>46059.850960648146</v>
      </c>
      <c r="B485">
        <v>2.02602062018077E+18</v>
      </c>
      <c r="C485" t="s">
        <v>4912</v>
      </c>
      <c r="D485" t="s">
        <v>4913</v>
      </c>
      <c r="E485" t="s">
        <v>4913</v>
      </c>
      <c r="F485" t="s">
        <v>4914</v>
      </c>
      <c r="G485" t="s">
        <v>4915</v>
      </c>
      <c r="H485" t="s">
        <v>4915</v>
      </c>
      <c r="I485">
        <v>27350</v>
      </c>
      <c r="J485" t="s">
        <v>4916</v>
      </c>
      <c r="K485" t="s">
        <v>4916</v>
      </c>
      <c r="L485" t="s">
        <v>2804</v>
      </c>
      <c r="M485" t="s">
        <v>2805</v>
      </c>
      <c r="N485">
        <v>54363</v>
      </c>
      <c r="O485">
        <v>45500</v>
      </c>
      <c r="P485">
        <v>1</v>
      </c>
      <c r="Q485">
        <v>0</v>
      </c>
      <c r="R485" t="s">
        <v>4917</v>
      </c>
      <c r="S485">
        <v>143790</v>
      </c>
      <c r="T485">
        <v>0</v>
      </c>
      <c r="U485" t="s">
        <v>2807</v>
      </c>
      <c r="W485" t="s">
        <v>4918</v>
      </c>
      <c r="X485">
        <v>45500</v>
      </c>
      <c r="Y485">
        <v>41363.636363636302</v>
      </c>
      <c r="Z485" s="26">
        <v>46062</v>
      </c>
    </row>
    <row r="486" spans="1:26" x14ac:dyDescent="0.3">
      <c r="A486" s="50">
        <v>46059.850856481484</v>
      </c>
      <c r="B486">
        <v>2.0260206202421299E+18</v>
      </c>
      <c r="C486" t="s">
        <v>4919</v>
      </c>
      <c r="D486" t="s">
        <v>4920</v>
      </c>
      <c r="E486" t="s">
        <v>4920</v>
      </c>
      <c r="F486" t="s">
        <v>4919</v>
      </c>
      <c r="G486" t="s">
        <v>4920</v>
      </c>
      <c r="H486" t="s">
        <v>4920</v>
      </c>
      <c r="I486">
        <v>17117</v>
      </c>
      <c r="J486" t="s">
        <v>4921</v>
      </c>
      <c r="K486" t="s">
        <v>4921</v>
      </c>
      <c r="L486" t="s">
        <v>2804</v>
      </c>
      <c r="M486" t="s">
        <v>2805</v>
      </c>
      <c r="N486">
        <v>54363</v>
      </c>
      <c r="O486">
        <v>45500</v>
      </c>
      <c r="P486">
        <v>1</v>
      </c>
      <c r="Q486">
        <v>0</v>
      </c>
      <c r="S486">
        <v>143790</v>
      </c>
      <c r="T486">
        <v>0</v>
      </c>
      <c r="U486" t="s">
        <v>2807</v>
      </c>
      <c r="W486" t="s">
        <v>4922</v>
      </c>
      <c r="X486">
        <v>45500</v>
      </c>
      <c r="Y486">
        <v>41363.636363636302</v>
      </c>
      <c r="Z486" s="26">
        <v>46062</v>
      </c>
    </row>
    <row r="487" spans="1:26" x14ac:dyDescent="0.3">
      <c r="A487" s="50">
        <v>46059.850659722222</v>
      </c>
      <c r="B487">
        <v>2.0260206202235699E+18</v>
      </c>
      <c r="C487" t="s">
        <v>4888</v>
      </c>
      <c r="D487" t="s">
        <v>4889</v>
      </c>
      <c r="E487" t="s">
        <v>4889</v>
      </c>
      <c r="F487" t="s">
        <v>4923</v>
      </c>
      <c r="G487" t="s">
        <v>4924</v>
      </c>
      <c r="H487" t="s">
        <v>4924</v>
      </c>
      <c r="I487">
        <v>5010</v>
      </c>
      <c r="J487" t="s">
        <v>4925</v>
      </c>
      <c r="K487" t="s">
        <v>4925</v>
      </c>
      <c r="L487" t="s">
        <v>2804</v>
      </c>
      <c r="M487" t="s">
        <v>2805</v>
      </c>
      <c r="N487">
        <v>54363</v>
      </c>
      <c r="O487">
        <v>45500</v>
      </c>
      <c r="P487">
        <v>1</v>
      </c>
      <c r="Q487">
        <v>0</v>
      </c>
      <c r="S487">
        <v>143790</v>
      </c>
      <c r="T487">
        <v>0</v>
      </c>
      <c r="U487" t="s">
        <v>2807</v>
      </c>
      <c r="W487" t="s">
        <v>4926</v>
      </c>
      <c r="X487">
        <v>45500</v>
      </c>
      <c r="Y487">
        <v>41363.636363636302</v>
      </c>
      <c r="Z487" s="26">
        <v>46062</v>
      </c>
    </row>
    <row r="488" spans="1:26" x14ac:dyDescent="0.3">
      <c r="A488" s="50">
        <v>46059.847048611111</v>
      </c>
      <c r="B488">
        <v>2.02602062019153E+18</v>
      </c>
      <c r="C488" t="s">
        <v>4927</v>
      </c>
      <c r="D488" t="s">
        <v>4928</v>
      </c>
      <c r="E488" t="s">
        <v>4928</v>
      </c>
      <c r="F488" t="s">
        <v>4927</v>
      </c>
      <c r="G488" t="s">
        <v>4928</v>
      </c>
      <c r="H488" t="s">
        <v>4928</v>
      </c>
      <c r="I488">
        <v>5410</v>
      </c>
      <c r="J488" t="s">
        <v>4929</v>
      </c>
      <c r="K488" t="s">
        <v>4929</v>
      </c>
      <c r="L488" t="s">
        <v>2804</v>
      </c>
      <c r="M488" t="s">
        <v>2805</v>
      </c>
      <c r="N488">
        <v>54363</v>
      </c>
      <c r="O488">
        <v>45500</v>
      </c>
      <c r="P488">
        <v>1</v>
      </c>
      <c r="Q488">
        <v>0</v>
      </c>
      <c r="S488">
        <v>143790</v>
      </c>
      <c r="T488">
        <v>0</v>
      </c>
      <c r="U488" t="s">
        <v>2807</v>
      </c>
      <c r="W488" t="s">
        <v>4930</v>
      </c>
      <c r="X488">
        <v>45500</v>
      </c>
      <c r="Y488">
        <v>41363.636363636302</v>
      </c>
      <c r="Z488" s="26">
        <v>46062</v>
      </c>
    </row>
    <row r="489" spans="1:26" x14ac:dyDescent="0.3">
      <c r="A489" s="50">
        <v>46059.844733796293</v>
      </c>
      <c r="B489">
        <v>2.02602062015409E+18</v>
      </c>
      <c r="C489" t="s">
        <v>4931</v>
      </c>
      <c r="D489" t="s">
        <v>4932</v>
      </c>
      <c r="E489" t="s">
        <v>4932</v>
      </c>
      <c r="F489" t="s">
        <v>4931</v>
      </c>
      <c r="G489" t="s">
        <v>4932</v>
      </c>
      <c r="H489" t="s">
        <v>4932</v>
      </c>
      <c r="I489">
        <v>61040</v>
      </c>
      <c r="J489" t="s">
        <v>4933</v>
      </c>
      <c r="K489" t="s">
        <v>4933</v>
      </c>
      <c r="L489" t="s">
        <v>2804</v>
      </c>
      <c r="M489" t="s">
        <v>2805</v>
      </c>
      <c r="N489">
        <v>54363</v>
      </c>
      <c r="O489">
        <v>45500</v>
      </c>
      <c r="P489">
        <v>1</v>
      </c>
      <c r="Q489">
        <v>0</v>
      </c>
      <c r="S489">
        <v>143790</v>
      </c>
      <c r="T489">
        <v>0</v>
      </c>
      <c r="U489" t="s">
        <v>2807</v>
      </c>
      <c r="W489" t="s">
        <v>4934</v>
      </c>
      <c r="X489">
        <v>45500</v>
      </c>
      <c r="Y489">
        <v>41363.636363636302</v>
      </c>
      <c r="Z489" s="26">
        <v>46062</v>
      </c>
    </row>
    <row r="490" spans="1:26" x14ac:dyDescent="0.3">
      <c r="A490" s="50">
        <v>46059.843587962961</v>
      </c>
      <c r="B490">
        <v>2.02602062013073E+18</v>
      </c>
      <c r="C490" t="s">
        <v>4935</v>
      </c>
      <c r="D490" t="s">
        <v>4936</v>
      </c>
      <c r="E490" t="s">
        <v>4936</v>
      </c>
      <c r="F490" t="s">
        <v>4935</v>
      </c>
      <c r="G490" t="s">
        <v>4936</v>
      </c>
      <c r="H490" t="s">
        <v>4936</v>
      </c>
      <c r="I490">
        <v>16814</v>
      </c>
      <c r="J490" t="s">
        <v>4937</v>
      </c>
      <c r="K490" t="s">
        <v>4937</v>
      </c>
      <c r="L490" t="s">
        <v>2804</v>
      </c>
      <c r="M490" t="s">
        <v>2805</v>
      </c>
      <c r="N490">
        <v>54363</v>
      </c>
      <c r="O490">
        <v>45500</v>
      </c>
      <c r="P490">
        <v>1</v>
      </c>
      <c r="Q490">
        <v>0</v>
      </c>
      <c r="S490">
        <v>143790</v>
      </c>
      <c r="T490">
        <v>0</v>
      </c>
      <c r="U490" t="s">
        <v>2807</v>
      </c>
      <c r="W490" t="s">
        <v>4938</v>
      </c>
      <c r="X490">
        <v>45500</v>
      </c>
      <c r="Y490">
        <v>41363.636363636302</v>
      </c>
      <c r="Z490" s="26">
        <v>46062</v>
      </c>
    </row>
    <row r="491" spans="1:26" x14ac:dyDescent="0.3">
      <c r="A491" s="50">
        <v>46059.842083333337</v>
      </c>
      <c r="B491">
        <v>2.02602062011104E+18</v>
      </c>
      <c r="C491" t="s">
        <v>4939</v>
      </c>
      <c r="D491" t="s">
        <v>4940</v>
      </c>
      <c r="E491" t="s">
        <v>4940</v>
      </c>
      <c r="F491" t="s">
        <v>4939</v>
      </c>
      <c r="G491" t="s">
        <v>4940</v>
      </c>
      <c r="H491" t="s">
        <v>4940</v>
      </c>
      <c r="I491">
        <v>38081</v>
      </c>
      <c r="J491" t="s">
        <v>4941</v>
      </c>
      <c r="K491" t="s">
        <v>4941</v>
      </c>
      <c r="L491" t="s">
        <v>2804</v>
      </c>
      <c r="M491" t="s">
        <v>2805</v>
      </c>
      <c r="N491">
        <v>54363</v>
      </c>
      <c r="O491">
        <v>45500</v>
      </c>
      <c r="P491">
        <v>1</v>
      </c>
      <c r="Q491">
        <v>0</v>
      </c>
      <c r="S491">
        <v>143790</v>
      </c>
      <c r="T491">
        <v>0</v>
      </c>
      <c r="U491" t="s">
        <v>2807</v>
      </c>
      <c r="W491" t="s">
        <v>4942</v>
      </c>
      <c r="X491">
        <v>45500</v>
      </c>
      <c r="Y491">
        <v>41363.636363636302</v>
      </c>
      <c r="Z491" s="26">
        <v>46062</v>
      </c>
    </row>
    <row r="492" spans="1:26" x14ac:dyDescent="0.3">
      <c r="A492" s="50">
        <v>46059.831724537034</v>
      </c>
      <c r="B492">
        <v>2.0260206195657999E+18</v>
      </c>
      <c r="C492" t="s">
        <v>4943</v>
      </c>
      <c r="D492" t="s">
        <v>4944</v>
      </c>
      <c r="E492" t="s">
        <v>4944</v>
      </c>
      <c r="F492" t="s">
        <v>4943</v>
      </c>
      <c r="G492" t="s">
        <v>4944</v>
      </c>
      <c r="H492" t="s">
        <v>4944</v>
      </c>
      <c r="I492">
        <v>13544</v>
      </c>
      <c r="J492" t="s">
        <v>4945</v>
      </c>
      <c r="K492" t="s">
        <v>4945</v>
      </c>
      <c r="L492" t="s">
        <v>2804</v>
      </c>
      <c r="M492" t="s">
        <v>2805</v>
      </c>
      <c r="N492">
        <v>54363</v>
      </c>
      <c r="O492">
        <v>45500</v>
      </c>
      <c r="P492">
        <v>1</v>
      </c>
      <c r="Q492">
        <v>0</v>
      </c>
      <c r="S492">
        <v>143790</v>
      </c>
      <c r="T492">
        <v>0</v>
      </c>
      <c r="U492" t="s">
        <v>2807</v>
      </c>
      <c r="W492" t="s">
        <v>4946</v>
      </c>
      <c r="X492">
        <v>45500</v>
      </c>
      <c r="Y492">
        <v>41363.636363636302</v>
      </c>
      <c r="Z492" s="26">
        <v>46062</v>
      </c>
    </row>
    <row r="493" spans="1:26" x14ac:dyDescent="0.3">
      <c r="A493" s="50">
        <v>46059.827291666668</v>
      </c>
      <c r="B493">
        <v>2.0260206195031501E+18</v>
      </c>
      <c r="C493" t="s">
        <v>4947</v>
      </c>
      <c r="D493" t="s">
        <v>4948</v>
      </c>
      <c r="E493" t="s">
        <v>4948</v>
      </c>
      <c r="F493" t="s">
        <v>4947</v>
      </c>
      <c r="G493" t="s">
        <v>4948</v>
      </c>
      <c r="H493" t="s">
        <v>4948</v>
      </c>
      <c r="I493">
        <v>3380</v>
      </c>
      <c r="J493" t="s">
        <v>4949</v>
      </c>
      <c r="K493" t="s">
        <v>4949</v>
      </c>
      <c r="L493" t="s">
        <v>2804</v>
      </c>
      <c r="M493" t="s">
        <v>2805</v>
      </c>
      <c r="N493">
        <v>163089</v>
      </c>
      <c r="O493">
        <v>45500</v>
      </c>
      <c r="P493">
        <v>3</v>
      </c>
      <c r="Q493">
        <v>0</v>
      </c>
      <c r="S493">
        <v>143790</v>
      </c>
      <c r="T493">
        <v>0</v>
      </c>
      <c r="U493" t="s">
        <v>2807</v>
      </c>
      <c r="W493" t="s">
        <v>4950</v>
      </c>
      <c r="X493">
        <v>136500</v>
      </c>
      <c r="Y493">
        <v>124090.909090909</v>
      </c>
      <c r="Z493" s="26">
        <v>46062</v>
      </c>
    </row>
    <row r="494" spans="1:26" x14ac:dyDescent="0.3">
      <c r="A494" s="50">
        <v>46059.826261574075</v>
      </c>
      <c r="B494">
        <v>2.0260206194915599E+18</v>
      </c>
      <c r="C494" t="s">
        <v>4951</v>
      </c>
      <c r="D494" t="s">
        <v>4952</v>
      </c>
      <c r="E494" t="s">
        <v>4952</v>
      </c>
      <c r="F494" t="s">
        <v>4951</v>
      </c>
      <c r="G494" t="s">
        <v>4952</v>
      </c>
      <c r="H494" t="s">
        <v>4952</v>
      </c>
      <c r="I494">
        <v>12095</v>
      </c>
      <c r="J494" t="s">
        <v>4953</v>
      </c>
      <c r="K494" t="s">
        <v>4953</v>
      </c>
      <c r="L494" t="s">
        <v>2804</v>
      </c>
      <c r="M494" t="s">
        <v>2805</v>
      </c>
      <c r="N494">
        <v>54363</v>
      </c>
      <c r="O494">
        <v>45500</v>
      </c>
      <c r="P494">
        <v>1</v>
      </c>
      <c r="Q494">
        <v>0</v>
      </c>
      <c r="S494">
        <v>143790</v>
      </c>
      <c r="T494">
        <v>0</v>
      </c>
      <c r="U494" t="s">
        <v>2807</v>
      </c>
      <c r="W494" t="s">
        <v>4954</v>
      </c>
      <c r="X494">
        <v>45500</v>
      </c>
      <c r="Y494">
        <v>41363.636363636302</v>
      </c>
      <c r="Z494" s="26">
        <v>46062</v>
      </c>
    </row>
    <row r="495" spans="1:26" x14ac:dyDescent="0.3">
      <c r="A495" s="50">
        <v>46059.818113425928</v>
      </c>
      <c r="B495">
        <v>2.0260206193542799E+18</v>
      </c>
      <c r="C495" t="s">
        <v>4955</v>
      </c>
      <c r="D495" t="s">
        <v>4956</v>
      </c>
      <c r="E495" t="s">
        <v>4956</v>
      </c>
      <c r="F495" t="s">
        <v>4957</v>
      </c>
      <c r="G495" t="s">
        <v>4958</v>
      </c>
      <c r="H495" t="s">
        <v>4958</v>
      </c>
      <c r="I495">
        <v>12082</v>
      </c>
      <c r="J495" t="s">
        <v>4959</v>
      </c>
      <c r="K495" t="s">
        <v>4959</v>
      </c>
      <c r="L495" t="s">
        <v>2804</v>
      </c>
      <c r="M495" t="s">
        <v>2805</v>
      </c>
      <c r="N495">
        <v>54363</v>
      </c>
      <c r="O495">
        <v>45500</v>
      </c>
      <c r="P495">
        <v>1</v>
      </c>
      <c r="Q495">
        <v>0</v>
      </c>
      <c r="S495">
        <v>143790</v>
      </c>
      <c r="T495">
        <v>0</v>
      </c>
      <c r="U495" t="s">
        <v>2807</v>
      </c>
      <c r="W495" t="s">
        <v>4960</v>
      </c>
      <c r="X495">
        <v>45500</v>
      </c>
      <c r="Y495">
        <v>41363.636363636302</v>
      </c>
      <c r="Z495" s="26">
        <v>46062</v>
      </c>
    </row>
    <row r="496" spans="1:26" x14ac:dyDescent="0.3">
      <c r="A496" s="50">
        <v>46059.81622685185</v>
      </c>
      <c r="B496">
        <v>2.0260206193314199E+18</v>
      </c>
      <c r="C496" t="s">
        <v>4961</v>
      </c>
      <c r="D496" t="s">
        <v>4962</v>
      </c>
      <c r="E496" t="s">
        <v>4962</v>
      </c>
      <c r="F496" t="s">
        <v>4961</v>
      </c>
      <c r="G496" t="s">
        <v>4962</v>
      </c>
      <c r="H496" t="s">
        <v>4962</v>
      </c>
      <c r="I496">
        <v>15352</v>
      </c>
      <c r="J496" t="s">
        <v>4963</v>
      </c>
      <c r="K496" t="s">
        <v>4963</v>
      </c>
      <c r="L496" t="s">
        <v>2804</v>
      </c>
      <c r="M496" t="s">
        <v>2805</v>
      </c>
      <c r="N496">
        <v>54363</v>
      </c>
      <c r="O496">
        <v>45500</v>
      </c>
      <c r="P496">
        <v>1</v>
      </c>
      <c r="Q496">
        <v>0</v>
      </c>
      <c r="S496">
        <v>143790</v>
      </c>
      <c r="T496">
        <v>0</v>
      </c>
      <c r="U496" t="s">
        <v>2807</v>
      </c>
      <c r="W496" t="s">
        <v>4964</v>
      </c>
      <c r="X496">
        <v>45500</v>
      </c>
      <c r="Y496">
        <v>41363.636363636302</v>
      </c>
      <c r="Z496" s="26">
        <v>46062</v>
      </c>
    </row>
    <row r="497" spans="1:26" x14ac:dyDescent="0.3">
      <c r="A497" s="50">
        <v>46059.807812500003</v>
      </c>
      <c r="B497">
        <v>2.02602061922243E+18</v>
      </c>
      <c r="C497" t="s">
        <v>4965</v>
      </c>
      <c r="D497" t="s">
        <v>4966</v>
      </c>
      <c r="E497" t="s">
        <v>4966</v>
      </c>
      <c r="F497" t="s">
        <v>4965</v>
      </c>
      <c r="G497" t="s">
        <v>4966</v>
      </c>
      <c r="H497" t="s">
        <v>4966</v>
      </c>
      <c r="I497">
        <v>1626</v>
      </c>
      <c r="J497" t="s">
        <v>4967</v>
      </c>
      <c r="K497" t="s">
        <v>4967</v>
      </c>
      <c r="L497" t="s">
        <v>2804</v>
      </c>
      <c r="M497" t="s">
        <v>2805</v>
      </c>
      <c r="N497">
        <v>54363</v>
      </c>
      <c r="O497">
        <v>45500</v>
      </c>
      <c r="P497">
        <v>1</v>
      </c>
      <c r="Q497">
        <v>0</v>
      </c>
      <c r="S497">
        <v>143790</v>
      </c>
      <c r="T497">
        <v>0</v>
      </c>
      <c r="U497" t="s">
        <v>2807</v>
      </c>
      <c r="W497" t="s">
        <v>4968</v>
      </c>
      <c r="X497">
        <v>45500</v>
      </c>
      <c r="Y497">
        <v>41363.636363636302</v>
      </c>
      <c r="Z497" s="26">
        <v>46062</v>
      </c>
    </row>
    <row r="498" spans="1:26" x14ac:dyDescent="0.3">
      <c r="A498" s="50">
        <v>46059.805833333332</v>
      </c>
      <c r="B498">
        <v>2.0260206191939899E+18</v>
      </c>
      <c r="C498" t="s">
        <v>4969</v>
      </c>
      <c r="D498" t="s">
        <v>4970</v>
      </c>
      <c r="E498" t="s">
        <v>4970</v>
      </c>
      <c r="F498" t="s">
        <v>4969</v>
      </c>
      <c r="G498" t="s">
        <v>4970</v>
      </c>
      <c r="H498" t="s">
        <v>4970</v>
      </c>
      <c r="I498">
        <v>21557</v>
      </c>
      <c r="J498" t="s">
        <v>4971</v>
      </c>
      <c r="K498" t="s">
        <v>4971</v>
      </c>
      <c r="L498" t="s">
        <v>2804</v>
      </c>
      <c r="M498" t="s">
        <v>2805</v>
      </c>
      <c r="N498">
        <v>54363</v>
      </c>
      <c r="O498">
        <v>45500</v>
      </c>
      <c r="P498">
        <v>1</v>
      </c>
      <c r="Q498">
        <v>0</v>
      </c>
      <c r="S498">
        <v>143790</v>
      </c>
      <c r="T498">
        <v>0</v>
      </c>
      <c r="U498" t="s">
        <v>2807</v>
      </c>
      <c r="W498" t="s">
        <v>4972</v>
      </c>
      <c r="X498">
        <v>45500</v>
      </c>
      <c r="Y498">
        <v>41363.636363636302</v>
      </c>
      <c r="Z498" s="26">
        <v>46062</v>
      </c>
    </row>
    <row r="499" spans="1:26" x14ac:dyDescent="0.3">
      <c r="A499" s="50">
        <v>46059.805659722224</v>
      </c>
      <c r="B499">
        <v>2.02602061919006E+18</v>
      </c>
      <c r="C499" t="s">
        <v>4973</v>
      </c>
      <c r="D499" t="s">
        <v>4974</v>
      </c>
      <c r="E499" t="s">
        <v>4974</v>
      </c>
      <c r="F499" t="s">
        <v>4973</v>
      </c>
      <c r="G499" t="s">
        <v>4974</v>
      </c>
      <c r="H499" t="s">
        <v>4974</v>
      </c>
      <c r="I499">
        <v>13013</v>
      </c>
      <c r="J499" t="s">
        <v>4975</v>
      </c>
      <c r="K499" t="s">
        <v>4975</v>
      </c>
      <c r="L499" t="s">
        <v>2804</v>
      </c>
      <c r="M499" t="s">
        <v>2805</v>
      </c>
      <c r="N499">
        <v>54363</v>
      </c>
      <c r="O499">
        <v>45500</v>
      </c>
      <c r="P499">
        <v>1</v>
      </c>
      <c r="Q499">
        <v>0</v>
      </c>
      <c r="S499">
        <v>143790</v>
      </c>
      <c r="T499">
        <v>0</v>
      </c>
      <c r="U499" t="s">
        <v>2807</v>
      </c>
      <c r="W499" t="s">
        <v>4976</v>
      </c>
      <c r="X499">
        <v>45500</v>
      </c>
      <c r="Y499">
        <v>41363.636363636302</v>
      </c>
      <c r="Z499" s="26">
        <v>46062</v>
      </c>
    </row>
    <row r="500" spans="1:26" x14ac:dyDescent="0.3">
      <c r="A500" s="50">
        <v>46059.805254629631</v>
      </c>
      <c r="B500">
        <v>2.0260206191847401E+18</v>
      </c>
      <c r="C500" t="s">
        <v>4977</v>
      </c>
      <c r="D500" t="s">
        <v>4978</v>
      </c>
      <c r="E500" t="s">
        <v>4978</v>
      </c>
      <c r="F500" t="s">
        <v>4977</v>
      </c>
      <c r="G500" t="s">
        <v>4978</v>
      </c>
      <c r="H500" t="s">
        <v>4978</v>
      </c>
      <c r="I500">
        <v>2874</v>
      </c>
      <c r="J500" t="s">
        <v>4979</v>
      </c>
      <c r="K500" t="s">
        <v>4979</v>
      </c>
      <c r="L500" t="s">
        <v>2804</v>
      </c>
      <c r="M500" t="s">
        <v>2805</v>
      </c>
      <c r="N500">
        <v>54363</v>
      </c>
      <c r="O500">
        <v>45500</v>
      </c>
      <c r="P500">
        <v>1</v>
      </c>
      <c r="Q500">
        <v>0</v>
      </c>
      <c r="S500">
        <v>143790</v>
      </c>
      <c r="T500">
        <v>0</v>
      </c>
      <c r="U500" t="s">
        <v>2807</v>
      </c>
      <c r="W500" t="s">
        <v>4980</v>
      </c>
      <c r="X500">
        <v>45500</v>
      </c>
      <c r="Y500">
        <v>41363.636363636302</v>
      </c>
      <c r="Z500" s="26">
        <v>46062</v>
      </c>
    </row>
    <row r="501" spans="1:26" x14ac:dyDescent="0.3">
      <c r="A501" s="50">
        <v>46059.803923611114</v>
      </c>
      <c r="B501">
        <v>2.0260206191706199E+18</v>
      </c>
      <c r="C501" t="s">
        <v>4981</v>
      </c>
      <c r="D501" t="s">
        <v>4982</v>
      </c>
      <c r="E501" t="s">
        <v>4982</v>
      </c>
      <c r="F501" t="s">
        <v>4981</v>
      </c>
      <c r="G501" t="s">
        <v>4982</v>
      </c>
      <c r="H501" t="s">
        <v>4982</v>
      </c>
      <c r="I501">
        <v>47803</v>
      </c>
      <c r="J501" t="s">
        <v>4983</v>
      </c>
      <c r="K501" t="s">
        <v>4983</v>
      </c>
      <c r="L501" t="s">
        <v>2804</v>
      </c>
      <c r="M501" t="s">
        <v>2805</v>
      </c>
      <c r="N501">
        <v>54363</v>
      </c>
      <c r="O501">
        <v>45500</v>
      </c>
      <c r="P501">
        <v>1</v>
      </c>
      <c r="Q501">
        <v>0</v>
      </c>
      <c r="R501" t="s">
        <v>4984</v>
      </c>
      <c r="S501">
        <v>143790</v>
      </c>
      <c r="T501">
        <v>0</v>
      </c>
      <c r="U501" t="s">
        <v>2807</v>
      </c>
      <c r="W501" t="s">
        <v>4985</v>
      </c>
      <c r="X501">
        <v>45500</v>
      </c>
      <c r="Y501">
        <v>41363.636363636302</v>
      </c>
      <c r="Z501" s="26">
        <v>46062</v>
      </c>
    </row>
    <row r="502" spans="1:26" x14ac:dyDescent="0.3">
      <c r="A502" s="50">
        <v>46059.803842592592</v>
      </c>
      <c r="B502">
        <v>2.0260206191706801E+18</v>
      </c>
      <c r="C502" t="s">
        <v>4986</v>
      </c>
      <c r="D502" t="s">
        <v>4987</v>
      </c>
      <c r="E502" t="s">
        <v>4987</v>
      </c>
      <c r="F502" t="s">
        <v>4986</v>
      </c>
      <c r="G502" t="s">
        <v>4987</v>
      </c>
      <c r="H502" t="s">
        <v>4987</v>
      </c>
      <c r="I502">
        <v>5080</v>
      </c>
      <c r="J502" t="s">
        <v>4988</v>
      </c>
      <c r="K502" t="s">
        <v>4988</v>
      </c>
      <c r="L502" t="s">
        <v>2804</v>
      </c>
      <c r="M502" t="s">
        <v>2805</v>
      </c>
      <c r="N502">
        <v>54363</v>
      </c>
      <c r="O502">
        <v>45500</v>
      </c>
      <c r="P502">
        <v>1</v>
      </c>
      <c r="Q502">
        <v>0</v>
      </c>
      <c r="S502">
        <v>143790</v>
      </c>
      <c r="T502">
        <v>0</v>
      </c>
      <c r="U502" t="s">
        <v>2807</v>
      </c>
      <c r="W502" t="s">
        <v>4989</v>
      </c>
      <c r="X502">
        <v>45500</v>
      </c>
      <c r="Y502">
        <v>41363.636363636302</v>
      </c>
      <c r="Z502" s="26">
        <v>46062</v>
      </c>
    </row>
    <row r="503" spans="1:26" x14ac:dyDescent="0.3">
      <c r="A503" s="50">
        <v>46059.802395833336</v>
      </c>
      <c r="B503">
        <v>2.0260206191426501E+18</v>
      </c>
      <c r="C503" t="s">
        <v>4990</v>
      </c>
      <c r="D503" t="s">
        <v>4991</v>
      </c>
      <c r="E503" t="s">
        <v>4991</v>
      </c>
      <c r="F503" t="s">
        <v>4990</v>
      </c>
      <c r="G503" t="s">
        <v>4991</v>
      </c>
      <c r="H503" t="s">
        <v>4991</v>
      </c>
      <c r="I503">
        <v>53216</v>
      </c>
      <c r="J503" t="s">
        <v>4992</v>
      </c>
      <c r="K503" t="s">
        <v>4992</v>
      </c>
      <c r="L503" t="s">
        <v>2804</v>
      </c>
      <c r="M503" t="s">
        <v>2805</v>
      </c>
      <c r="N503">
        <v>54363</v>
      </c>
      <c r="O503">
        <v>45500</v>
      </c>
      <c r="P503">
        <v>1</v>
      </c>
      <c r="Q503">
        <v>0</v>
      </c>
      <c r="S503">
        <v>143790</v>
      </c>
      <c r="T503">
        <v>0</v>
      </c>
      <c r="U503" t="s">
        <v>2807</v>
      </c>
      <c r="W503" t="s">
        <v>4993</v>
      </c>
      <c r="X503">
        <v>45500</v>
      </c>
      <c r="Y503">
        <v>41363.636363636302</v>
      </c>
      <c r="Z503" s="26">
        <v>46062</v>
      </c>
    </row>
    <row r="504" spans="1:26" x14ac:dyDescent="0.3">
      <c r="A504" s="50">
        <v>46059.802245370367</v>
      </c>
      <c r="B504">
        <v>2.02602061914402E+18</v>
      </c>
      <c r="C504" t="s">
        <v>4994</v>
      </c>
      <c r="D504" t="s">
        <v>4995</v>
      </c>
      <c r="E504" t="s">
        <v>4995</v>
      </c>
      <c r="F504" t="s">
        <v>4994</v>
      </c>
      <c r="G504" t="s">
        <v>4995</v>
      </c>
      <c r="H504" t="s">
        <v>4995</v>
      </c>
      <c r="I504">
        <v>10893</v>
      </c>
      <c r="J504" t="s">
        <v>4996</v>
      </c>
      <c r="K504" t="s">
        <v>4996</v>
      </c>
      <c r="L504" t="s">
        <v>2804</v>
      </c>
      <c r="M504" t="s">
        <v>2805</v>
      </c>
      <c r="N504">
        <v>54363</v>
      </c>
      <c r="O504">
        <v>45500</v>
      </c>
      <c r="P504">
        <v>1</v>
      </c>
      <c r="Q504">
        <v>0</v>
      </c>
      <c r="S504">
        <v>143790</v>
      </c>
      <c r="T504">
        <v>0</v>
      </c>
      <c r="U504" t="s">
        <v>2807</v>
      </c>
      <c r="W504" t="s">
        <v>4997</v>
      </c>
      <c r="X504">
        <v>45500</v>
      </c>
      <c r="Y504">
        <v>41363.636363636302</v>
      </c>
      <c r="Z504" s="26">
        <v>46062</v>
      </c>
    </row>
    <row r="505" spans="1:26" x14ac:dyDescent="0.3">
      <c r="A505" s="50">
        <v>46059.802210648151</v>
      </c>
      <c r="B505">
        <v>2.0260206191224801E+18</v>
      </c>
      <c r="C505" t="s">
        <v>4998</v>
      </c>
      <c r="D505" t="s">
        <v>4999</v>
      </c>
      <c r="E505" t="s">
        <v>4999</v>
      </c>
      <c r="F505" t="s">
        <v>4998</v>
      </c>
      <c r="G505" t="s">
        <v>4999</v>
      </c>
      <c r="H505" t="s">
        <v>4999</v>
      </c>
      <c r="I505">
        <v>5085</v>
      </c>
      <c r="J505" t="s">
        <v>5000</v>
      </c>
      <c r="K505" t="s">
        <v>5000</v>
      </c>
      <c r="L505" t="s">
        <v>2804</v>
      </c>
      <c r="M505" t="s">
        <v>2805</v>
      </c>
      <c r="N505">
        <v>54363</v>
      </c>
      <c r="O505">
        <v>45500</v>
      </c>
      <c r="P505">
        <v>1</v>
      </c>
      <c r="Q505">
        <v>0</v>
      </c>
      <c r="R505" t="s">
        <v>5001</v>
      </c>
      <c r="S505">
        <v>143790</v>
      </c>
      <c r="T505">
        <v>0</v>
      </c>
      <c r="U505" t="s">
        <v>2807</v>
      </c>
      <c r="W505" t="s">
        <v>5002</v>
      </c>
      <c r="X505">
        <v>45500</v>
      </c>
      <c r="Y505">
        <v>41363.636363636302</v>
      </c>
      <c r="Z505" s="26">
        <v>46062</v>
      </c>
    </row>
    <row r="506" spans="1:26" x14ac:dyDescent="0.3">
      <c r="A506" s="50">
        <v>46059.801539351851</v>
      </c>
      <c r="B506">
        <v>2.0260206191314601E+18</v>
      </c>
      <c r="C506" t="s">
        <v>5003</v>
      </c>
      <c r="D506" t="s">
        <v>5004</v>
      </c>
      <c r="E506" t="s">
        <v>5004</v>
      </c>
      <c r="F506" t="s">
        <v>5003</v>
      </c>
      <c r="G506" t="s">
        <v>5004</v>
      </c>
      <c r="H506" t="s">
        <v>5004</v>
      </c>
      <c r="I506">
        <v>2442</v>
      </c>
      <c r="J506" t="s">
        <v>5005</v>
      </c>
      <c r="K506" t="s">
        <v>5005</v>
      </c>
      <c r="L506" t="s">
        <v>2804</v>
      </c>
      <c r="M506" t="s">
        <v>2805</v>
      </c>
      <c r="N506">
        <v>108726</v>
      </c>
      <c r="O506">
        <v>45500</v>
      </c>
      <c r="P506">
        <v>2</v>
      </c>
      <c r="Q506">
        <v>0</v>
      </c>
      <c r="S506">
        <v>143790</v>
      </c>
      <c r="T506">
        <v>0</v>
      </c>
      <c r="U506" t="s">
        <v>2807</v>
      </c>
      <c r="W506" t="s">
        <v>5006</v>
      </c>
      <c r="X506">
        <v>91000</v>
      </c>
      <c r="Y506">
        <v>82727.272727272706</v>
      </c>
      <c r="Z506" s="26">
        <v>46062</v>
      </c>
    </row>
    <row r="507" spans="1:26" x14ac:dyDescent="0.3">
      <c r="A507" s="50">
        <v>46059.801481481481</v>
      </c>
      <c r="B507">
        <v>2.02602061912463E+18</v>
      </c>
      <c r="C507" t="s">
        <v>5007</v>
      </c>
      <c r="D507" t="s">
        <v>5008</v>
      </c>
      <c r="E507" t="s">
        <v>5008</v>
      </c>
      <c r="F507" t="s">
        <v>5007</v>
      </c>
      <c r="G507" t="s">
        <v>5008</v>
      </c>
      <c r="H507" t="s">
        <v>5008</v>
      </c>
      <c r="I507">
        <v>6278</v>
      </c>
      <c r="J507" t="s">
        <v>5009</v>
      </c>
      <c r="K507" t="s">
        <v>5009</v>
      </c>
      <c r="L507" t="s">
        <v>2804</v>
      </c>
      <c r="M507" t="s">
        <v>2805</v>
      </c>
      <c r="N507">
        <v>54363</v>
      </c>
      <c r="O507">
        <v>45500</v>
      </c>
      <c r="P507">
        <v>1</v>
      </c>
      <c r="Q507">
        <v>0</v>
      </c>
      <c r="S507">
        <v>143790</v>
      </c>
      <c r="T507">
        <v>0</v>
      </c>
      <c r="U507" t="s">
        <v>2807</v>
      </c>
      <c r="W507" t="s">
        <v>5010</v>
      </c>
      <c r="X507">
        <v>45500</v>
      </c>
      <c r="Y507">
        <v>41363.636363636302</v>
      </c>
      <c r="Z507" s="26">
        <v>46062</v>
      </c>
    </row>
    <row r="508" spans="1:26" x14ac:dyDescent="0.3">
      <c r="A508" s="50">
        <v>46059.801377314812</v>
      </c>
      <c r="B508">
        <v>2.02602061913219E+18</v>
      </c>
      <c r="C508" t="s">
        <v>5011</v>
      </c>
      <c r="D508" t="s">
        <v>5012</v>
      </c>
      <c r="E508" t="s">
        <v>5012</v>
      </c>
      <c r="F508" t="s">
        <v>5011</v>
      </c>
      <c r="G508" t="s">
        <v>5012</v>
      </c>
      <c r="H508" t="s">
        <v>5012</v>
      </c>
      <c r="I508">
        <v>2725</v>
      </c>
      <c r="J508" t="s">
        <v>5013</v>
      </c>
      <c r="K508" t="s">
        <v>5013</v>
      </c>
      <c r="L508" t="s">
        <v>2804</v>
      </c>
      <c r="M508" t="s">
        <v>2805</v>
      </c>
      <c r="N508">
        <v>54363</v>
      </c>
      <c r="O508">
        <v>45500</v>
      </c>
      <c r="P508">
        <v>1</v>
      </c>
      <c r="Q508">
        <v>0</v>
      </c>
      <c r="S508">
        <v>143790</v>
      </c>
      <c r="T508">
        <v>0</v>
      </c>
      <c r="U508" t="s">
        <v>2807</v>
      </c>
      <c r="W508" t="s">
        <v>5014</v>
      </c>
      <c r="X508">
        <v>45500</v>
      </c>
      <c r="Y508">
        <v>41363.636363636302</v>
      </c>
      <c r="Z508" s="26">
        <v>46062</v>
      </c>
    </row>
    <row r="509" spans="1:26" x14ac:dyDescent="0.3">
      <c r="A509" s="50">
        <v>46059.801030092596</v>
      </c>
      <c r="B509">
        <v>2.02602061912323E+18</v>
      </c>
      <c r="C509" t="s">
        <v>5015</v>
      </c>
      <c r="D509" t="s">
        <v>5016</v>
      </c>
      <c r="E509" t="s">
        <v>5016</v>
      </c>
      <c r="F509" t="s">
        <v>5015</v>
      </c>
      <c r="G509" t="s">
        <v>5016</v>
      </c>
      <c r="H509" t="s">
        <v>5016</v>
      </c>
      <c r="I509">
        <v>12099</v>
      </c>
      <c r="J509" t="s">
        <v>5017</v>
      </c>
      <c r="K509" t="s">
        <v>5017</v>
      </c>
      <c r="L509" t="s">
        <v>2804</v>
      </c>
      <c r="M509" t="s">
        <v>2805</v>
      </c>
      <c r="N509">
        <v>54363</v>
      </c>
      <c r="O509">
        <v>45500</v>
      </c>
      <c r="P509">
        <v>1</v>
      </c>
      <c r="Q509">
        <v>0</v>
      </c>
      <c r="S509">
        <v>143790</v>
      </c>
      <c r="T509">
        <v>0</v>
      </c>
      <c r="U509" t="s">
        <v>2807</v>
      </c>
      <c r="W509" t="s">
        <v>5018</v>
      </c>
      <c r="X509">
        <v>45500</v>
      </c>
      <c r="Y509">
        <v>41363.636363636302</v>
      </c>
      <c r="Z509" s="26">
        <v>46062</v>
      </c>
    </row>
    <row r="510" spans="1:26" x14ac:dyDescent="0.3">
      <c r="A510" s="50">
        <v>46059.69290509259</v>
      </c>
      <c r="B510">
        <v>2.0260206163606999E+18</v>
      </c>
      <c r="C510" t="s">
        <v>5019</v>
      </c>
      <c r="D510" t="s">
        <v>5020</v>
      </c>
      <c r="E510" t="s">
        <v>5020</v>
      </c>
      <c r="F510" t="s">
        <v>5019</v>
      </c>
      <c r="G510" t="s">
        <v>5020</v>
      </c>
      <c r="H510" t="s">
        <v>5020</v>
      </c>
      <c r="I510">
        <v>13567</v>
      </c>
      <c r="J510" t="s">
        <v>5021</v>
      </c>
      <c r="K510" t="s">
        <v>5021</v>
      </c>
      <c r="L510" t="s">
        <v>2804</v>
      </c>
      <c r="M510" t="s">
        <v>2805</v>
      </c>
      <c r="N510">
        <v>54363</v>
      </c>
      <c r="O510">
        <v>45500</v>
      </c>
      <c r="P510">
        <v>1</v>
      </c>
      <c r="Q510">
        <v>0</v>
      </c>
      <c r="S510">
        <v>143790</v>
      </c>
      <c r="T510">
        <v>0</v>
      </c>
      <c r="U510" t="s">
        <v>2807</v>
      </c>
      <c r="W510" t="s">
        <v>5022</v>
      </c>
      <c r="X510">
        <v>45500</v>
      </c>
      <c r="Y510">
        <v>41363.636363636302</v>
      </c>
      <c r="Z510" s="26">
        <v>46062</v>
      </c>
    </row>
    <row r="511" spans="1:26" x14ac:dyDescent="0.3">
      <c r="A511" s="50">
        <v>46059.691296296296</v>
      </c>
      <c r="B511">
        <v>2.0260206163110999E+18</v>
      </c>
      <c r="C511" t="s">
        <v>4522</v>
      </c>
      <c r="D511" t="s">
        <v>4523</v>
      </c>
      <c r="E511" t="s">
        <v>4523</v>
      </c>
      <c r="F511" t="s">
        <v>5023</v>
      </c>
      <c r="G511" t="s">
        <v>5024</v>
      </c>
      <c r="H511" t="s">
        <v>5024</v>
      </c>
      <c r="I511">
        <v>5210</v>
      </c>
      <c r="J511" t="s">
        <v>5025</v>
      </c>
      <c r="K511" t="s">
        <v>5025</v>
      </c>
      <c r="L511" t="s">
        <v>2804</v>
      </c>
      <c r="M511" t="s">
        <v>2805</v>
      </c>
      <c r="N511">
        <v>54363</v>
      </c>
      <c r="O511">
        <v>45500</v>
      </c>
      <c r="P511">
        <v>1</v>
      </c>
      <c r="Q511">
        <v>0</v>
      </c>
      <c r="S511">
        <v>143790</v>
      </c>
      <c r="T511">
        <v>0</v>
      </c>
      <c r="U511" t="s">
        <v>2807</v>
      </c>
      <c r="W511" t="s">
        <v>5026</v>
      </c>
      <c r="X511">
        <v>45500</v>
      </c>
      <c r="Y511">
        <v>41363.636363636302</v>
      </c>
      <c r="Z511" s="26">
        <v>46062</v>
      </c>
    </row>
    <row r="512" spans="1:26" x14ac:dyDescent="0.3">
      <c r="A512" s="50">
        <v>46059.684247685182</v>
      </c>
      <c r="B512">
        <v>2.0260206162218601E+18</v>
      </c>
      <c r="C512" t="s">
        <v>5027</v>
      </c>
      <c r="D512" t="s">
        <v>5028</v>
      </c>
      <c r="E512" t="s">
        <v>5028</v>
      </c>
      <c r="F512" t="s">
        <v>5029</v>
      </c>
      <c r="G512" t="s">
        <v>5030</v>
      </c>
      <c r="H512" t="s">
        <v>5030</v>
      </c>
      <c r="I512">
        <v>15869</v>
      </c>
      <c r="J512" t="s">
        <v>5031</v>
      </c>
      <c r="K512" t="s">
        <v>5031</v>
      </c>
      <c r="L512" t="s">
        <v>2804</v>
      </c>
      <c r="M512" t="s">
        <v>2805</v>
      </c>
      <c r="N512">
        <v>54363</v>
      </c>
      <c r="O512">
        <v>45500</v>
      </c>
      <c r="P512">
        <v>1</v>
      </c>
      <c r="Q512">
        <v>0</v>
      </c>
      <c r="S512">
        <v>143790</v>
      </c>
      <c r="T512">
        <v>0</v>
      </c>
      <c r="U512" t="s">
        <v>2807</v>
      </c>
      <c r="W512" t="s">
        <v>5032</v>
      </c>
      <c r="X512">
        <v>45500</v>
      </c>
      <c r="Y512">
        <v>41363.636363636302</v>
      </c>
      <c r="Z512" s="26">
        <v>46062</v>
      </c>
    </row>
    <row r="513" spans="1:26" x14ac:dyDescent="0.3">
      <c r="A513" s="50">
        <v>46059.678969907407</v>
      </c>
      <c r="B513">
        <v>2.0260206161657201E+18</v>
      </c>
      <c r="C513" t="s">
        <v>5033</v>
      </c>
      <c r="D513" t="s">
        <v>5034</v>
      </c>
      <c r="E513" t="s">
        <v>5034</v>
      </c>
      <c r="F513" t="s">
        <v>5033</v>
      </c>
      <c r="G513" t="s">
        <v>5034</v>
      </c>
      <c r="H513" t="s">
        <v>5034</v>
      </c>
      <c r="I513">
        <v>13544</v>
      </c>
      <c r="J513" t="s">
        <v>5035</v>
      </c>
      <c r="K513" t="s">
        <v>5035</v>
      </c>
      <c r="L513" t="s">
        <v>2804</v>
      </c>
      <c r="M513" t="s">
        <v>2805</v>
      </c>
      <c r="N513">
        <v>54363</v>
      </c>
      <c r="O513">
        <v>45500</v>
      </c>
      <c r="P513">
        <v>1</v>
      </c>
      <c r="Q513">
        <v>0</v>
      </c>
      <c r="S513">
        <v>143790</v>
      </c>
      <c r="T513">
        <v>0</v>
      </c>
      <c r="U513" t="s">
        <v>2807</v>
      </c>
      <c r="W513" t="s">
        <v>5036</v>
      </c>
      <c r="X513">
        <v>45500</v>
      </c>
      <c r="Y513">
        <v>41363.636363636302</v>
      </c>
      <c r="Z513" s="26">
        <v>46062</v>
      </c>
    </row>
    <row r="514" spans="1:26" x14ac:dyDescent="0.3">
      <c r="A514" s="50">
        <v>46059.651446759257</v>
      </c>
      <c r="B514">
        <v>2.0260206153656901E+18</v>
      </c>
      <c r="C514" t="s">
        <v>5037</v>
      </c>
      <c r="D514" t="s">
        <v>5038</v>
      </c>
      <c r="E514" t="s">
        <v>5038</v>
      </c>
      <c r="F514" t="s">
        <v>5039</v>
      </c>
      <c r="G514" t="s">
        <v>5040</v>
      </c>
      <c r="H514" t="s">
        <v>5040</v>
      </c>
      <c r="I514">
        <v>16898</v>
      </c>
      <c r="J514" t="s">
        <v>5041</v>
      </c>
      <c r="K514" t="s">
        <v>5041</v>
      </c>
      <c r="L514" t="s">
        <v>2804</v>
      </c>
      <c r="M514" t="s">
        <v>2805</v>
      </c>
      <c r="N514">
        <v>54363</v>
      </c>
      <c r="O514">
        <v>45500</v>
      </c>
      <c r="P514">
        <v>1</v>
      </c>
      <c r="Q514">
        <v>0</v>
      </c>
      <c r="S514">
        <v>143790</v>
      </c>
      <c r="T514">
        <v>0</v>
      </c>
      <c r="U514" t="s">
        <v>2807</v>
      </c>
      <c r="W514" t="s">
        <v>5042</v>
      </c>
      <c r="X514">
        <v>45500</v>
      </c>
      <c r="Y514">
        <v>41363.636363636302</v>
      </c>
      <c r="Z514" s="26">
        <v>46062</v>
      </c>
    </row>
    <row r="515" spans="1:26" x14ac:dyDescent="0.3">
      <c r="A515" s="50">
        <v>46059.645729166667</v>
      </c>
      <c r="B515">
        <v>2.02602061528275E+18</v>
      </c>
      <c r="C515" t="s">
        <v>5037</v>
      </c>
      <c r="D515" t="s">
        <v>5038</v>
      </c>
      <c r="E515" t="s">
        <v>5038</v>
      </c>
      <c r="F515" t="s">
        <v>5043</v>
      </c>
      <c r="G515" t="s">
        <v>5038</v>
      </c>
      <c r="H515" t="s">
        <v>5038</v>
      </c>
      <c r="I515">
        <v>8557</v>
      </c>
      <c r="J515" t="s">
        <v>5044</v>
      </c>
      <c r="K515" t="s">
        <v>5044</v>
      </c>
      <c r="L515" t="s">
        <v>2804</v>
      </c>
      <c r="M515" t="s">
        <v>2805</v>
      </c>
      <c r="N515">
        <v>54363</v>
      </c>
      <c r="O515">
        <v>45500</v>
      </c>
      <c r="P515">
        <v>1</v>
      </c>
      <c r="Q515">
        <v>0</v>
      </c>
      <c r="S515">
        <v>143790</v>
      </c>
      <c r="T515">
        <v>0</v>
      </c>
      <c r="U515" t="s">
        <v>2807</v>
      </c>
      <c r="W515" t="s">
        <v>5045</v>
      </c>
      <c r="X515">
        <v>45500</v>
      </c>
      <c r="Y515">
        <v>41363.636363636302</v>
      </c>
      <c r="Z515" s="26">
        <v>46062</v>
      </c>
    </row>
    <row r="516" spans="1:26" x14ac:dyDescent="0.3">
      <c r="A516" s="50">
        <v>46059.644641203704</v>
      </c>
      <c r="B516">
        <v>2.02602061527425E+18</v>
      </c>
      <c r="C516" t="s">
        <v>5037</v>
      </c>
      <c r="D516" t="s">
        <v>5038</v>
      </c>
      <c r="E516" t="s">
        <v>5038</v>
      </c>
      <c r="F516" t="s">
        <v>5046</v>
      </c>
      <c r="G516" t="s">
        <v>5038</v>
      </c>
      <c r="H516" t="s">
        <v>5038</v>
      </c>
      <c r="I516">
        <v>22738</v>
      </c>
      <c r="J516" t="s">
        <v>5047</v>
      </c>
      <c r="K516" t="s">
        <v>5047</v>
      </c>
      <c r="L516" t="s">
        <v>2804</v>
      </c>
      <c r="M516" t="s">
        <v>2805</v>
      </c>
      <c r="N516">
        <v>54363</v>
      </c>
      <c r="O516">
        <v>45500</v>
      </c>
      <c r="P516">
        <v>1</v>
      </c>
      <c r="Q516">
        <v>0</v>
      </c>
      <c r="S516">
        <v>143790</v>
      </c>
      <c r="T516">
        <v>0</v>
      </c>
      <c r="U516" t="s">
        <v>2807</v>
      </c>
      <c r="W516" t="s">
        <v>5048</v>
      </c>
      <c r="X516">
        <v>45500</v>
      </c>
      <c r="Y516">
        <v>41363.636363636302</v>
      </c>
      <c r="Z516" s="26">
        <v>46062</v>
      </c>
    </row>
    <row r="517" spans="1:26" x14ac:dyDescent="0.3">
      <c r="A517" s="50">
        <v>46059.641203703701</v>
      </c>
      <c r="B517">
        <v>2.02602061520416E+18</v>
      </c>
      <c r="C517" t="s">
        <v>5049</v>
      </c>
      <c r="D517" t="s">
        <v>5050</v>
      </c>
      <c r="E517" t="s">
        <v>5050</v>
      </c>
      <c r="F517" t="s">
        <v>5051</v>
      </c>
      <c r="G517" t="s">
        <v>5050</v>
      </c>
      <c r="H517" t="s">
        <v>5050</v>
      </c>
      <c r="I517">
        <v>35245</v>
      </c>
      <c r="J517" t="s">
        <v>5052</v>
      </c>
      <c r="K517" t="s">
        <v>5052</v>
      </c>
      <c r="L517" t="s">
        <v>2804</v>
      </c>
      <c r="M517" t="s">
        <v>2805</v>
      </c>
      <c r="N517">
        <v>54363</v>
      </c>
      <c r="O517">
        <v>45500</v>
      </c>
      <c r="P517">
        <v>1</v>
      </c>
      <c r="Q517">
        <v>0</v>
      </c>
      <c r="S517">
        <v>143790</v>
      </c>
      <c r="T517">
        <v>0</v>
      </c>
      <c r="U517" t="s">
        <v>2807</v>
      </c>
      <c r="W517" t="s">
        <v>5053</v>
      </c>
      <c r="X517">
        <v>45500</v>
      </c>
      <c r="Y517">
        <v>41363.636363636302</v>
      </c>
      <c r="Z517" s="26">
        <v>46062</v>
      </c>
    </row>
    <row r="518" spans="1:26" x14ac:dyDescent="0.3">
      <c r="A518" s="50">
        <v>46059.640115740738</v>
      </c>
      <c r="B518">
        <v>2.0260206152023401E+18</v>
      </c>
      <c r="C518" t="s">
        <v>2570</v>
      </c>
      <c r="D518" t="s">
        <v>5054</v>
      </c>
      <c r="E518" t="s">
        <v>5054</v>
      </c>
      <c r="F518" t="s">
        <v>2570</v>
      </c>
      <c r="G518" t="s">
        <v>5054</v>
      </c>
      <c r="H518" t="s">
        <v>5054</v>
      </c>
      <c r="I518">
        <v>62066</v>
      </c>
      <c r="J518" t="s">
        <v>5055</v>
      </c>
      <c r="K518" t="s">
        <v>5055</v>
      </c>
      <c r="L518" t="s">
        <v>2804</v>
      </c>
      <c r="M518" t="s">
        <v>2805</v>
      </c>
      <c r="N518">
        <v>54363</v>
      </c>
      <c r="O518">
        <v>45500</v>
      </c>
      <c r="P518">
        <v>1</v>
      </c>
      <c r="Q518">
        <v>0</v>
      </c>
      <c r="S518">
        <v>143790</v>
      </c>
      <c r="T518">
        <v>0</v>
      </c>
      <c r="U518" t="s">
        <v>2807</v>
      </c>
      <c r="W518" t="s">
        <v>5056</v>
      </c>
      <c r="X518">
        <v>45500</v>
      </c>
      <c r="Y518">
        <v>41363.636363636302</v>
      </c>
      <c r="Z518" s="26">
        <v>46062</v>
      </c>
    </row>
    <row r="519" spans="1:26" x14ac:dyDescent="0.3">
      <c r="A519" s="50">
        <v>46059.638356481482</v>
      </c>
      <c r="B519">
        <v>2.02602061517088E+18</v>
      </c>
      <c r="C519" t="s">
        <v>5057</v>
      </c>
      <c r="D519" t="s">
        <v>5058</v>
      </c>
      <c r="E519" t="s">
        <v>5058</v>
      </c>
      <c r="F519" t="s">
        <v>5057</v>
      </c>
      <c r="G519" t="s">
        <v>5058</v>
      </c>
      <c r="H519" t="s">
        <v>5058</v>
      </c>
      <c r="I519">
        <v>5213</v>
      </c>
      <c r="J519" t="s">
        <v>5059</v>
      </c>
      <c r="K519" t="s">
        <v>5059</v>
      </c>
      <c r="L519" t="s">
        <v>2804</v>
      </c>
      <c r="M519" t="s">
        <v>2805</v>
      </c>
      <c r="N519">
        <v>54363</v>
      </c>
      <c r="O519">
        <v>45500</v>
      </c>
      <c r="P519">
        <v>1</v>
      </c>
      <c r="Q519">
        <v>0</v>
      </c>
      <c r="S519">
        <v>143790</v>
      </c>
      <c r="T519">
        <v>0</v>
      </c>
      <c r="U519" t="s">
        <v>2807</v>
      </c>
      <c r="W519" t="s">
        <v>5060</v>
      </c>
      <c r="X519">
        <v>45500</v>
      </c>
      <c r="Y519">
        <v>41363.636363636302</v>
      </c>
      <c r="Z519" s="26">
        <v>46062</v>
      </c>
    </row>
    <row r="520" spans="1:26" x14ac:dyDescent="0.3">
      <c r="A520" s="50">
        <v>46059.636689814812</v>
      </c>
      <c r="B520">
        <v>2.02602061514462E+18</v>
      </c>
      <c r="C520" t="s">
        <v>5061</v>
      </c>
      <c r="D520" t="s">
        <v>5062</v>
      </c>
      <c r="E520" t="s">
        <v>5062</v>
      </c>
      <c r="F520" t="s">
        <v>5061</v>
      </c>
      <c r="G520" t="s">
        <v>5063</v>
      </c>
      <c r="H520" t="s">
        <v>5063</v>
      </c>
      <c r="I520">
        <v>11719</v>
      </c>
      <c r="J520" t="s">
        <v>5064</v>
      </c>
      <c r="K520" t="s">
        <v>5064</v>
      </c>
      <c r="L520" t="s">
        <v>2804</v>
      </c>
      <c r="M520" t="s">
        <v>2805</v>
      </c>
      <c r="N520">
        <v>54363</v>
      </c>
      <c r="O520">
        <v>45500</v>
      </c>
      <c r="P520">
        <v>1</v>
      </c>
      <c r="Q520">
        <v>0</v>
      </c>
      <c r="S520">
        <v>143790</v>
      </c>
      <c r="T520">
        <v>0</v>
      </c>
      <c r="U520" t="s">
        <v>2807</v>
      </c>
      <c r="W520" t="s">
        <v>5065</v>
      </c>
      <c r="X520">
        <v>45500</v>
      </c>
      <c r="Y520">
        <v>41363.636363636302</v>
      </c>
      <c r="Z520" s="26">
        <v>46062</v>
      </c>
    </row>
    <row r="521" spans="1:26" x14ac:dyDescent="0.3">
      <c r="A521" s="50">
        <v>46059.633981481478</v>
      </c>
      <c r="B521">
        <v>2.02602061510497E+18</v>
      </c>
      <c r="C521" t="s">
        <v>5066</v>
      </c>
      <c r="D521" t="s">
        <v>5067</v>
      </c>
      <c r="E521" t="s">
        <v>5067</v>
      </c>
      <c r="F521" t="s">
        <v>5066</v>
      </c>
      <c r="G521" t="s">
        <v>5067</v>
      </c>
      <c r="H521" t="s">
        <v>5067</v>
      </c>
      <c r="I521">
        <v>4425</v>
      </c>
      <c r="J521" t="s">
        <v>5068</v>
      </c>
      <c r="K521" t="s">
        <v>5068</v>
      </c>
      <c r="L521" t="s">
        <v>2804</v>
      </c>
      <c r="M521" t="s">
        <v>2805</v>
      </c>
      <c r="N521">
        <v>54363</v>
      </c>
      <c r="O521">
        <v>45500</v>
      </c>
      <c r="P521">
        <v>1</v>
      </c>
      <c r="Q521">
        <v>0</v>
      </c>
      <c r="R521" t="s">
        <v>5069</v>
      </c>
      <c r="S521">
        <v>143790</v>
      </c>
      <c r="T521">
        <v>0</v>
      </c>
      <c r="U521" t="s">
        <v>2807</v>
      </c>
      <c r="W521" t="s">
        <v>5070</v>
      </c>
      <c r="X521">
        <v>45500</v>
      </c>
      <c r="Y521">
        <v>41363.636363636302</v>
      </c>
      <c r="Z521" s="26">
        <v>46062</v>
      </c>
    </row>
    <row r="522" spans="1:26" x14ac:dyDescent="0.3">
      <c r="A522" s="50">
        <v>46059.617025462961</v>
      </c>
      <c r="B522">
        <v>2.0260206144735201E+18</v>
      </c>
      <c r="C522" t="s">
        <v>5071</v>
      </c>
      <c r="D522" t="s">
        <v>5072</v>
      </c>
      <c r="E522" t="s">
        <v>5072</v>
      </c>
      <c r="F522" t="s">
        <v>5071</v>
      </c>
      <c r="G522" t="s">
        <v>5072</v>
      </c>
      <c r="H522" t="s">
        <v>5072</v>
      </c>
      <c r="I522">
        <v>8589</v>
      </c>
      <c r="J522" t="s">
        <v>5073</v>
      </c>
      <c r="K522" t="s">
        <v>5073</v>
      </c>
      <c r="L522" t="s">
        <v>2804</v>
      </c>
      <c r="M522" t="s">
        <v>2805</v>
      </c>
      <c r="N522">
        <v>54363</v>
      </c>
      <c r="O522">
        <v>45500</v>
      </c>
      <c r="P522">
        <v>1</v>
      </c>
      <c r="Q522">
        <v>0</v>
      </c>
      <c r="S522">
        <v>143790</v>
      </c>
      <c r="T522">
        <v>0</v>
      </c>
      <c r="U522" t="s">
        <v>2807</v>
      </c>
      <c r="W522" t="s">
        <v>5074</v>
      </c>
      <c r="X522">
        <v>45500</v>
      </c>
      <c r="Y522">
        <v>41363.636363636302</v>
      </c>
      <c r="Z522" s="26">
        <v>46062</v>
      </c>
    </row>
    <row r="523" spans="1:26" x14ac:dyDescent="0.3">
      <c r="A523" s="50">
        <v>46059.61078703704</v>
      </c>
      <c r="B523">
        <v>2.02602061438269E+18</v>
      </c>
      <c r="C523" t="s">
        <v>5075</v>
      </c>
      <c r="D523" t="s">
        <v>5076</v>
      </c>
      <c r="E523" t="s">
        <v>5076</v>
      </c>
      <c r="F523" t="s">
        <v>5075</v>
      </c>
      <c r="G523" t="s">
        <v>5076</v>
      </c>
      <c r="H523" t="s">
        <v>5076</v>
      </c>
      <c r="I523">
        <v>61190</v>
      </c>
      <c r="J523" t="s">
        <v>5077</v>
      </c>
      <c r="K523" t="s">
        <v>5077</v>
      </c>
      <c r="L523" t="s">
        <v>2804</v>
      </c>
      <c r="M523" t="s">
        <v>2805</v>
      </c>
      <c r="N523">
        <v>54363</v>
      </c>
      <c r="O523">
        <v>45500</v>
      </c>
      <c r="P523">
        <v>1</v>
      </c>
      <c r="Q523">
        <v>0</v>
      </c>
      <c r="S523">
        <v>143790</v>
      </c>
      <c r="T523">
        <v>0</v>
      </c>
      <c r="U523" t="s">
        <v>2807</v>
      </c>
      <c r="W523" t="s">
        <v>5078</v>
      </c>
      <c r="X523">
        <v>45500</v>
      </c>
      <c r="Y523">
        <v>41363.636363636302</v>
      </c>
      <c r="Z523" s="26">
        <v>46062</v>
      </c>
    </row>
    <row r="524" spans="1:26" x14ac:dyDescent="0.3">
      <c r="A524" s="50">
        <v>46059.605821759258</v>
      </c>
      <c r="B524">
        <v>2.0260206142657101E+18</v>
      </c>
      <c r="C524" t="s">
        <v>4774</v>
      </c>
      <c r="D524" t="s">
        <v>2994</v>
      </c>
      <c r="E524" t="s">
        <v>2994</v>
      </c>
      <c r="F524" t="s">
        <v>5079</v>
      </c>
      <c r="G524" t="s">
        <v>5080</v>
      </c>
      <c r="H524" t="s">
        <v>5080</v>
      </c>
      <c r="I524">
        <v>12772</v>
      </c>
      <c r="J524" t="s">
        <v>5081</v>
      </c>
      <c r="K524" t="s">
        <v>5081</v>
      </c>
      <c r="L524" t="s">
        <v>2804</v>
      </c>
      <c r="M524" t="s">
        <v>2805</v>
      </c>
      <c r="N524">
        <v>54363</v>
      </c>
      <c r="O524">
        <v>45500</v>
      </c>
      <c r="P524">
        <v>1</v>
      </c>
      <c r="Q524">
        <v>0</v>
      </c>
      <c r="S524">
        <v>143790</v>
      </c>
      <c r="T524">
        <v>0</v>
      </c>
      <c r="U524" t="s">
        <v>2807</v>
      </c>
      <c r="W524" t="s">
        <v>5082</v>
      </c>
      <c r="X524">
        <v>45500</v>
      </c>
      <c r="Y524">
        <v>41363.636363636302</v>
      </c>
      <c r="Z524" s="26">
        <v>46062</v>
      </c>
    </row>
    <row r="525" spans="1:26" x14ac:dyDescent="0.3">
      <c r="A525" s="50">
        <v>46059.563194444447</v>
      </c>
      <c r="B525">
        <v>2.02602061329456E+18</v>
      </c>
      <c r="C525" t="s">
        <v>5083</v>
      </c>
      <c r="D525" t="s">
        <v>5084</v>
      </c>
      <c r="E525" t="s">
        <v>5084</v>
      </c>
      <c r="F525" t="s">
        <v>5083</v>
      </c>
      <c r="G525" t="s">
        <v>5084</v>
      </c>
      <c r="H525" t="s">
        <v>5084</v>
      </c>
      <c r="I525">
        <v>8606</v>
      </c>
      <c r="J525" t="s">
        <v>5085</v>
      </c>
      <c r="K525" t="s">
        <v>5085</v>
      </c>
      <c r="L525" t="s">
        <v>2804</v>
      </c>
      <c r="M525" t="s">
        <v>2805</v>
      </c>
      <c r="N525">
        <v>54363</v>
      </c>
      <c r="O525">
        <v>45500</v>
      </c>
      <c r="P525">
        <v>1</v>
      </c>
      <c r="Q525">
        <v>0</v>
      </c>
      <c r="S525">
        <v>143790</v>
      </c>
      <c r="T525">
        <v>0</v>
      </c>
      <c r="U525" t="s">
        <v>2807</v>
      </c>
      <c r="W525" t="s">
        <v>5086</v>
      </c>
      <c r="X525">
        <v>45500</v>
      </c>
      <c r="Y525">
        <v>41363.636363636302</v>
      </c>
      <c r="Z525" s="26">
        <v>46062</v>
      </c>
    </row>
    <row r="526" spans="1:26" x14ac:dyDescent="0.3">
      <c r="A526" s="50">
        <v>46059.530150462961</v>
      </c>
      <c r="B526">
        <v>2.02602061242429E+18</v>
      </c>
      <c r="C526" t="s">
        <v>5087</v>
      </c>
      <c r="D526" t="s">
        <v>5088</v>
      </c>
      <c r="E526" t="s">
        <v>5088</v>
      </c>
      <c r="F526" t="s">
        <v>5087</v>
      </c>
      <c r="G526" t="s">
        <v>5088</v>
      </c>
      <c r="H526" t="s">
        <v>5088</v>
      </c>
      <c r="I526">
        <v>16698</v>
      </c>
      <c r="J526" t="s">
        <v>5089</v>
      </c>
      <c r="K526" t="s">
        <v>5089</v>
      </c>
      <c r="L526" t="s">
        <v>2804</v>
      </c>
      <c r="M526" t="s">
        <v>2805</v>
      </c>
      <c r="N526">
        <v>108726</v>
      </c>
      <c r="O526">
        <v>45500</v>
      </c>
      <c r="P526">
        <v>2</v>
      </c>
      <c r="Q526">
        <v>0</v>
      </c>
      <c r="S526">
        <v>143790</v>
      </c>
      <c r="T526">
        <v>0</v>
      </c>
      <c r="U526" t="s">
        <v>2807</v>
      </c>
      <c r="W526" t="s">
        <v>5090</v>
      </c>
      <c r="X526">
        <v>91000</v>
      </c>
      <c r="Y526">
        <v>82727.272727272706</v>
      </c>
      <c r="Z526" s="26">
        <v>46062</v>
      </c>
    </row>
    <row r="527" spans="1:26" x14ac:dyDescent="0.3">
      <c r="A527" s="50">
        <v>46059.523831018516</v>
      </c>
      <c r="B527">
        <v>2.0260206123241001E+18</v>
      </c>
      <c r="C527" t="s">
        <v>5091</v>
      </c>
      <c r="D527" t="s">
        <v>5092</v>
      </c>
      <c r="E527" t="s">
        <v>5092</v>
      </c>
      <c r="F527" t="s">
        <v>5091</v>
      </c>
      <c r="G527" t="s">
        <v>5092</v>
      </c>
      <c r="H527" t="s">
        <v>5092</v>
      </c>
      <c r="I527">
        <v>12255</v>
      </c>
      <c r="J527" t="s">
        <v>5093</v>
      </c>
      <c r="K527" t="s">
        <v>5093</v>
      </c>
      <c r="L527" t="s">
        <v>2804</v>
      </c>
      <c r="M527" t="s">
        <v>2805</v>
      </c>
      <c r="N527">
        <v>54363</v>
      </c>
      <c r="O527">
        <v>45500</v>
      </c>
      <c r="P527">
        <v>1</v>
      </c>
      <c r="Q527">
        <v>0</v>
      </c>
      <c r="S527">
        <v>143790</v>
      </c>
      <c r="T527">
        <v>0</v>
      </c>
      <c r="U527" t="s">
        <v>2807</v>
      </c>
      <c r="W527" t="s">
        <v>5094</v>
      </c>
      <c r="X527">
        <v>45500</v>
      </c>
      <c r="Y527">
        <v>41363.636363636302</v>
      </c>
      <c r="Z527" s="26">
        <v>46062</v>
      </c>
    </row>
    <row r="528" spans="1:26" x14ac:dyDescent="0.3">
      <c r="A528" s="50">
        <v>46059.497361111113</v>
      </c>
      <c r="B528">
        <v>2.0260206112135301E+18</v>
      </c>
      <c r="C528" t="s">
        <v>5095</v>
      </c>
      <c r="D528" t="s">
        <v>5096</v>
      </c>
      <c r="E528" t="s">
        <v>5096</v>
      </c>
      <c r="F528" t="s">
        <v>5095</v>
      </c>
      <c r="G528" t="s">
        <v>5097</v>
      </c>
      <c r="H528" t="s">
        <v>5097</v>
      </c>
      <c r="I528">
        <v>26403</v>
      </c>
      <c r="J528" t="s">
        <v>5098</v>
      </c>
      <c r="K528" t="s">
        <v>5098</v>
      </c>
      <c r="L528" t="s">
        <v>2804</v>
      </c>
      <c r="M528" t="s">
        <v>2805</v>
      </c>
      <c r="N528">
        <v>108726</v>
      </c>
      <c r="O528">
        <v>45500</v>
      </c>
      <c r="P528">
        <v>2</v>
      </c>
      <c r="Q528">
        <v>0</v>
      </c>
      <c r="S528">
        <v>143790</v>
      </c>
      <c r="T528">
        <v>0</v>
      </c>
      <c r="U528" t="s">
        <v>2807</v>
      </c>
      <c r="W528" t="s">
        <v>5099</v>
      </c>
      <c r="X528">
        <v>91000</v>
      </c>
      <c r="Y528">
        <v>82727.272727272706</v>
      </c>
      <c r="Z528" s="26">
        <v>46062</v>
      </c>
    </row>
    <row r="529" spans="1:26" x14ac:dyDescent="0.3">
      <c r="A529" s="50">
        <v>46059.477870370371</v>
      </c>
      <c r="B529">
        <v>2.02602061126591E+18</v>
      </c>
      <c r="C529" t="s">
        <v>5100</v>
      </c>
      <c r="D529" t="s">
        <v>5101</v>
      </c>
      <c r="E529" t="s">
        <v>5101</v>
      </c>
      <c r="F529" t="s">
        <v>5100</v>
      </c>
      <c r="G529" t="s">
        <v>5101</v>
      </c>
      <c r="H529" t="s">
        <v>5101</v>
      </c>
      <c r="I529">
        <v>24221</v>
      </c>
      <c r="J529" t="s">
        <v>5102</v>
      </c>
      <c r="K529" t="s">
        <v>5102</v>
      </c>
      <c r="L529" t="s">
        <v>2804</v>
      </c>
      <c r="M529" t="s">
        <v>2805</v>
      </c>
      <c r="N529">
        <v>108726</v>
      </c>
      <c r="O529">
        <v>45500</v>
      </c>
      <c r="P529">
        <v>2</v>
      </c>
      <c r="Q529">
        <v>0</v>
      </c>
      <c r="S529">
        <v>143790</v>
      </c>
      <c r="T529">
        <v>0</v>
      </c>
      <c r="U529" t="s">
        <v>2807</v>
      </c>
      <c r="W529" t="s">
        <v>5103</v>
      </c>
      <c r="X529">
        <v>91000</v>
      </c>
      <c r="Y529">
        <v>82727.272727272706</v>
      </c>
      <c r="Z529" s="26">
        <v>46062</v>
      </c>
    </row>
    <row r="530" spans="1:26" x14ac:dyDescent="0.3">
      <c r="A530" s="50">
        <v>46059.469872685186</v>
      </c>
      <c r="B530">
        <v>2.0260206111532001E+18</v>
      </c>
      <c r="C530" t="s">
        <v>5104</v>
      </c>
      <c r="D530" t="s">
        <v>5105</v>
      </c>
      <c r="E530" t="s">
        <v>5105</v>
      </c>
      <c r="F530" t="s">
        <v>5104</v>
      </c>
      <c r="G530" t="s">
        <v>5106</v>
      </c>
      <c r="H530" t="s">
        <v>5106</v>
      </c>
      <c r="I530">
        <v>44496</v>
      </c>
      <c r="J530" t="s">
        <v>5107</v>
      </c>
      <c r="K530" t="s">
        <v>5107</v>
      </c>
      <c r="L530" t="s">
        <v>2804</v>
      </c>
      <c r="M530" t="s">
        <v>2805</v>
      </c>
      <c r="N530">
        <v>54363</v>
      </c>
      <c r="O530">
        <v>45500</v>
      </c>
      <c r="P530">
        <v>1</v>
      </c>
      <c r="Q530">
        <v>0</v>
      </c>
      <c r="S530">
        <v>143790</v>
      </c>
      <c r="T530">
        <v>0</v>
      </c>
      <c r="U530" t="s">
        <v>2807</v>
      </c>
      <c r="W530" t="s">
        <v>5108</v>
      </c>
      <c r="X530">
        <v>45500</v>
      </c>
      <c r="Y530">
        <v>41363.636363636302</v>
      </c>
      <c r="Z530" s="26">
        <v>46062</v>
      </c>
    </row>
    <row r="531" spans="1:26" x14ac:dyDescent="0.3">
      <c r="A531" s="50">
        <v>46059.167870370373</v>
      </c>
      <c r="B531">
        <v>2.0260206040057101E+18</v>
      </c>
      <c r="C531" t="s">
        <v>5109</v>
      </c>
      <c r="D531" t="s">
        <v>5110</v>
      </c>
      <c r="E531" t="s">
        <v>5110</v>
      </c>
      <c r="F531" t="s">
        <v>5111</v>
      </c>
      <c r="G531" t="s">
        <v>5112</v>
      </c>
      <c r="H531" t="s">
        <v>5112</v>
      </c>
      <c r="I531">
        <v>44646</v>
      </c>
      <c r="J531" t="s">
        <v>5113</v>
      </c>
      <c r="K531" t="s">
        <v>5113</v>
      </c>
      <c r="L531" t="s">
        <v>2804</v>
      </c>
      <c r="M531" t="s">
        <v>2805</v>
      </c>
      <c r="N531">
        <v>54363</v>
      </c>
      <c r="O531">
        <v>45500</v>
      </c>
      <c r="P531">
        <v>1</v>
      </c>
      <c r="Q531">
        <v>0</v>
      </c>
      <c r="S531">
        <v>143790</v>
      </c>
      <c r="T531">
        <v>0</v>
      </c>
      <c r="U531" t="s">
        <v>2807</v>
      </c>
      <c r="W531" t="s">
        <v>5114</v>
      </c>
      <c r="X531">
        <v>45500</v>
      </c>
      <c r="Y531">
        <v>41363.636363636302</v>
      </c>
      <c r="Z531" s="26">
        <v>46062</v>
      </c>
    </row>
    <row r="532" spans="1:26" x14ac:dyDescent="0.3">
      <c r="A532" s="50">
        <v>46059.166956018518</v>
      </c>
      <c r="B532">
        <v>2.0260206035917801E+18</v>
      </c>
      <c r="C532" t="s">
        <v>5109</v>
      </c>
      <c r="D532" t="s">
        <v>5110</v>
      </c>
      <c r="E532" t="s">
        <v>5110</v>
      </c>
      <c r="F532" t="s">
        <v>5115</v>
      </c>
      <c r="G532" t="s">
        <v>5116</v>
      </c>
      <c r="H532" t="s">
        <v>5116</v>
      </c>
      <c r="I532">
        <v>10518</v>
      </c>
      <c r="J532" t="s">
        <v>5117</v>
      </c>
      <c r="K532" t="s">
        <v>5117</v>
      </c>
      <c r="L532" t="s">
        <v>2804</v>
      </c>
      <c r="M532" t="s">
        <v>2805</v>
      </c>
      <c r="N532">
        <v>54363</v>
      </c>
      <c r="O532">
        <v>45500</v>
      </c>
      <c r="P532">
        <v>1</v>
      </c>
      <c r="Q532">
        <v>0</v>
      </c>
      <c r="S532">
        <v>143790</v>
      </c>
      <c r="T532">
        <v>0</v>
      </c>
      <c r="U532" t="s">
        <v>2807</v>
      </c>
      <c r="W532" t="s">
        <v>5118</v>
      </c>
      <c r="X532">
        <v>45500</v>
      </c>
      <c r="Y532">
        <v>41363.636363636302</v>
      </c>
      <c r="Z532" s="26">
        <v>46062</v>
      </c>
    </row>
    <row r="533" spans="1:26" x14ac:dyDescent="0.3">
      <c r="A533" s="50">
        <v>46059.006631944445</v>
      </c>
      <c r="B533">
        <v>2.02602060008563E+18</v>
      </c>
      <c r="C533" t="s">
        <v>5119</v>
      </c>
      <c r="D533" t="s">
        <v>5120</v>
      </c>
      <c r="E533" t="s">
        <v>5120</v>
      </c>
      <c r="F533" t="s">
        <v>5119</v>
      </c>
      <c r="G533" t="s">
        <v>5120</v>
      </c>
      <c r="H533" t="s">
        <v>5120</v>
      </c>
      <c r="I533">
        <v>13640</v>
      </c>
      <c r="J533" t="s">
        <v>5121</v>
      </c>
      <c r="K533" t="s">
        <v>5121</v>
      </c>
      <c r="L533" t="s">
        <v>2804</v>
      </c>
      <c r="M533" t="s">
        <v>2805</v>
      </c>
      <c r="N533">
        <v>54363</v>
      </c>
      <c r="O533">
        <v>45500</v>
      </c>
      <c r="P533">
        <v>1</v>
      </c>
      <c r="Q533">
        <v>0</v>
      </c>
      <c r="S533">
        <v>143790</v>
      </c>
      <c r="T533">
        <v>0</v>
      </c>
      <c r="U533" t="s">
        <v>2807</v>
      </c>
      <c r="W533" t="s">
        <v>5122</v>
      </c>
      <c r="X533">
        <v>45500</v>
      </c>
      <c r="Y533">
        <v>41363.636363636302</v>
      </c>
      <c r="Z533" s="26">
        <v>46062</v>
      </c>
    </row>
    <row r="534" spans="1:26" x14ac:dyDescent="0.3">
      <c r="A534" s="50">
        <v>46062.379675925928</v>
      </c>
      <c r="B534">
        <v>2.0260209090323899E+18</v>
      </c>
      <c r="C534" t="s">
        <v>5123</v>
      </c>
      <c r="D534" t="s">
        <v>5124</v>
      </c>
      <c r="E534" t="s">
        <v>5124</v>
      </c>
      <c r="F534" t="s">
        <v>5125</v>
      </c>
      <c r="G534" t="s">
        <v>5126</v>
      </c>
      <c r="H534" t="s">
        <v>5126</v>
      </c>
      <c r="I534">
        <v>3631</v>
      </c>
      <c r="J534" t="s">
        <v>5127</v>
      </c>
      <c r="K534" t="s">
        <v>5127</v>
      </c>
      <c r="L534" t="s">
        <v>2804</v>
      </c>
      <c r="M534" t="s">
        <v>2805</v>
      </c>
      <c r="N534">
        <v>6454</v>
      </c>
      <c r="O534">
        <v>45500</v>
      </c>
      <c r="P534">
        <v>1</v>
      </c>
      <c r="Q534">
        <v>0</v>
      </c>
      <c r="S534">
        <v>143812</v>
      </c>
      <c r="T534">
        <v>0</v>
      </c>
      <c r="U534" t="s">
        <v>5128</v>
      </c>
      <c r="W534" t="s">
        <v>5129</v>
      </c>
      <c r="X534">
        <v>45500</v>
      </c>
      <c r="Y534">
        <v>41363.636363636302</v>
      </c>
      <c r="Z534" s="26">
        <v>46062</v>
      </c>
    </row>
    <row r="535" spans="1:26" x14ac:dyDescent="0.3">
      <c r="A535" s="50">
        <v>46062.340081018519</v>
      </c>
      <c r="B535">
        <v>2.02602090807597E+18</v>
      </c>
      <c r="C535" t="s">
        <v>5130</v>
      </c>
      <c r="D535" t="s">
        <v>5131</v>
      </c>
      <c r="E535" t="s">
        <v>5131</v>
      </c>
      <c r="F535" t="s">
        <v>5130</v>
      </c>
      <c r="G535" t="s">
        <v>5131</v>
      </c>
      <c r="H535" t="s">
        <v>5131</v>
      </c>
      <c r="I535">
        <v>34818</v>
      </c>
      <c r="J535" t="s">
        <v>5132</v>
      </c>
      <c r="K535" t="s">
        <v>5132</v>
      </c>
      <c r="L535" t="s">
        <v>2804</v>
      </c>
      <c r="M535" t="s">
        <v>2805</v>
      </c>
      <c r="N535">
        <v>6454</v>
      </c>
      <c r="O535">
        <v>45500</v>
      </c>
      <c r="P535">
        <v>1</v>
      </c>
      <c r="Q535">
        <v>0</v>
      </c>
      <c r="R535" t="s">
        <v>5133</v>
      </c>
      <c r="S535">
        <v>143812</v>
      </c>
      <c r="T535">
        <v>0</v>
      </c>
      <c r="U535" t="s">
        <v>5128</v>
      </c>
      <c r="W535" t="s">
        <v>5134</v>
      </c>
      <c r="X535">
        <v>45500</v>
      </c>
      <c r="Y535">
        <v>41363.636363636302</v>
      </c>
      <c r="Z535" s="26">
        <v>46062</v>
      </c>
    </row>
    <row r="536" spans="1:26" x14ac:dyDescent="0.3">
      <c r="A536" s="50">
        <v>46062.296180555553</v>
      </c>
      <c r="B536">
        <v>2.02602090705537E+18</v>
      </c>
      <c r="C536" t="s">
        <v>5135</v>
      </c>
      <c r="D536" t="s">
        <v>5136</v>
      </c>
      <c r="E536" t="s">
        <v>5136</v>
      </c>
      <c r="F536" t="s">
        <v>5135</v>
      </c>
      <c r="G536" t="s">
        <v>5136</v>
      </c>
      <c r="H536" t="s">
        <v>5136</v>
      </c>
      <c r="I536">
        <v>6570</v>
      </c>
      <c r="J536" t="s">
        <v>5137</v>
      </c>
      <c r="K536" t="s">
        <v>5137</v>
      </c>
      <c r="L536" t="s">
        <v>2804</v>
      </c>
      <c r="M536" t="s">
        <v>2805</v>
      </c>
      <c r="N536">
        <v>6454</v>
      </c>
      <c r="O536">
        <v>45500</v>
      </c>
      <c r="P536">
        <v>1</v>
      </c>
      <c r="Q536">
        <v>0</v>
      </c>
      <c r="S536">
        <v>143812</v>
      </c>
      <c r="T536">
        <v>0</v>
      </c>
      <c r="U536" t="s">
        <v>5128</v>
      </c>
      <c r="W536" t="s">
        <v>5138</v>
      </c>
      <c r="X536">
        <v>45500</v>
      </c>
      <c r="Y536">
        <v>41363.636363636302</v>
      </c>
      <c r="Z536" s="26">
        <v>46062</v>
      </c>
    </row>
    <row r="537" spans="1:26" x14ac:dyDescent="0.3">
      <c r="A537" s="50">
        <v>46061.78465277778</v>
      </c>
      <c r="B537">
        <v>2.0260208184923799E+18</v>
      </c>
      <c r="C537" t="s">
        <v>5139</v>
      </c>
      <c r="D537" t="s">
        <v>5140</v>
      </c>
      <c r="E537" t="s">
        <v>5140</v>
      </c>
      <c r="F537" t="s">
        <v>5139</v>
      </c>
      <c r="G537" t="s">
        <v>5140</v>
      </c>
      <c r="H537" t="s">
        <v>5140</v>
      </c>
      <c r="I537">
        <v>48312</v>
      </c>
      <c r="J537" t="s">
        <v>5141</v>
      </c>
      <c r="K537" t="s">
        <v>5141</v>
      </c>
      <c r="L537" t="s">
        <v>3801</v>
      </c>
      <c r="M537" t="s">
        <v>3802</v>
      </c>
      <c r="N537">
        <v>18181</v>
      </c>
      <c r="O537">
        <v>63000</v>
      </c>
      <c r="P537">
        <v>1</v>
      </c>
      <c r="Q537" t="s">
        <v>3803</v>
      </c>
      <c r="S537">
        <v>143790</v>
      </c>
      <c r="T537">
        <v>0</v>
      </c>
      <c r="U537" t="s">
        <v>2807</v>
      </c>
      <c r="W537" t="s">
        <v>5142</v>
      </c>
      <c r="X537">
        <v>63000</v>
      </c>
      <c r="Y537">
        <v>57272.727272727199</v>
      </c>
      <c r="Z537" s="26">
        <v>46062</v>
      </c>
    </row>
    <row r="538" spans="1:26" x14ac:dyDescent="0.3">
      <c r="A538" s="50">
        <v>46061.759039351855</v>
      </c>
      <c r="B538">
        <v>2.02602081812339E+18</v>
      </c>
      <c r="C538" t="s">
        <v>5143</v>
      </c>
      <c r="D538" t="s">
        <v>5144</v>
      </c>
      <c r="E538" t="s">
        <v>5144</v>
      </c>
      <c r="F538" t="s">
        <v>5143</v>
      </c>
      <c r="G538" t="s">
        <v>5144</v>
      </c>
      <c r="H538" t="s">
        <v>5144</v>
      </c>
      <c r="I538">
        <v>48272</v>
      </c>
      <c r="J538" t="s">
        <v>5145</v>
      </c>
      <c r="K538" t="s">
        <v>5145</v>
      </c>
      <c r="L538" t="s">
        <v>3801</v>
      </c>
      <c r="M538" t="s">
        <v>3802</v>
      </c>
      <c r="N538">
        <v>36362</v>
      </c>
      <c r="O538">
        <v>63000</v>
      </c>
      <c r="P538">
        <v>2</v>
      </c>
      <c r="Q538" t="s">
        <v>3803</v>
      </c>
      <c r="S538">
        <v>143790</v>
      </c>
      <c r="T538">
        <v>0</v>
      </c>
      <c r="U538" t="s">
        <v>2807</v>
      </c>
      <c r="W538" t="s">
        <v>5146</v>
      </c>
      <c r="X538">
        <v>126000</v>
      </c>
      <c r="Y538">
        <v>114545.45454545401</v>
      </c>
      <c r="Z538" s="26">
        <v>46062</v>
      </c>
    </row>
    <row r="539" spans="1:26" x14ac:dyDescent="0.3">
      <c r="A539" s="50">
        <v>46061.747152777774</v>
      </c>
      <c r="B539">
        <v>2.0260208175501599E+18</v>
      </c>
      <c r="C539" t="s">
        <v>5147</v>
      </c>
      <c r="D539" t="s">
        <v>5148</v>
      </c>
      <c r="E539" t="s">
        <v>5148</v>
      </c>
      <c r="F539" t="s">
        <v>5147</v>
      </c>
      <c r="G539" t="s">
        <v>5148</v>
      </c>
      <c r="H539" t="s">
        <v>5148</v>
      </c>
      <c r="I539">
        <v>55048</v>
      </c>
      <c r="J539" t="s">
        <v>5149</v>
      </c>
      <c r="K539" t="s">
        <v>5149</v>
      </c>
      <c r="L539" t="s">
        <v>3801</v>
      </c>
      <c r="M539" t="s">
        <v>3802</v>
      </c>
      <c r="N539">
        <v>18181</v>
      </c>
      <c r="O539">
        <v>63000</v>
      </c>
      <c r="P539">
        <v>1</v>
      </c>
      <c r="Q539" t="s">
        <v>3803</v>
      </c>
      <c r="S539">
        <v>143790</v>
      </c>
      <c r="T539">
        <v>0</v>
      </c>
      <c r="U539" t="s">
        <v>2807</v>
      </c>
      <c r="W539" t="s">
        <v>5150</v>
      </c>
      <c r="X539">
        <v>63000</v>
      </c>
      <c r="Y539">
        <v>57272.727272727199</v>
      </c>
      <c r="Z539" s="26">
        <v>46062</v>
      </c>
    </row>
    <row r="540" spans="1:26" x14ac:dyDescent="0.3">
      <c r="A540" s="50">
        <v>46061.745474537034</v>
      </c>
      <c r="B540">
        <v>2.0260208175207601E+18</v>
      </c>
      <c r="C540" t="s">
        <v>5151</v>
      </c>
      <c r="D540" t="s">
        <v>5152</v>
      </c>
      <c r="E540" t="s">
        <v>5152</v>
      </c>
      <c r="F540" t="s">
        <v>5151</v>
      </c>
      <c r="G540" t="s">
        <v>5152</v>
      </c>
      <c r="H540" t="s">
        <v>5152</v>
      </c>
      <c r="I540">
        <v>18484</v>
      </c>
      <c r="J540" t="s">
        <v>5153</v>
      </c>
      <c r="K540" t="s">
        <v>5153</v>
      </c>
      <c r="L540" t="s">
        <v>3801</v>
      </c>
      <c r="M540" t="s">
        <v>3802</v>
      </c>
      <c r="N540">
        <v>18181</v>
      </c>
      <c r="O540">
        <v>63000</v>
      </c>
      <c r="P540">
        <v>1</v>
      </c>
      <c r="Q540" t="s">
        <v>3803</v>
      </c>
      <c r="S540">
        <v>143790</v>
      </c>
      <c r="T540">
        <v>0</v>
      </c>
      <c r="U540" t="s">
        <v>2807</v>
      </c>
      <c r="W540" t="s">
        <v>5154</v>
      </c>
      <c r="X540">
        <v>63000</v>
      </c>
      <c r="Y540">
        <v>57272.727272727199</v>
      </c>
      <c r="Z540" s="26">
        <v>46062</v>
      </c>
    </row>
    <row r="541" spans="1:26" x14ac:dyDescent="0.3">
      <c r="A541" s="50">
        <v>46061.740590277775</v>
      </c>
      <c r="B541">
        <v>2.0260208174407099E+18</v>
      </c>
      <c r="C541" t="s">
        <v>5155</v>
      </c>
      <c r="D541" t="s">
        <v>5156</v>
      </c>
      <c r="E541" t="s">
        <v>5156</v>
      </c>
      <c r="F541" t="s">
        <v>5155</v>
      </c>
      <c r="G541" t="s">
        <v>5156</v>
      </c>
      <c r="H541" t="s">
        <v>5156</v>
      </c>
      <c r="I541">
        <v>59703</v>
      </c>
      <c r="J541" t="s">
        <v>5157</v>
      </c>
      <c r="K541" t="s">
        <v>5157</v>
      </c>
      <c r="L541" t="s">
        <v>3801</v>
      </c>
      <c r="M541" t="s">
        <v>3802</v>
      </c>
      <c r="N541">
        <v>18181</v>
      </c>
      <c r="O541">
        <v>63000</v>
      </c>
      <c r="P541">
        <v>1</v>
      </c>
      <c r="Q541" t="s">
        <v>3803</v>
      </c>
      <c r="S541">
        <v>143790</v>
      </c>
      <c r="T541">
        <v>0</v>
      </c>
      <c r="U541" t="s">
        <v>2807</v>
      </c>
      <c r="W541" t="s">
        <v>5158</v>
      </c>
      <c r="X541">
        <v>63000</v>
      </c>
      <c r="Y541">
        <v>57272.727272727199</v>
      </c>
      <c r="Z541" s="26">
        <v>46062</v>
      </c>
    </row>
    <row r="542" spans="1:26" x14ac:dyDescent="0.3">
      <c r="A542" s="50">
        <v>46061.596400462964</v>
      </c>
      <c r="B542">
        <v>2.0260208141737001E+18</v>
      </c>
      <c r="C542" t="s">
        <v>5159</v>
      </c>
      <c r="D542" t="s">
        <v>5160</v>
      </c>
      <c r="E542" t="s">
        <v>5160</v>
      </c>
      <c r="F542" t="s">
        <v>5159</v>
      </c>
      <c r="G542" t="s">
        <v>5160</v>
      </c>
      <c r="H542" t="s">
        <v>5160</v>
      </c>
      <c r="I542">
        <v>7651</v>
      </c>
      <c r="J542" t="s">
        <v>5161</v>
      </c>
      <c r="K542" t="s">
        <v>5161</v>
      </c>
      <c r="L542" t="s">
        <v>3801</v>
      </c>
      <c r="M542" t="s">
        <v>3802</v>
      </c>
      <c r="N542">
        <v>18181</v>
      </c>
      <c r="O542">
        <v>63000</v>
      </c>
      <c r="P542">
        <v>1</v>
      </c>
      <c r="Q542" t="s">
        <v>3803</v>
      </c>
      <c r="S542">
        <v>143790</v>
      </c>
      <c r="T542">
        <v>0</v>
      </c>
      <c r="U542" t="s">
        <v>2807</v>
      </c>
      <c r="W542" t="s">
        <v>5162</v>
      </c>
      <c r="X542">
        <v>63000</v>
      </c>
      <c r="Y542">
        <v>57272.727272727199</v>
      </c>
      <c r="Z542" s="26">
        <v>46062</v>
      </c>
    </row>
    <row r="543" spans="1:26" x14ac:dyDescent="0.3">
      <c r="A543" s="50">
        <v>46061.560844907406</v>
      </c>
      <c r="B543">
        <v>2.02602081327074E+18</v>
      </c>
      <c r="C543" t="s">
        <v>5163</v>
      </c>
      <c r="D543" t="s">
        <v>5164</v>
      </c>
      <c r="E543" t="s">
        <v>5164</v>
      </c>
      <c r="F543" t="s">
        <v>5163</v>
      </c>
      <c r="G543" t="s">
        <v>5164</v>
      </c>
      <c r="H543" t="s">
        <v>5164</v>
      </c>
      <c r="I543">
        <v>12912</v>
      </c>
      <c r="J543" t="s">
        <v>5165</v>
      </c>
      <c r="K543" t="s">
        <v>5165</v>
      </c>
      <c r="L543" t="s">
        <v>3801</v>
      </c>
      <c r="M543" t="s">
        <v>3802</v>
      </c>
      <c r="N543">
        <v>18181</v>
      </c>
      <c r="O543">
        <v>63000</v>
      </c>
      <c r="P543">
        <v>1</v>
      </c>
      <c r="Q543" t="s">
        <v>3803</v>
      </c>
      <c r="S543">
        <v>143790</v>
      </c>
      <c r="T543">
        <v>0</v>
      </c>
      <c r="U543" t="s">
        <v>2807</v>
      </c>
      <c r="W543" t="s">
        <v>5166</v>
      </c>
      <c r="X543">
        <v>63000</v>
      </c>
      <c r="Y543">
        <v>57272.727272727199</v>
      </c>
      <c r="Z543" s="26">
        <v>46062</v>
      </c>
    </row>
    <row r="544" spans="1:26" x14ac:dyDescent="0.3">
      <c r="A544" s="50">
        <v>46061.560254629629</v>
      </c>
      <c r="B544">
        <v>2.0260208132624599E+18</v>
      </c>
      <c r="C544" t="s">
        <v>5163</v>
      </c>
      <c r="D544" t="s">
        <v>5164</v>
      </c>
      <c r="E544" t="s">
        <v>5164</v>
      </c>
      <c r="F544" t="s">
        <v>5163</v>
      </c>
      <c r="G544" t="s">
        <v>5164</v>
      </c>
      <c r="H544" t="s">
        <v>5164</v>
      </c>
      <c r="I544">
        <v>12912</v>
      </c>
      <c r="J544" t="s">
        <v>5165</v>
      </c>
      <c r="K544" t="s">
        <v>5165</v>
      </c>
      <c r="L544" t="s">
        <v>3801</v>
      </c>
      <c r="M544" t="s">
        <v>3802</v>
      </c>
      <c r="N544">
        <v>18181</v>
      </c>
      <c r="O544">
        <v>63000</v>
      </c>
      <c r="P544">
        <v>1</v>
      </c>
      <c r="Q544" t="s">
        <v>3803</v>
      </c>
      <c r="S544">
        <v>143790</v>
      </c>
      <c r="T544">
        <v>0</v>
      </c>
      <c r="U544" t="s">
        <v>2807</v>
      </c>
      <c r="W544" t="s">
        <v>5167</v>
      </c>
      <c r="X544">
        <v>63000</v>
      </c>
      <c r="Y544">
        <v>57272.727272727199</v>
      </c>
      <c r="Z544" s="26">
        <v>46062</v>
      </c>
    </row>
    <row r="545" spans="1:26" x14ac:dyDescent="0.3">
      <c r="A545" s="50">
        <v>46060.88082175926</v>
      </c>
      <c r="B545">
        <v>2.02602072107522E+18</v>
      </c>
      <c r="C545" t="s">
        <v>5168</v>
      </c>
      <c r="D545" t="s">
        <v>5169</v>
      </c>
      <c r="E545" t="s">
        <v>5169</v>
      </c>
      <c r="F545" t="s">
        <v>5168</v>
      </c>
      <c r="G545" t="s">
        <v>5169</v>
      </c>
      <c r="H545" t="s">
        <v>5169</v>
      </c>
      <c r="I545">
        <v>25495</v>
      </c>
      <c r="J545" t="s">
        <v>5170</v>
      </c>
      <c r="K545" t="s">
        <v>5170</v>
      </c>
      <c r="L545" t="s">
        <v>3801</v>
      </c>
      <c r="M545" t="s">
        <v>3802</v>
      </c>
      <c r="N545">
        <v>18181</v>
      </c>
      <c r="O545">
        <v>63000</v>
      </c>
      <c r="P545">
        <v>1</v>
      </c>
      <c r="Q545" t="s">
        <v>3803</v>
      </c>
      <c r="S545">
        <v>143790</v>
      </c>
      <c r="T545">
        <v>0</v>
      </c>
      <c r="U545" t="s">
        <v>2807</v>
      </c>
      <c r="W545" t="s">
        <v>5171</v>
      </c>
      <c r="X545">
        <v>63000</v>
      </c>
      <c r="Y545">
        <v>57272.727272727199</v>
      </c>
      <c r="Z545" s="26">
        <v>46062</v>
      </c>
    </row>
    <row r="546" spans="1:26" x14ac:dyDescent="0.3">
      <c r="A546" s="50">
        <v>46060.877951388888</v>
      </c>
      <c r="B546">
        <v>2.0260207210336499E+18</v>
      </c>
      <c r="C546" t="s">
        <v>5168</v>
      </c>
      <c r="D546" t="s">
        <v>5169</v>
      </c>
      <c r="E546" t="s">
        <v>5169</v>
      </c>
      <c r="F546" t="s">
        <v>5168</v>
      </c>
      <c r="G546" t="s">
        <v>5169</v>
      </c>
      <c r="H546" t="s">
        <v>5169</v>
      </c>
      <c r="I546">
        <v>25495</v>
      </c>
      <c r="J546" t="s">
        <v>5170</v>
      </c>
      <c r="K546" t="s">
        <v>5170</v>
      </c>
      <c r="L546" t="s">
        <v>3801</v>
      </c>
      <c r="M546" t="s">
        <v>3802</v>
      </c>
      <c r="N546">
        <v>18181</v>
      </c>
      <c r="O546">
        <v>63000</v>
      </c>
      <c r="P546">
        <v>1</v>
      </c>
      <c r="Q546" t="s">
        <v>3803</v>
      </c>
      <c r="S546">
        <v>143790</v>
      </c>
      <c r="T546">
        <v>0</v>
      </c>
      <c r="U546" t="s">
        <v>2807</v>
      </c>
      <c r="W546" t="s">
        <v>5172</v>
      </c>
      <c r="X546">
        <v>63000</v>
      </c>
      <c r="Y546">
        <v>57272.727272727199</v>
      </c>
      <c r="Z546" s="26">
        <v>46062</v>
      </c>
    </row>
    <row r="547" spans="1:26" x14ac:dyDescent="0.3">
      <c r="A547" s="50">
        <v>46060.747569444444</v>
      </c>
      <c r="B547">
        <v>2.02602071755298E+18</v>
      </c>
      <c r="C547" t="s">
        <v>5173</v>
      </c>
      <c r="D547" t="s">
        <v>4667</v>
      </c>
      <c r="E547" t="s">
        <v>4667</v>
      </c>
      <c r="F547" t="s">
        <v>4666</v>
      </c>
      <c r="G547" t="s">
        <v>4667</v>
      </c>
      <c r="H547" t="s">
        <v>4667</v>
      </c>
      <c r="I547">
        <v>8211</v>
      </c>
      <c r="J547" t="s">
        <v>5174</v>
      </c>
      <c r="K547" t="s">
        <v>5174</v>
      </c>
      <c r="L547" t="s">
        <v>3801</v>
      </c>
      <c r="M547" t="s">
        <v>3802</v>
      </c>
      <c r="N547">
        <v>18181</v>
      </c>
      <c r="O547">
        <v>63000</v>
      </c>
      <c r="P547">
        <v>1</v>
      </c>
      <c r="Q547" t="s">
        <v>3803</v>
      </c>
      <c r="S547">
        <v>143790</v>
      </c>
      <c r="T547">
        <v>0</v>
      </c>
      <c r="U547" t="s">
        <v>2807</v>
      </c>
      <c r="W547" t="s">
        <v>5175</v>
      </c>
      <c r="X547">
        <v>63000</v>
      </c>
      <c r="Y547">
        <v>57272.727272727199</v>
      </c>
      <c r="Z547" s="26">
        <v>46062</v>
      </c>
    </row>
    <row r="548" spans="1:26" x14ac:dyDescent="0.3">
      <c r="A548" s="50">
        <v>46060.741944444446</v>
      </c>
      <c r="B548">
        <v>2.0260207174407099E+18</v>
      </c>
      <c r="C548" t="s">
        <v>3421</v>
      </c>
      <c r="D548" t="s">
        <v>5176</v>
      </c>
      <c r="E548" t="s">
        <v>5176</v>
      </c>
      <c r="F548" t="s">
        <v>3421</v>
      </c>
      <c r="G548" t="s">
        <v>5176</v>
      </c>
      <c r="H548" t="s">
        <v>5176</v>
      </c>
      <c r="I548">
        <v>6360</v>
      </c>
      <c r="J548" t="s">
        <v>5177</v>
      </c>
      <c r="K548" t="s">
        <v>5177</v>
      </c>
      <c r="L548" t="s">
        <v>3801</v>
      </c>
      <c r="M548" t="s">
        <v>3802</v>
      </c>
      <c r="N548">
        <v>18181</v>
      </c>
      <c r="O548">
        <v>63000</v>
      </c>
      <c r="P548">
        <v>1</v>
      </c>
      <c r="Q548" t="s">
        <v>3803</v>
      </c>
      <c r="R548" t="s">
        <v>5178</v>
      </c>
      <c r="S548">
        <v>143790</v>
      </c>
      <c r="T548">
        <v>0</v>
      </c>
      <c r="U548" t="s">
        <v>2807</v>
      </c>
      <c r="W548" t="s">
        <v>5179</v>
      </c>
      <c r="X548">
        <v>63000</v>
      </c>
      <c r="Y548">
        <v>57272.727272727199</v>
      </c>
      <c r="Z548" s="26">
        <v>46062</v>
      </c>
    </row>
    <row r="549" spans="1:26" x14ac:dyDescent="0.3">
      <c r="A549" s="50">
        <v>46060.70003472222</v>
      </c>
      <c r="B549">
        <v>2.0260207164154099E+18</v>
      </c>
      <c r="C549" t="s">
        <v>5180</v>
      </c>
      <c r="D549" t="s">
        <v>5181</v>
      </c>
      <c r="E549" t="s">
        <v>5181</v>
      </c>
      <c r="F549" t="s">
        <v>5182</v>
      </c>
      <c r="G549" t="s">
        <v>5183</v>
      </c>
      <c r="H549" t="s">
        <v>5183</v>
      </c>
      <c r="I549">
        <v>16930</v>
      </c>
      <c r="J549" t="s">
        <v>5184</v>
      </c>
      <c r="K549" t="s">
        <v>5184</v>
      </c>
      <c r="L549" t="s">
        <v>3801</v>
      </c>
      <c r="M549" t="s">
        <v>3802</v>
      </c>
      <c r="N549">
        <v>18181</v>
      </c>
      <c r="O549">
        <v>63000</v>
      </c>
      <c r="P549">
        <v>1</v>
      </c>
      <c r="Q549" t="s">
        <v>3803</v>
      </c>
      <c r="S549">
        <v>143790</v>
      </c>
      <c r="T549">
        <v>0</v>
      </c>
      <c r="U549" t="s">
        <v>2807</v>
      </c>
      <c r="W549" t="s">
        <v>5185</v>
      </c>
      <c r="X549">
        <v>63000</v>
      </c>
      <c r="Y549">
        <v>57272.727272727199</v>
      </c>
      <c r="Z549" s="26">
        <v>46062</v>
      </c>
    </row>
    <row r="550" spans="1:26" x14ac:dyDescent="0.3">
      <c r="A550" s="50">
        <v>46060.612546296295</v>
      </c>
      <c r="B550">
        <v>2.02602071441133E+18</v>
      </c>
      <c r="C550" t="s">
        <v>5186</v>
      </c>
      <c r="D550" t="s">
        <v>5187</v>
      </c>
      <c r="E550" t="s">
        <v>5187</v>
      </c>
      <c r="F550" t="s">
        <v>5186</v>
      </c>
      <c r="G550" t="s">
        <v>5187</v>
      </c>
      <c r="H550" t="s">
        <v>5187</v>
      </c>
      <c r="I550">
        <v>10378</v>
      </c>
      <c r="J550" t="s">
        <v>5188</v>
      </c>
      <c r="K550" t="s">
        <v>5188</v>
      </c>
      <c r="L550" t="s">
        <v>3801</v>
      </c>
      <c r="M550" t="s">
        <v>3802</v>
      </c>
      <c r="N550">
        <v>18181</v>
      </c>
      <c r="O550">
        <v>63000</v>
      </c>
      <c r="P550">
        <v>1</v>
      </c>
      <c r="Q550" t="s">
        <v>3803</v>
      </c>
      <c r="S550">
        <v>143790</v>
      </c>
      <c r="T550">
        <v>0</v>
      </c>
      <c r="U550" t="s">
        <v>2807</v>
      </c>
      <c r="W550" t="s">
        <v>5189</v>
      </c>
      <c r="X550">
        <v>63000</v>
      </c>
      <c r="Y550">
        <v>57272.727272727199</v>
      </c>
      <c r="Z550" s="26">
        <v>46062</v>
      </c>
    </row>
    <row r="551" spans="1:26" x14ac:dyDescent="0.3">
      <c r="A551" s="50">
        <v>46060.544618055559</v>
      </c>
      <c r="B551">
        <v>2.0260207130103301E+18</v>
      </c>
      <c r="C551" t="s">
        <v>5190</v>
      </c>
      <c r="D551" t="s">
        <v>5191</v>
      </c>
      <c r="E551" t="s">
        <v>5191</v>
      </c>
      <c r="F551" t="s">
        <v>5190</v>
      </c>
      <c r="G551" t="s">
        <v>5192</v>
      </c>
      <c r="H551" t="s">
        <v>5192</v>
      </c>
      <c r="I551">
        <v>2639</v>
      </c>
      <c r="J551" t="s">
        <v>5193</v>
      </c>
      <c r="K551" t="s">
        <v>5193</v>
      </c>
      <c r="L551" t="s">
        <v>3801</v>
      </c>
      <c r="M551" t="s">
        <v>3802</v>
      </c>
      <c r="N551">
        <v>18181</v>
      </c>
      <c r="O551">
        <v>63000</v>
      </c>
      <c r="P551">
        <v>1</v>
      </c>
      <c r="Q551" t="s">
        <v>3803</v>
      </c>
      <c r="S551">
        <v>143790</v>
      </c>
      <c r="T551">
        <v>0</v>
      </c>
      <c r="U551" t="s">
        <v>2807</v>
      </c>
      <c r="W551" t="s">
        <v>5194</v>
      </c>
      <c r="X551">
        <v>63000</v>
      </c>
      <c r="Y551">
        <v>57272.727272727199</v>
      </c>
      <c r="Z551" s="26">
        <v>46062</v>
      </c>
    </row>
    <row r="552" spans="1:26" x14ac:dyDescent="0.3">
      <c r="A552" s="50">
        <v>46060.324699074074</v>
      </c>
      <c r="B552">
        <v>2.02602070744561E+18</v>
      </c>
      <c r="C552" t="s">
        <v>3551</v>
      </c>
      <c r="D552" t="s">
        <v>3552</v>
      </c>
      <c r="E552" t="s">
        <v>3552</v>
      </c>
      <c r="F552" t="s">
        <v>3551</v>
      </c>
      <c r="G552" t="s">
        <v>3552</v>
      </c>
      <c r="H552" t="s">
        <v>3552</v>
      </c>
      <c r="I552">
        <v>7336</v>
      </c>
      <c r="J552" t="s">
        <v>3553</v>
      </c>
      <c r="K552" t="s">
        <v>3553</v>
      </c>
      <c r="L552" t="s">
        <v>3801</v>
      </c>
      <c r="M552" t="s">
        <v>3802</v>
      </c>
      <c r="N552">
        <v>18181</v>
      </c>
      <c r="O552">
        <v>63000</v>
      </c>
      <c r="P552">
        <v>1</v>
      </c>
      <c r="Q552" t="s">
        <v>3803</v>
      </c>
      <c r="S552">
        <v>143790</v>
      </c>
      <c r="T552">
        <v>0</v>
      </c>
      <c r="U552" t="s">
        <v>2807</v>
      </c>
      <c r="W552" t="s">
        <v>5195</v>
      </c>
      <c r="X552">
        <v>63000</v>
      </c>
      <c r="Y552">
        <v>57272.727272727199</v>
      </c>
      <c r="Z552" s="26">
        <v>46062</v>
      </c>
    </row>
    <row r="553" spans="1:26" x14ac:dyDescent="0.3">
      <c r="A553" s="50">
        <v>46059.935173611113</v>
      </c>
      <c r="B553">
        <v>2.02602062224431E+18</v>
      </c>
      <c r="C553" t="s">
        <v>5196</v>
      </c>
      <c r="D553" t="s">
        <v>5197</v>
      </c>
      <c r="E553" t="s">
        <v>5197</v>
      </c>
      <c r="F553" t="s">
        <v>5196</v>
      </c>
      <c r="G553" t="s">
        <v>5197</v>
      </c>
      <c r="H553" t="s">
        <v>5197</v>
      </c>
      <c r="I553">
        <v>14103</v>
      </c>
      <c r="J553" t="s">
        <v>5198</v>
      </c>
      <c r="K553" t="s">
        <v>5198</v>
      </c>
      <c r="L553" t="s">
        <v>3801</v>
      </c>
      <c r="M553" t="s">
        <v>3802</v>
      </c>
      <c r="N553">
        <v>18181</v>
      </c>
      <c r="O553">
        <v>63000</v>
      </c>
      <c r="P553">
        <v>1</v>
      </c>
      <c r="Q553" t="s">
        <v>3803</v>
      </c>
      <c r="S553">
        <v>143790</v>
      </c>
      <c r="T553">
        <v>0</v>
      </c>
      <c r="U553" t="s">
        <v>2807</v>
      </c>
      <c r="W553" t="s">
        <v>5199</v>
      </c>
      <c r="X553">
        <v>63000</v>
      </c>
      <c r="Y553">
        <v>57272.727272727199</v>
      </c>
      <c r="Z553" s="26">
        <v>46062</v>
      </c>
    </row>
    <row r="554" spans="1:26" x14ac:dyDescent="0.3">
      <c r="A554" s="50">
        <v>46059.899733796294</v>
      </c>
      <c r="B554">
        <v>2.02602062134259E+18</v>
      </c>
      <c r="C554" t="s">
        <v>5200</v>
      </c>
      <c r="D554" t="s">
        <v>5201</v>
      </c>
      <c r="E554" t="s">
        <v>5201</v>
      </c>
      <c r="F554" t="s">
        <v>5200</v>
      </c>
      <c r="G554" t="s">
        <v>5201</v>
      </c>
      <c r="H554" t="s">
        <v>5201</v>
      </c>
      <c r="I554">
        <v>26472</v>
      </c>
      <c r="J554" t="s">
        <v>5202</v>
      </c>
      <c r="K554" t="s">
        <v>5202</v>
      </c>
      <c r="L554" t="s">
        <v>3801</v>
      </c>
      <c r="M554" t="s">
        <v>3802</v>
      </c>
      <c r="N554">
        <v>18181</v>
      </c>
      <c r="O554">
        <v>63000</v>
      </c>
      <c r="P554">
        <v>1</v>
      </c>
      <c r="Q554" t="s">
        <v>3803</v>
      </c>
      <c r="S554">
        <v>143790</v>
      </c>
      <c r="T554">
        <v>0</v>
      </c>
      <c r="U554" t="s">
        <v>2807</v>
      </c>
      <c r="W554" t="s">
        <v>5203</v>
      </c>
      <c r="X554">
        <v>63000</v>
      </c>
      <c r="Y554">
        <v>57272.727272727199</v>
      </c>
      <c r="Z554" s="26">
        <v>46062</v>
      </c>
    </row>
    <row r="555" spans="1:26" x14ac:dyDescent="0.3">
      <c r="A555" s="50">
        <v>46059.875555555554</v>
      </c>
      <c r="B555">
        <v>2.0260206205947799E+18</v>
      </c>
      <c r="C555" t="s">
        <v>5204</v>
      </c>
      <c r="D555" t="s">
        <v>5205</v>
      </c>
      <c r="E555" t="s">
        <v>5205</v>
      </c>
      <c r="F555" t="s">
        <v>5204</v>
      </c>
      <c r="G555" t="s">
        <v>5205</v>
      </c>
      <c r="H555" t="s">
        <v>5205</v>
      </c>
      <c r="I555">
        <v>6279</v>
      </c>
      <c r="J555" t="s">
        <v>5206</v>
      </c>
      <c r="K555" t="s">
        <v>5206</v>
      </c>
      <c r="L555" t="s">
        <v>3801</v>
      </c>
      <c r="M555" t="s">
        <v>3802</v>
      </c>
      <c r="N555">
        <v>18181</v>
      </c>
      <c r="O555">
        <v>63000</v>
      </c>
      <c r="P555">
        <v>1</v>
      </c>
      <c r="Q555" t="s">
        <v>3803</v>
      </c>
      <c r="S555">
        <v>143790</v>
      </c>
      <c r="T555">
        <v>0</v>
      </c>
      <c r="U555" t="s">
        <v>2807</v>
      </c>
      <c r="W555" t="s">
        <v>5207</v>
      </c>
      <c r="X555">
        <v>63000</v>
      </c>
      <c r="Y555">
        <v>57272.727272727199</v>
      </c>
      <c r="Z555" s="26">
        <v>46062</v>
      </c>
    </row>
    <row r="556" spans="1:26" x14ac:dyDescent="0.3">
      <c r="A556" s="50">
        <v>46059.858136574076</v>
      </c>
      <c r="B556">
        <v>2.02602062034176E+18</v>
      </c>
      <c r="C556" t="s">
        <v>5208</v>
      </c>
      <c r="D556" t="s">
        <v>5209</v>
      </c>
      <c r="E556" t="s">
        <v>5209</v>
      </c>
      <c r="F556" t="s">
        <v>5208</v>
      </c>
      <c r="G556" t="s">
        <v>5209</v>
      </c>
      <c r="H556" t="s">
        <v>5209</v>
      </c>
      <c r="I556">
        <v>13372</v>
      </c>
      <c r="J556" t="s">
        <v>5210</v>
      </c>
      <c r="K556" t="s">
        <v>5210</v>
      </c>
      <c r="L556" t="s">
        <v>3801</v>
      </c>
      <c r="M556" t="s">
        <v>3802</v>
      </c>
      <c r="N556">
        <v>18181</v>
      </c>
      <c r="O556">
        <v>63000</v>
      </c>
      <c r="P556">
        <v>1</v>
      </c>
      <c r="Q556" t="s">
        <v>3803</v>
      </c>
      <c r="S556">
        <v>143790</v>
      </c>
      <c r="T556">
        <v>0</v>
      </c>
      <c r="U556" t="s">
        <v>2807</v>
      </c>
      <c r="W556" t="s">
        <v>5211</v>
      </c>
      <c r="X556">
        <v>63000</v>
      </c>
      <c r="Y556">
        <v>57272.727272727199</v>
      </c>
      <c r="Z556" s="26">
        <v>46062</v>
      </c>
    </row>
    <row r="557" spans="1:26" x14ac:dyDescent="0.3">
      <c r="A557" s="50">
        <v>46059.855763888889</v>
      </c>
      <c r="B557">
        <v>2.0260206202935401E+18</v>
      </c>
      <c r="C557" t="s">
        <v>5212</v>
      </c>
      <c r="D557" t="s">
        <v>5213</v>
      </c>
      <c r="E557" t="s">
        <v>5213</v>
      </c>
      <c r="F557" t="s">
        <v>5212</v>
      </c>
      <c r="G557" t="s">
        <v>5213</v>
      </c>
      <c r="H557" t="s">
        <v>5213</v>
      </c>
      <c r="I557">
        <v>13367</v>
      </c>
      <c r="J557" t="s">
        <v>5214</v>
      </c>
      <c r="K557" t="s">
        <v>5214</v>
      </c>
      <c r="L557" t="s">
        <v>3801</v>
      </c>
      <c r="M557" t="s">
        <v>3802</v>
      </c>
      <c r="N557">
        <v>18181</v>
      </c>
      <c r="O557">
        <v>63000</v>
      </c>
      <c r="P557">
        <v>1</v>
      </c>
      <c r="Q557" t="s">
        <v>3803</v>
      </c>
      <c r="R557" t="s">
        <v>5215</v>
      </c>
      <c r="S557">
        <v>143790</v>
      </c>
      <c r="T557">
        <v>0</v>
      </c>
      <c r="U557" t="s">
        <v>2807</v>
      </c>
      <c r="W557" t="s">
        <v>5216</v>
      </c>
      <c r="X557">
        <v>63000</v>
      </c>
      <c r="Y557">
        <v>57272.727272727199</v>
      </c>
      <c r="Z557" s="26">
        <v>46062</v>
      </c>
    </row>
    <row r="558" spans="1:26" x14ac:dyDescent="0.3">
      <c r="A558" s="50">
        <v>46059.840775462966</v>
      </c>
      <c r="B558">
        <v>2.0260206200755E+18</v>
      </c>
      <c r="C558" t="s">
        <v>5217</v>
      </c>
      <c r="D558" t="s">
        <v>2949</v>
      </c>
      <c r="E558" t="s">
        <v>2949</v>
      </c>
      <c r="F558" t="s">
        <v>5217</v>
      </c>
      <c r="G558" t="s">
        <v>2949</v>
      </c>
      <c r="H558" t="s">
        <v>2949</v>
      </c>
      <c r="I558">
        <v>16517</v>
      </c>
      <c r="J558" t="s">
        <v>2950</v>
      </c>
      <c r="K558" t="s">
        <v>2950</v>
      </c>
      <c r="L558" t="s">
        <v>3801</v>
      </c>
      <c r="M558" t="s">
        <v>3802</v>
      </c>
      <c r="N558">
        <v>18181</v>
      </c>
      <c r="O558">
        <v>63000</v>
      </c>
      <c r="P558">
        <v>1</v>
      </c>
      <c r="Q558" t="s">
        <v>3803</v>
      </c>
      <c r="S558">
        <v>143790</v>
      </c>
      <c r="T558">
        <v>0</v>
      </c>
      <c r="U558" t="s">
        <v>2807</v>
      </c>
      <c r="W558" t="s">
        <v>5218</v>
      </c>
      <c r="X558">
        <v>63000</v>
      </c>
      <c r="Y558">
        <v>57272.727272727199</v>
      </c>
      <c r="Z558" s="26">
        <v>46062</v>
      </c>
    </row>
    <row r="559" spans="1:26" x14ac:dyDescent="0.3">
      <c r="A559" s="50">
        <v>46059.834560185183</v>
      </c>
      <c r="B559">
        <v>2.0260206195919201E+18</v>
      </c>
      <c r="C559" t="s">
        <v>5219</v>
      </c>
      <c r="D559" t="s">
        <v>5220</v>
      </c>
      <c r="E559" t="s">
        <v>5220</v>
      </c>
      <c r="F559" t="s">
        <v>5221</v>
      </c>
      <c r="G559" t="s">
        <v>5222</v>
      </c>
      <c r="H559" t="s">
        <v>5222</v>
      </c>
      <c r="I559">
        <v>13825</v>
      </c>
      <c r="J559" t="s">
        <v>5223</v>
      </c>
      <c r="K559" t="s">
        <v>5223</v>
      </c>
      <c r="L559" t="s">
        <v>3801</v>
      </c>
      <c r="M559" t="s">
        <v>3802</v>
      </c>
      <c r="N559">
        <v>18181</v>
      </c>
      <c r="O559">
        <v>63000</v>
      </c>
      <c r="P559">
        <v>1</v>
      </c>
      <c r="Q559" t="s">
        <v>3803</v>
      </c>
      <c r="R559" t="s">
        <v>2837</v>
      </c>
      <c r="S559">
        <v>143790</v>
      </c>
      <c r="T559">
        <v>0</v>
      </c>
      <c r="U559" t="s">
        <v>2807</v>
      </c>
      <c r="W559" t="s">
        <v>5224</v>
      </c>
      <c r="X559">
        <v>63000</v>
      </c>
      <c r="Y559">
        <v>57272.727272727199</v>
      </c>
      <c r="Z559" s="26">
        <v>46062</v>
      </c>
    </row>
    <row r="560" spans="1:26" x14ac:dyDescent="0.3">
      <c r="A560" s="50">
        <v>46059.797349537039</v>
      </c>
      <c r="B560">
        <v>2.026020619064E+18</v>
      </c>
      <c r="C560" t="s">
        <v>5225</v>
      </c>
      <c r="D560" t="s">
        <v>5226</v>
      </c>
      <c r="E560" t="s">
        <v>5226</v>
      </c>
      <c r="F560" t="s">
        <v>5225</v>
      </c>
      <c r="G560" t="s">
        <v>5226</v>
      </c>
      <c r="H560" t="s">
        <v>5226</v>
      </c>
      <c r="I560">
        <v>13613</v>
      </c>
      <c r="J560" t="s">
        <v>5227</v>
      </c>
      <c r="K560" t="s">
        <v>5227</v>
      </c>
      <c r="L560" t="s">
        <v>3801</v>
      </c>
      <c r="M560" t="s">
        <v>3802</v>
      </c>
      <c r="N560">
        <v>18181</v>
      </c>
      <c r="O560">
        <v>63000</v>
      </c>
      <c r="P560">
        <v>1</v>
      </c>
      <c r="Q560" t="s">
        <v>3803</v>
      </c>
      <c r="S560">
        <v>143790</v>
      </c>
      <c r="T560">
        <v>0</v>
      </c>
      <c r="U560" t="s">
        <v>2807</v>
      </c>
      <c r="W560" t="s">
        <v>5228</v>
      </c>
      <c r="X560">
        <v>63000</v>
      </c>
      <c r="Y560">
        <v>57272.727272727199</v>
      </c>
      <c r="Z560" s="26">
        <v>46062</v>
      </c>
    </row>
    <row r="561" spans="1:26" x14ac:dyDescent="0.3">
      <c r="A561" s="50">
        <v>46059.706597222219</v>
      </c>
      <c r="B561">
        <v>2.02602061656211E+18</v>
      </c>
      <c r="C561" t="s">
        <v>4124</v>
      </c>
      <c r="D561" t="s">
        <v>5229</v>
      </c>
      <c r="E561" t="s">
        <v>5229</v>
      </c>
      <c r="F561" t="s">
        <v>4124</v>
      </c>
      <c r="G561" t="s">
        <v>5229</v>
      </c>
      <c r="H561" t="s">
        <v>5229</v>
      </c>
      <c r="I561">
        <v>22124</v>
      </c>
      <c r="J561" t="s">
        <v>5230</v>
      </c>
      <c r="K561" t="s">
        <v>5230</v>
      </c>
      <c r="L561" t="s">
        <v>3801</v>
      </c>
      <c r="M561" t="s">
        <v>3802</v>
      </c>
      <c r="N561">
        <v>18181</v>
      </c>
      <c r="O561">
        <v>63000</v>
      </c>
      <c r="P561">
        <v>1</v>
      </c>
      <c r="Q561" t="s">
        <v>3803</v>
      </c>
      <c r="S561">
        <v>143790</v>
      </c>
      <c r="T561">
        <v>0</v>
      </c>
      <c r="U561" t="s">
        <v>2807</v>
      </c>
      <c r="W561" t="s">
        <v>5231</v>
      </c>
      <c r="X561">
        <v>63000</v>
      </c>
      <c r="Y561">
        <v>57272.727272727199</v>
      </c>
      <c r="Z561" s="26">
        <v>46062</v>
      </c>
    </row>
    <row r="562" spans="1:26" x14ac:dyDescent="0.3">
      <c r="A562" s="50">
        <v>46059.613703703704</v>
      </c>
      <c r="B562">
        <v>2.02602061440257E+18</v>
      </c>
      <c r="C562" t="s">
        <v>5232</v>
      </c>
      <c r="D562" t="s">
        <v>5233</v>
      </c>
      <c r="E562" t="s">
        <v>5233</v>
      </c>
      <c r="F562" t="s">
        <v>5234</v>
      </c>
      <c r="G562" t="s">
        <v>5233</v>
      </c>
      <c r="H562" t="s">
        <v>5233</v>
      </c>
      <c r="I562">
        <v>5716</v>
      </c>
      <c r="J562" t="s">
        <v>5235</v>
      </c>
      <c r="K562" t="s">
        <v>5235</v>
      </c>
      <c r="L562" t="s">
        <v>3801</v>
      </c>
      <c r="M562" t="s">
        <v>3802</v>
      </c>
      <c r="N562">
        <v>36362</v>
      </c>
      <c r="O562">
        <v>63000</v>
      </c>
      <c r="P562">
        <v>2</v>
      </c>
      <c r="Q562" t="s">
        <v>3803</v>
      </c>
      <c r="R562" t="s">
        <v>5236</v>
      </c>
      <c r="S562">
        <v>143790</v>
      </c>
      <c r="T562">
        <v>0</v>
      </c>
      <c r="U562" t="s">
        <v>2807</v>
      </c>
      <c r="W562" t="s">
        <v>5237</v>
      </c>
      <c r="X562">
        <v>126000</v>
      </c>
      <c r="Y562">
        <v>114545.45454545401</v>
      </c>
      <c r="Z562" s="26">
        <v>46062</v>
      </c>
    </row>
    <row r="563" spans="1:26" x14ac:dyDescent="0.3">
      <c r="A563" s="50">
        <v>46059.609849537039</v>
      </c>
      <c r="B563">
        <v>2.0260206143700401E+18</v>
      </c>
      <c r="C563" t="s">
        <v>5232</v>
      </c>
      <c r="D563" t="s">
        <v>5233</v>
      </c>
      <c r="E563" t="s">
        <v>5233</v>
      </c>
      <c r="F563" t="s">
        <v>5238</v>
      </c>
      <c r="G563" t="s">
        <v>5239</v>
      </c>
      <c r="H563" t="s">
        <v>5239</v>
      </c>
      <c r="I563">
        <v>31184</v>
      </c>
      <c r="J563" t="s">
        <v>5240</v>
      </c>
      <c r="K563" t="s">
        <v>5240</v>
      </c>
      <c r="L563" t="s">
        <v>3801</v>
      </c>
      <c r="M563" t="s">
        <v>3802</v>
      </c>
      <c r="N563">
        <v>36362</v>
      </c>
      <c r="O563">
        <v>63000</v>
      </c>
      <c r="P563">
        <v>2</v>
      </c>
      <c r="Q563" t="s">
        <v>3803</v>
      </c>
      <c r="S563">
        <v>143790</v>
      </c>
      <c r="T563">
        <v>0</v>
      </c>
      <c r="U563" t="s">
        <v>2807</v>
      </c>
      <c r="W563" t="s">
        <v>5241</v>
      </c>
      <c r="X563">
        <v>126000</v>
      </c>
      <c r="Y563">
        <v>114545.45454545401</v>
      </c>
      <c r="Z563" s="26">
        <v>46062</v>
      </c>
    </row>
    <row r="564" spans="1:26" x14ac:dyDescent="0.3">
      <c r="A564" s="50">
        <v>46059.581053240741</v>
      </c>
      <c r="B564">
        <v>2.02602061354271E+18</v>
      </c>
      <c r="C564" t="s">
        <v>5242</v>
      </c>
      <c r="D564" t="s">
        <v>5243</v>
      </c>
      <c r="E564" t="s">
        <v>5243</v>
      </c>
      <c r="F564" t="s">
        <v>5242</v>
      </c>
      <c r="G564" t="s">
        <v>5243</v>
      </c>
      <c r="H564" t="s">
        <v>5243</v>
      </c>
      <c r="I564">
        <v>22527</v>
      </c>
      <c r="J564" t="s">
        <v>5244</v>
      </c>
      <c r="K564" t="s">
        <v>5244</v>
      </c>
      <c r="L564" t="s">
        <v>3801</v>
      </c>
      <c r="M564" t="s">
        <v>3802</v>
      </c>
      <c r="N564">
        <v>18181</v>
      </c>
      <c r="O564">
        <v>63000</v>
      </c>
      <c r="P564">
        <v>1</v>
      </c>
      <c r="Q564" t="s">
        <v>3803</v>
      </c>
      <c r="R564" t="s">
        <v>5245</v>
      </c>
      <c r="S564">
        <v>143790</v>
      </c>
      <c r="T564">
        <v>0</v>
      </c>
      <c r="U564" t="s">
        <v>2807</v>
      </c>
      <c r="W564" t="s">
        <v>5246</v>
      </c>
      <c r="X564">
        <v>63000</v>
      </c>
      <c r="Y564">
        <v>57272.727272727199</v>
      </c>
      <c r="Z564" s="26">
        <v>46062</v>
      </c>
    </row>
    <row r="565" spans="1:26" x14ac:dyDescent="0.3">
      <c r="A565" s="50">
        <v>46063.334305555552</v>
      </c>
      <c r="B565">
        <v>2.02602100800559E+18</v>
      </c>
      <c r="C565" t="s">
        <v>5247</v>
      </c>
      <c r="D565" t="s">
        <v>5248</v>
      </c>
      <c r="E565" t="s">
        <v>5248</v>
      </c>
      <c r="F565" t="s">
        <v>5247</v>
      </c>
      <c r="G565" t="s">
        <v>5248</v>
      </c>
      <c r="H565" t="s">
        <v>5248</v>
      </c>
      <c r="I565">
        <v>4080</v>
      </c>
      <c r="J565" t="s">
        <v>5249</v>
      </c>
      <c r="K565" t="s">
        <v>5249</v>
      </c>
      <c r="L565" t="s">
        <v>2804</v>
      </c>
      <c r="M565" t="s">
        <v>2805</v>
      </c>
      <c r="N565">
        <v>54363</v>
      </c>
      <c r="O565">
        <v>45500</v>
      </c>
      <c r="P565">
        <v>1</v>
      </c>
      <c r="Q565">
        <v>0</v>
      </c>
      <c r="S565">
        <v>143790</v>
      </c>
      <c r="T565">
        <v>0</v>
      </c>
      <c r="U565" t="s">
        <v>2807</v>
      </c>
      <c r="W565" t="s">
        <v>5250</v>
      </c>
      <c r="X565">
        <v>45500</v>
      </c>
      <c r="Y565">
        <v>41363.636363636302</v>
      </c>
      <c r="Z565" s="26">
        <v>46063</v>
      </c>
    </row>
    <row r="566" spans="1:26" x14ac:dyDescent="0.3">
      <c r="A566" s="50">
        <v>46063.304131944446</v>
      </c>
      <c r="B566">
        <v>2.02602100717117E+18</v>
      </c>
      <c r="C566" t="s">
        <v>5251</v>
      </c>
      <c r="D566" t="s">
        <v>5252</v>
      </c>
      <c r="E566" t="s">
        <v>5252</v>
      </c>
      <c r="F566" t="s">
        <v>5251</v>
      </c>
      <c r="G566" t="s">
        <v>5252</v>
      </c>
      <c r="H566" t="s">
        <v>5252</v>
      </c>
      <c r="I566">
        <v>14600</v>
      </c>
      <c r="J566" t="s">
        <v>5253</v>
      </c>
      <c r="K566" t="s">
        <v>5253</v>
      </c>
      <c r="L566" t="s">
        <v>2804</v>
      </c>
      <c r="M566" t="s">
        <v>2805</v>
      </c>
      <c r="N566">
        <v>54363</v>
      </c>
      <c r="O566">
        <v>45500</v>
      </c>
      <c r="P566">
        <v>1</v>
      </c>
      <c r="Q566">
        <v>0</v>
      </c>
      <c r="R566" t="s">
        <v>4182</v>
      </c>
      <c r="S566">
        <v>143790</v>
      </c>
      <c r="T566">
        <v>0</v>
      </c>
      <c r="U566" t="s">
        <v>2807</v>
      </c>
      <c r="W566" t="s">
        <v>5254</v>
      </c>
      <c r="X566">
        <v>45500</v>
      </c>
      <c r="Y566">
        <v>41363.636363636302</v>
      </c>
      <c r="Z566" s="26">
        <v>46063</v>
      </c>
    </row>
    <row r="567" spans="1:26" x14ac:dyDescent="0.3">
      <c r="A567" s="50">
        <v>46063.296064814815</v>
      </c>
      <c r="B567">
        <v>2.0260210070557E+18</v>
      </c>
      <c r="C567" t="s">
        <v>5255</v>
      </c>
      <c r="D567" t="s">
        <v>5256</v>
      </c>
      <c r="E567" t="s">
        <v>5256</v>
      </c>
      <c r="F567" t="s">
        <v>5255</v>
      </c>
      <c r="G567" t="s">
        <v>5256</v>
      </c>
      <c r="H567" t="s">
        <v>5256</v>
      </c>
      <c r="I567">
        <v>10494</v>
      </c>
      <c r="J567" t="s">
        <v>5257</v>
      </c>
      <c r="K567" t="s">
        <v>5257</v>
      </c>
      <c r="L567" t="s">
        <v>2804</v>
      </c>
      <c r="M567" t="s">
        <v>2805</v>
      </c>
      <c r="N567">
        <v>54363</v>
      </c>
      <c r="O567">
        <v>45500</v>
      </c>
      <c r="P567">
        <v>1</v>
      </c>
      <c r="Q567">
        <v>0</v>
      </c>
      <c r="S567">
        <v>143790</v>
      </c>
      <c r="T567">
        <v>0</v>
      </c>
      <c r="U567" t="s">
        <v>2807</v>
      </c>
      <c r="W567" t="s">
        <v>5258</v>
      </c>
      <c r="X567">
        <v>45500</v>
      </c>
      <c r="Y567">
        <v>41363.636363636302</v>
      </c>
      <c r="Z567" s="26">
        <v>46063</v>
      </c>
    </row>
    <row r="568" spans="1:26" x14ac:dyDescent="0.3">
      <c r="A568" s="50">
        <v>46063.014965277776</v>
      </c>
      <c r="B568">
        <v>2.02602100020302E+18</v>
      </c>
      <c r="C568" t="s">
        <v>5259</v>
      </c>
      <c r="D568" t="s">
        <v>5260</v>
      </c>
      <c r="E568" t="s">
        <v>5260</v>
      </c>
      <c r="F568" t="s">
        <v>5259</v>
      </c>
      <c r="G568" t="s">
        <v>5260</v>
      </c>
      <c r="H568" t="s">
        <v>5260</v>
      </c>
      <c r="I568">
        <v>21097</v>
      </c>
      <c r="J568" t="s">
        <v>5261</v>
      </c>
      <c r="K568" t="s">
        <v>5261</v>
      </c>
      <c r="L568" t="s">
        <v>2804</v>
      </c>
      <c r="M568" t="s">
        <v>2805</v>
      </c>
      <c r="N568">
        <v>54363</v>
      </c>
      <c r="O568">
        <v>45500</v>
      </c>
      <c r="P568">
        <v>1</v>
      </c>
      <c r="Q568">
        <v>0</v>
      </c>
      <c r="R568" t="s">
        <v>5262</v>
      </c>
      <c r="S568">
        <v>143790</v>
      </c>
      <c r="T568">
        <v>0</v>
      </c>
      <c r="U568" t="s">
        <v>2807</v>
      </c>
      <c r="W568" t="s">
        <v>5263</v>
      </c>
      <c r="X568">
        <v>45500</v>
      </c>
      <c r="Y568">
        <v>41363.636363636302</v>
      </c>
      <c r="Z568" s="26">
        <v>46063</v>
      </c>
    </row>
    <row r="569" spans="1:26" x14ac:dyDescent="0.3">
      <c r="A569" s="50">
        <v>46062.868692129632</v>
      </c>
      <c r="B569">
        <v>2.0260209204757601E+18</v>
      </c>
      <c r="C569" t="s">
        <v>5264</v>
      </c>
      <c r="D569" t="s">
        <v>5265</v>
      </c>
      <c r="E569" t="s">
        <v>5265</v>
      </c>
      <c r="F569" t="s">
        <v>5266</v>
      </c>
      <c r="G569" t="s">
        <v>5267</v>
      </c>
      <c r="H569" t="s">
        <v>5267</v>
      </c>
      <c r="I569">
        <v>59423</v>
      </c>
      <c r="J569" t="s">
        <v>5268</v>
      </c>
      <c r="K569" t="s">
        <v>5268</v>
      </c>
      <c r="L569" t="s">
        <v>2804</v>
      </c>
      <c r="M569" t="s">
        <v>2805</v>
      </c>
      <c r="N569">
        <v>108726</v>
      </c>
      <c r="O569">
        <v>45500</v>
      </c>
      <c r="P569">
        <v>2</v>
      </c>
      <c r="Q569">
        <v>0</v>
      </c>
      <c r="R569" t="s">
        <v>5269</v>
      </c>
      <c r="S569">
        <v>143790</v>
      </c>
      <c r="T569">
        <v>0</v>
      </c>
      <c r="U569" t="s">
        <v>2807</v>
      </c>
      <c r="W569" t="s">
        <v>5270</v>
      </c>
      <c r="X569">
        <v>91000</v>
      </c>
      <c r="Y569">
        <v>82727.272727272706</v>
      </c>
      <c r="Z569" s="26">
        <v>46063</v>
      </c>
    </row>
    <row r="570" spans="1:26" x14ac:dyDescent="0.3">
      <c r="A570" s="50">
        <v>46062.804849537039</v>
      </c>
      <c r="B570">
        <v>2.0260209191840901E+18</v>
      </c>
      <c r="C570" t="s">
        <v>5271</v>
      </c>
      <c r="D570" t="s">
        <v>5272</v>
      </c>
      <c r="E570" t="s">
        <v>5272</v>
      </c>
      <c r="F570" t="s">
        <v>5271</v>
      </c>
      <c r="G570" t="s">
        <v>5272</v>
      </c>
      <c r="H570" t="s">
        <v>5272</v>
      </c>
      <c r="I570">
        <v>21976</v>
      </c>
      <c r="J570" t="s">
        <v>5273</v>
      </c>
      <c r="K570" t="s">
        <v>5273</v>
      </c>
      <c r="L570" t="s">
        <v>2804</v>
      </c>
      <c r="M570" t="s">
        <v>2805</v>
      </c>
      <c r="N570">
        <v>108726</v>
      </c>
      <c r="O570">
        <v>45500</v>
      </c>
      <c r="P570">
        <v>2</v>
      </c>
      <c r="Q570">
        <v>0</v>
      </c>
      <c r="S570">
        <v>143790</v>
      </c>
      <c r="T570">
        <v>0</v>
      </c>
      <c r="U570" t="s">
        <v>2807</v>
      </c>
      <c r="W570" t="s">
        <v>5274</v>
      </c>
      <c r="X570">
        <v>91000</v>
      </c>
      <c r="Y570">
        <v>82727.272727272706</v>
      </c>
      <c r="Z570" s="26">
        <v>46063</v>
      </c>
    </row>
    <row r="571" spans="1:26" x14ac:dyDescent="0.3">
      <c r="A571" s="50">
        <v>46062.804305555554</v>
      </c>
      <c r="B571">
        <v>2.0260209191610199E+18</v>
      </c>
      <c r="C571" t="s">
        <v>5275</v>
      </c>
      <c r="D571" t="s">
        <v>5276</v>
      </c>
      <c r="E571" t="s">
        <v>5276</v>
      </c>
      <c r="F571" t="s">
        <v>5275</v>
      </c>
      <c r="G571" t="s">
        <v>5276</v>
      </c>
      <c r="H571" t="s">
        <v>5276</v>
      </c>
      <c r="I571">
        <v>54944</v>
      </c>
      <c r="J571" t="s">
        <v>5277</v>
      </c>
      <c r="K571" t="s">
        <v>5277</v>
      </c>
      <c r="L571" t="s">
        <v>2804</v>
      </c>
      <c r="M571" t="s">
        <v>2805</v>
      </c>
      <c r="N571">
        <v>54363</v>
      </c>
      <c r="O571">
        <v>45500</v>
      </c>
      <c r="P571">
        <v>1</v>
      </c>
      <c r="Q571">
        <v>0</v>
      </c>
      <c r="R571" t="s">
        <v>5278</v>
      </c>
      <c r="S571">
        <v>143790</v>
      </c>
      <c r="T571">
        <v>0</v>
      </c>
      <c r="U571" t="s">
        <v>2807</v>
      </c>
      <c r="W571" t="s">
        <v>5279</v>
      </c>
      <c r="X571">
        <v>45500</v>
      </c>
      <c r="Y571">
        <v>41363.636363636302</v>
      </c>
      <c r="Z571" s="26">
        <v>46063</v>
      </c>
    </row>
    <row r="572" spans="1:26" x14ac:dyDescent="0.3">
      <c r="A572" s="50">
        <v>46062.802349537036</v>
      </c>
      <c r="B572">
        <v>2.0260209191336699E+18</v>
      </c>
      <c r="C572" t="s">
        <v>5280</v>
      </c>
      <c r="D572" t="s">
        <v>5281</v>
      </c>
      <c r="E572" t="s">
        <v>5281</v>
      </c>
      <c r="F572" t="s">
        <v>5280</v>
      </c>
      <c r="G572" t="s">
        <v>5281</v>
      </c>
      <c r="H572" t="s">
        <v>5281</v>
      </c>
      <c r="I572">
        <v>16543</v>
      </c>
      <c r="J572" t="s">
        <v>5282</v>
      </c>
      <c r="K572" t="s">
        <v>5282</v>
      </c>
      <c r="L572" t="s">
        <v>2804</v>
      </c>
      <c r="M572" t="s">
        <v>2805</v>
      </c>
      <c r="N572">
        <v>54363</v>
      </c>
      <c r="O572">
        <v>45500</v>
      </c>
      <c r="P572">
        <v>1</v>
      </c>
      <c r="Q572">
        <v>0</v>
      </c>
      <c r="S572">
        <v>143790</v>
      </c>
      <c r="T572">
        <v>0</v>
      </c>
      <c r="U572" t="s">
        <v>2807</v>
      </c>
      <c r="W572" t="s">
        <v>5283</v>
      </c>
      <c r="X572">
        <v>45500</v>
      </c>
      <c r="Y572">
        <v>41363.636363636302</v>
      </c>
      <c r="Z572" s="26">
        <v>46063</v>
      </c>
    </row>
    <row r="573" spans="1:26" x14ac:dyDescent="0.3">
      <c r="A573" s="50">
        <v>46062.794212962966</v>
      </c>
      <c r="B573">
        <v>2.0260209190055401E+18</v>
      </c>
      <c r="C573" t="s">
        <v>5284</v>
      </c>
      <c r="D573" t="s">
        <v>5285</v>
      </c>
      <c r="E573" t="s">
        <v>5285</v>
      </c>
      <c r="F573" t="s">
        <v>5284</v>
      </c>
      <c r="G573" t="s">
        <v>5285</v>
      </c>
      <c r="H573" t="s">
        <v>5285</v>
      </c>
      <c r="I573">
        <v>11764</v>
      </c>
      <c r="J573" t="s">
        <v>5286</v>
      </c>
      <c r="K573" t="s">
        <v>5286</v>
      </c>
      <c r="L573" t="s">
        <v>2804</v>
      </c>
      <c r="M573" t="s">
        <v>2805</v>
      </c>
      <c r="N573">
        <v>54363</v>
      </c>
      <c r="O573">
        <v>45500</v>
      </c>
      <c r="P573">
        <v>1</v>
      </c>
      <c r="Q573">
        <v>0</v>
      </c>
      <c r="R573" t="s">
        <v>3370</v>
      </c>
      <c r="S573">
        <v>143790</v>
      </c>
      <c r="T573">
        <v>0</v>
      </c>
      <c r="U573" t="s">
        <v>2807</v>
      </c>
      <c r="W573" t="s">
        <v>5287</v>
      </c>
      <c r="X573">
        <v>45500</v>
      </c>
      <c r="Y573">
        <v>41363.636363636302</v>
      </c>
      <c r="Z573" s="26">
        <v>46063</v>
      </c>
    </row>
    <row r="574" spans="1:26" x14ac:dyDescent="0.3">
      <c r="A574" s="50">
        <v>46062.7890625</v>
      </c>
      <c r="B574">
        <v>2.02602091852097E+18</v>
      </c>
      <c r="C574" t="s">
        <v>5288</v>
      </c>
      <c r="D574" t="s">
        <v>5289</v>
      </c>
      <c r="E574" t="s">
        <v>5289</v>
      </c>
      <c r="F574" t="s">
        <v>5288</v>
      </c>
      <c r="G574" t="s">
        <v>5289</v>
      </c>
      <c r="H574" t="s">
        <v>5289</v>
      </c>
      <c r="I574">
        <v>4743</v>
      </c>
      <c r="J574" t="s">
        <v>5290</v>
      </c>
      <c r="K574" t="s">
        <v>5290</v>
      </c>
      <c r="L574" t="s">
        <v>2804</v>
      </c>
      <c r="M574" t="s">
        <v>2805</v>
      </c>
      <c r="N574">
        <v>108726</v>
      </c>
      <c r="O574">
        <v>45500</v>
      </c>
      <c r="P574">
        <v>2</v>
      </c>
      <c r="Q574">
        <v>0</v>
      </c>
      <c r="S574">
        <v>143790</v>
      </c>
      <c r="T574">
        <v>0</v>
      </c>
      <c r="U574" t="s">
        <v>2807</v>
      </c>
      <c r="W574" t="s">
        <v>5291</v>
      </c>
      <c r="X574">
        <v>91000</v>
      </c>
      <c r="Y574">
        <v>82727.272727272706</v>
      </c>
      <c r="Z574" s="26">
        <v>46063</v>
      </c>
    </row>
    <row r="575" spans="1:26" x14ac:dyDescent="0.3">
      <c r="A575" s="50">
        <v>46062.785937499997</v>
      </c>
      <c r="B575">
        <v>2.02602091849039E+18</v>
      </c>
      <c r="C575" t="s">
        <v>5292</v>
      </c>
      <c r="D575" t="s">
        <v>5293</v>
      </c>
      <c r="E575" t="s">
        <v>5293</v>
      </c>
      <c r="F575" t="s">
        <v>5292</v>
      </c>
      <c r="G575" t="s">
        <v>5293</v>
      </c>
      <c r="H575" t="s">
        <v>5293</v>
      </c>
      <c r="I575">
        <v>4162</v>
      </c>
      <c r="J575" t="s">
        <v>5294</v>
      </c>
      <c r="K575" t="s">
        <v>5294</v>
      </c>
      <c r="L575" t="s">
        <v>2804</v>
      </c>
      <c r="M575" t="s">
        <v>2805</v>
      </c>
      <c r="N575">
        <v>54363</v>
      </c>
      <c r="O575">
        <v>45500</v>
      </c>
      <c r="P575">
        <v>1</v>
      </c>
      <c r="Q575">
        <v>0</v>
      </c>
      <c r="S575">
        <v>143790</v>
      </c>
      <c r="T575">
        <v>0</v>
      </c>
      <c r="U575" t="s">
        <v>2807</v>
      </c>
      <c r="W575" t="s">
        <v>5295</v>
      </c>
      <c r="X575">
        <v>45500</v>
      </c>
      <c r="Y575">
        <v>41363.636363636302</v>
      </c>
      <c r="Z575" s="26">
        <v>46063</v>
      </c>
    </row>
    <row r="576" spans="1:26" x14ac:dyDescent="0.3">
      <c r="A576" s="50">
        <v>46062.779085648152</v>
      </c>
      <c r="B576">
        <v>2.0260209183941E+18</v>
      </c>
      <c r="C576" t="s">
        <v>5296</v>
      </c>
      <c r="D576" t="s">
        <v>5297</v>
      </c>
      <c r="E576" t="s">
        <v>5297</v>
      </c>
      <c r="F576" t="s">
        <v>5296</v>
      </c>
      <c r="G576" t="s">
        <v>5297</v>
      </c>
      <c r="H576" t="s">
        <v>5297</v>
      </c>
      <c r="I576">
        <v>50959</v>
      </c>
      <c r="J576" t="s">
        <v>5298</v>
      </c>
      <c r="K576" t="s">
        <v>5298</v>
      </c>
      <c r="L576" t="s">
        <v>2804</v>
      </c>
      <c r="M576" t="s">
        <v>2805</v>
      </c>
      <c r="N576">
        <v>54363</v>
      </c>
      <c r="O576">
        <v>45500</v>
      </c>
      <c r="P576">
        <v>1</v>
      </c>
      <c r="Q576">
        <v>0</v>
      </c>
      <c r="R576" t="s">
        <v>5299</v>
      </c>
      <c r="S576">
        <v>143790</v>
      </c>
      <c r="T576">
        <v>0</v>
      </c>
      <c r="U576" t="s">
        <v>2807</v>
      </c>
      <c r="W576" t="s">
        <v>5300</v>
      </c>
      <c r="X576">
        <v>45500</v>
      </c>
      <c r="Y576">
        <v>41363.636363636302</v>
      </c>
      <c r="Z576" s="26">
        <v>46063</v>
      </c>
    </row>
    <row r="577" spans="1:26" x14ac:dyDescent="0.3">
      <c r="A577" s="50">
        <v>46062.763738425929</v>
      </c>
      <c r="B577">
        <v>2.02602091813166E+18</v>
      </c>
      <c r="C577" t="s">
        <v>5301</v>
      </c>
      <c r="D577" t="s">
        <v>5302</v>
      </c>
      <c r="E577" t="s">
        <v>5302</v>
      </c>
      <c r="F577" t="s">
        <v>5303</v>
      </c>
      <c r="G577" t="s">
        <v>5304</v>
      </c>
      <c r="H577" t="s">
        <v>5304</v>
      </c>
      <c r="I577">
        <v>30130</v>
      </c>
      <c r="J577" t="s">
        <v>5305</v>
      </c>
      <c r="K577" t="s">
        <v>5305</v>
      </c>
      <c r="L577" t="s">
        <v>2804</v>
      </c>
      <c r="M577" t="s">
        <v>2805</v>
      </c>
      <c r="N577">
        <v>54363</v>
      </c>
      <c r="O577">
        <v>45500</v>
      </c>
      <c r="P577">
        <v>1</v>
      </c>
      <c r="Q577">
        <v>0</v>
      </c>
      <c r="S577">
        <v>143790</v>
      </c>
      <c r="T577">
        <v>0</v>
      </c>
      <c r="U577" t="s">
        <v>2807</v>
      </c>
      <c r="W577" t="s">
        <v>5306</v>
      </c>
      <c r="X577">
        <v>45500</v>
      </c>
      <c r="Y577">
        <v>41363.636363636302</v>
      </c>
      <c r="Z577" s="26">
        <v>46063</v>
      </c>
    </row>
    <row r="578" spans="1:26" x14ac:dyDescent="0.3">
      <c r="A578" s="50">
        <v>46062.758379629631</v>
      </c>
      <c r="B578">
        <v>2.0260209180852201E+18</v>
      </c>
      <c r="C578" t="s">
        <v>5307</v>
      </c>
      <c r="D578" t="s">
        <v>5308</v>
      </c>
      <c r="E578" t="s">
        <v>5308</v>
      </c>
      <c r="F578" t="s">
        <v>5307</v>
      </c>
      <c r="G578" t="s">
        <v>5308</v>
      </c>
      <c r="H578" t="s">
        <v>5308</v>
      </c>
      <c r="I578">
        <v>14102</v>
      </c>
      <c r="J578" t="s">
        <v>5309</v>
      </c>
      <c r="K578" t="s">
        <v>5309</v>
      </c>
      <c r="L578" t="s">
        <v>2804</v>
      </c>
      <c r="M578" t="s">
        <v>2805</v>
      </c>
      <c r="N578">
        <v>54363</v>
      </c>
      <c r="O578">
        <v>45500</v>
      </c>
      <c r="P578">
        <v>1</v>
      </c>
      <c r="Q578">
        <v>0</v>
      </c>
      <c r="S578">
        <v>143790</v>
      </c>
      <c r="T578">
        <v>0</v>
      </c>
      <c r="U578" t="s">
        <v>2807</v>
      </c>
      <c r="W578" t="s">
        <v>5310</v>
      </c>
      <c r="X578">
        <v>45500</v>
      </c>
      <c r="Y578">
        <v>41363.636363636302</v>
      </c>
      <c r="Z578" s="26">
        <v>46063</v>
      </c>
    </row>
    <row r="579" spans="1:26" x14ac:dyDescent="0.3">
      <c r="A579" s="50">
        <v>46062.753113425926</v>
      </c>
      <c r="B579">
        <v>2.0260209180133801E+18</v>
      </c>
      <c r="C579" t="s">
        <v>5311</v>
      </c>
      <c r="D579" t="s">
        <v>5312</v>
      </c>
      <c r="E579" t="s">
        <v>5312</v>
      </c>
      <c r="F579" t="s">
        <v>5311</v>
      </c>
      <c r="G579" t="s">
        <v>5312</v>
      </c>
      <c r="H579" t="s">
        <v>5312</v>
      </c>
      <c r="I579">
        <v>10311</v>
      </c>
      <c r="J579" t="s">
        <v>5313</v>
      </c>
      <c r="K579" t="s">
        <v>5313</v>
      </c>
      <c r="L579" t="s">
        <v>2804</v>
      </c>
      <c r="M579" t="s">
        <v>2805</v>
      </c>
      <c r="N579">
        <v>54363</v>
      </c>
      <c r="O579">
        <v>45500</v>
      </c>
      <c r="P579">
        <v>1</v>
      </c>
      <c r="Q579">
        <v>0</v>
      </c>
      <c r="S579">
        <v>143790</v>
      </c>
      <c r="T579">
        <v>0</v>
      </c>
      <c r="U579" t="s">
        <v>2807</v>
      </c>
      <c r="W579" t="s">
        <v>5314</v>
      </c>
      <c r="X579">
        <v>45500</v>
      </c>
      <c r="Y579">
        <v>41363.636363636302</v>
      </c>
      <c r="Z579" s="26">
        <v>46063</v>
      </c>
    </row>
    <row r="580" spans="1:26" x14ac:dyDescent="0.3">
      <c r="A580" s="50">
        <v>46062.511516203704</v>
      </c>
      <c r="B580">
        <v>2.02602091214286E+18</v>
      </c>
      <c r="C580" t="s">
        <v>5315</v>
      </c>
      <c r="D580" t="s">
        <v>5316</v>
      </c>
      <c r="E580" t="s">
        <v>5316</v>
      </c>
      <c r="F580" t="s">
        <v>5317</v>
      </c>
      <c r="G580" t="s">
        <v>5318</v>
      </c>
      <c r="H580" t="s">
        <v>5318</v>
      </c>
      <c r="I580">
        <v>7439</v>
      </c>
      <c r="J580" t="s">
        <v>5319</v>
      </c>
      <c r="K580" t="s">
        <v>5319</v>
      </c>
      <c r="L580" t="s">
        <v>2804</v>
      </c>
      <c r="M580" t="s">
        <v>2805</v>
      </c>
      <c r="N580">
        <v>54363</v>
      </c>
      <c r="O580">
        <v>45500</v>
      </c>
      <c r="P580">
        <v>1</v>
      </c>
      <c r="Q580">
        <v>0</v>
      </c>
      <c r="S580">
        <v>143790</v>
      </c>
      <c r="T580">
        <v>0</v>
      </c>
      <c r="U580" t="s">
        <v>2807</v>
      </c>
      <c r="W580" t="s">
        <v>5320</v>
      </c>
      <c r="X580">
        <v>45500</v>
      </c>
      <c r="Y580">
        <v>41363.636363636302</v>
      </c>
      <c r="Z580" s="26">
        <v>46063</v>
      </c>
    </row>
    <row r="581" spans="1:26" x14ac:dyDescent="0.3">
      <c r="A581" s="50">
        <v>46062.505891203706</v>
      </c>
      <c r="B581">
        <v>2.02602091204319E+18</v>
      </c>
      <c r="C581" t="s">
        <v>5315</v>
      </c>
      <c r="D581" t="s">
        <v>5316</v>
      </c>
      <c r="E581" t="s">
        <v>5316</v>
      </c>
      <c r="F581" t="s">
        <v>5321</v>
      </c>
      <c r="G581" t="s">
        <v>5316</v>
      </c>
      <c r="H581" t="s">
        <v>5316</v>
      </c>
      <c r="I581">
        <v>4148</v>
      </c>
      <c r="J581" t="s">
        <v>5322</v>
      </c>
      <c r="K581" t="s">
        <v>5322</v>
      </c>
      <c r="L581" t="s">
        <v>2804</v>
      </c>
      <c r="M581" t="s">
        <v>2805</v>
      </c>
      <c r="N581">
        <v>54363</v>
      </c>
      <c r="O581">
        <v>45500</v>
      </c>
      <c r="P581">
        <v>1</v>
      </c>
      <c r="Q581">
        <v>0</v>
      </c>
      <c r="S581">
        <v>143790</v>
      </c>
      <c r="T581">
        <v>0</v>
      </c>
      <c r="U581" t="s">
        <v>2807</v>
      </c>
      <c r="W581" t="s">
        <v>5323</v>
      </c>
      <c r="X581">
        <v>45500</v>
      </c>
      <c r="Y581">
        <v>41363.636363636302</v>
      </c>
      <c r="Z581" s="26">
        <v>46063</v>
      </c>
    </row>
    <row r="582" spans="1:26" x14ac:dyDescent="0.3">
      <c r="A582" s="50">
        <v>46062.482592592591</v>
      </c>
      <c r="B582">
        <v>2.0260209113237499E+18</v>
      </c>
      <c r="C582" t="s">
        <v>5324</v>
      </c>
      <c r="D582" t="s">
        <v>5325</v>
      </c>
      <c r="E582" t="s">
        <v>5325</v>
      </c>
      <c r="F582" t="s">
        <v>5324</v>
      </c>
      <c r="G582" t="s">
        <v>5325</v>
      </c>
      <c r="H582" t="s">
        <v>5325</v>
      </c>
      <c r="I582">
        <v>53283</v>
      </c>
      <c r="J582" t="s">
        <v>5326</v>
      </c>
      <c r="K582" t="s">
        <v>5326</v>
      </c>
      <c r="L582" t="s">
        <v>2804</v>
      </c>
      <c r="M582" t="s">
        <v>2805</v>
      </c>
      <c r="N582">
        <v>108726</v>
      </c>
      <c r="O582">
        <v>45500</v>
      </c>
      <c r="P582">
        <v>2</v>
      </c>
      <c r="Q582">
        <v>0</v>
      </c>
      <c r="S582">
        <v>143790</v>
      </c>
      <c r="T582">
        <v>0</v>
      </c>
      <c r="U582" t="s">
        <v>2807</v>
      </c>
      <c r="W582" t="s">
        <v>5327</v>
      </c>
      <c r="X582">
        <v>91000</v>
      </c>
      <c r="Y582">
        <v>82727.272727272706</v>
      </c>
      <c r="Z582" s="26">
        <v>46063</v>
      </c>
    </row>
    <row r="583" spans="1:26" x14ac:dyDescent="0.3">
      <c r="A583" s="50">
        <v>46062.472939814812</v>
      </c>
      <c r="B583">
        <v>2.0260209112015601E+18</v>
      </c>
      <c r="C583" t="s">
        <v>5328</v>
      </c>
      <c r="D583" t="s">
        <v>5329</v>
      </c>
      <c r="E583" t="s">
        <v>5329</v>
      </c>
      <c r="F583" t="s">
        <v>5328</v>
      </c>
      <c r="G583" t="s">
        <v>5329</v>
      </c>
      <c r="H583" t="s">
        <v>5329</v>
      </c>
      <c r="I583">
        <v>4164</v>
      </c>
      <c r="J583" t="s">
        <v>5330</v>
      </c>
      <c r="K583" t="s">
        <v>5330</v>
      </c>
      <c r="L583" t="s">
        <v>2804</v>
      </c>
      <c r="M583" t="s">
        <v>2805</v>
      </c>
      <c r="N583">
        <v>54363</v>
      </c>
      <c r="O583">
        <v>45500</v>
      </c>
      <c r="P583">
        <v>1</v>
      </c>
      <c r="Q583">
        <v>0</v>
      </c>
      <c r="S583">
        <v>143790</v>
      </c>
      <c r="T583">
        <v>0</v>
      </c>
      <c r="U583" t="s">
        <v>2807</v>
      </c>
      <c r="W583" t="s">
        <v>5331</v>
      </c>
      <c r="X583">
        <v>45500</v>
      </c>
      <c r="Y583">
        <v>41363.636363636302</v>
      </c>
      <c r="Z583" s="26">
        <v>46063</v>
      </c>
    </row>
    <row r="584" spans="1:26" x14ac:dyDescent="0.3">
      <c r="A584" s="50">
        <v>46062.465995370374</v>
      </c>
      <c r="B584">
        <v>2.0260209110911201E+18</v>
      </c>
      <c r="C584" t="s">
        <v>5332</v>
      </c>
      <c r="D584" t="s">
        <v>5333</v>
      </c>
      <c r="E584" t="s">
        <v>5333</v>
      </c>
      <c r="F584" t="s">
        <v>5332</v>
      </c>
      <c r="G584" t="s">
        <v>5333</v>
      </c>
      <c r="H584" t="s">
        <v>5333</v>
      </c>
      <c r="I584">
        <v>25257</v>
      </c>
      <c r="J584" t="s">
        <v>5334</v>
      </c>
      <c r="K584" t="s">
        <v>5334</v>
      </c>
      <c r="L584" t="s">
        <v>2804</v>
      </c>
      <c r="M584" t="s">
        <v>2805</v>
      </c>
      <c r="N584">
        <v>54363</v>
      </c>
      <c r="O584">
        <v>45500</v>
      </c>
      <c r="P584">
        <v>1</v>
      </c>
      <c r="Q584">
        <v>0</v>
      </c>
      <c r="R584" t="s">
        <v>5335</v>
      </c>
      <c r="S584">
        <v>143790</v>
      </c>
      <c r="T584">
        <v>0</v>
      </c>
      <c r="U584" t="s">
        <v>2807</v>
      </c>
      <c r="W584" t="s">
        <v>5336</v>
      </c>
      <c r="X584">
        <v>45500</v>
      </c>
      <c r="Y584">
        <v>41363.636363636302</v>
      </c>
      <c r="Z584" s="26">
        <v>46063</v>
      </c>
    </row>
    <row r="585" spans="1:26" x14ac:dyDescent="0.3">
      <c r="A585" s="50">
        <v>46062.455034722225</v>
      </c>
      <c r="B585">
        <v>2.02602091054205E+18</v>
      </c>
      <c r="C585" t="s">
        <v>5337</v>
      </c>
      <c r="D585" t="s">
        <v>5338</v>
      </c>
      <c r="E585" t="s">
        <v>5338</v>
      </c>
      <c r="F585" t="s">
        <v>5339</v>
      </c>
      <c r="G585" t="s">
        <v>5338</v>
      </c>
      <c r="H585" t="s">
        <v>5338</v>
      </c>
      <c r="I585">
        <v>46317</v>
      </c>
      <c r="J585" t="s">
        <v>5340</v>
      </c>
      <c r="K585" t="s">
        <v>5340</v>
      </c>
      <c r="L585" t="s">
        <v>2804</v>
      </c>
      <c r="M585" t="s">
        <v>2805</v>
      </c>
      <c r="N585">
        <v>54363</v>
      </c>
      <c r="O585">
        <v>45500</v>
      </c>
      <c r="P585">
        <v>1</v>
      </c>
      <c r="Q585">
        <v>0</v>
      </c>
      <c r="R585" t="s">
        <v>5341</v>
      </c>
      <c r="S585">
        <v>143790</v>
      </c>
      <c r="T585">
        <v>0</v>
      </c>
      <c r="U585" t="s">
        <v>2807</v>
      </c>
      <c r="W585" t="s">
        <v>5342</v>
      </c>
      <c r="X585">
        <v>45500</v>
      </c>
      <c r="Y585">
        <v>41363.636363636302</v>
      </c>
      <c r="Z585" s="26">
        <v>46063</v>
      </c>
    </row>
    <row r="586" spans="1:26" x14ac:dyDescent="0.3">
      <c r="A586" s="50">
        <v>46062.436296296299</v>
      </c>
      <c r="B586">
        <v>2.02602091027362E+18</v>
      </c>
      <c r="C586" t="s">
        <v>5343</v>
      </c>
      <c r="D586" t="s">
        <v>5344</v>
      </c>
      <c r="E586" t="s">
        <v>5344</v>
      </c>
      <c r="F586" t="s">
        <v>5343</v>
      </c>
      <c r="G586" t="s">
        <v>5344</v>
      </c>
      <c r="H586" t="s">
        <v>5344</v>
      </c>
      <c r="I586">
        <v>15823</v>
      </c>
      <c r="J586" t="s">
        <v>5345</v>
      </c>
      <c r="K586" t="s">
        <v>5345</v>
      </c>
      <c r="L586" t="s">
        <v>2804</v>
      </c>
      <c r="M586" t="s">
        <v>2805</v>
      </c>
      <c r="N586">
        <v>54363</v>
      </c>
      <c r="O586">
        <v>45500</v>
      </c>
      <c r="P586">
        <v>1</v>
      </c>
      <c r="Q586">
        <v>0</v>
      </c>
      <c r="S586">
        <v>143790</v>
      </c>
      <c r="T586">
        <v>0</v>
      </c>
      <c r="U586" t="s">
        <v>2807</v>
      </c>
      <c r="W586" t="s">
        <v>5346</v>
      </c>
      <c r="X586">
        <v>45500</v>
      </c>
      <c r="Y586">
        <v>41363.636363636302</v>
      </c>
      <c r="Z586" s="26">
        <v>46063</v>
      </c>
    </row>
    <row r="587" spans="1:26" x14ac:dyDescent="0.3">
      <c r="A587" s="50">
        <v>46061.604745370372</v>
      </c>
      <c r="B587">
        <v>2.02602081428446E+18</v>
      </c>
      <c r="C587" t="s">
        <v>4577</v>
      </c>
      <c r="D587" t="s">
        <v>4578</v>
      </c>
      <c r="E587" t="s">
        <v>4578</v>
      </c>
      <c r="F587" t="s">
        <v>5347</v>
      </c>
      <c r="G587" t="s">
        <v>5348</v>
      </c>
      <c r="H587" t="s">
        <v>5348</v>
      </c>
      <c r="I587">
        <v>41001</v>
      </c>
      <c r="J587" t="s">
        <v>5349</v>
      </c>
      <c r="K587" t="s">
        <v>5349</v>
      </c>
      <c r="L587" t="s">
        <v>2804</v>
      </c>
      <c r="M587" t="s">
        <v>2805</v>
      </c>
      <c r="N587">
        <v>54363</v>
      </c>
      <c r="O587">
        <v>45500</v>
      </c>
      <c r="P587">
        <v>1</v>
      </c>
      <c r="Q587">
        <v>0</v>
      </c>
      <c r="S587">
        <v>143790</v>
      </c>
      <c r="T587">
        <v>0</v>
      </c>
      <c r="U587" t="s">
        <v>2807</v>
      </c>
      <c r="W587" t="s">
        <v>5350</v>
      </c>
      <c r="X587">
        <v>45500</v>
      </c>
      <c r="Y587">
        <v>41363.636363636302</v>
      </c>
      <c r="Z587" s="26">
        <v>46063</v>
      </c>
    </row>
    <row r="588" spans="1:26" x14ac:dyDescent="0.3">
      <c r="A588" s="50">
        <v>46061.567719907405</v>
      </c>
      <c r="B588">
        <v>2.0260208133629E+18</v>
      </c>
      <c r="C588" t="s">
        <v>4577</v>
      </c>
      <c r="D588" t="s">
        <v>4578</v>
      </c>
      <c r="E588" t="s">
        <v>4578</v>
      </c>
      <c r="F588" t="s">
        <v>5351</v>
      </c>
      <c r="G588" t="s">
        <v>5352</v>
      </c>
      <c r="H588" t="s">
        <v>5352</v>
      </c>
      <c r="I588">
        <v>6002</v>
      </c>
      <c r="J588" t="s">
        <v>5353</v>
      </c>
      <c r="K588" t="s">
        <v>5353</v>
      </c>
      <c r="L588" t="s">
        <v>2804</v>
      </c>
      <c r="M588" t="s">
        <v>2805</v>
      </c>
      <c r="N588">
        <v>54363</v>
      </c>
      <c r="O588">
        <v>45500</v>
      </c>
      <c r="P588">
        <v>1</v>
      </c>
      <c r="Q588">
        <v>0</v>
      </c>
      <c r="S588">
        <v>143790</v>
      </c>
      <c r="T588">
        <v>0</v>
      </c>
      <c r="U588" t="s">
        <v>2807</v>
      </c>
      <c r="W588" t="s">
        <v>5354</v>
      </c>
      <c r="X588">
        <v>45500</v>
      </c>
      <c r="Y588">
        <v>41363.636363636302</v>
      </c>
      <c r="Z588" s="26">
        <v>46063</v>
      </c>
    </row>
    <row r="589" spans="1:26" x14ac:dyDescent="0.3">
      <c r="A589" s="50">
        <v>46060.621157407404</v>
      </c>
      <c r="B589">
        <v>2.02602071452271E+18</v>
      </c>
      <c r="C589" t="s">
        <v>5355</v>
      </c>
      <c r="D589" t="s">
        <v>5356</v>
      </c>
      <c r="E589" t="s">
        <v>5356</v>
      </c>
      <c r="F589" t="s">
        <v>5357</v>
      </c>
      <c r="G589" t="s">
        <v>5358</v>
      </c>
      <c r="H589" t="s">
        <v>5358</v>
      </c>
      <c r="I589">
        <v>17917</v>
      </c>
      <c r="J589" t="s">
        <v>5359</v>
      </c>
      <c r="K589" t="s">
        <v>5359</v>
      </c>
      <c r="L589" t="s">
        <v>2804</v>
      </c>
      <c r="M589" t="s">
        <v>2805</v>
      </c>
      <c r="N589">
        <v>54363</v>
      </c>
      <c r="O589">
        <v>45500</v>
      </c>
      <c r="P589">
        <v>1</v>
      </c>
      <c r="Q589">
        <v>0</v>
      </c>
      <c r="S589">
        <v>143790</v>
      </c>
      <c r="T589">
        <v>0</v>
      </c>
      <c r="U589" t="s">
        <v>2807</v>
      </c>
      <c r="W589" t="s">
        <v>5360</v>
      </c>
      <c r="X589">
        <v>45500</v>
      </c>
      <c r="Y589">
        <v>41363.636363636302</v>
      </c>
      <c r="Z589" s="26">
        <v>46063</v>
      </c>
    </row>
    <row r="590" spans="1:26" x14ac:dyDescent="0.3">
      <c r="A590" s="50">
        <v>46060.568865740737</v>
      </c>
      <c r="B590">
        <v>2.0260207133730601E+18</v>
      </c>
      <c r="C590" t="s">
        <v>4717</v>
      </c>
      <c r="D590" t="s">
        <v>4718</v>
      </c>
      <c r="E590" t="s">
        <v>4718</v>
      </c>
      <c r="F590" t="s">
        <v>5361</v>
      </c>
      <c r="G590" t="s">
        <v>5362</v>
      </c>
      <c r="H590" t="s">
        <v>5362</v>
      </c>
      <c r="I590">
        <v>51320</v>
      </c>
      <c r="J590" t="s">
        <v>5363</v>
      </c>
      <c r="K590" t="s">
        <v>5363</v>
      </c>
      <c r="L590" t="s">
        <v>2804</v>
      </c>
      <c r="M590" t="s">
        <v>2805</v>
      </c>
      <c r="N590">
        <v>108726</v>
      </c>
      <c r="O590">
        <v>45500</v>
      </c>
      <c r="P590">
        <v>2</v>
      </c>
      <c r="Q590">
        <v>0</v>
      </c>
      <c r="S590">
        <v>143790</v>
      </c>
      <c r="T590">
        <v>0</v>
      </c>
      <c r="U590" t="s">
        <v>2807</v>
      </c>
      <c r="W590" t="s">
        <v>5364</v>
      </c>
      <c r="X590">
        <v>91000</v>
      </c>
      <c r="Y590">
        <v>82727.272727272706</v>
      </c>
      <c r="Z590" s="26">
        <v>46063</v>
      </c>
    </row>
    <row r="591" spans="1:26" x14ac:dyDescent="0.3">
      <c r="A591" s="50">
        <v>46060.390960648147</v>
      </c>
      <c r="B591">
        <v>2.02602070922176E+18</v>
      </c>
      <c r="C591" t="s">
        <v>5365</v>
      </c>
      <c r="D591" t="s">
        <v>5366</v>
      </c>
      <c r="E591" t="s">
        <v>5366</v>
      </c>
      <c r="F591" t="s">
        <v>5367</v>
      </c>
      <c r="G591" t="s">
        <v>5368</v>
      </c>
      <c r="H591" t="s">
        <v>5368</v>
      </c>
      <c r="I591">
        <v>15011</v>
      </c>
      <c r="J591" t="s">
        <v>5369</v>
      </c>
      <c r="K591" t="s">
        <v>5369</v>
      </c>
      <c r="L591" t="s">
        <v>2804</v>
      </c>
      <c r="M591" t="s">
        <v>2805</v>
      </c>
      <c r="N591">
        <v>54363</v>
      </c>
      <c r="O591">
        <v>45500</v>
      </c>
      <c r="P591">
        <v>1</v>
      </c>
      <c r="Q591">
        <v>0</v>
      </c>
      <c r="S591">
        <v>143790</v>
      </c>
      <c r="T591">
        <v>0</v>
      </c>
      <c r="U591" t="s">
        <v>2807</v>
      </c>
      <c r="W591" t="s">
        <v>5370</v>
      </c>
      <c r="X591">
        <v>45500</v>
      </c>
      <c r="Y591">
        <v>41363.636363636302</v>
      </c>
      <c r="Z591" s="26">
        <v>46063</v>
      </c>
    </row>
    <row r="592" spans="1:26" x14ac:dyDescent="0.3">
      <c r="A592" s="50">
        <v>46059.168541666666</v>
      </c>
      <c r="B592">
        <v>2.02602060402002E+18</v>
      </c>
      <c r="C592" t="s">
        <v>5109</v>
      </c>
      <c r="D592" t="s">
        <v>5110</v>
      </c>
      <c r="E592" t="s">
        <v>5110</v>
      </c>
      <c r="F592" t="s">
        <v>5371</v>
      </c>
      <c r="H592" t="s">
        <v>5372</v>
      </c>
      <c r="I592">
        <v>31963</v>
      </c>
      <c r="J592" t="s">
        <v>5373</v>
      </c>
      <c r="K592" t="s">
        <v>5374</v>
      </c>
      <c r="L592" t="s">
        <v>2804</v>
      </c>
      <c r="M592" t="s">
        <v>2805</v>
      </c>
      <c r="N592">
        <v>54363</v>
      </c>
      <c r="O592">
        <v>45500</v>
      </c>
      <c r="P592">
        <v>1</v>
      </c>
      <c r="Q592">
        <v>0</v>
      </c>
      <c r="S592">
        <v>143790</v>
      </c>
      <c r="T592">
        <v>0</v>
      </c>
      <c r="U592" t="s">
        <v>2807</v>
      </c>
      <c r="W592" t="s">
        <v>5375</v>
      </c>
      <c r="X592">
        <v>45500</v>
      </c>
      <c r="Y592">
        <v>41363.636363636302</v>
      </c>
      <c r="Z592" s="26">
        <v>46063</v>
      </c>
    </row>
    <row r="593" spans="1:26" x14ac:dyDescent="0.3">
      <c r="A593" s="50">
        <v>46059.165752314817</v>
      </c>
      <c r="B593">
        <v>2.02602060328353E+18</v>
      </c>
      <c r="C593" t="s">
        <v>5109</v>
      </c>
      <c r="D593" t="s">
        <v>5110</v>
      </c>
      <c r="E593" t="s">
        <v>5110</v>
      </c>
      <c r="F593" t="s">
        <v>5115</v>
      </c>
      <c r="H593" t="s">
        <v>5376</v>
      </c>
      <c r="I593">
        <v>14019</v>
      </c>
      <c r="J593" t="s">
        <v>5377</v>
      </c>
      <c r="K593" t="s">
        <v>5378</v>
      </c>
      <c r="L593" t="s">
        <v>2804</v>
      </c>
      <c r="M593" t="s">
        <v>2805</v>
      </c>
      <c r="N593">
        <v>54363</v>
      </c>
      <c r="O593">
        <v>45500</v>
      </c>
      <c r="P593">
        <v>1</v>
      </c>
      <c r="Q593">
        <v>0</v>
      </c>
      <c r="S593">
        <v>143790</v>
      </c>
      <c r="T593">
        <v>0</v>
      </c>
      <c r="U593" t="s">
        <v>2807</v>
      </c>
      <c r="W593" t="s">
        <v>5379</v>
      </c>
      <c r="X593">
        <v>45500</v>
      </c>
      <c r="Y593">
        <v>41363.636363636302</v>
      </c>
      <c r="Z593" s="26">
        <v>46063</v>
      </c>
    </row>
    <row r="594" spans="1:26" x14ac:dyDescent="0.3">
      <c r="A594" s="50">
        <v>46058.405613425923</v>
      </c>
      <c r="B594">
        <v>2.02602050941566E+18</v>
      </c>
      <c r="C594" t="s">
        <v>5380</v>
      </c>
      <c r="D594" t="s">
        <v>5381</v>
      </c>
      <c r="E594" t="s">
        <v>5381</v>
      </c>
      <c r="F594" t="s">
        <v>5382</v>
      </c>
      <c r="H594" t="s">
        <v>5383</v>
      </c>
      <c r="I594">
        <v>48113</v>
      </c>
      <c r="J594" t="s">
        <v>5384</v>
      </c>
      <c r="L594" t="s">
        <v>2804</v>
      </c>
      <c r="M594" t="s">
        <v>2805</v>
      </c>
      <c r="N594">
        <v>54363</v>
      </c>
      <c r="O594">
        <v>45500</v>
      </c>
      <c r="P594">
        <v>1</v>
      </c>
      <c r="Q594">
        <v>0</v>
      </c>
      <c r="S594">
        <v>143790</v>
      </c>
      <c r="T594">
        <v>0</v>
      </c>
      <c r="U594" t="s">
        <v>2807</v>
      </c>
      <c r="W594" t="s">
        <v>5385</v>
      </c>
      <c r="X594">
        <v>45500</v>
      </c>
      <c r="Y594">
        <v>41363.636363636302</v>
      </c>
      <c r="Z594" s="26">
        <v>46063</v>
      </c>
    </row>
    <row r="595" spans="1:26" x14ac:dyDescent="0.3">
      <c r="A595" s="50">
        <v>46063.458425925928</v>
      </c>
      <c r="B595">
        <v>2.02602101100081E+18</v>
      </c>
      <c r="C595" t="s">
        <v>5386</v>
      </c>
      <c r="E595" t="s">
        <v>5387</v>
      </c>
      <c r="F595" t="s">
        <v>5386</v>
      </c>
      <c r="H595" t="s">
        <v>5388</v>
      </c>
      <c r="I595">
        <v>5767</v>
      </c>
      <c r="J595" t="s">
        <v>5389</v>
      </c>
      <c r="K595" t="s">
        <v>5390</v>
      </c>
      <c r="L595" t="s">
        <v>2804</v>
      </c>
      <c r="M595" t="s">
        <v>2805</v>
      </c>
      <c r="N595">
        <v>6454</v>
      </c>
      <c r="O595">
        <v>45500</v>
      </c>
      <c r="P595">
        <v>1</v>
      </c>
      <c r="Q595">
        <v>0</v>
      </c>
      <c r="S595">
        <v>143812</v>
      </c>
      <c r="T595">
        <v>0</v>
      </c>
      <c r="U595" t="s">
        <v>5128</v>
      </c>
      <c r="W595" t="s">
        <v>5391</v>
      </c>
      <c r="X595">
        <v>45500</v>
      </c>
      <c r="Y595">
        <v>41363.636363636302</v>
      </c>
      <c r="Z595" s="26">
        <v>46063</v>
      </c>
    </row>
    <row r="596" spans="1:26" x14ac:dyDescent="0.3">
      <c r="A596" s="50">
        <v>46063.451793981483</v>
      </c>
      <c r="B596">
        <v>2.02602101050351E+18</v>
      </c>
      <c r="C596" t="s">
        <v>5386</v>
      </c>
      <c r="E596" t="s">
        <v>5387</v>
      </c>
      <c r="F596" t="s">
        <v>5386</v>
      </c>
      <c r="H596" t="s">
        <v>5388</v>
      </c>
      <c r="I596">
        <v>5767</v>
      </c>
      <c r="J596" t="s">
        <v>5389</v>
      </c>
      <c r="K596" t="s">
        <v>5390</v>
      </c>
      <c r="L596" t="s">
        <v>2804</v>
      </c>
      <c r="M596" t="s">
        <v>2805</v>
      </c>
      <c r="N596">
        <v>6454</v>
      </c>
      <c r="O596">
        <v>45500</v>
      </c>
      <c r="P596">
        <v>1</v>
      </c>
      <c r="Q596">
        <v>0</v>
      </c>
      <c r="S596">
        <v>143812</v>
      </c>
      <c r="T596">
        <v>0</v>
      </c>
      <c r="U596" t="s">
        <v>5128</v>
      </c>
      <c r="W596" t="s">
        <v>5392</v>
      </c>
      <c r="X596">
        <v>45500</v>
      </c>
      <c r="Y596">
        <v>41363.636363636302</v>
      </c>
      <c r="Z596" s="26">
        <v>46063</v>
      </c>
    </row>
    <row r="597" spans="1:26" x14ac:dyDescent="0.3">
      <c r="A597" s="50">
        <v>46063.445613425924</v>
      </c>
      <c r="B597">
        <v>2.0260210104103501E+18</v>
      </c>
      <c r="C597" t="s">
        <v>5393</v>
      </c>
      <c r="D597" t="s">
        <v>5394</v>
      </c>
      <c r="E597" t="s">
        <v>5394</v>
      </c>
      <c r="F597" t="s">
        <v>5393</v>
      </c>
      <c r="G597" t="s">
        <v>5394</v>
      </c>
      <c r="H597" t="s">
        <v>5394</v>
      </c>
      <c r="I597">
        <v>38026</v>
      </c>
      <c r="J597" t="s">
        <v>5395</v>
      </c>
      <c r="K597" t="s">
        <v>5395</v>
      </c>
      <c r="L597" t="s">
        <v>2804</v>
      </c>
      <c r="M597" t="s">
        <v>2805</v>
      </c>
      <c r="N597">
        <v>12908</v>
      </c>
      <c r="O597">
        <v>45500</v>
      </c>
      <c r="P597">
        <v>2</v>
      </c>
      <c r="Q597">
        <v>0</v>
      </c>
      <c r="S597">
        <v>143812</v>
      </c>
      <c r="T597">
        <v>0</v>
      </c>
      <c r="U597" t="s">
        <v>5128</v>
      </c>
      <c r="W597" t="s">
        <v>5396</v>
      </c>
      <c r="X597">
        <v>91000</v>
      </c>
      <c r="Y597">
        <v>82727.272727272706</v>
      </c>
      <c r="Z597" s="26">
        <v>46063</v>
      </c>
    </row>
    <row r="598" spans="1:26" x14ac:dyDescent="0.3">
      <c r="A598" s="50">
        <v>46063.435324074075</v>
      </c>
      <c r="B598">
        <v>2.02602101024515E+18</v>
      </c>
      <c r="C598" t="s">
        <v>5397</v>
      </c>
      <c r="D598" t="s">
        <v>5398</v>
      </c>
      <c r="E598" t="s">
        <v>5398</v>
      </c>
      <c r="F598" t="s">
        <v>5397</v>
      </c>
      <c r="G598" t="s">
        <v>5399</v>
      </c>
      <c r="H598" t="s">
        <v>5399</v>
      </c>
      <c r="I598">
        <v>16865</v>
      </c>
      <c r="J598" t="s">
        <v>5400</v>
      </c>
      <c r="K598" t="s">
        <v>5400</v>
      </c>
      <c r="L598" t="s">
        <v>2804</v>
      </c>
      <c r="M598" t="s">
        <v>2805</v>
      </c>
      <c r="N598">
        <v>12908</v>
      </c>
      <c r="O598">
        <v>45500</v>
      </c>
      <c r="P598">
        <v>2</v>
      </c>
      <c r="Q598">
        <v>0</v>
      </c>
      <c r="S598">
        <v>143812</v>
      </c>
      <c r="T598">
        <v>0</v>
      </c>
      <c r="U598" t="s">
        <v>5128</v>
      </c>
      <c r="W598" t="s">
        <v>5401</v>
      </c>
      <c r="X598">
        <v>91000</v>
      </c>
      <c r="Y598">
        <v>82727.272727272706</v>
      </c>
      <c r="Z598" s="26">
        <v>46063</v>
      </c>
    </row>
    <row r="599" spans="1:26" x14ac:dyDescent="0.3">
      <c r="A599" s="50">
        <v>46063.342407407406</v>
      </c>
      <c r="B599">
        <v>2.02602100812031E+18</v>
      </c>
      <c r="C599" t="s">
        <v>5402</v>
      </c>
      <c r="D599" t="s">
        <v>5403</v>
      </c>
      <c r="E599" t="s">
        <v>5403</v>
      </c>
      <c r="F599" t="s">
        <v>5402</v>
      </c>
      <c r="G599" t="s">
        <v>5403</v>
      </c>
      <c r="H599" t="s">
        <v>5403</v>
      </c>
      <c r="I599">
        <v>5649</v>
      </c>
      <c r="J599" t="s">
        <v>5404</v>
      </c>
      <c r="K599" t="s">
        <v>5404</v>
      </c>
      <c r="L599" t="s">
        <v>2804</v>
      </c>
      <c r="M599" t="s">
        <v>2805</v>
      </c>
      <c r="N599">
        <v>6454</v>
      </c>
      <c r="O599">
        <v>45500</v>
      </c>
      <c r="P599">
        <v>1</v>
      </c>
      <c r="Q599">
        <v>0</v>
      </c>
      <c r="S599">
        <v>143812</v>
      </c>
      <c r="T599">
        <v>0</v>
      </c>
      <c r="U599" t="s">
        <v>5128</v>
      </c>
      <c r="W599" t="s">
        <v>5405</v>
      </c>
      <c r="X599">
        <v>45500</v>
      </c>
      <c r="Y599">
        <v>41363.636363636302</v>
      </c>
      <c r="Z599" s="26">
        <v>46063</v>
      </c>
    </row>
    <row r="600" spans="1:26" x14ac:dyDescent="0.3">
      <c r="A600" s="50">
        <v>46062.796666666669</v>
      </c>
      <c r="B600">
        <v>2.02602091905057E+18</v>
      </c>
      <c r="C600" t="s">
        <v>5406</v>
      </c>
      <c r="D600" t="s">
        <v>5407</v>
      </c>
      <c r="E600" t="s">
        <v>5407</v>
      </c>
      <c r="F600" t="s">
        <v>5406</v>
      </c>
      <c r="G600" t="s">
        <v>5407</v>
      </c>
      <c r="H600" t="s">
        <v>5407</v>
      </c>
      <c r="I600">
        <v>8338</v>
      </c>
      <c r="J600" t="s">
        <v>5408</v>
      </c>
      <c r="K600" t="s">
        <v>5408</v>
      </c>
      <c r="L600" t="s">
        <v>2804</v>
      </c>
      <c r="M600" t="s">
        <v>2805</v>
      </c>
      <c r="N600">
        <v>6454</v>
      </c>
      <c r="O600">
        <v>45500</v>
      </c>
      <c r="P600">
        <v>1</v>
      </c>
      <c r="Q600">
        <v>0</v>
      </c>
      <c r="S600">
        <v>143812</v>
      </c>
      <c r="T600">
        <v>0</v>
      </c>
      <c r="U600" t="s">
        <v>5128</v>
      </c>
      <c r="W600" t="s">
        <v>5409</v>
      </c>
      <c r="X600">
        <v>45500</v>
      </c>
      <c r="Y600">
        <v>41363.636363636302</v>
      </c>
      <c r="Z600" s="26">
        <v>46063</v>
      </c>
    </row>
    <row r="601" spans="1:26" x14ac:dyDescent="0.3">
      <c r="A601" s="50">
        <v>46062.756076388891</v>
      </c>
      <c r="B601">
        <v>2.0260209180623601E+18</v>
      </c>
      <c r="C601" t="s">
        <v>5410</v>
      </c>
      <c r="D601" t="s">
        <v>5411</v>
      </c>
      <c r="E601" t="s">
        <v>5411</v>
      </c>
      <c r="F601" t="s">
        <v>5412</v>
      </c>
      <c r="G601" t="s">
        <v>5413</v>
      </c>
      <c r="H601" t="s">
        <v>5413</v>
      </c>
      <c r="I601">
        <v>54637</v>
      </c>
      <c r="J601" t="s">
        <v>5414</v>
      </c>
      <c r="K601" t="s">
        <v>5414</v>
      </c>
      <c r="L601" t="s">
        <v>2804</v>
      </c>
      <c r="M601" t="s">
        <v>2805</v>
      </c>
      <c r="N601">
        <v>6454</v>
      </c>
      <c r="O601">
        <v>45500</v>
      </c>
      <c r="P601">
        <v>1</v>
      </c>
      <c r="Q601">
        <v>0</v>
      </c>
      <c r="S601">
        <v>143812</v>
      </c>
      <c r="T601">
        <v>0</v>
      </c>
      <c r="U601" t="s">
        <v>5128</v>
      </c>
      <c r="W601" t="s">
        <v>5415</v>
      </c>
      <c r="X601">
        <v>45500</v>
      </c>
      <c r="Y601">
        <v>41363.636363636302</v>
      </c>
      <c r="Z601" s="26">
        <v>46063</v>
      </c>
    </row>
    <row r="602" spans="1:26" x14ac:dyDescent="0.3">
      <c r="A602" s="50">
        <v>46062.750925925924</v>
      </c>
      <c r="B602">
        <v>2.0260209175346701E+18</v>
      </c>
      <c r="C602" t="s">
        <v>5410</v>
      </c>
      <c r="D602" t="s">
        <v>5411</v>
      </c>
      <c r="E602" t="s">
        <v>5411</v>
      </c>
      <c r="F602" t="s">
        <v>5416</v>
      </c>
      <c r="G602" t="s">
        <v>5417</v>
      </c>
      <c r="H602" t="s">
        <v>5417</v>
      </c>
      <c r="I602">
        <v>7436</v>
      </c>
      <c r="J602" t="s">
        <v>5418</v>
      </c>
      <c r="K602" t="s">
        <v>5418</v>
      </c>
      <c r="L602" t="s">
        <v>2804</v>
      </c>
      <c r="M602" t="s">
        <v>2805</v>
      </c>
      <c r="N602">
        <v>6454</v>
      </c>
      <c r="O602">
        <v>45500</v>
      </c>
      <c r="P602">
        <v>1</v>
      </c>
      <c r="Q602">
        <v>0</v>
      </c>
      <c r="S602">
        <v>143812</v>
      </c>
      <c r="T602">
        <v>0</v>
      </c>
      <c r="U602" t="s">
        <v>5128</v>
      </c>
      <c r="W602" t="s">
        <v>5419</v>
      </c>
      <c r="X602">
        <v>45500</v>
      </c>
      <c r="Y602">
        <v>41363.636363636302</v>
      </c>
      <c r="Z602" s="26">
        <v>46063</v>
      </c>
    </row>
    <row r="603" spans="1:26" x14ac:dyDescent="0.3">
      <c r="A603" s="50">
        <v>46062.70579861111</v>
      </c>
      <c r="B603">
        <v>2.02602091655022E+18</v>
      </c>
      <c r="C603" t="s">
        <v>5420</v>
      </c>
      <c r="D603" t="s">
        <v>5421</v>
      </c>
      <c r="E603" t="s">
        <v>5421</v>
      </c>
      <c r="F603" t="s">
        <v>5420</v>
      </c>
      <c r="G603" t="s">
        <v>5421</v>
      </c>
      <c r="H603" t="s">
        <v>5421</v>
      </c>
      <c r="I603">
        <v>27161</v>
      </c>
      <c r="J603" t="s">
        <v>5422</v>
      </c>
      <c r="K603" t="s">
        <v>5422</v>
      </c>
      <c r="L603" t="s">
        <v>2804</v>
      </c>
      <c r="M603" t="s">
        <v>2805</v>
      </c>
      <c r="N603">
        <v>6454</v>
      </c>
      <c r="O603">
        <v>45500</v>
      </c>
      <c r="P603">
        <v>1</v>
      </c>
      <c r="Q603">
        <v>0</v>
      </c>
      <c r="S603">
        <v>143812</v>
      </c>
      <c r="T603">
        <v>0</v>
      </c>
      <c r="U603" t="s">
        <v>5128</v>
      </c>
      <c r="W603" t="s">
        <v>5423</v>
      </c>
      <c r="X603">
        <v>45500</v>
      </c>
      <c r="Y603">
        <v>41363.636363636302</v>
      </c>
      <c r="Z603" s="26">
        <v>46063</v>
      </c>
    </row>
    <row r="604" spans="1:26" x14ac:dyDescent="0.3">
      <c r="A604" s="50">
        <v>46062.5155787037</v>
      </c>
      <c r="B604">
        <v>2.02602091221472E+18</v>
      </c>
      <c r="C604" t="s">
        <v>5424</v>
      </c>
      <c r="D604" t="s">
        <v>5425</v>
      </c>
      <c r="E604" t="s">
        <v>5425</v>
      </c>
      <c r="F604" t="s">
        <v>5426</v>
      </c>
      <c r="G604" t="s">
        <v>5425</v>
      </c>
      <c r="H604" t="s">
        <v>5425</v>
      </c>
      <c r="I604">
        <v>3648</v>
      </c>
      <c r="J604" t="s">
        <v>5427</v>
      </c>
      <c r="K604" t="s">
        <v>5427</v>
      </c>
      <c r="L604" t="s">
        <v>2804</v>
      </c>
      <c r="M604" t="s">
        <v>2805</v>
      </c>
      <c r="N604">
        <v>6454</v>
      </c>
      <c r="O604">
        <v>45500</v>
      </c>
      <c r="P604">
        <v>1</v>
      </c>
      <c r="Q604">
        <v>0</v>
      </c>
      <c r="S604">
        <v>143812</v>
      </c>
      <c r="T604">
        <v>0</v>
      </c>
      <c r="U604" t="s">
        <v>5128</v>
      </c>
      <c r="W604" t="s">
        <v>5428</v>
      </c>
      <c r="X604">
        <v>45500</v>
      </c>
      <c r="Y604">
        <v>41363.636363636302</v>
      </c>
      <c r="Z604" s="26">
        <v>46063</v>
      </c>
    </row>
    <row r="605" spans="1:26" x14ac:dyDescent="0.3">
      <c r="A605" s="50">
        <v>46062.951805555553</v>
      </c>
      <c r="B605">
        <v>2.02602092250146E+18</v>
      </c>
      <c r="C605" t="s">
        <v>5429</v>
      </c>
      <c r="D605" t="s">
        <v>5430</v>
      </c>
      <c r="E605" t="s">
        <v>5430</v>
      </c>
      <c r="F605" t="s">
        <v>5429</v>
      </c>
      <c r="G605" t="s">
        <v>5430</v>
      </c>
      <c r="H605" t="s">
        <v>5430</v>
      </c>
      <c r="I605">
        <v>14106</v>
      </c>
      <c r="J605" t="s">
        <v>5431</v>
      </c>
      <c r="K605" t="s">
        <v>5431</v>
      </c>
      <c r="L605" t="s">
        <v>3801</v>
      </c>
      <c r="M605" t="s">
        <v>3802</v>
      </c>
      <c r="N605">
        <v>18181</v>
      </c>
      <c r="O605">
        <v>63000</v>
      </c>
      <c r="P605">
        <v>1</v>
      </c>
      <c r="Q605" t="s">
        <v>3803</v>
      </c>
      <c r="S605">
        <v>143790</v>
      </c>
      <c r="T605">
        <v>0</v>
      </c>
      <c r="U605" t="s">
        <v>2807</v>
      </c>
      <c r="W605" t="s">
        <v>5432</v>
      </c>
      <c r="X605">
        <v>63000</v>
      </c>
      <c r="Y605">
        <v>57272.727272727199</v>
      </c>
      <c r="Z605" s="26">
        <v>46063</v>
      </c>
    </row>
    <row r="606" spans="1:26" x14ac:dyDescent="0.3">
      <c r="A606" s="50">
        <v>46062.805</v>
      </c>
      <c r="B606">
        <v>2.0260209191557199E+18</v>
      </c>
      <c r="C606" t="s">
        <v>5433</v>
      </c>
      <c r="D606" t="s">
        <v>5434</v>
      </c>
      <c r="E606" t="s">
        <v>5434</v>
      </c>
      <c r="F606" t="s">
        <v>5433</v>
      </c>
      <c r="G606" t="s">
        <v>5434</v>
      </c>
      <c r="H606" t="s">
        <v>5434</v>
      </c>
      <c r="I606">
        <v>5367</v>
      </c>
      <c r="J606" t="s">
        <v>5435</v>
      </c>
      <c r="K606" t="s">
        <v>5435</v>
      </c>
      <c r="L606" t="s">
        <v>3801</v>
      </c>
      <c r="M606" t="s">
        <v>3802</v>
      </c>
      <c r="N606">
        <v>18181</v>
      </c>
      <c r="O606">
        <v>63000</v>
      </c>
      <c r="P606">
        <v>1</v>
      </c>
      <c r="Q606" t="s">
        <v>3803</v>
      </c>
      <c r="S606">
        <v>143790</v>
      </c>
      <c r="T606">
        <v>0</v>
      </c>
      <c r="U606" t="s">
        <v>2807</v>
      </c>
      <c r="W606" t="s">
        <v>5436</v>
      </c>
      <c r="X606">
        <v>63000</v>
      </c>
      <c r="Y606">
        <v>57272.727272727199</v>
      </c>
      <c r="Z606" s="26">
        <v>46063</v>
      </c>
    </row>
    <row r="607" spans="1:26" x14ac:dyDescent="0.3">
      <c r="A607" s="50">
        <v>46062.734039351853</v>
      </c>
      <c r="B607">
        <v>2.0260209173520599E+18</v>
      </c>
      <c r="C607" t="s">
        <v>5437</v>
      </c>
      <c r="D607" t="s">
        <v>5438</v>
      </c>
      <c r="E607" t="s">
        <v>5438</v>
      </c>
      <c r="F607" t="s">
        <v>5437</v>
      </c>
      <c r="G607" t="s">
        <v>5438</v>
      </c>
      <c r="H607" t="s">
        <v>5438</v>
      </c>
      <c r="I607">
        <v>5248</v>
      </c>
      <c r="J607" t="s">
        <v>5439</v>
      </c>
      <c r="K607" t="s">
        <v>5439</v>
      </c>
      <c r="L607" t="s">
        <v>3801</v>
      </c>
      <c r="M607" t="s">
        <v>3802</v>
      </c>
      <c r="N607">
        <v>18181</v>
      </c>
      <c r="O607">
        <v>63000</v>
      </c>
      <c r="P607">
        <v>1</v>
      </c>
      <c r="Q607" t="s">
        <v>3803</v>
      </c>
      <c r="R607" t="s">
        <v>4077</v>
      </c>
      <c r="S607">
        <v>143790</v>
      </c>
      <c r="T607">
        <v>0</v>
      </c>
      <c r="U607" t="s">
        <v>2807</v>
      </c>
      <c r="W607" t="s">
        <v>5440</v>
      </c>
      <c r="X607">
        <v>63000</v>
      </c>
      <c r="Y607">
        <v>57272.727272727199</v>
      </c>
      <c r="Z607" s="26">
        <v>46063</v>
      </c>
    </row>
    <row r="608" spans="1:26" x14ac:dyDescent="0.3">
      <c r="A608" s="50">
        <v>46062.541435185187</v>
      </c>
      <c r="B608">
        <v>2.02602091257277E+18</v>
      </c>
      <c r="C608" t="s">
        <v>5441</v>
      </c>
      <c r="D608" t="s">
        <v>3119</v>
      </c>
      <c r="E608" t="s">
        <v>3119</v>
      </c>
      <c r="F608" t="s">
        <v>5441</v>
      </c>
      <c r="G608" t="s">
        <v>3119</v>
      </c>
      <c r="H608" t="s">
        <v>3119</v>
      </c>
      <c r="I608">
        <v>16704</v>
      </c>
      <c r="J608" t="s">
        <v>3120</v>
      </c>
      <c r="K608" t="s">
        <v>3120</v>
      </c>
      <c r="L608" t="s">
        <v>3801</v>
      </c>
      <c r="M608" t="s">
        <v>3802</v>
      </c>
      <c r="N608">
        <v>18181</v>
      </c>
      <c r="O608">
        <v>63000</v>
      </c>
      <c r="P608">
        <v>1</v>
      </c>
      <c r="Q608" t="s">
        <v>3803</v>
      </c>
      <c r="S608">
        <v>143790</v>
      </c>
      <c r="T608">
        <v>0</v>
      </c>
      <c r="U608" t="s">
        <v>2807</v>
      </c>
      <c r="W608" t="s">
        <v>5442</v>
      </c>
      <c r="X608">
        <v>63000</v>
      </c>
      <c r="Y608">
        <v>57272.727272727199</v>
      </c>
      <c r="Z608" s="26">
        <v>46063</v>
      </c>
    </row>
    <row r="609" spans="1:26" x14ac:dyDescent="0.3">
      <c r="A609" s="50">
        <v>46059.607997685183</v>
      </c>
      <c r="B609">
        <v>2.0260206143417201E+18</v>
      </c>
      <c r="C609" t="s">
        <v>5234</v>
      </c>
      <c r="D609" t="s">
        <v>5233</v>
      </c>
      <c r="E609" t="s">
        <v>5233</v>
      </c>
      <c r="F609" t="s">
        <v>5443</v>
      </c>
      <c r="H609" t="s">
        <v>5444</v>
      </c>
      <c r="I609">
        <v>1057</v>
      </c>
      <c r="J609" t="s">
        <v>5445</v>
      </c>
      <c r="K609" t="s">
        <v>5446</v>
      </c>
      <c r="L609" t="s">
        <v>3801</v>
      </c>
      <c r="M609" t="s">
        <v>3802</v>
      </c>
      <c r="N609">
        <v>36362</v>
      </c>
      <c r="O609">
        <v>63000</v>
      </c>
      <c r="P609">
        <v>2</v>
      </c>
      <c r="Q609" t="s">
        <v>3803</v>
      </c>
      <c r="S609">
        <v>143790</v>
      </c>
      <c r="T609">
        <v>0</v>
      </c>
      <c r="U609" t="s">
        <v>2807</v>
      </c>
      <c r="W609" t="s">
        <v>5447</v>
      </c>
      <c r="X609">
        <v>126000</v>
      </c>
      <c r="Y609">
        <v>114545.45454545401</v>
      </c>
      <c r="Z609" s="26">
        <v>46063</v>
      </c>
    </row>
    <row r="610" spans="1:26" x14ac:dyDescent="0.3">
      <c r="A610" s="50">
        <v>46064.408310185187</v>
      </c>
      <c r="B610">
        <v>2.0260211094551401E+18</v>
      </c>
      <c r="C610" t="s">
        <v>4692</v>
      </c>
      <c r="D610" t="s">
        <v>4693</v>
      </c>
      <c r="E610" t="s">
        <v>4693</v>
      </c>
      <c r="F610" t="s">
        <v>5448</v>
      </c>
      <c r="G610" t="s">
        <v>5449</v>
      </c>
      <c r="H610" t="s">
        <v>5449</v>
      </c>
      <c r="I610">
        <v>3025</v>
      </c>
      <c r="J610" t="s">
        <v>5450</v>
      </c>
      <c r="K610" t="s">
        <v>5450</v>
      </c>
      <c r="L610" t="s">
        <v>2804</v>
      </c>
      <c r="M610" t="s">
        <v>2805</v>
      </c>
      <c r="N610">
        <v>54363</v>
      </c>
      <c r="O610">
        <v>45500</v>
      </c>
      <c r="P610">
        <v>1</v>
      </c>
      <c r="Q610">
        <v>0</v>
      </c>
      <c r="R610" t="s">
        <v>5451</v>
      </c>
      <c r="S610">
        <v>143790</v>
      </c>
      <c r="T610">
        <v>0</v>
      </c>
      <c r="U610" t="s">
        <v>2807</v>
      </c>
      <c r="W610" t="s">
        <v>5452</v>
      </c>
      <c r="X610">
        <v>45500</v>
      </c>
      <c r="Y610">
        <v>41363.636363636302</v>
      </c>
      <c r="Z610" s="26">
        <v>46064</v>
      </c>
    </row>
    <row r="611" spans="1:26" x14ac:dyDescent="0.3">
      <c r="A611" s="50">
        <v>46064.407372685186</v>
      </c>
      <c r="B611">
        <v>2.02602110945587E+18</v>
      </c>
      <c r="C611" t="s">
        <v>5453</v>
      </c>
      <c r="D611" t="s">
        <v>5454</v>
      </c>
      <c r="E611" t="s">
        <v>5454</v>
      </c>
      <c r="F611" t="s">
        <v>5453</v>
      </c>
      <c r="G611" t="s">
        <v>5454</v>
      </c>
      <c r="H611" t="s">
        <v>5454</v>
      </c>
      <c r="I611">
        <v>12108</v>
      </c>
      <c r="J611" t="s">
        <v>5455</v>
      </c>
      <c r="K611" t="s">
        <v>5455</v>
      </c>
      <c r="L611" t="s">
        <v>2804</v>
      </c>
      <c r="M611" t="s">
        <v>2805</v>
      </c>
      <c r="N611">
        <v>54363</v>
      </c>
      <c r="O611">
        <v>45500</v>
      </c>
      <c r="P611">
        <v>1</v>
      </c>
      <c r="Q611">
        <v>0</v>
      </c>
      <c r="S611">
        <v>143790</v>
      </c>
      <c r="T611">
        <v>0</v>
      </c>
      <c r="U611" t="s">
        <v>2807</v>
      </c>
      <c r="W611" t="s">
        <v>5456</v>
      </c>
      <c r="X611">
        <v>45500</v>
      </c>
      <c r="Y611">
        <v>41363.636363636302</v>
      </c>
      <c r="Z611" s="26">
        <v>46064</v>
      </c>
    </row>
    <row r="612" spans="1:26" x14ac:dyDescent="0.3">
      <c r="A612" s="50">
        <v>46064.341504629629</v>
      </c>
      <c r="B612">
        <v>2.0260211081100401E+18</v>
      </c>
      <c r="C612" t="s">
        <v>5457</v>
      </c>
      <c r="D612" t="s">
        <v>5458</v>
      </c>
      <c r="E612" t="s">
        <v>5458</v>
      </c>
      <c r="F612" t="s">
        <v>5457</v>
      </c>
      <c r="G612" t="s">
        <v>5458</v>
      </c>
      <c r="H612" t="s">
        <v>5458</v>
      </c>
      <c r="I612">
        <v>38136</v>
      </c>
      <c r="J612" t="s">
        <v>5459</v>
      </c>
      <c r="K612" t="s">
        <v>5459</v>
      </c>
      <c r="L612" t="s">
        <v>2804</v>
      </c>
      <c r="M612" t="s">
        <v>2805</v>
      </c>
      <c r="N612">
        <v>54363</v>
      </c>
      <c r="O612">
        <v>45500</v>
      </c>
      <c r="P612">
        <v>1</v>
      </c>
      <c r="Q612">
        <v>0</v>
      </c>
      <c r="S612">
        <v>143790</v>
      </c>
      <c r="T612" t="s">
        <v>5460</v>
      </c>
      <c r="U612" t="s">
        <v>2807</v>
      </c>
      <c r="W612" t="s">
        <v>5461</v>
      </c>
      <c r="X612">
        <v>45500</v>
      </c>
      <c r="Y612">
        <v>41363.636363636302</v>
      </c>
      <c r="Z612" s="26">
        <v>46064</v>
      </c>
    </row>
    <row r="613" spans="1:26" x14ac:dyDescent="0.3">
      <c r="A613" s="50">
        <v>46064.114814814813</v>
      </c>
      <c r="B613">
        <v>2.0260211024110799E+18</v>
      </c>
      <c r="C613" t="s">
        <v>5462</v>
      </c>
      <c r="D613" t="s">
        <v>5463</v>
      </c>
      <c r="E613" t="s">
        <v>5463</v>
      </c>
      <c r="F613" t="s">
        <v>5464</v>
      </c>
      <c r="G613" t="s">
        <v>5465</v>
      </c>
      <c r="H613" t="s">
        <v>5465</v>
      </c>
      <c r="I613">
        <v>1169</v>
      </c>
      <c r="J613" t="s">
        <v>5466</v>
      </c>
      <c r="K613" t="s">
        <v>5466</v>
      </c>
      <c r="L613" t="s">
        <v>2804</v>
      </c>
      <c r="M613" t="s">
        <v>2805</v>
      </c>
      <c r="N613">
        <v>54363</v>
      </c>
      <c r="O613">
        <v>45500</v>
      </c>
      <c r="P613">
        <v>1</v>
      </c>
      <c r="Q613">
        <v>0</v>
      </c>
      <c r="S613">
        <v>143790</v>
      </c>
      <c r="T613">
        <v>0</v>
      </c>
      <c r="U613" t="s">
        <v>2807</v>
      </c>
      <c r="W613" t="s">
        <v>5467</v>
      </c>
      <c r="X613">
        <v>45500</v>
      </c>
      <c r="Y613">
        <v>41363.636363636302</v>
      </c>
      <c r="Z613" s="26">
        <v>46064</v>
      </c>
    </row>
    <row r="614" spans="1:26" x14ac:dyDescent="0.3">
      <c r="A614" s="50">
        <v>46064.111747685187</v>
      </c>
      <c r="B614">
        <v>2.02602110238321E+18</v>
      </c>
      <c r="C614" t="s">
        <v>5462</v>
      </c>
      <c r="D614" t="s">
        <v>5463</v>
      </c>
      <c r="E614" t="s">
        <v>5463</v>
      </c>
      <c r="F614" t="s">
        <v>5468</v>
      </c>
      <c r="G614" t="s">
        <v>5469</v>
      </c>
      <c r="H614" t="s">
        <v>5469</v>
      </c>
      <c r="I614">
        <v>4153</v>
      </c>
      <c r="J614" t="s">
        <v>5470</v>
      </c>
      <c r="K614" t="s">
        <v>5470</v>
      </c>
      <c r="L614" t="s">
        <v>2804</v>
      </c>
      <c r="M614" t="s">
        <v>2805</v>
      </c>
      <c r="N614">
        <v>54363</v>
      </c>
      <c r="O614">
        <v>45500</v>
      </c>
      <c r="P614">
        <v>1</v>
      </c>
      <c r="Q614">
        <v>0</v>
      </c>
      <c r="S614">
        <v>143790</v>
      </c>
      <c r="T614">
        <v>0</v>
      </c>
      <c r="U614" t="s">
        <v>2807</v>
      </c>
      <c r="W614" t="s">
        <v>5471</v>
      </c>
      <c r="X614">
        <v>45500</v>
      </c>
      <c r="Y614">
        <v>41363.636363636302</v>
      </c>
      <c r="Z614" s="26">
        <v>46064</v>
      </c>
    </row>
    <row r="615" spans="1:26" x14ac:dyDescent="0.3">
      <c r="A615" s="50">
        <v>46064.109837962962</v>
      </c>
      <c r="B615">
        <v>2.0260211023513201E+18</v>
      </c>
      <c r="C615" t="s">
        <v>5472</v>
      </c>
      <c r="D615" t="s">
        <v>5463</v>
      </c>
      <c r="E615" t="s">
        <v>5463</v>
      </c>
      <c r="F615" t="s">
        <v>5473</v>
      </c>
      <c r="G615" t="s">
        <v>5474</v>
      </c>
      <c r="H615" t="s">
        <v>5474</v>
      </c>
      <c r="I615">
        <v>12917</v>
      </c>
      <c r="J615" t="s">
        <v>5475</v>
      </c>
      <c r="K615" t="s">
        <v>5475</v>
      </c>
      <c r="L615" t="s">
        <v>2804</v>
      </c>
      <c r="M615" t="s">
        <v>2805</v>
      </c>
      <c r="N615">
        <v>54363</v>
      </c>
      <c r="O615">
        <v>45500</v>
      </c>
      <c r="P615">
        <v>1</v>
      </c>
      <c r="Q615">
        <v>0</v>
      </c>
      <c r="S615">
        <v>143790</v>
      </c>
      <c r="T615">
        <v>0</v>
      </c>
      <c r="U615" t="s">
        <v>2807</v>
      </c>
      <c r="W615" t="s">
        <v>5476</v>
      </c>
      <c r="X615">
        <v>45500</v>
      </c>
      <c r="Y615">
        <v>41363.636363636302</v>
      </c>
      <c r="Z615" s="26">
        <v>46064</v>
      </c>
    </row>
    <row r="616" spans="1:26" x14ac:dyDescent="0.3">
      <c r="A616" s="50">
        <v>46064.10596064815</v>
      </c>
      <c r="B616">
        <v>2.0260211022456801E+18</v>
      </c>
      <c r="C616" t="s">
        <v>5472</v>
      </c>
      <c r="D616" t="s">
        <v>5463</v>
      </c>
      <c r="E616" t="s">
        <v>5463</v>
      </c>
      <c r="F616" t="s">
        <v>5477</v>
      </c>
      <c r="G616" t="s">
        <v>5478</v>
      </c>
      <c r="H616" t="s">
        <v>5478</v>
      </c>
      <c r="I616">
        <v>10388</v>
      </c>
      <c r="J616" t="s">
        <v>5479</v>
      </c>
      <c r="K616" t="s">
        <v>5479</v>
      </c>
      <c r="L616" t="s">
        <v>2804</v>
      </c>
      <c r="M616" t="s">
        <v>2805</v>
      </c>
      <c r="N616">
        <v>54363</v>
      </c>
      <c r="O616">
        <v>45500</v>
      </c>
      <c r="P616">
        <v>1</v>
      </c>
      <c r="Q616">
        <v>0</v>
      </c>
      <c r="S616">
        <v>143790</v>
      </c>
      <c r="T616">
        <v>0</v>
      </c>
      <c r="U616" t="s">
        <v>2807</v>
      </c>
      <c r="W616" t="s">
        <v>5480</v>
      </c>
      <c r="X616">
        <v>45500</v>
      </c>
      <c r="Y616">
        <v>41363.636363636302</v>
      </c>
      <c r="Z616" s="26">
        <v>46064</v>
      </c>
    </row>
    <row r="617" spans="1:26" x14ac:dyDescent="0.3">
      <c r="A617" s="50">
        <v>46063.848657407405</v>
      </c>
      <c r="B617">
        <v>2.02602102021279E+18</v>
      </c>
      <c r="C617" t="s">
        <v>5481</v>
      </c>
      <c r="D617" t="s">
        <v>5482</v>
      </c>
      <c r="E617" t="s">
        <v>5482</v>
      </c>
      <c r="F617" t="s">
        <v>5481</v>
      </c>
      <c r="G617" t="s">
        <v>5482</v>
      </c>
      <c r="H617" t="s">
        <v>5482</v>
      </c>
      <c r="I617">
        <v>52201</v>
      </c>
      <c r="J617" t="s">
        <v>5483</v>
      </c>
      <c r="K617" t="s">
        <v>5483</v>
      </c>
      <c r="L617" t="s">
        <v>2804</v>
      </c>
      <c r="M617" t="s">
        <v>2805</v>
      </c>
      <c r="N617">
        <v>54363</v>
      </c>
      <c r="O617">
        <v>45500</v>
      </c>
      <c r="P617">
        <v>1</v>
      </c>
      <c r="Q617">
        <v>0</v>
      </c>
      <c r="S617">
        <v>143790</v>
      </c>
      <c r="T617">
        <v>0</v>
      </c>
      <c r="U617" t="s">
        <v>2807</v>
      </c>
      <c r="W617" t="s">
        <v>5484</v>
      </c>
      <c r="X617">
        <v>45500</v>
      </c>
      <c r="Y617">
        <v>41363.636363636302</v>
      </c>
      <c r="Z617" s="26">
        <v>46064</v>
      </c>
    </row>
    <row r="618" spans="1:26" x14ac:dyDescent="0.3">
      <c r="A618" s="50">
        <v>46063.747245370374</v>
      </c>
      <c r="B618">
        <v>2.0260210175539999E+18</v>
      </c>
      <c r="C618" t="s">
        <v>5485</v>
      </c>
      <c r="D618" t="s">
        <v>5486</v>
      </c>
      <c r="E618" t="s">
        <v>5486</v>
      </c>
      <c r="F618" t="s">
        <v>5485</v>
      </c>
      <c r="G618" t="s">
        <v>5486</v>
      </c>
      <c r="H618" t="s">
        <v>5486</v>
      </c>
      <c r="I618">
        <v>44640</v>
      </c>
      <c r="J618" t="s">
        <v>5487</v>
      </c>
      <c r="K618" t="s">
        <v>5487</v>
      </c>
      <c r="L618" t="s">
        <v>2804</v>
      </c>
      <c r="M618" t="s">
        <v>2805</v>
      </c>
      <c r="N618">
        <v>54363</v>
      </c>
      <c r="O618">
        <v>45500</v>
      </c>
      <c r="P618">
        <v>1</v>
      </c>
      <c r="Q618">
        <v>0</v>
      </c>
      <c r="S618">
        <v>143790</v>
      </c>
      <c r="T618">
        <v>0</v>
      </c>
      <c r="U618" t="s">
        <v>2807</v>
      </c>
      <c r="W618" t="s">
        <v>5488</v>
      </c>
      <c r="X618">
        <v>45500</v>
      </c>
      <c r="Y618">
        <v>41363.636363636302</v>
      </c>
      <c r="Z618" s="26">
        <v>46064</v>
      </c>
    </row>
    <row r="619" spans="1:26" x14ac:dyDescent="0.3">
      <c r="A619" s="50">
        <v>46063.599976851852</v>
      </c>
      <c r="B619">
        <v>2.0260210141758999E+18</v>
      </c>
      <c r="C619" t="s">
        <v>5489</v>
      </c>
      <c r="D619" t="s">
        <v>5490</v>
      </c>
      <c r="E619" t="s">
        <v>5490</v>
      </c>
      <c r="F619" t="s">
        <v>5491</v>
      </c>
      <c r="G619" t="s">
        <v>5492</v>
      </c>
      <c r="H619" t="s">
        <v>5492</v>
      </c>
      <c r="I619">
        <v>58671</v>
      </c>
      <c r="J619" t="s">
        <v>5493</v>
      </c>
      <c r="K619" t="s">
        <v>5493</v>
      </c>
      <c r="L619" t="s">
        <v>2804</v>
      </c>
      <c r="M619" t="s">
        <v>2805</v>
      </c>
      <c r="N619">
        <v>54363</v>
      </c>
      <c r="O619">
        <v>45500</v>
      </c>
      <c r="P619">
        <v>1</v>
      </c>
      <c r="Q619">
        <v>0</v>
      </c>
      <c r="S619">
        <v>143790</v>
      </c>
      <c r="T619">
        <v>0</v>
      </c>
      <c r="U619" t="s">
        <v>2807</v>
      </c>
      <c r="W619" t="s">
        <v>5494</v>
      </c>
      <c r="X619">
        <v>45500</v>
      </c>
      <c r="Y619">
        <v>41363.636363636302</v>
      </c>
      <c r="Z619" s="26">
        <v>46064</v>
      </c>
    </row>
    <row r="620" spans="1:26" x14ac:dyDescent="0.3">
      <c r="A620" s="50">
        <v>46063.51703703704</v>
      </c>
      <c r="B620">
        <v>2.0260210122407401E+18</v>
      </c>
      <c r="C620" t="s">
        <v>5495</v>
      </c>
      <c r="D620" t="s">
        <v>5496</v>
      </c>
      <c r="E620" t="s">
        <v>5496</v>
      </c>
      <c r="F620" t="s">
        <v>5495</v>
      </c>
      <c r="G620" t="s">
        <v>5496</v>
      </c>
      <c r="H620" t="s">
        <v>5496</v>
      </c>
      <c r="I620">
        <v>12104</v>
      </c>
      <c r="J620" t="s">
        <v>5497</v>
      </c>
      <c r="K620" t="s">
        <v>5497</v>
      </c>
      <c r="L620" t="s">
        <v>2804</v>
      </c>
      <c r="M620" t="s">
        <v>2805</v>
      </c>
      <c r="N620">
        <v>54363</v>
      </c>
      <c r="O620">
        <v>45500</v>
      </c>
      <c r="P620">
        <v>1</v>
      </c>
      <c r="Q620">
        <v>0</v>
      </c>
      <c r="S620">
        <v>143790</v>
      </c>
      <c r="T620">
        <v>0</v>
      </c>
      <c r="U620" t="s">
        <v>2807</v>
      </c>
      <c r="W620" t="s">
        <v>5498</v>
      </c>
      <c r="X620">
        <v>45500</v>
      </c>
      <c r="Y620">
        <v>41363.636363636302</v>
      </c>
      <c r="Z620" s="26">
        <v>46064</v>
      </c>
    </row>
    <row r="621" spans="1:26" x14ac:dyDescent="0.3">
      <c r="A621" s="50">
        <v>46063.478032407409</v>
      </c>
      <c r="B621">
        <v>2.0260210111835699E+18</v>
      </c>
      <c r="C621" t="s">
        <v>2957</v>
      </c>
      <c r="D621" t="s">
        <v>5499</v>
      </c>
      <c r="E621" t="s">
        <v>5499</v>
      </c>
      <c r="F621" t="s">
        <v>2957</v>
      </c>
      <c r="G621" t="s">
        <v>5499</v>
      </c>
      <c r="H621" t="s">
        <v>5499</v>
      </c>
      <c r="I621">
        <v>11615</v>
      </c>
      <c r="J621" t="s">
        <v>5500</v>
      </c>
      <c r="K621" t="s">
        <v>5500</v>
      </c>
      <c r="L621" t="s">
        <v>2804</v>
      </c>
      <c r="M621" t="s">
        <v>2805</v>
      </c>
      <c r="N621">
        <v>108726</v>
      </c>
      <c r="O621">
        <v>45500</v>
      </c>
      <c r="P621">
        <v>2</v>
      </c>
      <c r="Q621">
        <v>0</v>
      </c>
      <c r="R621" t="s">
        <v>5501</v>
      </c>
      <c r="S621">
        <v>143790</v>
      </c>
      <c r="T621">
        <v>0</v>
      </c>
      <c r="U621" t="s">
        <v>2807</v>
      </c>
      <c r="W621" t="s">
        <v>5502</v>
      </c>
      <c r="X621">
        <v>91000</v>
      </c>
      <c r="Y621">
        <v>82727.272727272706</v>
      </c>
      <c r="Z621" s="26">
        <v>46064</v>
      </c>
    </row>
    <row r="622" spans="1:26" x14ac:dyDescent="0.3">
      <c r="A622" s="50">
        <v>46063.469583333332</v>
      </c>
      <c r="B622">
        <v>2.0260210111528801E+18</v>
      </c>
      <c r="C622" t="s">
        <v>5503</v>
      </c>
      <c r="D622" t="s">
        <v>5504</v>
      </c>
      <c r="E622" t="s">
        <v>5504</v>
      </c>
      <c r="F622" t="s">
        <v>5503</v>
      </c>
      <c r="G622" t="s">
        <v>5504</v>
      </c>
      <c r="H622" t="s">
        <v>5504</v>
      </c>
      <c r="I622">
        <v>5501</v>
      </c>
      <c r="J622" t="s">
        <v>5505</v>
      </c>
      <c r="K622" t="s">
        <v>5505</v>
      </c>
      <c r="L622" t="s">
        <v>2804</v>
      </c>
      <c r="M622" t="s">
        <v>2805</v>
      </c>
      <c r="N622">
        <v>54363</v>
      </c>
      <c r="O622">
        <v>45500</v>
      </c>
      <c r="P622">
        <v>1</v>
      </c>
      <c r="Q622">
        <v>0</v>
      </c>
      <c r="S622">
        <v>143790</v>
      </c>
      <c r="T622">
        <v>0</v>
      </c>
      <c r="U622" t="s">
        <v>2807</v>
      </c>
      <c r="W622" t="s">
        <v>5506</v>
      </c>
      <c r="X622">
        <v>45500</v>
      </c>
      <c r="Y622">
        <v>41363.636363636302</v>
      </c>
      <c r="Z622" s="26">
        <v>46064</v>
      </c>
    </row>
    <row r="623" spans="1:26" x14ac:dyDescent="0.3">
      <c r="A623" s="50">
        <v>46064.401516203703</v>
      </c>
      <c r="B623">
        <v>2.0260211093647301E+18</v>
      </c>
      <c r="C623" t="s">
        <v>5507</v>
      </c>
      <c r="D623" t="s">
        <v>5508</v>
      </c>
      <c r="E623" t="s">
        <v>5508</v>
      </c>
      <c r="F623" t="s">
        <v>5507</v>
      </c>
      <c r="G623" t="s">
        <v>5508</v>
      </c>
      <c r="H623" t="s">
        <v>5508</v>
      </c>
      <c r="I623">
        <v>2437</v>
      </c>
      <c r="J623" t="s">
        <v>5509</v>
      </c>
      <c r="K623" t="s">
        <v>5509</v>
      </c>
      <c r="L623" t="s">
        <v>2804</v>
      </c>
      <c r="M623" t="s">
        <v>2805</v>
      </c>
      <c r="N623">
        <v>6454</v>
      </c>
      <c r="O623">
        <v>45500</v>
      </c>
      <c r="P623">
        <v>1</v>
      </c>
      <c r="Q623">
        <v>0</v>
      </c>
      <c r="S623">
        <v>143812</v>
      </c>
      <c r="T623">
        <v>0</v>
      </c>
      <c r="U623" t="s">
        <v>5128</v>
      </c>
      <c r="W623" t="s">
        <v>5510</v>
      </c>
      <c r="X623">
        <v>45500</v>
      </c>
      <c r="Y623">
        <v>41363.636363636302</v>
      </c>
      <c r="Z623" s="26">
        <v>46064</v>
      </c>
    </row>
    <row r="624" spans="1:26" x14ac:dyDescent="0.3">
      <c r="A624" s="50">
        <v>46064.349074074074</v>
      </c>
      <c r="B624">
        <v>2.02602110819517E+18</v>
      </c>
      <c r="C624" t="s">
        <v>5511</v>
      </c>
      <c r="D624" t="s">
        <v>5512</v>
      </c>
      <c r="E624" t="s">
        <v>5512</v>
      </c>
      <c r="F624" t="s">
        <v>5511</v>
      </c>
      <c r="G624" t="s">
        <v>5513</v>
      </c>
      <c r="H624" t="s">
        <v>5513</v>
      </c>
      <c r="I624">
        <v>8752</v>
      </c>
      <c r="J624" t="s">
        <v>5514</v>
      </c>
      <c r="K624" t="s">
        <v>5514</v>
      </c>
      <c r="L624" t="s">
        <v>2804</v>
      </c>
      <c r="M624" t="s">
        <v>2805</v>
      </c>
      <c r="N624">
        <v>12908</v>
      </c>
      <c r="O624">
        <v>45500</v>
      </c>
      <c r="P624">
        <v>2</v>
      </c>
      <c r="Q624">
        <v>0</v>
      </c>
      <c r="R624" t="s">
        <v>5515</v>
      </c>
      <c r="S624">
        <v>143812</v>
      </c>
      <c r="T624">
        <v>0</v>
      </c>
      <c r="U624" t="s">
        <v>5128</v>
      </c>
      <c r="W624" t="s">
        <v>5516</v>
      </c>
      <c r="X624">
        <v>91000</v>
      </c>
      <c r="Y624">
        <v>82727.272727272706</v>
      </c>
      <c r="Z624" s="26">
        <v>46064</v>
      </c>
    </row>
    <row r="625" spans="1:26" x14ac:dyDescent="0.3">
      <c r="A625" s="50">
        <v>46064.346145833333</v>
      </c>
      <c r="B625">
        <v>2.02602110815502E+18</v>
      </c>
      <c r="C625" t="s">
        <v>5517</v>
      </c>
      <c r="D625" t="s">
        <v>5518</v>
      </c>
      <c r="E625" t="s">
        <v>5518</v>
      </c>
      <c r="F625" t="s">
        <v>5519</v>
      </c>
      <c r="G625" t="s">
        <v>5518</v>
      </c>
      <c r="H625" t="s">
        <v>5518</v>
      </c>
      <c r="I625">
        <v>27192</v>
      </c>
      <c r="J625" t="s">
        <v>5520</v>
      </c>
      <c r="K625" t="s">
        <v>5520</v>
      </c>
      <c r="L625" t="s">
        <v>2804</v>
      </c>
      <c r="M625" t="s">
        <v>2805</v>
      </c>
      <c r="N625">
        <v>6454</v>
      </c>
      <c r="O625">
        <v>45500</v>
      </c>
      <c r="P625">
        <v>1</v>
      </c>
      <c r="Q625">
        <v>0</v>
      </c>
      <c r="S625">
        <v>143812</v>
      </c>
      <c r="T625">
        <v>0</v>
      </c>
      <c r="U625" t="s">
        <v>5128</v>
      </c>
      <c r="W625" t="s">
        <v>5521</v>
      </c>
      <c r="X625">
        <v>45500</v>
      </c>
      <c r="Y625">
        <v>41363.636363636302</v>
      </c>
      <c r="Z625" s="26">
        <v>46064</v>
      </c>
    </row>
    <row r="626" spans="1:26" x14ac:dyDescent="0.3">
      <c r="A626" s="50">
        <v>46064.32408564815</v>
      </c>
      <c r="B626">
        <v>2.02602110746018E+18</v>
      </c>
      <c r="C626" t="s">
        <v>5522</v>
      </c>
      <c r="D626" t="s">
        <v>5523</v>
      </c>
      <c r="E626" t="s">
        <v>5523</v>
      </c>
      <c r="F626" t="s">
        <v>5522</v>
      </c>
      <c r="G626" t="s">
        <v>5523</v>
      </c>
      <c r="H626" t="s">
        <v>5523</v>
      </c>
      <c r="I626">
        <v>16919</v>
      </c>
      <c r="J626" t="s">
        <v>5524</v>
      </c>
      <c r="K626" t="s">
        <v>5524</v>
      </c>
      <c r="L626" t="s">
        <v>2804</v>
      </c>
      <c r="M626" t="s">
        <v>2805</v>
      </c>
      <c r="N626">
        <v>6454</v>
      </c>
      <c r="O626">
        <v>45500</v>
      </c>
      <c r="P626">
        <v>1</v>
      </c>
      <c r="Q626">
        <v>0</v>
      </c>
      <c r="S626">
        <v>143812</v>
      </c>
      <c r="T626">
        <v>0</v>
      </c>
      <c r="U626" t="s">
        <v>5128</v>
      </c>
      <c r="W626" t="s">
        <v>5525</v>
      </c>
      <c r="X626">
        <v>45500</v>
      </c>
      <c r="Y626">
        <v>41363.636363636302</v>
      </c>
      <c r="Z626" s="26">
        <v>46064</v>
      </c>
    </row>
    <row r="627" spans="1:26" x14ac:dyDescent="0.3">
      <c r="A627" s="50">
        <v>46063.964699074073</v>
      </c>
      <c r="B627">
        <v>2.02602102307346E+18</v>
      </c>
      <c r="C627" t="s">
        <v>5526</v>
      </c>
      <c r="D627" t="s">
        <v>5527</v>
      </c>
      <c r="E627" t="s">
        <v>5527</v>
      </c>
      <c r="F627" t="s">
        <v>5526</v>
      </c>
      <c r="G627" t="s">
        <v>5527</v>
      </c>
      <c r="H627" t="s">
        <v>5527</v>
      </c>
      <c r="I627">
        <v>14211</v>
      </c>
      <c r="J627" t="s">
        <v>5528</v>
      </c>
      <c r="K627" t="s">
        <v>5528</v>
      </c>
      <c r="L627" t="s">
        <v>2804</v>
      </c>
      <c r="M627" t="s">
        <v>2805</v>
      </c>
      <c r="N627">
        <v>6454</v>
      </c>
      <c r="O627">
        <v>45500</v>
      </c>
      <c r="P627">
        <v>1</v>
      </c>
      <c r="Q627">
        <v>0</v>
      </c>
      <c r="S627">
        <v>143812</v>
      </c>
      <c r="T627">
        <v>0</v>
      </c>
      <c r="U627" t="s">
        <v>5128</v>
      </c>
      <c r="W627" t="s">
        <v>5529</v>
      </c>
      <c r="X627">
        <v>45500</v>
      </c>
      <c r="Y627">
        <v>41363.636363636302</v>
      </c>
      <c r="Z627" s="26">
        <v>46064</v>
      </c>
    </row>
    <row r="628" spans="1:26" x14ac:dyDescent="0.3">
      <c r="A628" s="50">
        <v>46063.924884259257</v>
      </c>
      <c r="B628">
        <v>2.02602102207504E+18</v>
      </c>
      <c r="C628" t="s">
        <v>5530</v>
      </c>
      <c r="D628" t="s">
        <v>5531</v>
      </c>
      <c r="E628" t="s">
        <v>5531</v>
      </c>
      <c r="F628" t="s">
        <v>5530</v>
      </c>
      <c r="G628" t="s">
        <v>5532</v>
      </c>
      <c r="H628" t="s">
        <v>5532</v>
      </c>
      <c r="I628">
        <v>33213</v>
      </c>
      <c r="J628" t="s">
        <v>5533</v>
      </c>
      <c r="K628" t="s">
        <v>5533</v>
      </c>
      <c r="L628" t="s">
        <v>2804</v>
      </c>
      <c r="M628" t="s">
        <v>2805</v>
      </c>
      <c r="N628">
        <v>19362</v>
      </c>
      <c r="O628">
        <v>45500</v>
      </c>
      <c r="P628">
        <v>3</v>
      </c>
      <c r="Q628">
        <v>0</v>
      </c>
      <c r="S628">
        <v>143812</v>
      </c>
      <c r="T628">
        <v>0</v>
      </c>
      <c r="U628" t="s">
        <v>5128</v>
      </c>
      <c r="W628" t="s">
        <v>5534</v>
      </c>
      <c r="X628">
        <v>136500</v>
      </c>
      <c r="Y628">
        <v>124090.909090909</v>
      </c>
      <c r="Z628" s="26">
        <v>46064</v>
      </c>
    </row>
    <row r="629" spans="1:26" x14ac:dyDescent="0.3">
      <c r="A629" s="50">
        <v>46063.89603009259</v>
      </c>
      <c r="B629">
        <v>2.0260210212955799E+18</v>
      </c>
      <c r="C629" t="s">
        <v>5535</v>
      </c>
      <c r="D629" t="s">
        <v>5536</v>
      </c>
      <c r="E629" t="s">
        <v>5536</v>
      </c>
      <c r="F629" t="s">
        <v>5535</v>
      </c>
      <c r="G629" t="s">
        <v>5536</v>
      </c>
      <c r="H629" t="s">
        <v>5536</v>
      </c>
      <c r="I629">
        <v>1709</v>
      </c>
      <c r="J629" t="s">
        <v>5537</v>
      </c>
      <c r="K629" t="s">
        <v>5537</v>
      </c>
      <c r="L629" t="s">
        <v>2804</v>
      </c>
      <c r="M629" t="s">
        <v>2805</v>
      </c>
      <c r="N629">
        <v>6454</v>
      </c>
      <c r="O629">
        <v>45500</v>
      </c>
      <c r="P629">
        <v>1</v>
      </c>
      <c r="Q629">
        <v>0</v>
      </c>
      <c r="S629">
        <v>143812</v>
      </c>
      <c r="T629">
        <v>0</v>
      </c>
      <c r="U629" t="s">
        <v>5128</v>
      </c>
      <c r="W629" t="s">
        <v>5538</v>
      </c>
      <c r="X629">
        <v>45500</v>
      </c>
      <c r="Y629">
        <v>41363.636363636302</v>
      </c>
      <c r="Z629" s="26">
        <v>46064</v>
      </c>
    </row>
    <row r="630" spans="1:26" x14ac:dyDescent="0.3">
      <c r="A630" s="50">
        <v>46063.888252314813</v>
      </c>
      <c r="B630">
        <v>2.02602102114354E+18</v>
      </c>
      <c r="C630" t="s">
        <v>5539</v>
      </c>
      <c r="D630" t="s">
        <v>5540</v>
      </c>
      <c r="E630" t="s">
        <v>5540</v>
      </c>
      <c r="F630" t="s">
        <v>5541</v>
      </c>
      <c r="G630" t="s">
        <v>5542</v>
      </c>
      <c r="H630" t="s">
        <v>5542</v>
      </c>
      <c r="I630">
        <v>18487</v>
      </c>
      <c r="J630" t="s">
        <v>5543</v>
      </c>
      <c r="K630" t="s">
        <v>5543</v>
      </c>
      <c r="L630" t="s">
        <v>2804</v>
      </c>
      <c r="M630" t="s">
        <v>2805</v>
      </c>
      <c r="N630">
        <v>6454</v>
      </c>
      <c r="O630">
        <v>45500</v>
      </c>
      <c r="P630">
        <v>1</v>
      </c>
      <c r="Q630">
        <v>0</v>
      </c>
      <c r="R630" t="s">
        <v>3255</v>
      </c>
      <c r="S630">
        <v>143812</v>
      </c>
      <c r="T630">
        <v>0</v>
      </c>
      <c r="U630" t="s">
        <v>5128</v>
      </c>
      <c r="W630" t="s">
        <v>5544</v>
      </c>
      <c r="X630">
        <v>45500</v>
      </c>
      <c r="Y630">
        <v>41363.636363636302</v>
      </c>
      <c r="Z630" s="26">
        <v>46064</v>
      </c>
    </row>
    <row r="631" spans="1:26" x14ac:dyDescent="0.3">
      <c r="A631" s="50">
        <v>46063.806493055556</v>
      </c>
      <c r="B631">
        <v>2.0260210191937001E+18</v>
      </c>
      <c r="C631" t="s">
        <v>5545</v>
      </c>
      <c r="D631" t="s">
        <v>5546</v>
      </c>
      <c r="E631" t="s">
        <v>5546</v>
      </c>
      <c r="F631" t="s">
        <v>5547</v>
      </c>
      <c r="G631" t="s">
        <v>5548</v>
      </c>
      <c r="H631" t="s">
        <v>5548</v>
      </c>
      <c r="I631">
        <v>39108</v>
      </c>
      <c r="J631" t="s">
        <v>5549</v>
      </c>
      <c r="K631" t="s">
        <v>5549</v>
      </c>
      <c r="L631" t="s">
        <v>2804</v>
      </c>
      <c r="M631" t="s">
        <v>2805</v>
      </c>
      <c r="N631">
        <v>6454</v>
      </c>
      <c r="O631">
        <v>45500</v>
      </c>
      <c r="P631">
        <v>1</v>
      </c>
      <c r="Q631">
        <v>0</v>
      </c>
      <c r="S631">
        <v>143812</v>
      </c>
      <c r="T631">
        <v>0</v>
      </c>
      <c r="U631" t="s">
        <v>5128</v>
      </c>
      <c r="W631" t="s">
        <v>5550</v>
      </c>
      <c r="X631">
        <v>45500</v>
      </c>
      <c r="Y631">
        <v>41363.636363636302</v>
      </c>
      <c r="Z631" s="26">
        <v>46064</v>
      </c>
    </row>
    <row r="632" spans="1:26" x14ac:dyDescent="0.3">
      <c r="A632" s="50">
        <v>46063.804444444446</v>
      </c>
      <c r="B632">
        <v>2.0260210191627E+18</v>
      </c>
      <c r="C632" t="s">
        <v>5545</v>
      </c>
      <c r="D632" t="s">
        <v>5546</v>
      </c>
      <c r="E632" t="s">
        <v>5546</v>
      </c>
      <c r="F632" t="s">
        <v>5551</v>
      </c>
      <c r="G632" t="s">
        <v>5552</v>
      </c>
      <c r="H632" t="s">
        <v>5552</v>
      </c>
      <c r="I632">
        <v>39102</v>
      </c>
      <c r="J632" t="s">
        <v>5553</v>
      </c>
      <c r="K632" t="s">
        <v>5553</v>
      </c>
      <c r="L632" t="s">
        <v>2804</v>
      </c>
      <c r="M632" t="s">
        <v>2805</v>
      </c>
      <c r="N632">
        <v>6454</v>
      </c>
      <c r="O632">
        <v>45500</v>
      </c>
      <c r="P632">
        <v>1</v>
      </c>
      <c r="Q632">
        <v>0</v>
      </c>
      <c r="S632">
        <v>143812</v>
      </c>
      <c r="T632">
        <v>0</v>
      </c>
      <c r="U632" t="s">
        <v>5128</v>
      </c>
      <c r="W632" t="s">
        <v>5554</v>
      </c>
      <c r="X632">
        <v>45500</v>
      </c>
      <c r="Y632">
        <v>41363.636363636302</v>
      </c>
      <c r="Z632" s="26">
        <v>46064</v>
      </c>
    </row>
    <row r="633" spans="1:26" x14ac:dyDescent="0.3">
      <c r="A633" s="50">
        <v>46063.708379629628</v>
      </c>
      <c r="B633">
        <v>2.0260210165845499E+18</v>
      </c>
      <c r="C633" t="s">
        <v>5555</v>
      </c>
      <c r="D633" t="s">
        <v>5556</v>
      </c>
      <c r="E633" t="s">
        <v>5556</v>
      </c>
      <c r="F633" t="s">
        <v>5555</v>
      </c>
      <c r="G633" t="s">
        <v>5556</v>
      </c>
      <c r="H633" t="s">
        <v>5556</v>
      </c>
      <c r="I633">
        <v>4094</v>
      </c>
      <c r="J633" t="s">
        <v>5557</v>
      </c>
      <c r="K633" t="s">
        <v>5557</v>
      </c>
      <c r="L633" t="s">
        <v>2804</v>
      </c>
      <c r="M633" t="s">
        <v>2805</v>
      </c>
      <c r="N633">
        <v>19362</v>
      </c>
      <c r="O633">
        <v>45500</v>
      </c>
      <c r="P633">
        <v>2</v>
      </c>
      <c r="Q633">
        <v>0</v>
      </c>
      <c r="S633">
        <v>143812</v>
      </c>
      <c r="T633">
        <v>0</v>
      </c>
      <c r="U633" t="s">
        <v>5128</v>
      </c>
      <c r="W633" t="s">
        <v>5558</v>
      </c>
      <c r="X633">
        <v>91000</v>
      </c>
      <c r="Y633">
        <v>82727.272727272706</v>
      </c>
      <c r="Z633" s="26">
        <v>46064</v>
      </c>
    </row>
    <row r="634" spans="1:26" x14ac:dyDescent="0.3">
      <c r="A634" s="50">
        <v>46063.486828703702</v>
      </c>
      <c r="B634">
        <v>2.02602101139282E+18</v>
      </c>
      <c r="C634" t="s">
        <v>5559</v>
      </c>
      <c r="D634" t="s">
        <v>5560</v>
      </c>
      <c r="E634" t="s">
        <v>5560</v>
      </c>
      <c r="F634" t="s">
        <v>5559</v>
      </c>
      <c r="G634" t="s">
        <v>5560</v>
      </c>
      <c r="H634" t="s">
        <v>5560</v>
      </c>
      <c r="I634">
        <v>28686</v>
      </c>
      <c r="J634" t="s">
        <v>5561</v>
      </c>
      <c r="K634" t="s">
        <v>5561</v>
      </c>
      <c r="L634" t="s">
        <v>2804</v>
      </c>
      <c r="M634" t="s">
        <v>2805</v>
      </c>
      <c r="N634">
        <v>6454</v>
      </c>
      <c r="O634">
        <v>45500</v>
      </c>
      <c r="P634">
        <v>1</v>
      </c>
      <c r="Q634">
        <v>0</v>
      </c>
      <c r="S634">
        <v>143812</v>
      </c>
      <c r="T634">
        <v>0</v>
      </c>
      <c r="U634" t="s">
        <v>5128</v>
      </c>
      <c r="W634" t="s">
        <v>5562</v>
      </c>
      <c r="X634">
        <v>45500</v>
      </c>
      <c r="Y634">
        <v>41363.636363636302</v>
      </c>
      <c r="Z634" s="26">
        <v>46064</v>
      </c>
    </row>
    <row r="635" spans="1:26" x14ac:dyDescent="0.3">
      <c r="A635" s="50">
        <v>46064.334004629629</v>
      </c>
      <c r="B635">
        <v>2.0260211080026399E+18</v>
      </c>
      <c r="C635" t="s">
        <v>5563</v>
      </c>
      <c r="D635" t="s">
        <v>5564</v>
      </c>
      <c r="E635" t="s">
        <v>5564</v>
      </c>
      <c r="F635" t="s">
        <v>5563</v>
      </c>
      <c r="G635" t="s">
        <v>5564</v>
      </c>
      <c r="H635" t="s">
        <v>5564</v>
      </c>
      <c r="I635">
        <v>7024</v>
      </c>
      <c r="J635" t="s">
        <v>5565</v>
      </c>
      <c r="K635" t="s">
        <v>5565</v>
      </c>
      <c r="L635" t="s">
        <v>3801</v>
      </c>
      <c r="M635" t="s">
        <v>3802</v>
      </c>
      <c r="N635">
        <v>18181</v>
      </c>
      <c r="O635">
        <v>63000</v>
      </c>
      <c r="P635">
        <v>1</v>
      </c>
      <c r="Q635" t="s">
        <v>3803</v>
      </c>
      <c r="S635">
        <v>143790</v>
      </c>
      <c r="T635">
        <v>0</v>
      </c>
      <c r="U635" t="s">
        <v>2807</v>
      </c>
      <c r="W635" t="s">
        <v>5566</v>
      </c>
      <c r="X635">
        <v>63000</v>
      </c>
      <c r="Y635">
        <v>57272.727272727199</v>
      </c>
      <c r="Z635" s="26">
        <v>46064</v>
      </c>
    </row>
    <row r="636" spans="1:26" x14ac:dyDescent="0.3">
      <c r="A636" s="50">
        <v>46064.020451388889</v>
      </c>
      <c r="B636">
        <v>2.0260211002741399E+18</v>
      </c>
      <c r="C636" t="s">
        <v>5567</v>
      </c>
      <c r="D636" t="s">
        <v>5568</v>
      </c>
      <c r="E636" t="s">
        <v>5568</v>
      </c>
      <c r="F636" t="s">
        <v>5567</v>
      </c>
      <c r="G636" t="s">
        <v>5568</v>
      </c>
      <c r="H636" t="s">
        <v>5568</v>
      </c>
      <c r="I636">
        <v>14321</v>
      </c>
      <c r="J636" t="s">
        <v>5569</v>
      </c>
      <c r="K636" t="s">
        <v>5569</v>
      </c>
      <c r="L636" t="s">
        <v>3801</v>
      </c>
      <c r="M636" t="s">
        <v>3802</v>
      </c>
      <c r="N636">
        <v>18181</v>
      </c>
      <c r="O636">
        <v>63000</v>
      </c>
      <c r="P636">
        <v>1</v>
      </c>
      <c r="Q636" t="s">
        <v>3803</v>
      </c>
      <c r="S636">
        <v>143790</v>
      </c>
      <c r="T636">
        <v>0</v>
      </c>
      <c r="U636" t="s">
        <v>2807</v>
      </c>
      <c r="W636" t="s">
        <v>5570</v>
      </c>
      <c r="X636">
        <v>63000</v>
      </c>
      <c r="Y636">
        <v>57272.727272727199</v>
      </c>
      <c r="Z636" s="26">
        <v>46064</v>
      </c>
    </row>
    <row r="637" spans="1:26" x14ac:dyDescent="0.3">
      <c r="A637" s="50">
        <v>46063.982581018521</v>
      </c>
      <c r="B637">
        <v>2.0260210233352901E+18</v>
      </c>
      <c r="C637" t="s">
        <v>5571</v>
      </c>
      <c r="D637" t="s">
        <v>5572</v>
      </c>
      <c r="E637" t="s">
        <v>5572</v>
      </c>
      <c r="F637" t="s">
        <v>5573</v>
      </c>
      <c r="G637" t="s">
        <v>5572</v>
      </c>
      <c r="H637" t="s">
        <v>5572</v>
      </c>
      <c r="I637">
        <v>37617</v>
      </c>
      <c r="J637" t="s">
        <v>5574</v>
      </c>
      <c r="K637" t="s">
        <v>5574</v>
      </c>
      <c r="L637" t="s">
        <v>3801</v>
      </c>
      <c r="M637" t="s">
        <v>3802</v>
      </c>
      <c r="N637">
        <v>18181</v>
      </c>
      <c r="O637">
        <v>63000</v>
      </c>
      <c r="P637">
        <v>1</v>
      </c>
      <c r="Q637" t="s">
        <v>3803</v>
      </c>
      <c r="S637">
        <v>143790</v>
      </c>
      <c r="T637">
        <v>0</v>
      </c>
      <c r="U637" t="s">
        <v>2807</v>
      </c>
      <c r="W637" t="s">
        <v>5575</v>
      </c>
      <c r="X637">
        <v>63000</v>
      </c>
      <c r="Y637">
        <v>57272.727272727199</v>
      </c>
      <c r="Z637" s="26">
        <v>46064</v>
      </c>
    </row>
    <row r="638" spans="1:26" x14ac:dyDescent="0.3">
      <c r="A638" s="50">
        <v>46063.912442129629</v>
      </c>
      <c r="B638">
        <v>2.02602102153071E+18</v>
      </c>
      <c r="C638" t="s">
        <v>5576</v>
      </c>
      <c r="D638" t="s">
        <v>5577</v>
      </c>
      <c r="E638" t="s">
        <v>5577</v>
      </c>
      <c r="F638" t="s">
        <v>5576</v>
      </c>
      <c r="G638" t="s">
        <v>5577</v>
      </c>
      <c r="H638" t="s">
        <v>5577</v>
      </c>
      <c r="I638">
        <v>10908</v>
      </c>
      <c r="J638" t="s">
        <v>5578</v>
      </c>
      <c r="K638" t="s">
        <v>5578</v>
      </c>
      <c r="L638" t="s">
        <v>3801</v>
      </c>
      <c r="M638" t="s">
        <v>3802</v>
      </c>
      <c r="N638">
        <v>18181</v>
      </c>
      <c r="O638">
        <v>63000</v>
      </c>
      <c r="P638">
        <v>1</v>
      </c>
      <c r="Q638" t="s">
        <v>3803</v>
      </c>
      <c r="S638">
        <v>143790</v>
      </c>
      <c r="T638" t="s">
        <v>5460</v>
      </c>
      <c r="U638" t="s">
        <v>2807</v>
      </c>
      <c r="W638" t="s">
        <v>5579</v>
      </c>
      <c r="X638">
        <v>63000</v>
      </c>
      <c r="Y638">
        <v>57272.727272727199</v>
      </c>
      <c r="Z638" s="26">
        <v>46064</v>
      </c>
    </row>
    <row r="639" spans="1:26" x14ac:dyDescent="0.3">
      <c r="A639" s="50">
        <v>46063.841145833336</v>
      </c>
      <c r="B639">
        <v>2.02602102010162E+18</v>
      </c>
      <c r="C639" t="s">
        <v>5580</v>
      </c>
      <c r="D639" t="s">
        <v>5581</v>
      </c>
      <c r="E639" t="s">
        <v>5581</v>
      </c>
      <c r="F639" t="s">
        <v>5580</v>
      </c>
      <c r="G639" t="s">
        <v>5581</v>
      </c>
      <c r="H639" t="s">
        <v>5581</v>
      </c>
      <c r="I639">
        <v>31141</v>
      </c>
      <c r="J639" t="s">
        <v>5582</v>
      </c>
      <c r="K639" t="s">
        <v>5582</v>
      </c>
      <c r="L639" t="s">
        <v>3801</v>
      </c>
      <c r="M639" t="s">
        <v>3802</v>
      </c>
      <c r="N639">
        <v>36362</v>
      </c>
      <c r="O639">
        <v>63000</v>
      </c>
      <c r="P639">
        <v>2</v>
      </c>
      <c r="Q639" t="s">
        <v>3803</v>
      </c>
      <c r="S639">
        <v>143790</v>
      </c>
      <c r="T639">
        <v>0</v>
      </c>
      <c r="U639" t="s">
        <v>2807</v>
      </c>
      <c r="W639" t="s">
        <v>5583</v>
      </c>
      <c r="X639">
        <v>126000</v>
      </c>
      <c r="Y639">
        <v>114545.45454545401</v>
      </c>
      <c r="Z639" s="26">
        <v>46064</v>
      </c>
    </row>
    <row r="640" spans="1:26" x14ac:dyDescent="0.3">
      <c r="A640" s="50">
        <v>46063.578993055555</v>
      </c>
      <c r="B640">
        <v>2.02602101352161E+18</v>
      </c>
      <c r="C640" t="s">
        <v>5584</v>
      </c>
      <c r="D640" t="s">
        <v>5585</v>
      </c>
      <c r="E640" t="s">
        <v>5585</v>
      </c>
      <c r="F640" t="s">
        <v>5584</v>
      </c>
      <c r="G640" t="s">
        <v>5585</v>
      </c>
      <c r="H640" t="s">
        <v>5585</v>
      </c>
      <c r="I640">
        <v>54997</v>
      </c>
      <c r="J640" t="s">
        <v>5586</v>
      </c>
      <c r="K640" t="s">
        <v>5586</v>
      </c>
      <c r="L640" t="s">
        <v>3801</v>
      </c>
      <c r="M640" t="s">
        <v>3802</v>
      </c>
      <c r="N640">
        <v>18181</v>
      </c>
      <c r="O640">
        <v>63000</v>
      </c>
      <c r="P640">
        <v>1</v>
      </c>
      <c r="Q640" t="s">
        <v>3803</v>
      </c>
      <c r="S640">
        <v>143790</v>
      </c>
      <c r="T640">
        <v>0</v>
      </c>
      <c r="U640" t="s">
        <v>2807</v>
      </c>
      <c r="W640" t="s">
        <v>5587</v>
      </c>
      <c r="X640">
        <v>63000</v>
      </c>
      <c r="Y640">
        <v>57272.727272727199</v>
      </c>
      <c r="Z640" s="26">
        <v>46064</v>
      </c>
    </row>
    <row r="641" spans="1:26" x14ac:dyDescent="0.3">
      <c r="A641" s="50">
        <v>46063.474432870367</v>
      </c>
      <c r="B641">
        <v>2.0260210112219899E+18</v>
      </c>
      <c r="C641" t="s">
        <v>5588</v>
      </c>
      <c r="D641" t="s">
        <v>5589</v>
      </c>
      <c r="E641" t="s">
        <v>5589</v>
      </c>
      <c r="F641" t="s">
        <v>5588</v>
      </c>
      <c r="G641" t="s">
        <v>5589</v>
      </c>
      <c r="H641" t="s">
        <v>5589</v>
      </c>
      <c r="I641">
        <v>8830</v>
      </c>
      <c r="J641" t="s">
        <v>5590</v>
      </c>
      <c r="K641" t="s">
        <v>5590</v>
      </c>
      <c r="L641" t="s">
        <v>3801</v>
      </c>
      <c r="M641" t="s">
        <v>3802</v>
      </c>
      <c r="N641">
        <v>18181</v>
      </c>
      <c r="O641">
        <v>63000</v>
      </c>
      <c r="P641">
        <v>1</v>
      </c>
      <c r="Q641" t="s">
        <v>3803</v>
      </c>
      <c r="R641" t="s">
        <v>5591</v>
      </c>
      <c r="S641">
        <v>143790</v>
      </c>
      <c r="T641">
        <v>0</v>
      </c>
      <c r="U641" t="s">
        <v>2807</v>
      </c>
      <c r="W641" t="s">
        <v>5592</v>
      </c>
      <c r="X641">
        <v>63000</v>
      </c>
      <c r="Y641">
        <v>57272.727272727199</v>
      </c>
      <c r="Z641" s="26">
        <v>46064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878A-372B-408A-AA7C-B3EE3F416AAB}">
  <dimension ref="A1:C48"/>
  <sheetViews>
    <sheetView workbookViewId="0">
      <selection activeCell="K18" sqref="I16:K18"/>
    </sheetView>
  </sheetViews>
  <sheetFormatPr defaultRowHeight="16.5" x14ac:dyDescent="0.3"/>
  <cols>
    <col min="1" max="1" width="34.5" bestFit="1" customWidth="1"/>
  </cols>
  <sheetData>
    <row r="1" spans="1:3" ht="17.25" x14ac:dyDescent="0.3">
      <c r="A1" s="54" t="s">
        <v>5640</v>
      </c>
    </row>
    <row r="3" spans="1:3" x14ac:dyDescent="0.3">
      <c r="A3" s="55" t="s">
        <v>5641</v>
      </c>
    </row>
    <row r="5" spans="1:3" x14ac:dyDescent="0.3">
      <c r="A5" t="s">
        <v>5642</v>
      </c>
      <c r="B5" t="s">
        <v>5643</v>
      </c>
      <c r="C5" t="s">
        <v>5644</v>
      </c>
    </row>
    <row r="6" spans="1:3" x14ac:dyDescent="0.3">
      <c r="A6" t="s">
        <v>5645</v>
      </c>
      <c r="B6" t="s">
        <v>1762</v>
      </c>
      <c r="C6" t="s">
        <v>1757</v>
      </c>
    </row>
    <row r="7" spans="1:3" x14ac:dyDescent="0.3">
      <c r="A7" t="s">
        <v>5646</v>
      </c>
      <c r="B7" t="s">
        <v>5647</v>
      </c>
      <c r="C7" t="s">
        <v>1759</v>
      </c>
    </row>
    <row r="8" spans="1:3" x14ac:dyDescent="0.3">
      <c r="A8" t="s">
        <v>5648</v>
      </c>
      <c r="B8" t="s">
        <v>5649</v>
      </c>
      <c r="C8" t="s">
        <v>1756</v>
      </c>
    </row>
    <row r="9" spans="1:3" x14ac:dyDescent="0.3">
      <c r="A9" t="s">
        <v>5650</v>
      </c>
      <c r="B9" t="s">
        <v>5651</v>
      </c>
      <c r="C9" t="s">
        <v>1755</v>
      </c>
    </row>
    <row r="10" spans="1:3" x14ac:dyDescent="0.3">
      <c r="A10" t="s">
        <v>5652</v>
      </c>
      <c r="B10" t="s">
        <v>5653</v>
      </c>
      <c r="C10" t="s">
        <v>1761</v>
      </c>
    </row>
    <row r="11" spans="1:3" x14ac:dyDescent="0.3">
      <c r="A11" t="s">
        <v>5654</v>
      </c>
      <c r="B11" t="s">
        <v>5655</v>
      </c>
      <c r="C11" t="s">
        <v>1760</v>
      </c>
    </row>
    <row r="12" spans="1:3" x14ac:dyDescent="0.3">
      <c r="A12" t="s">
        <v>5656</v>
      </c>
      <c r="B12" t="s">
        <v>5657</v>
      </c>
      <c r="C12" t="s">
        <v>1754</v>
      </c>
    </row>
    <row r="15" spans="1:3" x14ac:dyDescent="0.3">
      <c r="A15" s="55" t="s">
        <v>5658</v>
      </c>
    </row>
    <row r="17" spans="1:3" x14ac:dyDescent="0.3">
      <c r="A17" s="56" t="s">
        <v>13</v>
      </c>
      <c r="B17" s="56" t="s">
        <v>14</v>
      </c>
      <c r="C17" s="56" t="s">
        <v>5659</v>
      </c>
    </row>
    <row r="18" spans="1:3" x14ac:dyDescent="0.3">
      <c r="A18" t="s">
        <v>1754</v>
      </c>
      <c r="B18" t="s">
        <v>16</v>
      </c>
      <c r="C18" t="s">
        <v>5626</v>
      </c>
    </row>
    <row r="19" spans="1:3" x14ac:dyDescent="0.3">
      <c r="A19" t="s">
        <v>1755</v>
      </c>
      <c r="B19" t="s">
        <v>18</v>
      </c>
      <c r="C19" t="s">
        <v>19</v>
      </c>
    </row>
    <row r="20" spans="1:3" x14ac:dyDescent="0.3">
      <c r="A20" t="s">
        <v>1756</v>
      </c>
      <c r="B20" t="s">
        <v>5660</v>
      </c>
      <c r="C20" t="s">
        <v>21</v>
      </c>
    </row>
    <row r="21" spans="1:3" x14ac:dyDescent="0.3">
      <c r="A21" t="s">
        <v>1757</v>
      </c>
      <c r="B21" t="s">
        <v>5627</v>
      </c>
      <c r="C21" t="s">
        <v>1758</v>
      </c>
    </row>
    <row r="22" spans="1:3" x14ac:dyDescent="0.3">
      <c r="A22" s="8" t="s">
        <v>1759</v>
      </c>
      <c r="B22" s="8" t="s">
        <v>5661</v>
      </c>
      <c r="C22" s="8" t="s">
        <v>5662</v>
      </c>
    </row>
    <row r="23" spans="1:3" x14ac:dyDescent="0.3">
      <c r="A23" t="s">
        <v>1760</v>
      </c>
      <c r="B23" t="s">
        <v>5628</v>
      </c>
      <c r="C23" t="s">
        <v>5629</v>
      </c>
    </row>
    <row r="24" spans="1:3" x14ac:dyDescent="0.3">
      <c r="A24" s="8" t="s">
        <v>1761</v>
      </c>
      <c r="B24" s="8" t="s">
        <v>5630</v>
      </c>
      <c r="C24" s="8" t="s">
        <v>5631</v>
      </c>
    </row>
    <row r="25" spans="1:3" x14ac:dyDescent="0.3">
      <c r="A25" t="s">
        <v>5632</v>
      </c>
      <c r="B25" t="s">
        <v>5663</v>
      </c>
      <c r="C25" t="s">
        <v>5633</v>
      </c>
    </row>
    <row r="28" spans="1:3" x14ac:dyDescent="0.3">
      <c r="A28" s="55" t="s">
        <v>5664</v>
      </c>
    </row>
    <row r="30" spans="1:3" x14ac:dyDescent="0.3">
      <c r="A30" s="56" t="s">
        <v>5634</v>
      </c>
      <c r="B30" s="56" t="s">
        <v>5635</v>
      </c>
      <c r="C30" s="56" t="s">
        <v>27</v>
      </c>
    </row>
    <row r="31" spans="1:3" x14ac:dyDescent="0.3">
      <c r="A31" s="7" t="s">
        <v>28</v>
      </c>
      <c r="B31" t="e" cm="1">
        <f t="array" ref="B31">VLOOKUP(단품코드, 채널매핑!B:D, 3, 0)</f>
        <v>#NAME?</v>
      </c>
      <c r="C31" t="s">
        <v>29</v>
      </c>
    </row>
    <row r="32" spans="1:3" x14ac:dyDescent="0.3">
      <c r="A32" s="7" t="s">
        <v>30</v>
      </c>
      <c r="B32" t="e" cm="1">
        <f t="array" ref="B32">VLOOKUP(자사SKU, 제품마스터!A:D, 4, 0)</f>
        <v>#NAME?</v>
      </c>
      <c r="C32" t="s">
        <v>31</v>
      </c>
    </row>
    <row r="33" spans="1:3" x14ac:dyDescent="0.3">
      <c r="A33" s="7" t="s">
        <v>32</v>
      </c>
      <c r="B33" t="e" cm="1">
        <f t="array" ref="B33">VAT제외금액 - 총원가</f>
        <v>#NAME?</v>
      </c>
      <c r="C33" t="s">
        <v>5604</v>
      </c>
    </row>
    <row r="34" spans="1:3" x14ac:dyDescent="0.3">
      <c r="A34" s="7" t="s">
        <v>33</v>
      </c>
      <c r="B34" t="e" cm="1">
        <f t="array" ref="B34">기초재고 - SUMIF(정규화데이터, 자사SKU, SKU수량)</f>
        <v>#NAME?</v>
      </c>
      <c r="C34" t="s">
        <v>34</v>
      </c>
    </row>
    <row r="35" spans="1:3" x14ac:dyDescent="0.3">
      <c r="A35" s="7" t="s">
        <v>5636</v>
      </c>
      <c r="B35">
        <f>SUMIF(손익분석!A:A, "채널명", 손익분석!J:J)</f>
        <v>0</v>
      </c>
      <c r="C35" t="s">
        <v>35</v>
      </c>
    </row>
    <row r="36" spans="1:3" x14ac:dyDescent="0.3">
      <c r="A36" s="7" t="s">
        <v>5637</v>
      </c>
      <c r="B36">
        <f>SUMIFS(손익분석!J:J, 손익분석!B:B, "&gt;="&amp;B16, 손익분석!B:B, "&lt;"&amp;B16+1)</f>
        <v>0</v>
      </c>
      <c r="C36" t="s">
        <v>5638</v>
      </c>
    </row>
    <row r="37" spans="1:3" x14ac:dyDescent="0.3">
      <c r="A37" s="7" t="s">
        <v>5639</v>
      </c>
      <c r="B37" s="2" t="s">
        <v>36</v>
      </c>
      <c r="C37" t="s">
        <v>37</v>
      </c>
    </row>
    <row r="40" spans="1:3" x14ac:dyDescent="0.3">
      <c r="A40" s="62" t="s">
        <v>1684</v>
      </c>
    </row>
    <row r="42" spans="1:3" x14ac:dyDescent="0.3">
      <c r="A42" s="8" t="s">
        <v>5665</v>
      </c>
      <c r="B42" s="51" t="s">
        <v>5666</v>
      </c>
      <c r="C42" s="51" t="s">
        <v>5667</v>
      </c>
    </row>
    <row r="43" spans="1:3" x14ac:dyDescent="0.3">
      <c r="A43" s="7" t="s">
        <v>5668</v>
      </c>
      <c r="B43" t="s">
        <v>5669</v>
      </c>
      <c r="C43" t="s">
        <v>5670</v>
      </c>
    </row>
    <row r="44" spans="1:3" x14ac:dyDescent="0.3">
      <c r="A44" s="7" t="s">
        <v>5671</v>
      </c>
      <c r="B44" t="s">
        <v>5672</v>
      </c>
      <c r="C44" t="s">
        <v>5673</v>
      </c>
    </row>
    <row r="45" spans="1:3" x14ac:dyDescent="0.3">
      <c r="A45" s="7" t="s">
        <v>5674</v>
      </c>
      <c r="B45" t="e" cm="1">
        <f t="array" ref="B45" xml:space="preserve"> VAT제외금액 - 총원가</f>
        <v>#NAME?</v>
      </c>
      <c r="C45" t="s">
        <v>5675</v>
      </c>
    </row>
    <row r="46" spans="1:3" x14ac:dyDescent="0.3">
      <c r="A46" s="8" t="s">
        <v>5676</v>
      </c>
      <c r="B46" s="51" t="s">
        <v>5677</v>
      </c>
      <c r="C46" s="51" t="s">
        <v>5678</v>
      </c>
    </row>
    <row r="47" spans="1:3" x14ac:dyDescent="0.3">
      <c r="A47" s="7" t="s">
        <v>5679</v>
      </c>
      <c r="B47" t="s">
        <v>5680</v>
      </c>
      <c r="C47" t="s">
        <v>5681</v>
      </c>
    </row>
    <row r="48" spans="1:3" x14ac:dyDescent="0.3">
      <c r="A48" s="7" t="s">
        <v>5682</v>
      </c>
      <c r="B48" t="s">
        <v>5683</v>
      </c>
      <c r="C48" t="s">
        <v>5684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2030CAB5FAF11438BC3D0C3B6A7CFC5" ma:contentTypeVersion="10" ma:contentTypeDescription="새 문서를 만듭니다." ma:contentTypeScope="" ma:versionID="fbf6839c83f6016456425ebe993ac032">
  <xsd:schema xmlns:xsd="http://www.w3.org/2001/XMLSchema" xmlns:xs="http://www.w3.org/2001/XMLSchema" xmlns:p="http://schemas.microsoft.com/office/2006/metadata/properties" xmlns:ns3="93680857-2b23-49f2-9539-5040a8298f95" targetNamespace="http://schemas.microsoft.com/office/2006/metadata/properties" ma:root="true" ma:fieldsID="7f0177ca236472a4a03cdfe069a586bb" ns3:_="">
    <xsd:import namespace="93680857-2b23-49f2-9539-5040a8298f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80857-2b23-49f2-9539-5040a8298f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680857-2b23-49f2-9539-5040a8298f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24A1EE-F5D0-466F-98C6-A2D3719DB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80857-2b23-49f2-9539-5040a8298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AF5A2-24A1-40F6-8204-B74A9963CB97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3680857-2b23-49f2-9539-5040a8298f95"/>
  </ds:schemaRefs>
</ds:datastoreItem>
</file>

<file path=customXml/itemProps3.xml><?xml version="1.0" encoding="utf-8"?>
<ds:datastoreItem xmlns:ds="http://schemas.openxmlformats.org/officeDocument/2006/customXml" ds:itemID="{818DD0E0-BE69-44FF-AF8E-57F9CE4750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대시보드</vt:lpstr>
      <vt:lpstr>제품마스터</vt:lpstr>
      <vt:lpstr>채널매핑</vt:lpstr>
      <vt:lpstr>원본데이터_SK</vt:lpstr>
      <vt:lpstr>정규화데이터</vt:lpstr>
      <vt:lpstr>정규화데이터 (2)</vt:lpstr>
      <vt:lpstr>재고현황</vt:lpstr>
      <vt:lpstr>손익분석</vt:lpstr>
      <vt:lpstr>물류비용</vt:lpstr>
      <vt:lpstr>원본데이터_쿠팡</vt:lpstr>
      <vt:lpstr>원본데이터_네이버</vt:lpstr>
      <vt:lpstr>원본데이터_카카오</vt:lpstr>
      <vt:lpstr>원본데이터_리씽크</vt:lpstr>
      <vt:lpstr>시스템 가이드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진우</dc:creator>
  <cp:lastModifiedBy>이 진우</cp:lastModifiedBy>
  <dcterms:created xsi:type="dcterms:W3CDTF">2026-02-12T06:32:06Z</dcterms:created>
  <dcterms:modified xsi:type="dcterms:W3CDTF">2026-02-24T01:49:55Z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0x01010062030CAB5FAF11438BC3D0C3B6A7CFC5</vt:lpwstr>
  </property>
</Properties>
</file>